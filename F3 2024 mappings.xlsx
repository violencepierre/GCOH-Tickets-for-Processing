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5F20965C-E8A4-43A7-9881-53794A2C7311}" xr6:coauthVersionLast="47" xr6:coauthVersionMax="47" xr10:uidLastSave="{00000000-0000-0000-0000-000000000000}"/>
  <bookViews>
    <workbookView xWindow="-120" yWindow="-120" windowWidth="38640" windowHeight="21120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For Commentary" sheetId="20" r:id="rId6"/>
    <sheet name="Authors" sheetId="18" r:id="rId7"/>
    <sheet name="STAT" sheetId="10" r:id="rId8"/>
    <sheet name="Sector" sheetId="3" r:id="rId9"/>
    <sheet name="YelTable" sheetId="24" r:id="rId10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9" hidden="1">YelTable!$A$1:$E$5</definedName>
    <definedName name="ID" localSheetId="6" hidden="1">"f29e49f0-c842-4a01-8df8-c72694a7b15c"</definedName>
    <definedName name="ID" localSheetId="3" hidden="1">"3fb6490e-8bae-4ce5-b09c-5121e79bff69"</definedName>
    <definedName name="ID" localSheetId="5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8" hidden="1">"fa560984-7bbe-4a11-88aa-39d6eb27c9e2"</definedName>
    <definedName name="ID" localSheetId="7" hidden="1">"e95ef0c9-3382-426f-86db-9e8ceaf6f6b4"</definedName>
    <definedName name="ID" localSheetId="9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0" r:id="rId11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3595" i="1" l="1"/>
  <c r="J3589" i="1"/>
  <c r="J3587" i="1"/>
  <c r="J3586" i="1"/>
  <c r="J3573" i="1"/>
  <c r="J3571" i="1"/>
  <c r="J3570" i="1"/>
  <c r="J3557" i="1"/>
  <c r="J3555" i="1"/>
  <c r="J3554" i="1"/>
  <c r="J3541" i="1"/>
  <c r="J3539" i="1"/>
  <c r="J3538" i="1"/>
  <c r="J3529" i="1"/>
  <c r="J3525" i="1"/>
  <c r="J3523" i="1"/>
  <c r="J3522" i="1"/>
  <c r="J3513" i="1"/>
  <c r="J3509" i="1"/>
  <c r="J3507" i="1"/>
  <c r="J3506" i="1"/>
  <c r="J3498" i="1"/>
  <c r="J3497" i="1"/>
  <c r="J3494" i="1"/>
  <c r="J3493" i="1"/>
  <c r="J3491" i="1"/>
  <c r="J3490" i="1"/>
  <c r="J3487" i="1"/>
  <c r="B3601" i="1"/>
  <c r="H3601" i="1"/>
  <c r="J3601" i="1"/>
  <c r="K3601" i="1"/>
  <c r="Q3601" i="1"/>
  <c r="P3601" i="1" s="1"/>
  <c r="B3590" i="1"/>
  <c r="B3591" i="1"/>
  <c r="B3592" i="1"/>
  <c r="B3593" i="1"/>
  <c r="B3594" i="1"/>
  <c r="B3595" i="1"/>
  <c r="B3596" i="1"/>
  <c r="B3597" i="1"/>
  <c r="B3598" i="1"/>
  <c r="B3599" i="1"/>
  <c r="B3600" i="1"/>
  <c r="H3590" i="1"/>
  <c r="H3591" i="1"/>
  <c r="H3592" i="1"/>
  <c r="H3593" i="1"/>
  <c r="H3594" i="1"/>
  <c r="H3595" i="1"/>
  <c r="H3596" i="1"/>
  <c r="H3597" i="1"/>
  <c r="H3598" i="1"/>
  <c r="H3599" i="1"/>
  <c r="H3600" i="1"/>
  <c r="J3590" i="1"/>
  <c r="J3591" i="1"/>
  <c r="J3592" i="1"/>
  <c r="J3593" i="1"/>
  <c r="J3594" i="1"/>
  <c r="J3596" i="1"/>
  <c r="J3597" i="1"/>
  <c r="J3598" i="1"/>
  <c r="J3599" i="1"/>
  <c r="J3600" i="1"/>
  <c r="K3590" i="1"/>
  <c r="K3591" i="1"/>
  <c r="K3592" i="1"/>
  <c r="K3593" i="1"/>
  <c r="K3594" i="1"/>
  <c r="K3595" i="1"/>
  <c r="K3596" i="1"/>
  <c r="K3597" i="1"/>
  <c r="K3598" i="1"/>
  <c r="K3599" i="1"/>
  <c r="K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B3589" i="1"/>
  <c r="H3589" i="1"/>
  <c r="K3589" i="1"/>
  <c r="Q3589" i="1"/>
  <c r="P3589" i="1" s="1"/>
  <c r="B3584" i="1"/>
  <c r="B3585" i="1"/>
  <c r="B3586" i="1"/>
  <c r="B3587" i="1"/>
  <c r="B3588" i="1"/>
  <c r="H3584" i="1"/>
  <c r="H3585" i="1"/>
  <c r="H3586" i="1"/>
  <c r="H3587" i="1"/>
  <c r="H3588" i="1"/>
  <c r="J3584" i="1"/>
  <c r="J3585" i="1"/>
  <c r="J3588" i="1"/>
  <c r="K3584" i="1"/>
  <c r="K3585" i="1"/>
  <c r="K3586" i="1"/>
  <c r="K3587" i="1"/>
  <c r="K3588" i="1"/>
  <c r="Q3584" i="1"/>
  <c r="P3584" i="1" s="1"/>
  <c r="Q3585" i="1"/>
  <c r="P3585" i="1" s="1"/>
  <c r="Q3586" i="1"/>
  <c r="P3586" i="1" s="1"/>
  <c r="Q3587" i="1"/>
  <c r="P3587" i="1" s="1"/>
  <c r="Q3588" i="1"/>
  <c r="P3588" i="1" s="1"/>
  <c r="B3583" i="1"/>
  <c r="H3583" i="1"/>
  <c r="J3583" i="1"/>
  <c r="K3583" i="1"/>
  <c r="Q3583" i="1"/>
  <c r="P3583" i="1" s="1"/>
  <c r="J3488" i="1"/>
  <c r="J3486" i="1"/>
  <c r="B3582" i="1"/>
  <c r="H3582" i="1"/>
  <c r="J3582" i="1"/>
  <c r="K3582" i="1"/>
  <c r="Q3582" i="1"/>
  <c r="P3582" i="1" s="1"/>
  <c r="B3489" i="1"/>
  <c r="B3490" i="1"/>
  <c r="B3491" i="1"/>
  <c r="B3492" i="1"/>
  <c r="B3493" i="1"/>
  <c r="B3494" i="1"/>
  <c r="B3495" i="1"/>
  <c r="B3496" i="1"/>
  <c r="B3497" i="1"/>
  <c r="B3498" i="1"/>
  <c r="B3499" i="1"/>
  <c r="B3500" i="1"/>
  <c r="B3501" i="1"/>
  <c r="B3502" i="1"/>
  <c r="B3503" i="1"/>
  <c r="B3504" i="1"/>
  <c r="B3505" i="1"/>
  <c r="B3506" i="1"/>
  <c r="B3507" i="1"/>
  <c r="B3508" i="1"/>
  <c r="B3509" i="1"/>
  <c r="B3510" i="1"/>
  <c r="B3511" i="1"/>
  <c r="B3512" i="1"/>
  <c r="B3513" i="1"/>
  <c r="B3514" i="1"/>
  <c r="B3515" i="1"/>
  <c r="B3516" i="1"/>
  <c r="B3517" i="1"/>
  <c r="B3518" i="1"/>
  <c r="B3519" i="1"/>
  <c r="B3520" i="1"/>
  <c r="B3521" i="1"/>
  <c r="B3522" i="1"/>
  <c r="B3523" i="1"/>
  <c r="B3524" i="1"/>
  <c r="B3525" i="1"/>
  <c r="B3526" i="1"/>
  <c r="B3527" i="1"/>
  <c r="B3528" i="1"/>
  <c r="B3529" i="1"/>
  <c r="B3530" i="1"/>
  <c r="B3531" i="1"/>
  <c r="B3532" i="1"/>
  <c r="B3533" i="1"/>
  <c r="B3534" i="1"/>
  <c r="B3535" i="1"/>
  <c r="B3536" i="1"/>
  <c r="B3537" i="1"/>
  <c r="B3538" i="1"/>
  <c r="B3539" i="1"/>
  <c r="B3540" i="1"/>
  <c r="B3541" i="1"/>
  <c r="B3542" i="1"/>
  <c r="B3543" i="1"/>
  <c r="B3544" i="1"/>
  <c r="B3545" i="1"/>
  <c r="B3546" i="1"/>
  <c r="B3547" i="1"/>
  <c r="B3548" i="1"/>
  <c r="B3549" i="1"/>
  <c r="B3550" i="1"/>
  <c r="B3551" i="1"/>
  <c r="B3552" i="1"/>
  <c r="B3553" i="1"/>
  <c r="B3554" i="1"/>
  <c r="B3555" i="1"/>
  <c r="B3556" i="1"/>
  <c r="B3557" i="1"/>
  <c r="B3558" i="1"/>
  <c r="B3559" i="1"/>
  <c r="B3560" i="1"/>
  <c r="B3561" i="1"/>
  <c r="B3562" i="1"/>
  <c r="B3563" i="1"/>
  <c r="B3564" i="1"/>
  <c r="B3565" i="1"/>
  <c r="B3566" i="1"/>
  <c r="B3567" i="1"/>
  <c r="B3568" i="1"/>
  <c r="B3569" i="1"/>
  <c r="B3570" i="1"/>
  <c r="B3571" i="1"/>
  <c r="B3572" i="1"/>
  <c r="B3573" i="1"/>
  <c r="B3574" i="1"/>
  <c r="B3575" i="1"/>
  <c r="B3576" i="1"/>
  <c r="B3577" i="1"/>
  <c r="B3578" i="1"/>
  <c r="B3579" i="1"/>
  <c r="B3580" i="1"/>
  <c r="B3581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08" i="1"/>
  <c r="J3510" i="1"/>
  <c r="J3511" i="1"/>
  <c r="J3512" i="1"/>
  <c r="J3514" i="1"/>
  <c r="J3515" i="1"/>
  <c r="J3516" i="1"/>
  <c r="J3517" i="1"/>
  <c r="J3518" i="1"/>
  <c r="J3519" i="1"/>
  <c r="J3520" i="1"/>
  <c r="J3521" i="1"/>
  <c r="J3524" i="1"/>
  <c r="J3526" i="1"/>
  <c r="J3527" i="1"/>
  <c r="J3528" i="1"/>
  <c r="J3530" i="1"/>
  <c r="J3531" i="1"/>
  <c r="J3532" i="1"/>
  <c r="J3533" i="1"/>
  <c r="J3534" i="1"/>
  <c r="J3535" i="1"/>
  <c r="J3536" i="1"/>
  <c r="J3537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K3489" i="1"/>
  <c r="K3490" i="1"/>
  <c r="K3491" i="1"/>
  <c r="K3492" i="1"/>
  <c r="K3493" i="1"/>
  <c r="K3494" i="1"/>
  <c r="K3495" i="1"/>
  <c r="K3496" i="1"/>
  <c r="K3497" i="1"/>
  <c r="K3498" i="1"/>
  <c r="K3499" i="1"/>
  <c r="K3500" i="1"/>
  <c r="K3501" i="1"/>
  <c r="K3502" i="1"/>
  <c r="K3503" i="1"/>
  <c r="K3504" i="1"/>
  <c r="K3505" i="1"/>
  <c r="K3506" i="1"/>
  <c r="K3507" i="1"/>
  <c r="K3508" i="1"/>
  <c r="K3509" i="1"/>
  <c r="K3510" i="1"/>
  <c r="K3511" i="1"/>
  <c r="K3512" i="1"/>
  <c r="K3513" i="1"/>
  <c r="K3514" i="1"/>
  <c r="K3515" i="1"/>
  <c r="K3516" i="1"/>
  <c r="K3517" i="1"/>
  <c r="K3518" i="1"/>
  <c r="K3519" i="1"/>
  <c r="K3520" i="1"/>
  <c r="K3521" i="1"/>
  <c r="K3522" i="1"/>
  <c r="K3523" i="1"/>
  <c r="K3524" i="1"/>
  <c r="K3525" i="1"/>
  <c r="K3526" i="1"/>
  <c r="K3527" i="1"/>
  <c r="K3528" i="1"/>
  <c r="K3529" i="1"/>
  <c r="K3530" i="1"/>
  <c r="K3531" i="1"/>
  <c r="K3532" i="1"/>
  <c r="K3533" i="1"/>
  <c r="K3534" i="1"/>
  <c r="K3535" i="1"/>
  <c r="K3536" i="1"/>
  <c r="K3537" i="1"/>
  <c r="K3538" i="1"/>
  <c r="K3539" i="1"/>
  <c r="K3540" i="1"/>
  <c r="K3541" i="1"/>
  <c r="K3542" i="1"/>
  <c r="K3543" i="1"/>
  <c r="K3544" i="1"/>
  <c r="K3545" i="1"/>
  <c r="K3546" i="1"/>
  <c r="K3547" i="1"/>
  <c r="K3548" i="1"/>
  <c r="K3549" i="1"/>
  <c r="K3550" i="1"/>
  <c r="K3551" i="1"/>
  <c r="K3552" i="1"/>
  <c r="K3553" i="1"/>
  <c r="K3554" i="1"/>
  <c r="K3555" i="1"/>
  <c r="K3556" i="1"/>
  <c r="K3557" i="1"/>
  <c r="K3558" i="1"/>
  <c r="K3559" i="1"/>
  <c r="K3560" i="1"/>
  <c r="K3561" i="1"/>
  <c r="K3562" i="1"/>
  <c r="K3563" i="1"/>
  <c r="K3564" i="1"/>
  <c r="K3565" i="1"/>
  <c r="K3566" i="1"/>
  <c r="K3567" i="1"/>
  <c r="K3568" i="1"/>
  <c r="K3569" i="1"/>
  <c r="K3570" i="1"/>
  <c r="K3571" i="1"/>
  <c r="K3572" i="1"/>
  <c r="K3573" i="1"/>
  <c r="K3574" i="1"/>
  <c r="K3575" i="1"/>
  <c r="K3576" i="1"/>
  <c r="K3577" i="1"/>
  <c r="K3578" i="1"/>
  <c r="K3579" i="1"/>
  <c r="K3580" i="1"/>
  <c r="K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B3487" i="1"/>
  <c r="B3488" i="1"/>
  <c r="H3487" i="1"/>
  <c r="H3488" i="1"/>
  <c r="K3487" i="1"/>
  <c r="K3488" i="1"/>
  <c r="Q3487" i="1"/>
  <c r="P3487" i="1" s="1"/>
  <c r="Q3488" i="1"/>
  <c r="P3488" i="1" s="1"/>
  <c r="B3486" i="1"/>
  <c r="H3486" i="1"/>
  <c r="K3486" i="1"/>
  <c r="Q3486" i="1"/>
  <c r="P3486" i="1" s="1"/>
  <c r="J3485" i="1"/>
  <c r="J3484" i="1"/>
  <c r="J3483" i="1"/>
  <c r="J3482" i="1"/>
  <c r="J3478" i="1"/>
  <c r="B3480" i="1"/>
  <c r="B3481" i="1"/>
  <c r="B3482" i="1"/>
  <c r="B3483" i="1"/>
  <c r="B3484" i="1"/>
  <c r="B3485" i="1"/>
  <c r="H3480" i="1"/>
  <c r="H3481" i="1"/>
  <c r="H3482" i="1"/>
  <c r="H3483" i="1"/>
  <c r="H3484" i="1"/>
  <c r="H3485" i="1"/>
  <c r="K3480" i="1"/>
  <c r="K3481" i="1"/>
  <c r="K3482" i="1"/>
  <c r="K3483" i="1"/>
  <c r="K3484" i="1"/>
  <c r="K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B3479" i="1"/>
  <c r="H3479" i="1"/>
  <c r="K3479" i="1"/>
  <c r="Q3479" i="1"/>
  <c r="P3479" i="1" s="1"/>
  <c r="B3478" i="1"/>
  <c r="H3478" i="1"/>
  <c r="K3478" i="1"/>
  <c r="Q3478" i="1"/>
  <c r="P3478" i="1" s="1"/>
  <c r="B3477" i="1" l="1"/>
  <c r="H3477" i="1"/>
  <c r="J3477" i="1"/>
  <c r="K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B3467" i="1"/>
  <c r="B3468" i="1"/>
  <c r="B3469" i="1"/>
  <c r="B3470" i="1"/>
  <c r="B3471" i="1"/>
  <c r="B3472" i="1"/>
  <c r="B3473" i="1"/>
  <c r="B3474" i="1"/>
  <c r="B3475" i="1"/>
  <c r="B3476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K3467" i="1"/>
  <c r="K3468" i="1"/>
  <c r="K3469" i="1"/>
  <c r="K3470" i="1"/>
  <c r="K3471" i="1"/>
  <c r="K3472" i="1"/>
  <c r="K3473" i="1"/>
  <c r="K3474" i="1"/>
  <c r="K3475" i="1"/>
  <c r="K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B3460" i="1"/>
  <c r="B3461" i="1"/>
  <c r="B3462" i="1"/>
  <c r="B3463" i="1"/>
  <c r="B3464" i="1"/>
  <c r="B3465" i="1"/>
  <c r="B3466" i="1"/>
  <c r="H3460" i="1"/>
  <c r="H3461" i="1"/>
  <c r="H3462" i="1"/>
  <c r="H3463" i="1"/>
  <c r="H3464" i="1"/>
  <c r="H3465" i="1"/>
  <c r="H3466" i="1"/>
  <c r="J3460" i="1"/>
  <c r="J3464" i="1"/>
  <c r="J3465" i="1"/>
  <c r="J3466" i="1"/>
  <c r="K3460" i="1"/>
  <c r="K3461" i="1"/>
  <c r="K3462" i="1"/>
  <c r="K3463" i="1"/>
  <c r="K3464" i="1"/>
  <c r="K3465" i="1"/>
  <c r="K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B3459" i="1"/>
  <c r="H3459" i="1"/>
  <c r="J3459" i="1"/>
  <c r="K3459" i="1"/>
  <c r="Q3459" i="1"/>
  <c r="P3459" i="1" s="1"/>
  <c r="B3458" i="1"/>
  <c r="H3458" i="1"/>
  <c r="J3458" i="1"/>
  <c r="K3458" i="1"/>
  <c r="Q3458" i="1"/>
  <c r="P3458" i="1" s="1"/>
  <c r="B3457" i="1"/>
  <c r="H3457" i="1"/>
  <c r="J3457" i="1"/>
  <c r="K3457" i="1"/>
  <c r="Q3457" i="1"/>
  <c r="P3457" i="1" s="1"/>
  <c r="B3456" i="1"/>
  <c r="H3456" i="1"/>
  <c r="J3456" i="1"/>
  <c r="K3456" i="1"/>
  <c r="Q3456" i="1"/>
  <c r="P3456" i="1" s="1"/>
  <c r="B3455" i="1"/>
  <c r="H3455" i="1"/>
  <c r="J3455" i="1"/>
  <c r="K3455" i="1"/>
  <c r="Q3455" i="1"/>
  <c r="P3455" i="1" s="1"/>
  <c r="B3437" i="1"/>
  <c r="B3438" i="1"/>
  <c r="B3439" i="1"/>
  <c r="B3440" i="1"/>
  <c r="B3441" i="1"/>
  <c r="B3442" i="1"/>
  <c r="B3443" i="1"/>
  <c r="B3444" i="1"/>
  <c r="B3445" i="1"/>
  <c r="B3446" i="1"/>
  <c r="B3447" i="1"/>
  <c r="B3448" i="1"/>
  <c r="B3449" i="1"/>
  <c r="B3450" i="1"/>
  <c r="B3451" i="1"/>
  <c r="B3452" i="1"/>
  <c r="B3453" i="1"/>
  <c r="B3454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K3437" i="1"/>
  <c r="K3438" i="1"/>
  <c r="K3439" i="1"/>
  <c r="K3440" i="1"/>
  <c r="K3441" i="1"/>
  <c r="K3442" i="1"/>
  <c r="K3443" i="1"/>
  <c r="K3444" i="1"/>
  <c r="K3445" i="1"/>
  <c r="K3446" i="1"/>
  <c r="K3447" i="1"/>
  <c r="K3448" i="1"/>
  <c r="K3449" i="1"/>
  <c r="K3450" i="1"/>
  <c r="K3451" i="1"/>
  <c r="K3452" i="1"/>
  <c r="K3453" i="1"/>
  <c r="K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B3436" i="1"/>
  <c r="H3436" i="1"/>
  <c r="J3436" i="1"/>
  <c r="K3436" i="1"/>
  <c r="Q3436" i="1"/>
  <c r="P3436" i="1" s="1"/>
  <c r="B3435" i="1"/>
  <c r="H3435" i="1"/>
  <c r="K3435" i="1"/>
  <c r="Q3435" i="1"/>
  <c r="P3435" i="1" s="1"/>
  <c r="B3434" i="1"/>
  <c r="H3434" i="1"/>
  <c r="K3434" i="1"/>
  <c r="Q3434" i="1"/>
  <c r="P3434" i="1" s="1"/>
  <c r="B3421" i="1"/>
  <c r="B3422" i="1"/>
  <c r="B3423" i="1"/>
  <c r="B3424" i="1"/>
  <c r="B3425" i="1"/>
  <c r="B3426" i="1"/>
  <c r="B3427" i="1"/>
  <c r="B3428" i="1"/>
  <c r="B3429" i="1"/>
  <c r="B3430" i="1"/>
  <c r="B3431" i="1"/>
  <c r="B3432" i="1"/>
  <c r="B3433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K3421" i="1"/>
  <c r="K3422" i="1"/>
  <c r="K3423" i="1"/>
  <c r="K3424" i="1"/>
  <c r="K3425" i="1"/>
  <c r="K3426" i="1"/>
  <c r="K3427" i="1"/>
  <c r="K3428" i="1"/>
  <c r="K3429" i="1"/>
  <c r="K3430" i="1"/>
  <c r="K3431" i="1"/>
  <c r="K3432" i="1"/>
  <c r="K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B3243" i="1"/>
  <c r="B3244" i="1"/>
  <c r="B3245" i="1"/>
  <c r="B3246" i="1"/>
  <c r="B3247" i="1"/>
  <c r="B3248" i="1"/>
  <c r="B3249" i="1"/>
  <c r="B3250" i="1"/>
  <c r="B3251" i="1"/>
  <c r="B3252" i="1"/>
  <c r="B3253" i="1"/>
  <c r="B3254" i="1"/>
  <c r="B3255" i="1"/>
  <c r="B3256" i="1"/>
  <c r="B3257" i="1"/>
  <c r="B3258" i="1"/>
  <c r="B3259" i="1"/>
  <c r="B3260" i="1"/>
  <c r="B3261" i="1"/>
  <c r="B3262" i="1"/>
  <c r="B3263" i="1"/>
  <c r="B3264" i="1"/>
  <c r="B3265" i="1"/>
  <c r="B3266" i="1"/>
  <c r="B3267" i="1"/>
  <c r="B3268" i="1"/>
  <c r="B3269" i="1"/>
  <c r="B3270" i="1"/>
  <c r="B3271" i="1"/>
  <c r="B3272" i="1"/>
  <c r="B3273" i="1"/>
  <c r="B3274" i="1"/>
  <c r="B3275" i="1"/>
  <c r="B3276" i="1"/>
  <c r="B3277" i="1"/>
  <c r="B3278" i="1"/>
  <c r="B3279" i="1"/>
  <c r="B3280" i="1"/>
  <c r="B3281" i="1"/>
  <c r="B3282" i="1"/>
  <c r="B3283" i="1"/>
  <c r="B3284" i="1"/>
  <c r="B3285" i="1"/>
  <c r="B3286" i="1"/>
  <c r="B3287" i="1"/>
  <c r="B3288" i="1"/>
  <c r="B3289" i="1"/>
  <c r="B3290" i="1"/>
  <c r="B3291" i="1"/>
  <c r="B3292" i="1"/>
  <c r="B3293" i="1"/>
  <c r="B3294" i="1"/>
  <c r="B3295" i="1"/>
  <c r="B3296" i="1"/>
  <c r="B3297" i="1"/>
  <c r="B3298" i="1"/>
  <c r="B3299" i="1"/>
  <c r="B3300" i="1"/>
  <c r="B3301" i="1"/>
  <c r="B3302" i="1"/>
  <c r="B3303" i="1"/>
  <c r="B3304" i="1"/>
  <c r="B3305" i="1"/>
  <c r="B3306" i="1"/>
  <c r="B3307" i="1"/>
  <c r="B3308" i="1"/>
  <c r="B3309" i="1"/>
  <c r="B3310" i="1"/>
  <c r="B3311" i="1"/>
  <c r="B3312" i="1"/>
  <c r="B3313" i="1"/>
  <c r="B3314" i="1"/>
  <c r="B3315" i="1"/>
  <c r="B3316" i="1"/>
  <c r="B3317" i="1"/>
  <c r="B3318" i="1"/>
  <c r="B3319" i="1"/>
  <c r="B3320" i="1"/>
  <c r="B3321" i="1"/>
  <c r="B3322" i="1"/>
  <c r="B3323" i="1"/>
  <c r="B3324" i="1"/>
  <c r="B3325" i="1"/>
  <c r="B3326" i="1"/>
  <c r="B3327" i="1"/>
  <c r="B3328" i="1"/>
  <c r="B3329" i="1"/>
  <c r="B3330" i="1"/>
  <c r="B3331" i="1"/>
  <c r="B3332" i="1"/>
  <c r="B3333" i="1"/>
  <c r="B3334" i="1"/>
  <c r="B3335" i="1"/>
  <c r="B3336" i="1"/>
  <c r="B3337" i="1"/>
  <c r="B3338" i="1"/>
  <c r="B3339" i="1"/>
  <c r="B3340" i="1"/>
  <c r="B3341" i="1"/>
  <c r="B3342" i="1"/>
  <c r="B3343" i="1"/>
  <c r="B3344" i="1"/>
  <c r="B3345" i="1"/>
  <c r="B3346" i="1"/>
  <c r="B3347" i="1"/>
  <c r="B3348" i="1"/>
  <c r="B3349" i="1"/>
  <c r="B3350" i="1"/>
  <c r="B3351" i="1"/>
  <c r="B3352" i="1"/>
  <c r="B3353" i="1"/>
  <c r="B3354" i="1"/>
  <c r="B3355" i="1"/>
  <c r="B3356" i="1"/>
  <c r="B3357" i="1"/>
  <c r="B3358" i="1"/>
  <c r="B3359" i="1"/>
  <c r="B3360" i="1"/>
  <c r="B3361" i="1"/>
  <c r="B3362" i="1"/>
  <c r="B3363" i="1"/>
  <c r="B3364" i="1"/>
  <c r="B3365" i="1"/>
  <c r="B3366" i="1"/>
  <c r="B3367" i="1"/>
  <c r="B3368" i="1"/>
  <c r="B3369" i="1"/>
  <c r="B3370" i="1"/>
  <c r="B3371" i="1"/>
  <c r="B3372" i="1"/>
  <c r="B3373" i="1"/>
  <c r="B3374" i="1"/>
  <c r="B3375" i="1"/>
  <c r="B3376" i="1"/>
  <c r="B3377" i="1"/>
  <c r="B3378" i="1"/>
  <c r="B3379" i="1"/>
  <c r="B3380" i="1"/>
  <c r="B3381" i="1"/>
  <c r="B3382" i="1"/>
  <c r="B3383" i="1"/>
  <c r="B3384" i="1"/>
  <c r="B3385" i="1"/>
  <c r="B3386" i="1"/>
  <c r="B3387" i="1"/>
  <c r="B3388" i="1"/>
  <c r="B3389" i="1"/>
  <c r="B3390" i="1"/>
  <c r="B3391" i="1"/>
  <c r="B3392" i="1"/>
  <c r="B3393" i="1"/>
  <c r="B3394" i="1"/>
  <c r="B3395" i="1"/>
  <c r="B3396" i="1"/>
  <c r="B3397" i="1"/>
  <c r="B3398" i="1"/>
  <c r="B3399" i="1"/>
  <c r="B3400" i="1"/>
  <c r="B3401" i="1"/>
  <c r="B3402" i="1"/>
  <c r="B3403" i="1"/>
  <c r="B3404" i="1"/>
  <c r="B3405" i="1"/>
  <c r="B3406" i="1"/>
  <c r="B3407" i="1"/>
  <c r="B3408" i="1"/>
  <c r="B3409" i="1"/>
  <c r="B3410" i="1"/>
  <c r="B3411" i="1"/>
  <c r="B3412" i="1"/>
  <c r="B3413" i="1"/>
  <c r="B3414" i="1"/>
  <c r="B3415" i="1"/>
  <c r="B3416" i="1"/>
  <c r="B3417" i="1"/>
  <c r="B3418" i="1"/>
  <c r="B3419" i="1"/>
  <c r="B3420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K3243" i="1"/>
  <c r="K3244" i="1"/>
  <c r="K3245" i="1"/>
  <c r="K3246" i="1"/>
  <c r="K3247" i="1"/>
  <c r="K3248" i="1"/>
  <c r="K3249" i="1"/>
  <c r="K3250" i="1"/>
  <c r="K3251" i="1"/>
  <c r="K3252" i="1"/>
  <c r="K3253" i="1"/>
  <c r="K3254" i="1"/>
  <c r="K3255" i="1"/>
  <c r="K3256" i="1"/>
  <c r="K3257" i="1"/>
  <c r="K3258" i="1"/>
  <c r="K3259" i="1"/>
  <c r="K3260" i="1"/>
  <c r="K3261" i="1"/>
  <c r="K3262" i="1"/>
  <c r="K3263" i="1"/>
  <c r="K3264" i="1"/>
  <c r="K3265" i="1"/>
  <c r="K3266" i="1"/>
  <c r="K3267" i="1"/>
  <c r="K3268" i="1"/>
  <c r="K3269" i="1"/>
  <c r="K3270" i="1"/>
  <c r="K3271" i="1"/>
  <c r="K3272" i="1"/>
  <c r="K3273" i="1"/>
  <c r="K3274" i="1"/>
  <c r="K3275" i="1"/>
  <c r="K3276" i="1"/>
  <c r="K3277" i="1"/>
  <c r="K3278" i="1"/>
  <c r="K3279" i="1"/>
  <c r="K3280" i="1"/>
  <c r="K3281" i="1"/>
  <c r="K3282" i="1"/>
  <c r="K3283" i="1"/>
  <c r="K3284" i="1"/>
  <c r="K3285" i="1"/>
  <c r="K3286" i="1"/>
  <c r="K3287" i="1"/>
  <c r="K3288" i="1"/>
  <c r="K3289" i="1"/>
  <c r="K3290" i="1"/>
  <c r="K3291" i="1"/>
  <c r="K3292" i="1"/>
  <c r="K3293" i="1"/>
  <c r="K3294" i="1"/>
  <c r="K3295" i="1"/>
  <c r="K3296" i="1"/>
  <c r="K3297" i="1"/>
  <c r="K3298" i="1"/>
  <c r="K3299" i="1"/>
  <c r="K3300" i="1"/>
  <c r="K3301" i="1"/>
  <c r="K3302" i="1"/>
  <c r="K3303" i="1"/>
  <c r="K3304" i="1"/>
  <c r="K3305" i="1"/>
  <c r="K3306" i="1"/>
  <c r="K3307" i="1"/>
  <c r="K3308" i="1"/>
  <c r="K3309" i="1"/>
  <c r="K3310" i="1"/>
  <c r="K3311" i="1"/>
  <c r="K3312" i="1"/>
  <c r="K3313" i="1"/>
  <c r="K3314" i="1"/>
  <c r="K3315" i="1"/>
  <c r="K3316" i="1"/>
  <c r="K3317" i="1"/>
  <c r="K3318" i="1"/>
  <c r="K3319" i="1"/>
  <c r="K3320" i="1"/>
  <c r="K3321" i="1"/>
  <c r="K3322" i="1"/>
  <c r="K3323" i="1"/>
  <c r="K3324" i="1"/>
  <c r="K3325" i="1"/>
  <c r="K3326" i="1"/>
  <c r="K3327" i="1"/>
  <c r="K3328" i="1"/>
  <c r="K3329" i="1"/>
  <c r="K3330" i="1"/>
  <c r="K3331" i="1"/>
  <c r="K3332" i="1"/>
  <c r="K3333" i="1"/>
  <c r="K3334" i="1"/>
  <c r="K3335" i="1"/>
  <c r="K3336" i="1"/>
  <c r="K3337" i="1"/>
  <c r="K3338" i="1"/>
  <c r="K3339" i="1"/>
  <c r="K3340" i="1"/>
  <c r="K3341" i="1"/>
  <c r="K3342" i="1"/>
  <c r="K3343" i="1"/>
  <c r="K3344" i="1"/>
  <c r="K3345" i="1"/>
  <c r="K3346" i="1"/>
  <c r="K3347" i="1"/>
  <c r="K3348" i="1"/>
  <c r="K3349" i="1"/>
  <c r="K3350" i="1"/>
  <c r="K3351" i="1"/>
  <c r="K3352" i="1"/>
  <c r="K3353" i="1"/>
  <c r="K3354" i="1"/>
  <c r="K3355" i="1"/>
  <c r="K3356" i="1"/>
  <c r="K3357" i="1"/>
  <c r="K3358" i="1"/>
  <c r="K3359" i="1"/>
  <c r="K3360" i="1"/>
  <c r="K3361" i="1"/>
  <c r="K3362" i="1"/>
  <c r="K3363" i="1"/>
  <c r="K3364" i="1"/>
  <c r="K3365" i="1"/>
  <c r="K3366" i="1"/>
  <c r="K3367" i="1"/>
  <c r="K3368" i="1"/>
  <c r="K3369" i="1"/>
  <c r="K3370" i="1"/>
  <c r="K3371" i="1"/>
  <c r="K3372" i="1"/>
  <c r="K3373" i="1"/>
  <c r="K3374" i="1"/>
  <c r="K3375" i="1"/>
  <c r="K3376" i="1"/>
  <c r="K3377" i="1"/>
  <c r="K3378" i="1"/>
  <c r="K3379" i="1"/>
  <c r="K3380" i="1"/>
  <c r="K3381" i="1"/>
  <c r="K3382" i="1"/>
  <c r="K3383" i="1"/>
  <c r="K3384" i="1"/>
  <c r="K3385" i="1"/>
  <c r="K3386" i="1"/>
  <c r="K3387" i="1"/>
  <c r="K3388" i="1"/>
  <c r="K3389" i="1"/>
  <c r="K3390" i="1"/>
  <c r="K3391" i="1"/>
  <c r="K3392" i="1"/>
  <c r="K3393" i="1"/>
  <c r="K3394" i="1"/>
  <c r="K3395" i="1"/>
  <c r="K3396" i="1"/>
  <c r="K3397" i="1"/>
  <c r="K3398" i="1"/>
  <c r="K3399" i="1"/>
  <c r="K3400" i="1"/>
  <c r="K3401" i="1"/>
  <c r="K3402" i="1"/>
  <c r="K3403" i="1"/>
  <c r="K3404" i="1"/>
  <c r="K3405" i="1"/>
  <c r="K3406" i="1"/>
  <c r="K3407" i="1"/>
  <c r="K3408" i="1"/>
  <c r="K3409" i="1"/>
  <c r="K3410" i="1"/>
  <c r="K3411" i="1"/>
  <c r="K3412" i="1"/>
  <c r="K3413" i="1"/>
  <c r="K3414" i="1"/>
  <c r="K3415" i="1"/>
  <c r="K3416" i="1"/>
  <c r="K3417" i="1"/>
  <c r="K3418" i="1"/>
  <c r="K3419" i="1"/>
  <c r="K3420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B3232" i="1" l="1"/>
  <c r="B3233" i="1"/>
  <c r="B3234" i="1"/>
  <c r="B3235" i="1"/>
  <c r="B3236" i="1"/>
  <c r="B3237" i="1"/>
  <c r="B3238" i="1"/>
  <c r="B3239" i="1"/>
  <c r="B3240" i="1"/>
  <c r="B3241" i="1"/>
  <c r="B3242" i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K3232" i="1"/>
  <c r="K3233" i="1"/>
  <c r="K3234" i="1"/>
  <c r="K3235" i="1"/>
  <c r="K3236" i="1"/>
  <c r="K3237" i="1"/>
  <c r="K3238" i="1"/>
  <c r="K3239" i="1"/>
  <c r="K3240" i="1"/>
  <c r="K3241" i="1"/>
  <c r="K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B2937" i="1"/>
  <c r="B2938" i="1"/>
  <c r="B2939" i="1"/>
  <c r="B2940" i="1"/>
  <c r="B2941" i="1"/>
  <c r="B2942" i="1"/>
  <c r="B2943" i="1"/>
  <c r="B2944" i="1"/>
  <c r="B2945" i="1"/>
  <c r="B2946" i="1"/>
  <c r="B2947" i="1"/>
  <c r="B2948" i="1"/>
  <c r="B2949" i="1"/>
  <c r="B2950" i="1"/>
  <c r="B2951" i="1"/>
  <c r="B2952" i="1"/>
  <c r="B2953" i="1"/>
  <c r="B2954" i="1"/>
  <c r="B2955" i="1"/>
  <c r="B2956" i="1"/>
  <c r="B2957" i="1"/>
  <c r="B2958" i="1"/>
  <c r="B2959" i="1"/>
  <c r="B2960" i="1"/>
  <c r="B2961" i="1"/>
  <c r="B2962" i="1"/>
  <c r="B2963" i="1"/>
  <c r="B2964" i="1"/>
  <c r="B2965" i="1"/>
  <c r="B2966" i="1"/>
  <c r="B2967" i="1"/>
  <c r="B2968" i="1"/>
  <c r="B2969" i="1"/>
  <c r="B2970" i="1"/>
  <c r="B2971" i="1"/>
  <c r="B2972" i="1"/>
  <c r="B2973" i="1"/>
  <c r="B2974" i="1"/>
  <c r="B2975" i="1"/>
  <c r="B2976" i="1"/>
  <c r="B2977" i="1"/>
  <c r="B2978" i="1"/>
  <c r="B2979" i="1"/>
  <c r="B2980" i="1"/>
  <c r="B2981" i="1"/>
  <c r="B2982" i="1"/>
  <c r="B2983" i="1"/>
  <c r="B2984" i="1"/>
  <c r="B2985" i="1"/>
  <c r="B2986" i="1"/>
  <c r="B2987" i="1"/>
  <c r="B2988" i="1"/>
  <c r="B2989" i="1"/>
  <c r="B2990" i="1"/>
  <c r="B2991" i="1"/>
  <c r="B2992" i="1"/>
  <c r="B2993" i="1"/>
  <c r="B2994" i="1"/>
  <c r="B2995" i="1"/>
  <c r="B2996" i="1"/>
  <c r="B2997" i="1"/>
  <c r="B2998" i="1"/>
  <c r="B2999" i="1"/>
  <c r="B3000" i="1"/>
  <c r="B3001" i="1"/>
  <c r="B3002" i="1"/>
  <c r="B3003" i="1"/>
  <c r="B3004" i="1"/>
  <c r="B3005" i="1"/>
  <c r="B3006" i="1"/>
  <c r="B3007" i="1"/>
  <c r="B3008" i="1"/>
  <c r="B3009" i="1"/>
  <c r="B3010" i="1"/>
  <c r="B3011" i="1"/>
  <c r="B3012" i="1"/>
  <c r="B3013" i="1"/>
  <c r="B3014" i="1"/>
  <c r="B3015" i="1"/>
  <c r="B3016" i="1"/>
  <c r="B3017" i="1"/>
  <c r="B3018" i="1"/>
  <c r="B3019" i="1"/>
  <c r="B3020" i="1"/>
  <c r="B3021" i="1"/>
  <c r="B3022" i="1"/>
  <c r="B3023" i="1"/>
  <c r="B3024" i="1"/>
  <c r="B3025" i="1"/>
  <c r="B3026" i="1"/>
  <c r="B3027" i="1"/>
  <c r="B3028" i="1"/>
  <c r="B3029" i="1"/>
  <c r="B3030" i="1"/>
  <c r="B3031" i="1"/>
  <c r="B3032" i="1"/>
  <c r="B3033" i="1"/>
  <c r="B3034" i="1"/>
  <c r="B3035" i="1"/>
  <c r="B3036" i="1"/>
  <c r="B3037" i="1"/>
  <c r="B3038" i="1"/>
  <c r="B3039" i="1"/>
  <c r="B3040" i="1"/>
  <c r="B3041" i="1"/>
  <c r="B3042" i="1"/>
  <c r="B3043" i="1"/>
  <c r="B3044" i="1"/>
  <c r="B3045" i="1"/>
  <c r="B3046" i="1"/>
  <c r="B3047" i="1"/>
  <c r="B3048" i="1"/>
  <c r="B3049" i="1"/>
  <c r="B3050" i="1"/>
  <c r="B3051" i="1"/>
  <c r="B3052" i="1"/>
  <c r="B3053" i="1"/>
  <c r="B3054" i="1"/>
  <c r="B3055" i="1"/>
  <c r="B3056" i="1"/>
  <c r="B3057" i="1"/>
  <c r="B3058" i="1"/>
  <c r="B3059" i="1"/>
  <c r="B3060" i="1"/>
  <c r="B3061" i="1"/>
  <c r="B3062" i="1"/>
  <c r="B3063" i="1"/>
  <c r="B3064" i="1"/>
  <c r="B3065" i="1"/>
  <c r="B3066" i="1"/>
  <c r="B3067" i="1"/>
  <c r="B3068" i="1"/>
  <c r="B3069" i="1"/>
  <c r="B3070" i="1"/>
  <c r="B3071" i="1"/>
  <c r="B3072" i="1"/>
  <c r="B3073" i="1"/>
  <c r="B3074" i="1"/>
  <c r="B3075" i="1"/>
  <c r="B3076" i="1"/>
  <c r="B3077" i="1"/>
  <c r="B3078" i="1"/>
  <c r="B3079" i="1"/>
  <c r="B3080" i="1"/>
  <c r="B3081" i="1"/>
  <c r="B3082" i="1"/>
  <c r="B3083" i="1"/>
  <c r="B3084" i="1"/>
  <c r="B3085" i="1"/>
  <c r="B3086" i="1"/>
  <c r="B3087" i="1"/>
  <c r="B3088" i="1"/>
  <c r="B3089" i="1"/>
  <c r="B3090" i="1"/>
  <c r="B3091" i="1"/>
  <c r="B3092" i="1"/>
  <c r="B3093" i="1"/>
  <c r="B3094" i="1"/>
  <c r="B3095" i="1"/>
  <c r="B3096" i="1"/>
  <c r="B3097" i="1"/>
  <c r="B3098" i="1"/>
  <c r="B3099" i="1"/>
  <c r="B3100" i="1"/>
  <c r="B3101" i="1"/>
  <c r="B3102" i="1"/>
  <c r="B3103" i="1"/>
  <c r="B3104" i="1"/>
  <c r="B3105" i="1"/>
  <c r="B3106" i="1"/>
  <c r="B3107" i="1"/>
  <c r="B3108" i="1"/>
  <c r="B3109" i="1"/>
  <c r="B3110" i="1"/>
  <c r="B3111" i="1"/>
  <c r="B3112" i="1"/>
  <c r="B3113" i="1"/>
  <c r="B3114" i="1"/>
  <c r="B3115" i="1"/>
  <c r="B3116" i="1"/>
  <c r="B3117" i="1"/>
  <c r="B3118" i="1"/>
  <c r="B3119" i="1"/>
  <c r="B3120" i="1"/>
  <c r="B3121" i="1"/>
  <c r="B3122" i="1"/>
  <c r="B3123" i="1"/>
  <c r="B3124" i="1"/>
  <c r="B3125" i="1"/>
  <c r="B3126" i="1"/>
  <c r="B3127" i="1"/>
  <c r="B3128" i="1"/>
  <c r="B3129" i="1"/>
  <c r="B3130" i="1"/>
  <c r="B3131" i="1"/>
  <c r="B3132" i="1"/>
  <c r="B3133" i="1"/>
  <c r="B3134" i="1"/>
  <c r="B3135" i="1"/>
  <c r="B3136" i="1"/>
  <c r="B3137" i="1"/>
  <c r="B3138" i="1"/>
  <c r="B3139" i="1"/>
  <c r="B3140" i="1"/>
  <c r="B3141" i="1"/>
  <c r="B3142" i="1"/>
  <c r="B3143" i="1"/>
  <c r="B3144" i="1"/>
  <c r="B3145" i="1"/>
  <c r="B3146" i="1"/>
  <c r="B3147" i="1"/>
  <c r="B3148" i="1"/>
  <c r="B3149" i="1"/>
  <c r="B3150" i="1"/>
  <c r="B3151" i="1"/>
  <c r="B3152" i="1"/>
  <c r="B3153" i="1"/>
  <c r="B3154" i="1"/>
  <c r="B3155" i="1"/>
  <c r="B3156" i="1"/>
  <c r="B3157" i="1"/>
  <c r="B3158" i="1"/>
  <c r="B3159" i="1"/>
  <c r="B3160" i="1"/>
  <c r="B3161" i="1"/>
  <c r="B3162" i="1"/>
  <c r="B3163" i="1"/>
  <c r="B3164" i="1"/>
  <c r="B3165" i="1"/>
  <c r="B3166" i="1"/>
  <c r="B3167" i="1"/>
  <c r="B3168" i="1"/>
  <c r="B3169" i="1"/>
  <c r="B3170" i="1"/>
  <c r="B3171" i="1"/>
  <c r="B3172" i="1"/>
  <c r="B3173" i="1"/>
  <c r="B3174" i="1"/>
  <c r="B3175" i="1"/>
  <c r="B3176" i="1"/>
  <c r="B3177" i="1"/>
  <c r="B3178" i="1"/>
  <c r="B3179" i="1"/>
  <c r="B3180" i="1"/>
  <c r="B3181" i="1"/>
  <c r="B3182" i="1"/>
  <c r="B3183" i="1"/>
  <c r="B3184" i="1"/>
  <c r="B3185" i="1"/>
  <c r="B3186" i="1"/>
  <c r="B3187" i="1"/>
  <c r="B3188" i="1"/>
  <c r="B3189" i="1"/>
  <c r="B3190" i="1"/>
  <c r="B3191" i="1"/>
  <c r="B3192" i="1"/>
  <c r="B3193" i="1"/>
  <c r="B3194" i="1"/>
  <c r="B3195" i="1"/>
  <c r="B3196" i="1"/>
  <c r="B3197" i="1"/>
  <c r="B3198" i="1"/>
  <c r="B3199" i="1"/>
  <c r="B3200" i="1"/>
  <c r="B3201" i="1"/>
  <c r="B3202" i="1"/>
  <c r="B3203" i="1"/>
  <c r="B3204" i="1"/>
  <c r="B3205" i="1"/>
  <c r="B3206" i="1"/>
  <c r="B3207" i="1"/>
  <c r="B3208" i="1"/>
  <c r="B3209" i="1"/>
  <c r="B3210" i="1"/>
  <c r="B3211" i="1"/>
  <c r="B3212" i="1"/>
  <c r="B3213" i="1"/>
  <c r="B3214" i="1"/>
  <c r="B3215" i="1"/>
  <c r="B3216" i="1"/>
  <c r="B3217" i="1"/>
  <c r="B3218" i="1"/>
  <c r="B3219" i="1"/>
  <c r="B3220" i="1"/>
  <c r="B3221" i="1"/>
  <c r="B3222" i="1"/>
  <c r="B3223" i="1"/>
  <c r="B3224" i="1"/>
  <c r="B3225" i="1"/>
  <c r="B3226" i="1"/>
  <c r="B3227" i="1"/>
  <c r="B3228" i="1"/>
  <c r="B3229" i="1"/>
  <c r="B3230" i="1"/>
  <c r="B323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K2937" i="1"/>
  <c r="K2938" i="1"/>
  <c r="K2939" i="1"/>
  <c r="K2940" i="1"/>
  <c r="K2941" i="1"/>
  <c r="K2942" i="1"/>
  <c r="K2943" i="1"/>
  <c r="K2944" i="1"/>
  <c r="K2945" i="1"/>
  <c r="K2946" i="1"/>
  <c r="K2947" i="1"/>
  <c r="K2948" i="1"/>
  <c r="K2949" i="1"/>
  <c r="K2950" i="1"/>
  <c r="K2951" i="1"/>
  <c r="K2952" i="1"/>
  <c r="K2953" i="1"/>
  <c r="K2954" i="1"/>
  <c r="K2955" i="1"/>
  <c r="K2956" i="1"/>
  <c r="K2957" i="1"/>
  <c r="K2958" i="1"/>
  <c r="K2959" i="1"/>
  <c r="K2960" i="1"/>
  <c r="K2961" i="1"/>
  <c r="K2962" i="1"/>
  <c r="K2963" i="1"/>
  <c r="K2964" i="1"/>
  <c r="K2965" i="1"/>
  <c r="K2966" i="1"/>
  <c r="K2967" i="1"/>
  <c r="K2968" i="1"/>
  <c r="K2969" i="1"/>
  <c r="K2970" i="1"/>
  <c r="K2971" i="1"/>
  <c r="K2972" i="1"/>
  <c r="K2973" i="1"/>
  <c r="K2974" i="1"/>
  <c r="K2975" i="1"/>
  <c r="K2976" i="1"/>
  <c r="K2977" i="1"/>
  <c r="K2978" i="1"/>
  <c r="K2979" i="1"/>
  <c r="K2980" i="1"/>
  <c r="K2981" i="1"/>
  <c r="K2982" i="1"/>
  <c r="K2983" i="1"/>
  <c r="K2984" i="1"/>
  <c r="K2985" i="1"/>
  <c r="K2986" i="1"/>
  <c r="K2987" i="1"/>
  <c r="K2988" i="1"/>
  <c r="K2989" i="1"/>
  <c r="K2990" i="1"/>
  <c r="K2991" i="1"/>
  <c r="K2992" i="1"/>
  <c r="K2993" i="1"/>
  <c r="K2994" i="1"/>
  <c r="K2995" i="1"/>
  <c r="K2996" i="1"/>
  <c r="K2997" i="1"/>
  <c r="K2998" i="1"/>
  <c r="K2999" i="1"/>
  <c r="K3000" i="1"/>
  <c r="K3001" i="1"/>
  <c r="K3002" i="1"/>
  <c r="K3003" i="1"/>
  <c r="K3004" i="1"/>
  <c r="K3005" i="1"/>
  <c r="K3006" i="1"/>
  <c r="K3007" i="1"/>
  <c r="K3008" i="1"/>
  <c r="K3009" i="1"/>
  <c r="K3010" i="1"/>
  <c r="K3011" i="1"/>
  <c r="K3012" i="1"/>
  <c r="K3013" i="1"/>
  <c r="K3014" i="1"/>
  <c r="K3015" i="1"/>
  <c r="K3016" i="1"/>
  <c r="K3017" i="1"/>
  <c r="K3018" i="1"/>
  <c r="K3019" i="1"/>
  <c r="K3020" i="1"/>
  <c r="K3021" i="1"/>
  <c r="K3022" i="1"/>
  <c r="K3023" i="1"/>
  <c r="K3024" i="1"/>
  <c r="K3025" i="1"/>
  <c r="K3026" i="1"/>
  <c r="K3027" i="1"/>
  <c r="K3028" i="1"/>
  <c r="K3029" i="1"/>
  <c r="K3030" i="1"/>
  <c r="K3031" i="1"/>
  <c r="K3032" i="1"/>
  <c r="K3033" i="1"/>
  <c r="K3034" i="1"/>
  <c r="K3035" i="1"/>
  <c r="K3036" i="1"/>
  <c r="K3037" i="1"/>
  <c r="K3038" i="1"/>
  <c r="K3039" i="1"/>
  <c r="K3040" i="1"/>
  <c r="K3041" i="1"/>
  <c r="K3042" i="1"/>
  <c r="K3043" i="1"/>
  <c r="K3044" i="1"/>
  <c r="K3045" i="1"/>
  <c r="K3046" i="1"/>
  <c r="K3047" i="1"/>
  <c r="K3048" i="1"/>
  <c r="K3049" i="1"/>
  <c r="K3050" i="1"/>
  <c r="K3051" i="1"/>
  <c r="K3052" i="1"/>
  <c r="K3053" i="1"/>
  <c r="K3054" i="1"/>
  <c r="K3055" i="1"/>
  <c r="K3056" i="1"/>
  <c r="K3057" i="1"/>
  <c r="K3058" i="1"/>
  <c r="K3059" i="1"/>
  <c r="K3060" i="1"/>
  <c r="K3061" i="1"/>
  <c r="K3062" i="1"/>
  <c r="K3063" i="1"/>
  <c r="K3064" i="1"/>
  <c r="K3065" i="1"/>
  <c r="K3066" i="1"/>
  <c r="K3067" i="1"/>
  <c r="K3068" i="1"/>
  <c r="K3069" i="1"/>
  <c r="K3070" i="1"/>
  <c r="K3071" i="1"/>
  <c r="K3072" i="1"/>
  <c r="K3073" i="1"/>
  <c r="K3074" i="1"/>
  <c r="K3075" i="1"/>
  <c r="K3076" i="1"/>
  <c r="K3077" i="1"/>
  <c r="K3078" i="1"/>
  <c r="K3079" i="1"/>
  <c r="K3080" i="1"/>
  <c r="K3081" i="1"/>
  <c r="K3082" i="1"/>
  <c r="K3083" i="1"/>
  <c r="K3084" i="1"/>
  <c r="K3085" i="1"/>
  <c r="K3086" i="1"/>
  <c r="K3087" i="1"/>
  <c r="K3088" i="1"/>
  <c r="K3089" i="1"/>
  <c r="K3090" i="1"/>
  <c r="K3091" i="1"/>
  <c r="K3092" i="1"/>
  <c r="K3093" i="1"/>
  <c r="K3094" i="1"/>
  <c r="K3095" i="1"/>
  <c r="K3096" i="1"/>
  <c r="K3097" i="1"/>
  <c r="K3098" i="1"/>
  <c r="K3099" i="1"/>
  <c r="K3100" i="1"/>
  <c r="K3101" i="1"/>
  <c r="K3102" i="1"/>
  <c r="K3103" i="1"/>
  <c r="K3104" i="1"/>
  <c r="K3105" i="1"/>
  <c r="K3106" i="1"/>
  <c r="K3107" i="1"/>
  <c r="K3108" i="1"/>
  <c r="K3109" i="1"/>
  <c r="K3110" i="1"/>
  <c r="K3111" i="1"/>
  <c r="K3112" i="1"/>
  <c r="K3113" i="1"/>
  <c r="K3114" i="1"/>
  <c r="K3115" i="1"/>
  <c r="K3116" i="1"/>
  <c r="K3117" i="1"/>
  <c r="K3118" i="1"/>
  <c r="K3119" i="1"/>
  <c r="K3120" i="1"/>
  <c r="K3121" i="1"/>
  <c r="K3122" i="1"/>
  <c r="K3123" i="1"/>
  <c r="K3124" i="1"/>
  <c r="K3125" i="1"/>
  <c r="K3126" i="1"/>
  <c r="K3127" i="1"/>
  <c r="K3128" i="1"/>
  <c r="K3129" i="1"/>
  <c r="K3130" i="1"/>
  <c r="K3131" i="1"/>
  <c r="K3132" i="1"/>
  <c r="K3133" i="1"/>
  <c r="K3134" i="1"/>
  <c r="K3135" i="1"/>
  <c r="K3136" i="1"/>
  <c r="K3137" i="1"/>
  <c r="K3138" i="1"/>
  <c r="K3139" i="1"/>
  <c r="K3140" i="1"/>
  <c r="K3141" i="1"/>
  <c r="K3142" i="1"/>
  <c r="K3143" i="1"/>
  <c r="K3144" i="1"/>
  <c r="K3145" i="1"/>
  <c r="K3146" i="1"/>
  <c r="K3147" i="1"/>
  <c r="K3148" i="1"/>
  <c r="K3149" i="1"/>
  <c r="K3150" i="1"/>
  <c r="K3151" i="1"/>
  <c r="K3152" i="1"/>
  <c r="K3153" i="1"/>
  <c r="K3154" i="1"/>
  <c r="K3155" i="1"/>
  <c r="K3156" i="1"/>
  <c r="K3157" i="1"/>
  <c r="K3158" i="1"/>
  <c r="K3159" i="1"/>
  <c r="K3160" i="1"/>
  <c r="K3161" i="1"/>
  <c r="K3162" i="1"/>
  <c r="K3163" i="1"/>
  <c r="K3164" i="1"/>
  <c r="K3165" i="1"/>
  <c r="K3166" i="1"/>
  <c r="K3167" i="1"/>
  <c r="K3168" i="1"/>
  <c r="K3169" i="1"/>
  <c r="K3170" i="1"/>
  <c r="K3171" i="1"/>
  <c r="K3172" i="1"/>
  <c r="K3173" i="1"/>
  <c r="K3174" i="1"/>
  <c r="K3175" i="1"/>
  <c r="K3176" i="1"/>
  <c r="K3177" i="1"/>
  <c r="K3178" i="1"/>
  <c r="K3179" i="1"/>
  <c r="K3180" i="1"/>
  <c r="K3181" i="1"/>
  <c r="K3182" i="1"/>
  <c r="K3183" i="1"/>
  <c r="K3184" i="1"/>
  <c r="K3185" i="1"/>
  <c r="K3186" i="1"/>
  <c r="K3187" i="1"/>
  <c r="K3188" i="1"/>
  <c r="K3189" i="1"/>
  <c r="K3190" i="1"/>
  <c r="K3191" i="1"/>
  <c r="K3192" i="1"/>
  <c r="K3193" i="1"/>
  <c r="K3194" i="1"/>
  <c r="K3195" i="1"/>
  <c r="K3196" i="1"/>
  <c r="K3197" i="1"/>
  <c r="K3198" i="1"/>
  <c r="K3199" i="1"/>
  <c r="K3200" i="1"/>
  <c r="K3201" i="1"/>
  <c r="K3202" i="1"/>
  <c r="K3203" i="1"/>
  <c r="K3204" i="1"/>
  <c r="K3205" i="1"/>
  <c r="K3206" i="1"/>
  <c r="K3207" i="1"/>
  <c r="K3208" i="1"/>
  <c r="K3209" i="1"/>
  <c r="K3210" i="1"/>
  <c r="K3211" i="1"/>
  <c r="K3212" i="1"/>
  <c r="K3213" i="1"/>
  <c r="K3214" i="1"/>
  <c r="K3215" i="1"/>
  <c r="K3216" i="1"/>
  <c r="K3217" i="1"/>
  <c r="K3218" i="1"/>
  <c r="K3219" i="1"/>
  <c r="K3220" i="1"/>
  <c r="K3221" i="1"/>
  <c r="K3222" i="1"/>
  <c r="K3223" i="1"/>
  <c r="K3224" i="1"/>
  <c r="K3225" i="1"/>
  <c r="K3226" i="1"/>
  <c r="K3227" i="1"/>
  <c r="K3228" i="1"/>
  <c r="K3229" i="1"/>
  <c r="K3230" i="1"/>
  <c r="K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B2920" i="1"/>
  <c r="B2921" i="1"/>
  <c r="B2922" i="1"/>
  <c r="B2923" i="1"/>
  <c r="B2924" i="1"/>
  <c r="B2925" i="1"/>
  <c r="B2926" i="1"/>
  <c r="B2927" i="1"/>
  <c r="B2928" i="1"/>
  <c r="B2929" i="1"/>
  <c r="B2930" i="1"/>
  <c r="B2931" i="1"/>
  <c r="B2932" i="1"/>
  <c r="B2933" i="1"/>
  <c r="B2934" i="1"/>
  <c r="B2935" i="1"/>
  <c r="B2936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K2920" i="1"/>
  <c r="K2921" i="1"/>
  <c r="K2922" i="1"/>
  <c r="K2923" i="1"/>
  <c r="K2924" i="1"/>
  <c r="K2925" i="1"/>
  <c r="K2926" i="1"/>
  <c r="K2927" i="1"/>
  <c r="K2928" i="1"/>
  <c r="K2929" i="1"/>
  <c r="K2930" i="1"/>
  <c r="K2931" i="1"/>
  <c r="K2932" i="1"/>
  <c r="K2933" i="1"/>
  <c r="K2934" i="1"/>
  <c r="K2935" i="1"/>
  <c r="K2936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B2919" i="1"/>
  <c r="H2919" i="1"/>
  <c r="J2919" i="1"/>
  <c r="K2919" i="1"/>
  <c r="Q2919" i="1"/>
  <c r="P2919" i="1" s="1"/>
  <c r="B2912" i="1" l="1"/>
  <c r="B2913" i="1"/>
  <c r="B2914" i="1"/>
  <c r="B2915" i="1"/>
  <c r="B2916" i="1"/>
  <c r="B2917" i="1"/>
  <c r="B2918" i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K2912" i="1"/>
  <c r="K2913" i="1"/>
  <c r="K2914" i="1"/>
  <c r="K2915" i="1"/>
  <c r="K2916" i="1"/>
  <c r="K2917" i="1"/>
  <c r="K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B2911" i="1"/>
  <c r="H2911" i="1"/>
  <c r="J2911" i="1"/>
  <c r="K2911" i="1"/>
  <c r="Q2911" i="1"/>
  <c r="P2911" i="1" s="1"/>
  <c r="B2908" i="1"/>
  <c r="B2909" i="1"/>
  <c r="B2910" i="1"/>
  <c r="H2908" i="1"/>
  <c r="H2909" i="1"/>
  <c r="H2910" i="1"/>
  <c r="J2908" i="1"/>
  <c r="J2909" i="1"/>
  <c r="J2910" i="1"/>
  <c r="K2908" i="1"/>
  <c r="K2909" i="1"/>
  <c r="K2910" i="1"/>
  <c r="Q2908" i="1"/>
  <c r="P2908" i="1" s="1"/>
  <c r="Q2909" i="1"/>
  <c r="P2909" i="1" s="1"/>
  <c r="Q2910" i="1"/>
  <c r="P2910" i="1" s="1"/>
  <c r="B2907" i="1"/>
  <c r="H2907" i="1"/>
  <c r="J2907" i="1"/>
  <c r="K2907" i="1"/>
  <c r="Q2907" i="1"/>
  <c r="P2907" i="1" s="1"/>
  <c r="B2906" i="1"/>
  <c r="H2906" i="1"/>
  <c r="J2906" i="1"/>
  <c r="K2906" i="1"/>
  <c r="Q2906" i="1"/>
  <c r="P2906" i="1" s="1"/>
  <c r="B2905" i="1"/>
  <c r="H2905" i="1"/>
  <c r="K2905" i="1"/>
  <c r="Q2905" i="1"/>
  <c r="P2905" i="1" s="1"/>
  <c r="B2903" i="1"/>
  <c r="B2904" i="1"/>
  <c r="H2903" i="1"/>
  <c r="H2904" i="1"/>
  <c r="J2904" i="1"/>
  <c r="K2903" i="1"/>
  <c r="K2904" i="1"/>
  <c r="Q2903" i="1"/>
  <c r="P2903" i="1" s="1"/>
  <c r="Q2904" i="1"/>
  <c r="P2904" i="1" s="1"/>
  <c r="B2902" i="1"/>
  <c r="H2902" i="1"/>
  <c r="J2902" i="1"/>
  <c r="K2902" i="1"/>
  <c r="Q2902" i="1"/>
  <c r="P2902" i="1" s="1"/>
  <c r="B2900" i="1"/>
  <c r="B2901" i="1"/>
  <c r="H2900" i="1"/>
  <c r="H2901" i="1"/>
  <c r="J2900" i="1"/>
  <c r="J2901" i="1"/>
  <c r="K2900" i="1"/>
  <c r="K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B2898" i="1"/>
  <c r="B2899" i="1"/>
  <c r="H2898" i="1"/>
  <c r="H2899" i="1"/>
  <c r="J2898" i="1"/>
  <c r="J2899" i="1"/>
  <c r="K2898" i="1"/>
  <c r="K2899" i="1"/>
  <c r="Q2898" i="1"/>
  <c r="P2898" i="1" s="1"/>
  <c r="Q2899" i="1"/>
  <c r="P2899" i="1" s="1"/>
  <c r="B2897" i="1"/>
  <c r="H2897" i="1"/>
  <c r="J2897" i="1"/>
  <c r="K2897" i="1"/>
  <c r="Q2897" i="1"/>
  <c r="P2897" i="1" s="1"/>
  <c r="B2890" i="1"/>
  <c r="B2891" i="1"/>
  <c r="B2892" i="1"/>
  <c r="B2893" i="1"/>
  <c r="B2894" i="1"/>
  <c r="B2895" i="1"/>
  <c r="B2896" i="1"/>
  <c r="H2890" i="1"/>
  <c r="H2891" i="1"/>
  <c r="H2892" i="1"/>
  <c r="H2893" i="1"/>
  <c r="H2894" i="1"/>
  <c r="H2895" i="1"/>
  <c r="H2896" i="1"/>
  <c r="J2890" i="1"/>
  <c r="K2890" i="1"/>
  <c r="K2891" i="1"/>
  <c r="K2892" i="1"/>
  <c r="K2893" i="1"/>
  <c r="K2894" i="1"/>
  <c r="K2895" i="1"/>
  <c r="K2896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B2873" i="1"/>
  <c r="B2874" i="1"/>
  <c r="B2875" i="1"/>
  <c r="B2876" i="1"/>
  <c r="B2877" i="1"/>
  <c r="B2878" i="1"/>
  <c r="B2879" i="1"/>
  <c r="B2880" i="1"/>
  <c r="B2881" i="1"/>
  <c r="B2882" i="1"/>
  <c r="B2883" i="1"/>
  <c r="B2884" i="1"/>
  <c r="B2885" i="1"/>
  <c r="B2886" i="1"/>
  <c r="B2887" i="1"/>
  <c r="B2888" i="1"/>
  <c r="B2889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K2873" i="1"/>
  <c r="K2874" i="1"/>
  <c r="K2875" i="1"/>
  <c r="K2876" i="1"/>
  <c r="K2877" i="1"/>
  <c r="K2878" i="1"/>
  <c r="K2879" i="1"/>
  <c r="K2880" i="1"/>
  <c r="K2881" i="1"/>
  <c r="K2882" i="1"/>
  <c r="K2883" i="1"/>
  <c r="K2884" i="1"/>
  <c r="K2885" i="1"/>
  <c r="K2886" i="1"/>
  <c r="K2887" i="1"/>
  <c r="K2888" i="1"/>
  <c r="K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B2872" i="1"/>
  <c r="H2872" i="1"/>
  <c r="K2872" i="1"/>
  <c r="Q2872" i="1"/>
  <c r="P2872" i="1" s="1"/>
  <c r="J2870" i="1"/>
  <c r="J2869" i="1"/>
  <c r="J2868" i="1"/>
  <c r="J2867" i="1"/>
  <c r="J2866" i="1"/>
  <c r="J2863" i="1"/>
  <c r="J2860" i="1"/>
  <c r="B2871" i="1"/>
  <c r="H2871" i="1"/>
  <c r="K2871" i="1"/>
  <c r="Q2871" i="1"/>
  <c r="P2871" i="1" s="1"/>
  <c r="J2861" i="1"/>
  <c r="J2865" i="1"/>
  <c r="B2870" i="1"/>
  <c r="H2870" i="1"/>
  <c r="K2870" i="1"/>
  <c r="Q2870" i="1"/>
  <c r="P2870" i="1" s="1"/>
  <c r="B2869" i="1"/>
  <c r="H2869" i="1"/>
  <c r="K2869" i="1"/>
  <c r="Q2869" i="1"/>
  <c r="P2869" i="1" s="1"/>
  <c r="B2868" i="1"/>
  <c r="H2868" i="1"/>
  <c r="K2868" i="1"/>
  <c r="Q2868" i="1"/>
  <c r="P2868" i="1" s="1"/>
  <c r="B2864" i="1"/>
  <c r="B2865" i="1"/>
  <c r="B2866" i="1"/>
  <c r="B2867" i="1"/>
  <c r="H2864" i="1"/>
  <c r="H2865" i="1"/>
  <c r="H2866" i="1"/>
  <c r="H2867" i="1"/>
  <c r="K2864" i="1"/>
  <c r="K2865" i="1"/>
  <c r="K2866" i="1"/>
  <c r="K2867" i="1"/>
  <c r="Q2864" i="1"/>
  <c r="P2864" i="1" s="1"/>
  <c r="Q2865" i="1"/>
  <c r="P2865" i="1" s="1"/>
  <c r="Q2866" i="1"/>
  <c r="P2866" i="1" s="1"/>
  <c r="Q2867" i="1"/>
  <c r="P2867" i="1" s="1"/>
  <c r="B2863" i="1"/>
  <c r="H2863" i="1"/>
  <c r="K2863" i="1"/>
  <c r="Q2863" i="1"/>
  <c r="P2863" i="1" s="1"/>
  <c r="J2862" i="1"/>
  <c r="J2859" i="1"/>
  <c r="J2858" i="1"/>
  <c r="J2857" i="1"/>
  <c r="B2862" i="1"/>
  <c r="H2862" i="1"/>
  <c r="K2862" i="1"/>
  <c r="Q2862" i="1"/>
  <c r="P2862" i="1" s="1"/>
  <c r="B2861" i="1"/>
  <c r="H2861" i="1"/>
  <c r="K2861" i="1"/>
  <c r="Q2861" i="1"/>
  <c r="P2861" i="1" s="1"/>
  <c r="B2860" i="1"/>
  <c r="H2860" i="1"/>
  <c r="K2860" i="1"/>
  <c r="Q2860" i="1"/>
  <c r="P2860" i="1" s="1"/>
  <c r="B2858" i="1"/>
  <c r="B2859" i="1"/>
  <c r="H2858" i="1"/>
  <c r="H2859" i="1"/>
  <c r="K2858" i="1"/>
  <c r="K2859" i="1"/>
  <c r="Q2858" i="1"/>
  <c r="P2858" i="1" s="1"/>
  <c r="Q2859" i="1"/>
  <c r="P2859" i="1" s="1"/>
  <c r="B2857" i="1"/>
  <c r="H2857" i="1"/>
  <c r="K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B2856" i="1" l="1"/>
  <c r="H2856" i="1"/>
  <c r="J2856" i="1"/>
  <c r="K2856" i="1"/>
  <c r="Q2856" i="1"/>
  <c r="P2856" i="1" s="1"/>
  <c r="B2855" i="1"/>
  <c r="H2855" i="1"/>
  <c r="J2855" i="1"/>
  <c r="K2855" i="1"/>
  <c r="Q2855" i="1"/>
  <c r="P2855" i="1" s="1"/>
  <c r="B2854" i="1"/>
  <c r="H2854" i="1"/>
  <c r="J2854" i="1"/>
  <c r="K2854" i="1"/>
  <c r="Q2854" i="1"/>
  <c r="P2854" i="1" s="1"/>
  <c r="J2853" i="1"/>
  <c r="J2852" i="1"/>
  <c r="J2851" i="1"/>
  <c r="J2848" i="1"/>
  <c r="J2843" i="1"/>
  <c r="J2850" i="1"/>
  <c r="J2849" i="1"/>
  <c r="B2853" i="1"/>
  <c r="H2853" i="1"/>
  <c r="K2853" i="1"/>
  <c r="Q2853" i="1"/>
  <c r="P2853" i="1" s="1"/>
  <c r="B2852" i="1"/>
  <c r="H2852" i="1"/>
  <c r="K2852" i="1"/>
  <c r="Q2852" i="1"/>
  <c r="P2852" i="1" s="1"/>
  <c r="B2850" i="1"/>
  <c r="B2851" i="1"/>
  <c r="H2850" i="1"/>
  <c r="H2851" i="1"/>
  <c r="K2850" i="1"/>
  <c r="K2851" i="1"/>
  <c r="Q2850" i="1"/>
  <c r="P2850" i="1" s="1"/>
  <c r="Q2851" i="1"/>
  <c r="P2851" i="1" s="1"/>
  <c r="B2849" i="1"/>
  <c r="H2849" i="1"/>
  <c r="K2849" i="1"/>
  <c r="Q2849" i="1"/>
  <c r="P2849" i="1" s="1"/>
  <c r="B2848" i="1"/>
  <c r="H2848" i="1"/>
  <c r="K2848" i="1"/>
  <c r="Q2848" i="1"/>
  <c r="P2848" i="1" s="1"/>
  <c r="J2847" i="1"/>
  <c r="J2846" i="1"/>
  <c r="J2845" i="1"/>
  <c r="J2844" i="1"/>
  <c r="J2842" i="1"/>
  <c r="J2837" i="1"/>
  <c r="J2836" i="1"/>
  <c r="J2835" i="1"/>
  <c r="B2846" i="1"/>
  <c r="B2847" i="1"/>
  <c r="H2846" i="1"/>
  <c r="H2847" i="1"/>
  <c r="K2846" i="1"/>
  <c r="K2847" i="1"/>
  <c r="Q2846" i="1"/>
  <c r="P2846" i="1" s="1"/>
  <c r="Q2847" i="1"/>
  <c r="P2847" i="1" s="1"/>
  <c r="B2845" i="1"/>
  <c r="H2845" i="1"/>
  <c r="K2845" i="1"/>
  <c r="Q2845" i="1"/>
  <c r="P2845" i="1" s="1"/>
  <c r="J2838" i="1"/>
  <c r="B2844" i="1"/>
  <c r="H2844" i="1"/>
  <c r="K2844" i="1"/>
  <c r="Q2844" i="1"/>
  <c r="P2844" i="1" s="1"/>
  <c r="B2843" i="1"/>
  <c r="H2843" i="1"/>
  <c r="K2843" i="1"/>
  <c r="Q2843" i="1"/>
  <c r="P2843" i="1" s="1"/>
  <c r="B2836" i="1"/>
  <c r="B2837" i="1"/>
  <c r="B2838" i="1"/>
  <c r="B2839" i="1"/>
  <c r="B2840" i="1"/>
  <c r="B2841" i="1"/>
  <c r="B2842" i="1"/>
  <c r="H2836" i="1"/>
  <c r="H2837" i="1"/>
  <c r="H2838" i="1"/>
  <c r="H2839" i="1"/>
  <c r="H2840" i="1"/>
  <c r="H2841" i="1"/>
  <c r="H2842" i="1"/>
  <c r="J2839" i="1"/>
  <c r="J2840" i="1"/>
  <c r="J2841" i="1"/>
  <c r="K2836" i="1"/>
  <c r="K2837" i="1"/>
  <c r="K2838" i="1"/>
  <c r="K2839" i="1"/>
  <c r="K2840" i="1"/>
  <c r="K2841" i="1"/>
  <c r="K2842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B2835" i="1"/>
  <c r="H2835" i="1"/>
  <c r="K2835" i="1"/>
  <c r="Q2835" i="1"/>
  <c r="P2835" i="1" s="1"/>
  <c r="B2833" i="1"/>
  <c r="B2834" i="1"/>
  <c r="H2833" i="1"/>
  <c r="H2834" i="1"/>
  <c r="J2833" i="1"/>
  <c r="J2834" i="1"/>
  <c r="K2833" i="1"/>
  <c r="K2834" i="1"/>
  <c r="Q2833" i="1"/>
  <c r="P2833" i="1" s="1"/>
  <c r="Q2834" i="1"/>
  <c r="P2834" i="1" s="1"/>
  <c r="B2822" i="1"/>
  <c r="B2823" i="1"/>
  <c r="B2824" i="1"/>
  <c r="B2825" i="1"/>
  <c r="B2826" i="1"/>
  <c r="B2827" i="1"/>
  <c r="B2828" i="1"/>
  <c r="B2829" i="1"/>
  <c r="B2830" i="1"/>
  <c r="B2831" i="1"/>
  <c r="B2832" i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K2822" i="1"/>
  <c r="K2823" i="1"/>
  <c r="K2824" i="1"/>
  <c r="K2825" i="1"/>
  <c r="K2826" i="1"/>
  <c r="K2827" i="1"/>
  <c r="K2828" i="1"/>
  <c r="K2829" i="1"/>
  <c r="K2830" i="1"/>
  <c r="K2831" i="1"/>
  <c r="K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B2821" i="1"/>
  <c r="H2821" i="1"/>
  <c r="J2821" i="1"/>
  <c r="K2821" i="1"/>
  <c r="Q2821" i="1"/>
  <c r="P2821" i="1" s="1"/>
  <c r="B2814" i="1"/>
  <c r="B2815" i="1"/>
  <c r="B2816" i="1"/>
  <c r="B2817" i="1"/>
  <c r="B2818" i="1"/>
  <c r="B2819" i="1"/>
  <c r="B2820" i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K2814" i="1"/>
  <c r="K2815" i="1"/>
  <c r="K2816" i="1"/>
  <c r="K2817" i="1"/>
  <c r="K2818" i="1"/>
  <c r="K2819" i="1"/>
  <c r="K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B2813" i="1" l="1"/>
  <c r="H2813" i="1"/>
  <c r="J2813" i="1"/>
  <c r="K2813" i="1"/>
  <c r="Q2813" i="1"/>
  <c r="P2813" i="1" s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K2503" i="1"/>
  <c r="K2504" i="1"/>
  <c r="K2505" i="1"/>
  <c r="K2506" i="1"/>
  <c r="K2507" i="1"/>
  <c r="K2508" i="1"/>
  <c r="K2509" i="1"/>
  <c r="K2510" i="1"/>
  <c r="K2511" i="1"/>
  <c r="K2512" i="1"/>
  <c r="K2513" i="1"/>
  <c r="K2514" i="1"/>
  <c r="K2515" i="1"/>
  <c r="K2516" i="1"/>
  <c r="K2517" i="1"/>
  <c r="K2518" i="1"/>
  <c r="K2519" i="1"/>
  <c r="K2520" i="1"/>
  <c r="K2521" i="1"/>
  <c r="K2522" i="1"/>
  <c r="K2523" i="1"/>
  <c r="K2524" i="1"/>
  <c r="K2525" i="1"/>
  <c r="K2526" i="1"/>
  <c r="K2527" i="1"/>
  <c r="K2528" i="1"/>
  <c r="K2529" i="1"/>
  <c r="K2530" i="1"/>
  <c r="K2531" i="1"/>
  <c r="K2532" i="1"/>
  <c r="K2533" i="1"/>
  <c r="K2534" i="1"/>
  <c r="K2535" i="1"/>
  <c r="K2536" i="1"/>
  <c r="K2537" i="1"/>
  <c r="K2538" i="1"/>
  <c r="K2539" i="1"/>
  <c r="K2540" i="1"/>
  <c r="K2541" i="1"/>
  <c r="K2542" i="1"/>
  <c r="K2543" i="1"/>
  <c r="K2544" i="1"/>
  <c r="K2545" i="1"/>
  <c r="K2546" i="1"/>
  <c r="K2547" i="1"/>
  <c r="K2548" i="1"/>
  <c r="K2549" i="1"/>
  <c r="K2550" i="1"/>
  <c r="K2551" i="1"/>
  <c r="K2552" i="1"/>
  <c r="K2553" i="1"/>
  <c r="K2554" i="1"/>
  <c r="K2555" i="1"/>
  <c r="K2556" i="1"/>
  <c r="K2557" i="1"/>
  <c r="K2558" i="1"/>
  <c r="K2559" i="1"/>
  <c r="K2560" i="1"/>
  <c r="K2561" i="1"/>
  <c r="K2562" i="1"/>
  <c r="K2563" i="1"/>
  <c r="K2564" i="1"/>
  <c r="K2565" i="1"/>
  <c r="K2566" i="1"/>
  <c r="K2567" i="1"/>
  <c r="K2568" i="1"/>
  <c r="K2569" i="1"/>
  <c r="K2570" i="1"/>
  <c r="K2571" i="1"/>
  <c r="K2572" i="1"/>
  <c r="K2573" i="1"/>
  <c r="K2574" i="1"/>
  <c r="K2575" i="1"/>
  <c r="K2576" i="1"/>
  <c r="K2577" i="1"/>
  <c r="K2578" i="1"/>
  <c r="K2579" i="1"/>
  <c r="K2580" i="1"/>
  <c r="K2581" i="1"/>
  <c r="K2582" i="1"/>
  <c r="K2583" i="1"/>
  <c r="K2584" i="1"/>
  <c r="K2585" i="1"/>
  <c r="K2586" i="1"/>
  <c r="K2587" i="1"/>
  <c r="K2588" i="1"/>
  <c r="K2589" i="1"/>
  <c r="K2590" i="1"/>
  <c r="K2591" i="1"/>
  <c r="K2592" i="1"/>
  <c r="K2593" i="1"/>
  <c r="K2594" i="1"/>
  <c r="K2595" i="1"/>
  <c r="K2596" i="1"/>
  <c r="K2597" i="1"/>
  <c r="K2598" i="1"/>
  <c r="K2599" i="1"/>
  <c r="K2600" i="1"/>
  <c r="K2601" i="1"/>
  <c r="K2602" i="1"/>
  <c r="K2603" i="1"/>
  <c r="K2604" i="1"/>
  <c r="K2605" i="1"/>
  <c r="K2606" i="1"/>
  <c r="K2607" i="1"/>
  <c r="K2608" i="1"/>
  <c r="K2609" i="1"/>
  <c r="K2610" i="1"/>
  <c r="K2611" i="1"/>
  <c r="K2612" i="1"/>
  <c r="K2613" i="1"/>
  <c r="K2614" i="1"/>
  <c r="K2615" i="1"/>
  <c r="K2616" i="1"/>
  <c r="K2617" i="1"/>
  <c r="K2618" i="1"/>
  <c r="K2619" i="1"/>
  <c r="K2620" i="1"/>
  <c r="K2621" i="1"/>
  <c r="K2622" i="1"/>
  <c r="K2623" i="1"/>
  <c r="K2624" i="1"/>
  <c r="K2625" i="1"/>
  <c r="K2626" i="1"/>
  <c r="K2627" i="1"/>
  <c r="K2628" i="1"/>
  <c r="K2629" i="1"/>
  <c r="K2630" i="1"/>
  <c r="K2631" i="1"/>
  <c r="K2632" i="1"/>
  <c r="K2633" i="1"/>
  <c r="K2634" i="1"/>
  <c r="K2635" i="1"/>
  <c r="K2636" i="1"/>
  <c r="K2637" i="1"/>
  <c r="K2638" i="1"/>
  <c r="K2639" i="1"/>
  <c r="K2640" i="1"/>
  <c r="K2641" i="1"/>
  <c r="K2642" i="1"/>
  <c r="K2643" i="1"/>
  <c r="K2644" i="1"/>
  <c r="K2645" i="1"/>
  <c r="K2646" i="1"/>
  <c r="K2647" i="1"/>
  <c r="K2648" i="1"/>
  <c r="K2649" i="1"/>
  <c r="K2650" i="1"/>
  <c r="K2651" i="1"/>
  <c r="K2652" i="1"/>
  <c r="K2653" i="1"/>
  <c r="K2654" i="1"/>
  <c r="K2655" i="1"/>
  <c r="K2656" i="1"/>
  <c r="K2657" i="1"/>
  <c r="K2658" i="1"/>
  <c r="K2659" i="1"/>
  <c r="K2660" i="1"/>
  <c r="K2661" i="1"/>
  <c r="K2662" i="1"/>
  <c r="K2663" i="1"/>
  <c r="K2664" i="1"/>
  <c r="K2665" i="1"/>
  <c r="K2666" i="1"/>
  <c r="K2667" i="1"/>
  <c r="K2668" i="1"/>
  <c r="K2669" i="1"/>
  <c r="K2670" i="1"/>
  <c r="K2671" i="1"/>
  <c r="K2672" i="1"/>
  <c r="K2673" i="1"/>
  <c r="K2674" i="1"/>
  <c r="K2675" i="1"/>
  <c r="K2676" i="1"/>
  <c r="K2677" i="1"/>
  <c r="K2678" i="1"/>
  <c r="K2679" i="1"/>
  <c r="K2680" i="1"/>
  <c r="K2681" i="1"/>
  <c r="K2682" i="1"/>
  <c r="K2683" i="1"/>
  <c r="K2684" i="1"/>
  <c r="K2685" i="1"/>
  <c r="K2686" i="1"/>
  <c r="K2687" i="1"/>
  <c r="K2688" i="1"/>
  <c r="K2689" i="1"/>
  <c r="K2690" i="1"/>
  <c r="K2691" i="1"/>
  <c r="K2692" i="1"/>
  <c r="K2693" i="1"/>
  <c r="K2694" i="1"/>
  <c r="K2695" i="1"/>
  <c r="K2696" i="1"/>
  <c r="K2697" i="1"/>
  <c r="K2698" i="1"/>
  <c r="K2699" i="1"/>
  <c r="K2700" i="1"/>
  <c r="K2701" i="1"/>
  <c r="K2702" i="1"/>
  <c r="K2703" i="1"/>
  <c r="K2704" i="1"/>
  <c r="K2705" i="1"/>
  <c r="K2706" i="1"/>
  <c r="K2707" i="1"/>
  <c r="K2708" i="1"/>
  <c r="K2709" i="1"/>
  <c r="K2710" i="1"/>
  <c r="K2711" i="1"/>
  <c r="K2712" i="1"/>
  <c r="K2713" i="1"/>
  <c r="K2714" i="1"/>
  <c r="K2715" i="1"/>
  <c r="K2716" i="1"/>
  <c r="K2717" i="1"/>
  <c r="K2718" i="1"/>
  <c r="K2719" i="1"/>
  <c r="K2720" i="1"/>
  <c r="K2721" i="1"/>
  <c r="K2722" i="1"/>
  <c r="K2723" i="1"/>
  <c r="K2724" i="1"/>
  <c r="K2725" i="1"/>
  <c r="K2726" i="1"/>
  <c r="K2727" i="1"/>
  <c r="K2728" i="1"/>
  <c r="K2729" i="1"/>
  <c r="K2730" i="1"/>
  <c r="K2731" i="1"/>
  <c r="K2732" i="1"/>
  <c r="K2733" i="1"/>
  <c r="K2734" i="1"/>
  <c r="K2735" i="1"/>
  <c r="K2736" i="1"/>
  <c r="K2737" i="1"/>
  <c r="K2738" i="1"/>
  <c r="K2739" i="1"/>
  <c r="K2740" i="1"/>
  <c r="K2741" i="1"/>
  <c r="K2742" i="1"/>
  <c r="K2743" i="1"/>
  <c r="K2744" i="1"/>
  <c r="K2745" i="1"/>
  <c r="K2746" i="1"/>
  <c r="K2747" i="1"/>
  <c r="K2748" i="1"/>
  <c r="K2749" i="1"/>
  <c r="K2750" i="1"/>
  <c r="K2751" i="1"/>
  <c r="K2752" i="1"/>
  <c r="K2753" i="1"/>
  <c r="K2754" i="1"/>
  <c r="K2755" i="1"/>
  <c r="K2756" i="1"/>
  <c r="K2757" i="1"/>
  <c r="K2758" i="1"/>
  <c r="K2759" i="1"/>
  <c r="K2760" i="1"/>
  <c r="K2761" i="1"/>
  <c r="K2762" i="1"/>
  <c r="K2763" i="1"/>
  <c r="K2764" i="1"/>
  <c r="K2765" i="1"/>
  <c r="K2766" i="1"/>
  <c r="K2767" i="1"/>
  <c r="K2768" i="1"/>
  <c r="K2769" i="1"/>
  <c r="K2770" i="1"/>
  <c r="K2771" i="1"/>
  <c r="K2772" i="1"/>
  <c r="K2773" i="1"/>
  <c r="K2774" i="1"/>
  <c r="K2775" i="1"/>
  <c r="K2776" i="1"/>
  <c r="K2777" i="1"/>
  <c r="K2778" i="1"/>
  <c r="K2779" i="1"/>
  <c r="K2780" i="1"/>
  <c r="K2781" i="1"/>
  <c r="K2782" i="1"/>
  <c r="K2783" i="1"/>
  <c r="K2784" i="1"/>
  <c r="K2785" i="1"/>
  <c r="K2786" i="1"/>
  <c r="K2787" i="1"/>
  <c r="K2788" i="1"/>
  <c r="K2789" i="1"/>
  <c r="K2790" i="1"/>
  <c r="K2791" i="1"/>
  <c r="K2792" i="1"/>
  <c r="K2793" i="1"/>
  <c r="K2794" i="1"/>
  <c r="K2795" i="1"/>
  <c r="K2796" i="1"/>
  <c r="K2797" i="1"/>
  <c r="K2798" i="1"/>
  <c r="K2799" i="1"/>
  <c r="K2800" i="1"/>
  <c r="K2801" i="1"/>
  <c r="K2802" i="1"/>
  <c r="K2803" i="1"/>
  <c r="K2804" i="1"/>
  <c r="K2805" i="1"/>
  <c r="K2806" i="1"/>
  <c r="K2807" i="1"/>
  <c r="K2808" i="1"/>
  <c r="K2809" i="1"/>
  <c r="K2810" i="1"/>
  <c r="K2811" i="1"/>
  <c r="K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B2502" i="1"/>
  <c r="H2502" i="1"/>
  <c r="J2502" i="1"/>
  <c r="K2502" i="1"/>
  <c r="Q2502" i="1"/>
  <c r="P2502" i="1" s="1"/>
  <c r="B2501" i="1"/>
  <c r="H2501" i="1"/>
  <c r="J2501" i="1"/>
  <c r="K2501" i="1"/>
  <c r="Q2501" i="1"/>
  <c r="P2501" i="1" s="1"/>
  <c r="B2500" i="1" l="1"/>
  <c r="H2500" i="1"/>
  <c r="J2500" i="1"/>
  <c r="K2500" i="1"/>
  <c r="Q2500" i="1"/>
  <c r="P2500" i="1" s="1"/>
  <c r="B2499" i="1" l="1"/>
  <c r="H2499" i="1"/>
  <c r="J2499" i="1"/>
  <c r="K2499" i="1"/>
  <c r="Q2499" i="1"/>
  <c r="P2499" i="1" s="1"/>
  <c r="B2488" i="1"/>
  <c r="B2489" i="1"/>
  <c r="B2490" i="1"/>
  <c r="B2491" i="1"/>
  <c r="B2492" i="1"/>
  <c r="B2493" i="1"/>
  <c r="B2494" i="1"/>
  <c r="B2495" i="1"/>
  <c r="B2496" i="1"/>
  <c r="B2497" i="1"/>
  <c r="B2498" i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K2488" i="1"/>
  <c r="K2489" i="1"/>
  <c r="K2490" i="1"/>
  <c r="K2491" i="1"/>
  <c r="K2492" i="1"/>
  <c r="K2493" i="1"/>
  <c r="K2494" i="1"/>
  <c r="K2495" i="1"/>
  <c r="K2496" i="1"/>
  <c r="K2497" i="1"/>
  <c r="K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B2431" i="1" l="1"/>
  <c r="B2432" i="1"/>
  <c r="B2433" i="1"/>
  <c r="B2434" i="1"/>
  <c r="B2435" i="1"/>
  <c r="B2436" i="1"/>
  <c r="B2437" i="1"/>
  <c r="B2438" i="1"/>
  <c r="B2439" i="1"/>
  <c r="B2440" i="1"/>
  <c r="B2441" i="1"/>
  <c r="B2442" i="1"/>
  <c r="B2443" i="1"/>
  <c r="B2444" i="1"/>
  <c r="B2445" i="1"/>
  <c r="B2446" i="1"/>
  <c r="B2447" i="1"/>
  <c r="B2448" i="1"/>
  <c r="B2449" i="1"/>
  <c r="B2450" i="1"/>
  <c r="B2451" i="1"/>
  <c r="B2452" i="1"/>
  <c r="B2453" i="1"/>
  <c r="B2454" i="1"/>
  <c r="B2455" i="1"/>
  <c r="B2456" i="1"/>
  <c r="B2457" i="1"/>
  <c r="B2458" i="1"/>
  <c r="B2459" i="1"/>
  <c r="B2460" i="1"/>
  <c r="B2461" i="1"/>
  <c r="B2462" i="1"/>
  <c r="B2463" i="1"/>
  <c r="B2464" i="1"/>
  <c r="B2465" i="1"/>
  <c r="B2466" i="1"/>
  <c r="B2467" i="1"/>
  <c r="B2468" i="1"/>
  <c r="B2469" i="1"/>
  <c r="B2470" i="1"/>
  <c r="B2471" i="1"/>
  <c r="B2472" i="1"/>
  <c r="B2473" i="1"/>
  <c r="B2474" i="1"/>
  <c r="B2475" i="1"/>
  <c r="B2476" i="1"/>
  <c r="B2477" i="1"/>
  <c r="B2478" i="1"/>
  <c r="B2479" i="1"/>
  <c r="B2480" i="1"/>
  <c r="B2481" i="1"/>
  <c r="B2482" i="1"/>
  <c r="B2483" i="1"/>
  <c r="B2484" i="1"/>
  <c r="B2485" i="1"/>
  <c r="B2486" i="1"/>
  <c r="B2487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K2431" i="1"/>
  <c r="K2432" i="1"/>
  <c r="K2433" i="1"/>
  <c r="K2434" i="1"/>
  <c r="K2435" i="1"/>
  <c r="K2436" i="1"/>
  <c r="K2437" i="1"/>
  <c r="K2438" i="1"/>
  <c r="K2439" i="1"/>
  <c r="K2440" i="1"/>
  <c r="K2441" i="1"/>
  <c r="K2442" i="1"/>
  <c r="K2443" i="1"/>
  <c r="K2444" i="1"/>
  <c r="K2445" i="1"/>
  <c r="K2446" i="1"/>
  <c r="K2447" i="1"/>
  <c r="K2448" i="1"/>
  <c r="K2449" i="1"/>
  <c r="K2450" i="1"/>
  <c r="K2451" i="1"/>
  <c r="K2452" i="1"/>
  <c r="K2453" i="1"/>
  <c r="K2454" i="1"/>
  <c r="K2455" i="1"/>
  <c r="K2456" i="1"/>
  <c r="K2457" i="1"/>
  <c r="K2458" i="1"/>
  <c r="K2459" i="1"/>
  <c r="K2460" i="1"/>
  <c r="K2461" i="1"/>
  <c r="K2462" i="1"/>
  <c r="K2463" i="1"/>
  <c r="K2464" i="1"/>
  <c r="K2465" i="1"/>
  <c r="K2466" i="1"/>
  <c r="K2467" i="1"/>
  <c r="K2468" i="1"/>
  <c r="K2469" i="1"/>
  <c r="K2470" i="1"/>
  <c r="K2471" i="1"/>
  <c r="K2472" i="1"/>
  <c r="K2473" i="1"/>
  <c r="K2474" i="1"/>
  <c r="K2475" i="1"/>
  <c r="K2476" i="1"/>
  <c r="K2477" i="1"/>
  <c r="K2478" i="1"/>
  <c r="K2479" i="1"/>
  <c r="K2480" i="1"/>
  <c r="K2481" i="1"/>
  <c r="K2482" i="1"/>
  <c r="K2483" i="1"/>
  <c r="K2484" i="1"/>
  <c r="K2485" i="1"/>
  <c r="K2486" i="1"/>
  <c r="K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B2430" i="1"/>
  <c r="H2430" i="1"/>
  <c r="J2430" i="1"/>
  <c r="K2430" i="1"/>
  <c r="Q2430" i="1"/>
  <c r="P2430" i="1" s="1"/>
  <c r="B2429" i="1"/>
  <c r="H2429" i="1"/>
  <c r="J2429" i="1"/>
  <c r="K2429" i="1"/>
  <c r="Q2429" i="1"/>
  <c r="P2429" i="1" s="1"/>
  <c r="B2428" i="1" l="1"/>
  <c r="H2428" i="1"/>
  <c r="J2428" i="1"/>
  <c r="K2428" i="1"/>
  <c r="Q2428" i="1"/>
  <c r="P2428" i="1" s="1"/>
  <c r="B2427" i="1"/>
  <c r="H2427" i="1"/>
  <c r="J2427" i="1"/>
  <c r="K2427" i="1"/>
  <c r="Q2427" i="1"/>
  <c r="P2427" i="1" s="1"/>
  <c r="B2426" i="1"/>
  <c r="B2425" i="1"/>
  <c r="B2424" i="1"/>
  <c r="B2423" i="1"/>
  <c r="B2422" i="1"/>
  <c r="B2421" i="1"/>
  <c r="B2420" i="1"/>
  <c r="B2419" i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K2419" i="1"/>
  <c r="K2420" i="1"/>
  <c r="K2421" i="1"/>
  <c r="K2422" i="1"/>
  <c r="K2423" i="1"/>
  <c r="K2424" i="1"/>
  <c r="K2425" i="1"/>
  <c r="K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B2418" i="1" l="1"/>
  <c r="H2418" i="1"/>
  <c r="J2418" i="1"/>
  <c r="K2418" i="1"/>
  <c r="Q2418" i="1"/>
  <c r="P2418" i="1" s="1"/>
  <c r="B2417" i="1" l="1"/>
  <c r="H2417" i="1"/>
  <c r="J2417" i="1"/>
  <c r="K2417" i="1"/>
  <c r="Q2417" i="1"/>
  <c r="P2417" i="1" s="1"/>
  <c r="B2416" i="1"/>
  <c r="H2416" i="1"/>
  <c r="J2416" i="1"/>
  <c r="K2416" i="1"/>
  <c r="Q2416" i="1"/>
  <c r="P2416" i="1" s="1"/>
  <c r="B2415" i="1"/>
  <c r="H2415" i="1"/>
  <c r="J2415" i="1"/>
  <c r="K2415" i="1"/>
  <c r="Q2415" i="1"/>
  <c r="P2415" i="1" s="1"/>
  <c r="B2414" i="1"/>
  <c r="H2414" i="1"/>
  <c r="J2414" i="1"/>
  <c r="K2414" i="1"/>
  <c r="Q2414" i="1"/>
  <c r="P2414" i="1" s="1"/>
  <c r="B2413" i="1"/>
  <c r="H2413" i="1"/>
  <c r="J2413" i="1"/>
  <c r="K2413" i="1"/>
  <c r="Q2413" i="1"/>
  <c r="P2413" i="1" s="1"/>
  <c r="B2409" i="1"/>
  <c r="B2410" i="1"/>
  <c r="B2411" i="1"/>
  <c r="B2412" i="1"/>
  <c r="H2409" i="1"/>
  <c r="H2410" i="1"/>
  <c r="H2411" i="1"/>
  <c r="H2412" i="1"/>
  <c r="J2409" i="1"/>
  <c r="J2410" i="1"/>
  <c r="J2411" i="1"/>
  <c r="J2412" i="1"/>
  <c r="K2409" i="1"/>
  <c r="K2410" i="1"/>
  <c r="K2411" i="1"/>
  <c r="K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B2408" i="1"/>
  <c r="H2408" i="1"/>
  <c r="J2408" i="1"/>
  <c r="K2408" i="1"/>
  <c r="Q2408" i="1"/>
  <c r="P2408" i="1" s="1"/>
  <c r="B2407" i="1"/>
  <c r="H2407" i="1"/>
  <c r="J2407" i="1"/>
  <c r="K2407" i="1"/>
  <c r="Q2407" i="1"/>
  <c r="P2407" i="1" s="1"/>
  <c r="B2406" i="1"/>
  <c r="H2406" i="1"/>
  <c r="K2406" i="1"/>
  <c r="Q2406" i="1"/>
  <c r="P2406" i="1" s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K2392" i="1"/>
  <c r="K2393" i="1"/>
  <c r="K2394" i="1"/>
  <c r="K2395" i="1"/>
  <c r="K2396" i="1"/>
  <c r="K2397" i="1"/>
  <c r="K2398" i="1"/>
  <c r="K2399" i="1"/>
  <c r="K2400" i="1"/>
  <c r="K2401" i="1"/>
  <c r="K2402" i="1"/>
  <c r="K2403" i="1"/>
  <c r="K2404" i="1"/>
  <c r="K2405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K2366" i="1"/>
  <c r="K2367" i="1"/>
  <c r="K2368" i="1"/>
  <c r="K2369" i="1"/>
  <c r="K2370" i="1"/>
  <c r="K2371" i="1"/>
  <c r="K2372" i="1"/>
  <c r="K2373" i="1"/>
  <c r="K2374" i="1"/>
  <c r="K2375" i="1"/>
  <c r="K2376" i="1"/>
  <c r="K2377" i="1"/>
  <c r="K2378" i="1"/>
  <c r="K2379" i="1"/>
  <c r="K2380" i="1"/>
  <c r="K2381" i="1"/>
  <c r="K2382" i="1"/>
  <c r="K2383" i="1"/>
  <c r="K2384" i="1"/>
  <c r="K2385" i="1"/>
  <c r="K2386" i="1"/>
  <c r="K2387" i="1"/>
  <c r="K2388" i="1"/>
  <c r="K2389" i="1"/>
  <c r="K2390" i="1"/>
  <c r="K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K2311" i="1"/>
  <c r="K2312" i="1"/>
  <c r="K2313" i="1"/>
  <c r="K2314" i="1"/>
  <c r="K2315" i="1"/>
  <c r="K2316" i="1"/>
  <c r="K2317" i="1"/>
  <c r="K2318" i="1"/>
  <c r="K2319" i="1"/>
  <c r="K2320" i="1"/>
  <c r="K2321" i="1"/>
  <c r="K2322" i="1"/>
  <c r="K2323" i="1"/>
  <c r="K2324" i="1"/>
  <c r="K2325" i="1"/>
  <c r="K2326" i="1"/>
  <c r="K2327" i="1"/>
  <c r="K2328" i="1"/>
  <c r="K2329" i="1"/>
  <c r="K2330" i="1"/>
  <c r="K2331" i="1"/>
  <c r="K2332" i="1"/>
  <c r="K2333" i="1"/>
  <c r="K2334" i="1"/>
  <c r="K2335" i="1"/>
  <c r="K2336" i="1"/>
  <c r="K2337" i="1"/>
  <c r="K2338" i="1"/>
  <c r="K2339" i="1"/>
  <c r="K2340" i="1"/>
  <c r="K2341" i="1"/>
  <c r="K2342" i="1"/>
  <c r="K2343" i="1"/>
  <c r="K2344" i="1"/>
  <c r="K2345" i="1"/>
  <c r="K2346" i="1"/>
  <c r="K2347" i="1"/>
  <c r="K2348" i="1"/>
  <c r="K2349" i="1"/>
  <c r="K2350" i="1"/>
  <c r="K2351" i="1"/>
  <c r="K2352" i="1"/>
  <c r="K2353" i="1"/>
  <c r="K2354" i="1"/>
  <c r="K2355" i="1"/>
  <c r="K2356" i="1"/>
  <c r="K2357" i="1"/>
  <c r="K2358" i="1"/>
  <c r="K2359" i="1"/>
  <c r="K2360" i="1"/>
  <c r="K2361" i="1"/>
  <c r="K2362" i="1"/>
  <c r="K2363" i="1"/>
  <c r="K2364" i="1"/>
  <c r="K2365" i="1"/>
  <c r="B2310" i="1"/>
  <c r="H2310" i="1"/>
  <c r="J2310" i="1"/>
  <c r="K2310" i="1"/>
  <c r="Q2310" i="1"/>
  <c r="P2310" i="1" s="1"/>
  <c r="B2305" i="1"/>
  <c r="B2306" i="1"/>
  <c r="B2307" i="1"/>
  <c r="B2308" i="1"/>
  <c r="B2309" i="1"/>
  <c r="H2305" i="1"/>
  <c r="H2306" i="1"/>
  <c r="H2307" i="1"/>
  <c r="H2308" i="1"/>
  <c r="H2309" i="1"/>
  <c r="J2305" i="1"/>
  <c r="J2306" i="1"/>
  <c r="J2309" i="1"/>
  <c r="K2305" i="1"/>
  <c r="K2306" i="1"/>
  <c r="K2307" i="1"/>
  <c r="K2308" i="1"/>
  <c r="K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B2304" i="1"/>
  <c r="H2304" i="1"/>
  <c r="J2304" i="1"/>
  <c r="K2304" i="1"/>
  <c r="Q2304" i="1"/>
  <c r="P2304" i="1" s="1"/>
  <c r="B2270" i="1"/>
  <c r="B2271" i="1"/>
  <c r="B2272" i="1"/>
  <c r="B2273" i="1"/>
  <c r="B2274" i="1"/>
  <c r="B2275" i="1"/>
  <c r="B2276" i="1"/>
  <c r="B2277" i="1"/>
  <c r="B2278" i="1"/>
  <c r="B2279" i="1"/>
  <c r="B2280" i="1"/>
  <c r="B2281" i="1"/>
  <c r="B2282" i="1"/>
  <c r="B2283" i="1"/>
  <c r="B2284" i="1"/>
  <c r="B2285" i="1"/>
  <c r="B2286" i="1"/>
  <c r="B2287" i="1"/>
  <c r="B2288" i="1"/>
  <c r="B2289" i="1"/>
  <c r="B2290" i="1"/>
  <c r="B2291" i="1"/>
  <c r="B2292" i="1"/>
  <c r="B2293" i="1"/>
  <c r="B2294" i="1"/>
  <c r="B2295" i="1"/>
  <c r="B2296" i="1"/>
  <c r="B2297" i="1"/>
  <c r="B2298" i="1"/>
  <c r="B2299" i="1"/>
  <c r="B2300" i="1"/>
  <c r="B2301" i="1"/>
  <c r="B2302" i="1"/>
  <c r="B2303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K2270" i="1"/>
  <c r="K2271" i="1"/>
  <c r="K2272" i="1"/>
  <c r="K2273" i="1"/>
  <c r="K2274" i="1"/>
  <c r="K2275" i="1"/>
  <c r="K2276" i="1"/>
  <c r="K2277" i="1"/>
  <c r="K2278" i="1"/>
  <c r="K2279" i="1"/>
  <c r="K2280" i="1"/>
  <c r="K2281" i="1"/>
  <c r="K2282" i="1"/>
  <c r="K2283" i="1"/>
  <c r="K2284" i="1"/>
  <c r="K2285" i="1"/>
  <c r="K2286" i="1"/>
  <c r="K2287" i="1"/>
  <c r="K2288" i="1"/>
  <c r="K2289" i="1"/>
  <c r="K2290" i="1"/>
  <c r="K2291" i="1"/>
  <c r="K2292" i="1"/>
  <c r="K2293" i="1"/>
  <c r="K2294" i="1"/>
  <c r="K2295" i="1"/>
  <c r="K2296" i="1"/>
  <c r="K2297" i="1"/>
  <c r="K2298" i="1"/>
  <c r="K2299" i="1"/>
  <c r="K2300" i="1"/>
  <c r="K2301" i="1"/>
  <c r="K2302" i="1"/>
  <c r="K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B2269" i="1"/>
  <c r="H2269" i="1"/>
  <c r="J2269" i="1"/>
  <c r="K2269" i="1"/>
  <c r="Q2269" i="1"/>
  <c r="P2269" i="1" s="1"/>
  <c r="H1513" i="1"/>
  <c r="B1515" i="1"/>
  <c r="H1515" i="1"/>
  <c r="J1515" i="1"/>
  <c r="K1515" i="1"/>
  <c r="Q1515" i="1"/>
  <c r="P1515" i="1" s="1"/>
  <c r="B1516" i="1"/>
  <c r="H1516" i="1"/>
  <c r="J1516" i="1"/>
  <c r="K1516" i="1"/>
  <c r="Q1516" i="1"/>
  <c r="P1516" i="1" s="1"/>
  <c r="B2262" i="1"/>
  <c r="B2263" i="1"/>
  <c r="B2264" i="1"/>
  <c r="B2265" i="1"/>
  <c r="B2266" i="1"/>
  <c r="B2267" i="1"/>
  <c r="B2268" i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K2262" i="1"/>
  <c r="K2263" i="1"/>
  <c r="K2264" i="1"/>
  <c r="K2265" i="1"/>
  <c r="K2266" i="1"/>
  <c r="K2267" i="1"/>
  <c r="K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B2261" i="1" l="1"/>
  <c r="H2261" i="1"/>
  <c r="J2261" i="1"/>
  <c r="K2261" i="1"/>
  <c r="Q2261" i="1"/>
  <c r="P2261" i="1" s="1"/>
  <c r="B2259" i="1"/>
  <c r="B2260" i="1"/>
  <c r="H2259" i="1"/>
  <c r="H2260" i="1"/>
  <c r="J2259" i="1"/>
  <c r="J2260" i="1"/>
  <c r="K2259" i="1"/>
  <c r="K2260" i="1"/>
  <c r="Q2259" i="1"/>
  <c r="P2259" i="1" s="1"/>
  <c r="Q2260" i="1"/>
  <c r="P2260" i="1" s="1"/>
  <c r="B2258" i="1"/>
  <c r="H2258" i="1"/>
  <c r="J2258" i="1"/>
  <c r="K2258" i="1"/>
  <c r="Q2258" i="1"/>
  <c r="P2258" i="1" s="1"/>
  <c r="B2250" i="1"/>
  <c r="B2251" i="1"/>
  <c r="B2252" i="1"/>
  <c r="B2253" i="1"/>
  <c r="B2254" i="1"/>
  <c r="B2255" i="1"/>
  <c r="B2256" i="1"/>
  <c r="B2257" i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K2250" i="1"/>
  <c r="K2251" i="1"/>
  <c r="K2252" i="1"/>
  <c r="K2253" i="1"/>
  <c r="K2254" i="1"/>
  <c r="K2255" i="1"/>
  <c r="K2256" i="1"/>
  <c r="K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B2249" i="1"/>
  <c r="H2249" i="1"/>
  <c r="J2249" i="1"/>
  <c r="K2249" i="1"/>
  <c r="Q2249" i="1"/>
  <c r="P2249" i="1" s="1"/>
  <c r="B2248" i="1"/>
  <c r="H2248" i="1"/>
  <c r="J2248" i="1"/>
  <c r="K2248" i="1"/>
  <c r="Q2248" i="1"/>
  <c r="P2248" i="1" s="1"/>
  <c r="B2247" i="1"/>
  <c r="H2247" i="1"/>
  <c r="J2247" i="1"/>
  <c r="K2247" i="1"/>
  <c r="Q2247" i="1"/>
  <c r="P2247" i="1" s="1"/>
  <c r="B2246" i="1"/>
  <c r="H2246" i="1"/>
  <c r="J2246" i="1"/>
  <c r="K2246" i="1"/>
  <c r="Q2246" i="1"/>
  <c r="P2246" i="1" s="1"/>
  <c r="B2245" i="1"/>
  <c r="H2245" i="1"/>
  <c r="J2245" i="1"/>
  <c r="K2245" i="1"/>
  <c r="Q2245" i="1"/>
  <c r="P2245" i="1" s="1"/>
  <c r="B2239" i="1"/>
  <c r="B2240" i="1"/>
  <c r="B2241" i="1"/>
  <c r="B2242" i="1"/>
  <c r="B2243" i="1"/>
  <c r="B2244" i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K2239" i="1"/>
  <c r="K2240" i="1"/>
  <c r="K2241" i="1"/>
  <c r="K2242" i="1"/>
  <c r="K2243" i="1"/>
  <c r="K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B2238" i="1"/>
  <c r="H2238" i="1"/>
  <c r="J2238" i="1"/>
  <c r="K2238" i="1"/>
  <c r="Q2238" i="1"/>
  <c r="P2238" i="1" s="1"/>
  <c r="B2234" i="1"/>
  <c r="B2235" i="1"/>
  <c r="B2236" i="1"/>
  <c r="B2237" i="1"/>
  <c r="H2234" i="1"/>
  <c r="H2235" i="1"/>
  <c r="H2236" i="1"/>
  <c r="H2237" i="1"/>
  <c r="J2234" i="1"/>
  <c r="J2235" i="1"/>
  <c r="J2236" i="1"/>
  <c r="J2237" i="1"/>
  <c r="K2234" i="1"/>
  <c r="K2235" i="1"/>
  <c r="K2236" i="1"/>
  <c r="K2237" i="1"/>
  <c r="Q2234" i="1"/>
  <c r="P2234" i="1" s="1"/>
  <c r="Q2235" i="1"/>
  <c r="P2235" i="1" s="1"/>
  <c r="Q2236" i="1"/>
  <c r="P2236" i="1" s="1"/>
  <c r="Q2237" i="1"/>
  <c r="P2237" i="1" s="1"/>
  <c r="B2233" i="1"/>
  <c r="H2233" i="1"/>
  <c r="J2233" i="1"/>
  <c r="K2233" i="1"/>
  <c r="Q2233" i="1"/>
  <c r="P2233" i="1" s="1"/>
  <c r="B2232" i="1"/>
  <c r="H2232" i="1"/>
  <c r="J2232" i="1"/>
  <c r="K2232" i="1"/>
  <c r="Q2232" i="1"/>
  <c r="P2232" i="1" s="1"/>
  <c r="B2231" i="1"/>
  <c r="H2231" i="1"/>
  <c r="J2231" i="1"/>
  <c r="K2231" i="1"/>
  <c r="Q2231" i="1"/>
  <c r="P2231" i="1" s="1"/>
  <c r="B1913" i="1"/>
  <c r="B1914" i="1"/>
  <c r="B1915" i="1"/>
  <c r="B1916" i="1"/>
  <c r="B1917" i="1"/>
  <c r="B1918" i="1"/>
  <c r="B1919" i="1"/>
  <c r="B1920" i="1"/>
  <c r="B1921" i="1"/>
  <c r="B1922" i="1"/>
  <c r="B1923" i="1"/>
  <c r="B1924" i="1"/>
  <c r="B1925" i="1"/>
  <c r="B1926" i="1"/>
  <c r="B1927" i="1"/>
  <c r="B1928" i="1"/>
  <c r="B1929" i="1"/>
  <c r="B1930" i="1"/>
  <c r="B1931" i="1"/>
  <c r="B1932" i="1"/>
  <c r="B1933" i="1"/>
  <c r="B1934" i="1"/>
  <c r="B1935" i="1"/>
  <c r="B1936" i="1"/>
  <c r="B1937" i="1"/>
  <c r="B1938" i="1"/>
  <c r="B1939" i="1"/>
  <c r="B1940" i="1"/>
  <c r="B1941" i="1"/>
  <c r="B1942" i="1"/>
  <c r="B1943" i="1"/>
  <c r="B1944" i="1"/>
  <c r="B1945" i="1"/>
  <c r="B1946" i="1"/>
  <c r="B1947" i="1"/>
  <c r="B1948" i="1"/>
  <c r="B1949" i="1"/>
  <c r="B1950" i="1"/>
  <c r="B1951" i="1"/>
  <c r="B1952" i="1"/>
  <c r="B1953" i="1"/>
  <c r="B1954" i="1"/>
  <c r="B1955" i="1"/>
  <c r="B1956" i="1"/>
  <c r="B1957" i="1"/>
  <c r="B1958" i="1"/>
  <c r="B1959" i="1"/>
  <c r="B1960" i="1"/>
  <c r="B1961" i="1"/>
  <c r="B1962" i="1"/>
  <c r="B1963" i="1"/>
  <c r="B1964" i="1"/>
  <c r="B1965" i="1"/>
  <c r="B1966" i="1"/>
  <c r="B1967" i="1"/>
  <c r="B1968" i="1"/>
  <c r="B1969" i="1"/>
  <c r="B1970" i="1"/>
  <c r="B1971" i="1"/>
  <c r="B1972" i="1"/>
  <c r="B1973" i="1"/>
  <c r="B1974" i="1"/>
  <c r="B1975" i="1"/>
  <c r="B1976" i="1"/>
  <c r="B1977" i="1"/>
  <c r="B1978" i="1"/>
  <c r="B1979" i="1"/>
  <c r="B1980" i="1"/>
  <c r="B1981" i="1"/>
  <c r="B1982" i="1"/>
  <c r="B1983" i="1"/>
  <c r="B1984" i="1"/>
  <c r="B1985" i="1"/>
  <c r="B1986" i="1"/>
  <c r="B1987" i="1"/>
  <c r="B1988" i="1"/>
  <c r="B1989" i="1"/>
  <c r="B1990" i="1"/>
  <c r="B1991" i="1"/>
  <c r="B1992" i="1"/>
  <c r="B1993" i="1"/>
  <c r="B1994" i="1"/>
  <c r="B1995" i="1"/>
  <c r="B1996" i="1"/>
  <c r="B1997" i="1"/>
  <c r="B1998" i="1"/>
  <c r="B1999" i="1"/>
  <c r="B2000" i="1"/>
  <c r="B2001" i="1"/>
  <c r="B2002" i="1"/>
  <c r="B2003" i="1"/>
  <c r="B2004" i="1"/>
  <c r="B2005" i="1"/>
  <c r="B2006" i="1"/>
  <c r="B2007" i="1"/>
  <c r="B2008" i="1"/>
  <c r="B2009" i="1"/>
  <c r="B2010" i="1"/>
  <c r="B2011" i="1"/>
  <c r="B2012" i="1"/>
  <c r="B2013" i="1"/>
  <c r="B2014" i="1"/>
  <c r="B2015" i="1"/>
  <c r="B2016" i="1"/>
  <c r="B2017" i="1"/>
  <c r="B2018" i="1"/>
  <c r="B2019" i="1"/>
  <c r="B2020" i="1"/>
  <c r="B2021" i="1"/>
  <c r="B2022" i="1"/>
  <c r="B2023" i="1"/>
  <c r="B2024" i="1"/>
  <c r="B2025" i="1"/>
  <c r="B2026" i="1"/>
  <c r="B2027" i="1"/>
  <c r="B2028" i="1"/>
  <c r="B2029" i="1"/>
  <c r="B2030" i="1"/>
  <c r="B2031" i="1"/>
  <c r="B2032" i="1"/>
  <c r="B2033" i="1"/>
  <c r="B2034" i="1"/>
  <c r="B2035" i="1"/>
  <c r="B2036" i="1"/>
  <c r="B2037" i="1"/>
  <c r="B2038" i="1"/>
  <c r="B2039" i="1"/>
  <c r="B2040" i="1"/>
  <c r="B2041" i="1"/>
  <c r="B2042" i="1"/>
  <c r="B2043" i="1"/>
  <c r="B2044" i="1"/>
  <c r="B2045" i="1"/>
  <c r="B2046" i="1"/>
  <c r="B2047" i="1"/>
  <c r="B2048" i="1"/>
  <c r="B2049" i="1"/>
  <c r="B2050" i="1"/>
  <c r="B2051" i="1"/>
  <c r="B2052" i="1"/>
  <c r="B2053" i="1"/>
  <c r="B2054" i="1"/>
  <c r="B2055" i="1"/>
  <c r="B2056" i="1"/>
  <c r="B2057" i="1"/>
  <c r="B2058" i="1"/>
  <c r="B2059" i="1"/>
  <c r="B2060" i="1"/>
  <c r="B2061" i="1"/>
  <c r="B2062" i="1"/>
  <c r="B2063" i="1"/>
  <c r="B2064" i="1"/>
  <c r="B2065" i="1"/>
  <c r="B2066" i="1"/>
  <c r="B2067" i="1"/>
  <c r="B2068" i="1"/>
  <c r="B2069" i="1"/>
  <c r="B2070" i="1"/>
  <c r="B2071" i="1"/>
  <c r="B2072" i="1"/>
  <c r="B2073" i="1"/>
  <c r="B2074" i="1"/>
  <c r="B2075" i="1"/>
  <c r="B2076" i="1"/>
  <c r="B2077" i="1"/>
  <c r="B2078" i="1"/>
  <c r="B2079" i="1"/>
  <c r="B2080" i="1"/>
  <c r="B2081" i="1"/>
  <c r="B2082" i="1"/>
  <c r="B2083" i="1"/>
  <c r="B2084" i="1"/>
  <c r="B2085" i="1"/>
  <c r="B2086" i="1"/>
  <c r="B2087" i="1"/>
  <c r="B2088" i="1"/>
  <c r="B2089" i="1"/>
  <c r="B2090" i="1"/>
  <c r="B2091" i="1"/>
  <c r="B2092" i="1"/>
  <c r="B2093" i="1"/>
  <c r="B2094" i="1"/>
  <c r="B2095" i="1"/>
  <c r="B2096" i="1"/>
  <c r="B2097" i="1"/>
  <c r="B2098" i="1"/>
  <c r="B2099" i="1"/>
  <c r="B2100" i="1"/>
  <c r="B2101" i="1"/>
  <c r="B2102" i="1"/>
  <c r="B2103" i="1"/>
  <c r="B2104" i="1"/>
  <c r="B2105" i="1"/>
  <c r="B2106" i="1"/>
  <c r="B2107" i="1"/>
  <c r="B2108" i="1"/>
  <c r="B2109" i="1"/>
  <c r="B2110" i="1"/>
  <c r="B2111" i="1"/>
  <c r="B2112" i="1"/>
  <c r="B2113" i="1"/>
  <c r="B2114" i="1"/>
  <c r="B2115" i="1"/>
  <c r="B2116" i="1"/>
  <c r="B2117" i="1"/>
  <c r="B2118" i="1"/>
  <c r="B2119" i="1"/>
  <c r="B2120" i="1"/>
  <c r="B2121" i="1"/>
  <c r="B2122" i="1"/>
  <c r="B2123" i="1"/>
  <c r="B2124" i="1"/>
  <c r="B2125" i="1"/>
  <c r="B2126" i="1"/>
  <c r="B2127" i="1"/>
  <c r="B2128" i="1"/>
  <c r="B2129" i="1"/>
  <c r="B2130" i="1"/>
  <c r="B2131" i="1"/>
  <c r="B2132" i="1"/>
  <c r="B2133" i="1"/>
  <c r="B2134" i="1"/>
  <c r="B2135" i="1"/>
  <c r="B2136" i="1"/>
  <c r="B2137" i="1"/>
  <c r="B2138" i="1"/>
  <c r="B2139" i="1"/>
  <c r="B2140" i="1"/>
  <c r="B2141" i="1"/>
  <c r="B2142" i="1"/>
  <c r="B2143" i="1"/>
  <c r="B2144" i="1"/>
  <c r="B2145" i="1"/>
  <c r="B2146" i="1"/>
  <c r="B2147" i="1"/>
  <c r="B2148" i="1"/>
  <c r="B2149" i="1"/>
  <c r="B2150" i="1"/>
  <c r="B2151" i="1"/>
  <c r="B2152" i="1"/>
  <c r="B2153" i="1"/>
  <c r="B2154" i="1"/>
  <c r="B2155" i="1"/>
  <c r="B2156" i="1"/>
  <c r="B2157" i="1"/>
  <c r="B2158" i="1"/>
  <c r="B2159" i="1"/>
  <c r="B2160" i="1"/>
  <c r="B2161" i="1"/>
  <c r="B2162" i="1"/>
  <c r="B2163" i="1"/>
  <c r="B2164" i="1"/>
  <c r="B2165" i="1"/>
  <c r="B2166" i="1"/>
  <c r="B2167" i="1"/>
  <c r="B2168" i="1"/>
  <c r="B2169" i="1"/>
  <c r="B2170" i="1"/>
  <c r="B2171" i="1"/>
  <c r="B2172" i="1"/>
  <c r="B2173" i="1"/>
  <c r="B2174" i="1"/>
  <c r="B2175" i="1"/>
  <c r="B2176" i="1"/>
  <c r="B2177" i="1"/>
  <c r="B2178" i="1"/>
  <c r="B2179" i="1"/>
  <c r="B2180" i="1"/>
  <c r="B2181" i="1"/>
  <c r="B2182" i="1"/>
  <c r="B2183" i="1"/>
  <c r="B2184" i="1"/>
  <c r="B2185" i="1"/>
  <c r="B2186" i="1"/>
  <c r="B2187" i="1"/>
  <c r="B2188" i="1"/>
  <c r="B2189" i="1"/>
  <c r="B2190" i="1"/>
  <c r="B2191" i="1"/>
  <c r="B2192" i="1"/>
  <c r="B2193" i="1"/>
  <c r="B2194" i="1"/>
  <c r="B2195" i="1"/>
  <c r="B2196" i="1"/>
  <c r="B2197" i="1"/>
  <c r="B2198" i="1"/>
  <c r="B2199" i="1"/>
  <c r="B2200" i="1"/>
  <c r="B2201" i="1"/>
  <c r="B2202" i="1"/>
  <c r="B2203" i="1"/>
  <c r="B2204" i="1"/>
  <c r="B2205" i="1"/>
  <c r="B2206" i="1"/>
  <c r="B2207" i="1"/>
  <c r="B2208" i="1"/>
  <c r="B2209" i="1"/>
  <c r="B2210" i="1"/>
  <c r="B2211" i="1"/>
  <c r="B2212" i="1"/>
  <c r="B2213" i="1"/>
  <c r="B2214" i="1"/>
  <c r="B2215" i="1"/>
  <c r="B2216" i="1"/>
  <c r="B2217" i="1"/>
  <c r="B2218" i="1"/>
  <c r="B2219" i="1"/>
  <c r="B2220" i="1"/>
  <c r="B2221" i="1"/>
  <c r="B2222" i="1"/>
  <c r="B2223" i="1"/>
  <c r="B2224" i="1"/>
  <c r="B2225" i="1"/>
  <c r="B2226" i="1"/>
  <c r="B2227" i="1"/>
  <c r="B2228" i="1"/>
  <c r="B2229" i="1"/>
  <c r="B2230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201" i="1"/>
  <c r="K2202" i="1"/>
  <c r="K2203" i="1"/>
  <c r="K2204" i="1"/>
  <c r="K2205" i="1"/>
  <c r="K2206" i="1"/>
  <c r="K2207" i="1"/>
  <c r="K2208" i="1"/>
  <c r="K2209" i="1"/>
  <c r="K2210" i="1"/>
  <c r="K2211" i="1"/>
  <c r="K2212" i="1"/>
  <c r="K2213" i="1"/>
  <c r="K2214" i="1"/>
  <c r="K2215" i="1"/>
  <c r="K2216" i="1"/>
  <c r="K2217" i="1"/>
  <c r="K2218" i="1"/>
  <c r="K2219" i="1"/>
  <c r="K2220" i="1"/>
  <c r="K2221" i="1"/>
  <c r="K2222" i="1"/>
  <c r="K2223" i="1"/>
  <c r="K2224" i="1"/>
  <c r="K2225" i="1"/>
  <c r="K2226" i="1"/>
  <c r="K2227" i="1"/>
  <c r="K2228" i="1"/>
  <c r="K2229" i="1"/>
  <c r="K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B1912" i="1"/>
  <c r="H1912" i="1"/>
  <c r="J1912" i="1"/>
  <c r="K1912" i="1"/>
  <c r="Q1912" i="1"/>
  <c r="P1912" i="1" s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  <c r="B1837" i="1"/>
  <c r="B1838" i="1"/>
  <c r="B1839" i="1"/>
  <c r="B1840" i="1"/>
  <c r="B1841" i="1"/>
  <c r="B1842" i="1"/>
  <c r="B1843" i="1"/>
  <c r="B1844" i="1"/>
  <c r="B1845" i="1"/>
  <c r="B1846" i="1"/>
  <c r="B1847" i="1"/>
  <c r="B1848" i="1"/>
  <c r="B1849" i="1"/>
  <c r="B1850" i="1"/>
  <c r="B1851" i="1"/>
  <c r="B1852" i="1"/>
  <c r="B1853" i="1"/>
  <c r="B1854" i="1"/>
  <c r="B1855" i="1"/>
  <c r="B1856" i="1"/>
  <c r="B1857" i="1"/>
  <c r="B1858" i="1"/>
  <c r="B1859" i="1"/>
  <c r="B1860" i="1"/>
  <c r="B1861" i="1"/>
  <c r="B1862" i="1"/>
  <c r="B1863" i="1"/>
  <c r="B1864" i="1"/>
  <c r="B1865" i="1"/>
  <c r="B1866" i="1"/>
  <c r="B1867" i="1"/>
  <c r="B1868" i="1"/>
  <c r="B1869" i="1"/>
  <c r="B1870" i="1"/>
  <c r="B1871" i="1"/>
  <c r="B1872" i="1"/>
  <c r="B1873" i="1"/>
  <c r="B1874" i="1"/>
  <c r="B1875" i="1"/>
  <c r="B1876" i="1"/>
  <c r="B1877" i="1"/>
  <c r="B1878" i="1"/>
  <c r="B1879" i="1"/>
  <c r="B1880" i="1"/>
  <c r="B1881" i="1"/>
  <c r="B1882" i="1"/>
  <c r="B1883" i="1"/>
  <c r="B1884" i="1"/>
  <c r="B1885" i="1"/>
  <c r="B1886" i="1"/>
  <c r="B1887" i="1"/>
  <c r="B1888" i="1"/>
  <c r="B1889" i="1"/>
  <c r="B1890" i="1"/>
  <c r="B1891" i="1"/>
  <c r="B1892" i="1"/>
  <c r="B1893" i="1"/>
  <c r="B1894" i="1"/>
  <c r="B1895" i="1"/>
  <c r="B1896" i="1"/>
  <c r="B1897" i="1"/>
  <c r="B1898" i="1"/>
  <c r="B1899" i="1"/>
  <c r="B1900" i="1"/>
  <c r="B1901" i="1"/>
  <c r="B1902" i="1"/>
  <c r="B1903" i="1"/>
  <c r="B1904" i="1"/>
  <c r="B1905" i="1"/>
  <c r="B1906" i="1"/>
  <c r="B1907" i="1"/>
  <c r="B1908" i="1"/>
  <c r="B1909" i="1"/>
  <c r="B1910" i="1"/>
  <c r="B1911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B1814" i="1"/>
  <c r="H1814" i="1"/>
  <c r="J1814" i="1"/>
  <c r="K1814" i="1"/>
  <c r="Q1814" i="1"/>
  <c r="P1814" i="1" s="1"/>
  <c r="B1813" i="1"/>
  <c r="H1813" i="1"/>
  <c r="J1813" i="1"/>
  <c r="K1813" i="1"/>
  <c r="Q1813" i="1"/>
  <c r="P1813" i="1" s="1"/>
  <c r="B1808" i="1"/>
  <c r="B1809" i="1"/>
  <c r="B1810" i="1"/>
  <c r="B1811" i="1"/>
  <c r="B1812" i="1"/>
  <c r="H1808" i="1"/>
  <c r="H1809" i="1"/>
  <c r="H1810" i="1"/>
  <c r="H1811" i="1"/>
  <c r="H1812" i="1"/>
  <c r="J1808" i="1"/>
  <c r="J1809" i="1"/>
  <c r="J1810" i="1"/>
  <c r="J1811" i="1"/>
  <c r="J1812" i="1"/>
  <c r="K1808" i="1"/>
  <c r="K1809" i="1"/>
  <c r="K1810" i="1"/>
  <c r="K1811" i="1"/>
  <c r="K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B1807" i="1"/>
  <c r="H1807" i="1"/>
  <c r="J1807" i="1"/>
  <c r="K1807" i="1"/>
  <c r="Q1807" i="1"/>
  <c r="P1807" i="1" s="1"/>
  <c r="B1806" i="1"/>
  <c r="H1806" i="1"/>
  <c r="J1806" i="1"/>
  <c r="K1806" i="1"/>
  <c r="Q1806" i="1"/>
  <c r="P1806" i="1" s="1"/>
  <c r="B1805" i="1"/>
  <c r="H1805" i="1"/>
  <c r="J1805" i="1"/>
  <c r="K1805" i="1"/>
  <c r="Q1805" i="1"/>
  <c r="P1805" i="1" s="1"/>
  <c r="B1804" i="1" l="1"/>
  <c r="H1804" i="1"/>
  <c r="J1804" i="1"/>
  <c r="K1804" i="1"/>
  <c r="Q1804" i="1"/>
  <c r="P1804" i="1" s="1"/>
  <c r="B1803" i="1"/>
  <c r="B1802" i="1"/>
  <c r="B1801" i="1"/>
  <c r="B1800" i="1"/>
  <c r="H1800" i="1"/>
  <c r="H1801" i="1"/>
  <c r="H1802" i="1"/>
  <c r="H1803" i="1"/>
  <c r="J1800" i="1"/>
  <c r="J1801" i="1"/>
  <c r="J1802" i="1"/>
  <c r="J1803" i="1"/>
  <c r="K1800" i="1"/>
  <c r="K1801" i="1"/>
  <c r="K1802" i="1"/>
  <c r="K1803" i="1"/>
  <c r="Q1800" i="1"/>
  <c r="P1800" i="1" s="1"/>
  <c r="Q1801" i="1"/>
  <c r="P1801" i="1" s="1"/>
  <c r="Q1802" i="1"/>
  <c r="P1802" i="1" s="1"/>
  <c r="Q1803" i="1"/>
  <c r="P1803" i="1" s="1"/>
  <c r="B1799" i="1"/>
  <c r="H1799" i="1"/>
  <c r="J1799" i="1"/>
  <c r="K1799" i="1"/>
  <c r="Q1799" i="1"/>
  <c r="P1799" i="1" s="1"/>
  <c r="B1798" i="1"/>
  <c r="B1797" i="1"/>
  <c r="B1796" i="1"/>
  <c r="B1795" i="1"/>
  <c r="B1794" i="1"/>
  <c r="H1794" i="1"/>
  <c r="H1795" i="1"/>
  <c r="H1796" i="1"/>
  <c r="H1797" i="1"/>
  <c r="H1798" i="1"/>
  <c r="J1794" i="1"/>
  <c r="J1795" i="1"/>
  <c r="J1796" i="1"/>
  <c r="J1797" i="1"/>
  <c r="J1798" i="1"/>
  <c r="K1794" i="1"/>
  <c r="K1795" i="1"/>
  <c r="K1796" i="1"/>
  <c r="K1797" i="1"/>
  <c r="K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B1793" i="1"/>
  <c r="H1793" i="1"/>
  <c r="J1793" i="1"/>
  <c r="K1793" i="1"/>
  <c r="Q1793" i="1"/>
  <c r="P1793" i="1" s="1"/>
  <c r="B1790" i="1" l="1"/>
  <c r="B1791" i="1"/>
  <c r="B1792" i="1"/>
  <c r="H1790" i="1"/>
  <c r="H1791" i="1"/>
  <c r="H1792" i="1"/>
  <c r="J1790" i="1"/>
  <c r="J1791" i="1"/>
  <c r="J1792" i="1"/>
  <c r="K1790" i="1"/>
  <c r="K1791" i="1"/>
  <c r="K1792" i="1"/>
  <c r="Q1790" i="1"/>
  <c r="P1790" i="1" s="1"/>
  <c r="Q1791" i="1"/>
  <c r="P1791" i="1" s="1"/>
  <c r="Q1792" i="1"/>
  <c r="P1792" i="1" s="1"/>
  <c r="B1789" i="1" l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B1776" i="1"/>
  <c r="H1776" i="1"/>
  <c r="J1776" i="1"/>
  <c r="K1776" i="1"/>
  <c r="Q1776" i="1"/>
  <c r="P1776" i="1" s="1"/>
  <c r="B1775" i="1"/>
  <c r="B1774" i="1"/>
  <c r="B1773" i="1"/>
  <c r="B1772" i="1"/>
  <c r="H1772" i="1"/>
  <c r="H1773" i="1"/>
  <c r="H1774" i="1"/>
  <c r="H1775" i="1"/>
  <c r="J1772" i="1"/>
  <c r="J1773" i="1"/>
  <c r="J1774" i="1"/>
  <c r="J1775" i="1"/>
  <c r="K1772" i="1"/>
  <c r="K1773" i="1"/>
  <c r="K1774" i="1"/>
  <c r="K1775" i="1"/>
  <c r="Q1772" i="1"/>
  <c r="P1772" i="1" s="1"/>
  <c r="Q1773" i="1"/>
  <c r="P1773" i="1" s="1"/>
  <c r="Q1774" i="1"/>
  <c r="P1774" i="1" s="1"/>
  <c r="Q1775" i="1"/>
  <c r="P1775" i="1" s="1"/>
  <c r="B1771" i="1"/>
  <c r="H1771" i="1"/>
  <c r="J1771" i="1"/>
  <c r="K1771" i="1"/>
  <c r="Q1771" i="1"/>
  <c r="P1771" i="1" s="1"/>
  <c r="B1770" i="1"/>
  <c r="B1769" i="1"/>
  <c r="B1768" i="1"/>
  <c r="B1767" i="1"/>
  <c r="B1766" i="1"/>
  <c r="B1765" i="1"/>
  <c r="B1764" i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K1764" i="1"/>
  <c r="K1765" i="1"/>
  <c r="K1766" i="1"/>
  <c r="K1767" i="1"/>
  <c r="K1768" i="1"/>
  <c r="K1769" i="1"/>
  <c r="K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B1763" i="1"/>
  <c r="H1763" i="1"/>
  <c r="J1763" i="1"/>
  <c r="K1763" i="1"/>
  <c r="Q1763" i="1"/>
  <c r="P1763" i="1" s="1"/>
  <c r="H1673" i="1"/>
  <c r="B1762" i="1"/>
  <c r="B1761" i="1"/>
  <c r="B1760" i="1"/>
  <c r="B1759" i="1"/>
  <c r="B1758" i="1"/>
  <c r="B1757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K1757" i="1"/>
  <c r="K1758" i="1"/>
  <c r="K1759" i="1"/>
  <c r="K1760" i="1"/>
  <c r="K1761" i="1"/>
  <c r="K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B1756" i="1"/>
  <c r="H1756" i="1"/>
  <c r="J1756" i="1"/>
  <c r="K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B1644" i="1"/>
  <c r="H1644" i="1"/>
  <c r="J1644" i="1"/>
  <c r="K1644" i="1"/>
  <c r="Q1644" i="1"/>
  <c r="P1644" i="1" s="1"/>
  <c r="B1643" i="1"/>
  <c r="H1643" i="1"/>
  <c r="J1643" i="1"/>
  <c r="K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B1588" i="1"/>
  <c r="H1588" i="1"/>
  <c r="J1588" i="1"/>
  <c r="K1588" i="1"/>
  <c r="Q1588" i="1"/>
  <c r="P1588" i="1" s="1"/>
  <c r="B1580" i="1"/>
  <c r="B1581" i="1"/>
  <c r="B1582" i="1"/>
  <c r="B1583" i="1"/>
  <c r="B1584" i="1"/>
  <c r="B1585" i="1"/>
  <c r="B1586" i="1"/>
  <c r="B1587" i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K1580" i="1"/>
  <c r="K1581" i="1"/>
  <c r="K1582" i="1"/>
  <c r="K1583" i="1"/>
  <c r="K1584" i="1"/>
  <c r="K1585" i="1"/>
  <c r="K1586" i="1"/>
  <c r="K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B1579" i="1" l="1"/>
  <c r="H1579" i="1"/>
  <c r="J1579" i="1"/>
  <c r="K1579" i="1"/>
  <c r="Q1579" i="1"/>
  <c r="P1579" i="1" s="1"/>
  <c r="B1577" i="1"/>
  <c r="B1578" i="1"/>
  <c r="H1577" i="1"/>
  <c r="H1578" i="1"/>
  <c r="J1577" i="1"/>
  <c r="J1578" i="1"/>
  <c r="K1577" i="1"/>
  <c r="K1578" i="1"/>
  <c r="Q1577" i="1"/>
  <c r="P1577" i="1" s="1"/>
  <c r="Q1578" i="1"/>
  <c r="P1578" i="1" s="1"/>
  <c r="B1576" i="1"/>
  <c r="H1576" i="1"/>
  <c r="J1576" i="1"/>
  <c r="K1576" i="1"/>
  <c r="Q1576" i="1"/>
  <c r="P1576" i="1" s="1"/>
  <c r="B1575" i="1"/>
  <c r="H1575" i="1"/>
  <c r="J1575" i="1"/>
  <c r="K1575" i="1"/>
  <c r="Q1575" i="1"/>
  <c r="P1575" i="1" s="1"/>
  <c r="B1574" i="1"/>
  <c r="H1574" i="1"/>
  <c r="J1574" i="1"/>
  <c r="K1574" i="1"/>
  <c r="Q1574" i="1"/>
  <c r="P1574" i="1" s="1"/>
  <c r="B1573" i="1"/>
  <c r="H1573" i="1"/>
  <c r="J1573" i="1"/>
  <c r="K1573" i="1"/>
  <c r="Q1573" i="1"/>
  <c r="P1573" i="1" s="1"/>
  <c r="B1569" i="1"/>
  <c r="B1570" i="1"/>
  <c r="B1571" i="1"/>
  <c r="B1572" i="1"/>
  <c r="H1569" i="1"/>
  <c r="H1570" i="1"/>
  <c r="H1571" i="1"/>
  <c r="H1572" i="1"/>
  <c r="J1569" i="1"/>
  <c r="J1570" i="1"/>
  <c r="J1571" i="1"/>
  <c r="J1572" i="1"/>
  <c r="K1569" i="1"/>
  <c r="K1570" i="1"/>
  <c r="K1571" i="1"/>
  <c r="K1572" i="1"/>
  <c r="Q1569" i="1"/>
  <c r="P1569" i="1" s="1"/>
  <c r="Q1570" i="1"/>
  <c r="P1570" i="1" s="1"/>
  <c r="Q1571" i="1"/>
  <c r="P1571" i="1" s="1"/>
  <c r="Q1572" i="1"/>
  <c r="P1572" i="1" s="1"/>
  <c r="B1568" i="1"/>
  <c r="H1568" i="1"/>
  <c r="J1568" i="1"/>
  <c r="K1568" i="1"/>
  <c r="Q1568" i="1"/>
  <c r="P1568" i="1" s="1"/>
  <c r="B1562" i="1"/>
  <c r="B1563" i="1"/>
  <c r="B1564" i="1"/>
  <c r="B1565" i="1"/>
  <c r="B1566" i="1"/>
  <c r="B1567" i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K1562" i="1"/>
  <c r="K1563" i="1"/>
  <c r="K1564" i="1"/>
  <c r="K1565" i="1"/>
  <c r="K1566" i="1"/>
  <c r="K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B1561" i="1"/>
  <c r="H1561" i="1"/>
  <c r="J1561" i="1"/>
  <c r="K1561" i="1"/>
  <c r="Q1561" i="1"/>
  <c r="P1561" i="1" s="1"/>
  <c r="B1560" i="1"/>
  <c r="H1560" i="1"/>
  <c r="J1560" i="1"/>
  <c r="K1560" i="1"/>
  <c r="Q1560" i="1"/>
  <c r="P1560" i="1" s="1"/>
  <c r="B1559" i="1"/>
  <c r="H1559" i="1"/>
  <c r="J1559" i="1"/>
  <c r="K1559" i="1"/>
  <c r="Q1559" i="1"/>
  <c r="P1559" i="1" s="1"/>
  <c r="B1558" i="1"/>
  <c r="B1557" i="1"/>
  <c r="B1556" i="1"/>
  <c r="B1555" i="1"/>
  <c r="B1554" i="1"/>
  <c r="B1553" i="1"/>
  <c r="B1552" i="1"/>
  <c r="B1551" i="1"/>
  <c r="B1550" i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K1550" i="1"/>
  <c r="K1551" i="1"/>
  <c r="K1552" i="1"/>
  <c r="K1553" i="1"/>
  <c r="K1554" i="1"/>
  <c r="K1555" i="1"/>
  <c r="K1556" i="1"/>
  <c r="K1557" i="1"/>
  <c r="K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B1549" i="1"/>
  <c r="H1549" i="1"/>
  <c r="J1549" i="1"/>
  <c r="K1549" i="1"/>
  <c r="Q1549" i="1"/>
  <c r="P1549" i="1" s="1"/>
  <c r="B1548" i="1"/>
  <c r="H1548" i="1"/>
  <c r="J1548" i="1"/>
  <c r="K1548" i="1"/>
  <c r="Q1548" i="1"/>
  <c r="P1548" i="1" s="1"/>
  <c r="B1547" i="1"/>
  <c r="H1547" i="1"/>
  <c r="J1547" i="1"/>
  <c r="K1547" i="1"/>
  <c r="Q1547" i="1"/>
  <c r="P1547" i="1" s="1"/>
  <c r="Q1546" i="1"/>
  <c r="P1546" i="1" s="1"/>
  <c r="K1546" i="1"/>
  <c r="Q1545" i="1"/>
  <c r="P1545" i="1" s="1"/>
  <c r="K1545" i="1"/>
  <c r="Q1544" i="1"/>
  <c r="P1544" i="1" s="1"/>
  <c r="K1544" i="1"/>
  <c r="Q1543" i="1"/>
  <c r="P1543" i="1" s="1"/>
  <c r="K1543" i="1"/>
  <c r="Q1542" i="1"/>
  <c r="P1542" i="1" s="1"/>
  <c r="K1542" i="1"/>
  <c r="Q1541" i="1"/>
  <c r="P1541" i="1" s="1"/>
  <c r="K1541" i="1"/>
  <c r="Q1540" i="1"/>
  <c r="P1540" i="1" s="1"/>
  <c r="K1540" i="1"/>
  <c r="Q1539" i="1"/>
  <c r="P1539" i="1" s="1"/>
  <c r="K1539" i="1"/>
  <c r="Q1538" i="1"/>
  <c r="P1538" i="1" s="1"/>
  <c r="K1538" i="1"/>
  <c r="Q1537" i="1"/>
  <c r="P1537" i="1" s="1"/>
  <c r="K1537" i="1"/>
  <c r="Q1536" i="1"/>
  <c r="P1536" i="1" s="1"/>
  <c r="K1536" i="1"/>
  <c r="Q1535" i="1"/>
  <c r="P1535" i="1" s="1"/>
  <c r="K1535" i="1"/>
  <c r="Q1534" i="1"/>
  <c r="P1534" i="1" s="1"/>
  <c r="K1534" i="1"/>
  <c r="Q1533" i="1"/>
  <c r="P1533" i="1" s="1"/>
  <c r="K1533" i="1"/>
  <c r="Q1532" i="1"/>
  <c r="P1532" i="1" s="1"/>
  <c r="K1532" i="1"/>
  <c r="Q1531" i="1"/>
  <c r="P1531" i="1" s="1"/>
  <c r="K1531" i="1"/>
  <c r="Q1530" i="1"/>
  <c r="P1530" i="1" s="1"/>
  <c r="K1530" i="1"/>
  <c r="Q1529" i="1"/>
  <c r="P1529" i="1" s="1"/>
  <c r="K1529" i="1"/>
  <c r="Q1528" i="1"/>
  <c r="P1528" i="1" s="1"/>
  <c r="K1528" i="1"/>
  <c r="Q1527" i="1"/>
  <c r="P1527" i="1" s="1"/>
  <c r="K1527" i="1"/>
  <c r="Q1526" i="1"/>
  <c r="P1526" i="1" s="1"/>
  <c r="K1526" i="1"/>
  <c r="Q1525" i="1"/>
  <c r="P1525" i="1" s="1"/>
  <c r="K1525" i="1"/>
  <c r="Q1524" i="1"/>
  <c r="P1524" i="1" s="1"/>
  <c r="K1524" i="1"/>
  <c r="Q1523" i="1"/>
  <c r="P1523" i="1" s="1"/>
  <c r="K1523" i="1"/>
  <c r="Q1522" i="1"/>
  <c r="P1522" i="1" s="1"/>
  <c r="K1522" i="1"/>
  <c r="Q1521" i="1"/>
  <c r="P1521" i="1" s="1"/>
  <c r="K1521" i="1"/>
  <c r="Q1520" i="1"/>
  <c r="P1520" i="1" s="1"/>
  <c r="K1520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K1519" i="1"/>
  <c r="Q1519" i="1"/>
  <c r="P1519" i="1" s="1"/>
  <c r="B1518" i="1"/>
  <c r="H1518" i="1"/>
  <c r="J1518" i="1"/>
  <c r="K1518" i="1"/>
  <c r="Q1518" i="1"/>
  <c r="P1518" i="1" s="1"/>
  <c r="B1517" i="1"/>
  <c r="H1517" i="1"/>
  <c r="J1517" i="1"/>
  <c r="K1517" i="1"/>
  <c r="Q1517" i="1"/>
  <c r="P1517" i="1" s="1"/>
  <c r="B1513" i="1"/>
  <c r="B1514" i="1"/>
  <c r="H1514" i="1"/>
  <c r="J1513" i="1"/>
  <c r="J1514" i="1"/>
  <c r="K1513" i="1"/>
  <c r="K1514" i="1"/>
  <c r="Q1513" i="1"/>
  <c r="P1513" i="1" s="1"/>
  <c r="Q1514" i="1"/>
  <c r="P1514" i="1" s="1"/>
  <c r="B1512" i="1"/>
  <c r="H1512" i="1"/>
  <c r="J1512" i="1"/>
  <c r="K1512" i="1"/>
  <c r="Q1512" i="1"/>
  <c r="P1512" i="1" s="1"/>
  <c r="B1511" i="1"/>
  <c r="B1510" i="1"/>
  <c r="B1509" i="1"/>
  <c r="B1508" i="1"/>
  <c r="B1507" i="1"/>
  <c r="B1506" i="1"/>
  <c r="B1505" i="1"/>
  <c r="B1504" i="1"/>
  <c r="B1503" i="1"/>
  <c r="B1502" i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K1502" i="1"/>
  <c r="K1503" i="1"/>
  <c r="K1504" i="1"/>
  <c r="K1505" i="1"/>
  <c r="K1506" i="1"/>
  <c r="K1507" i="1"/>
  <c r="K1508" i="1"/>
  <c r="K1509" i="1"/>
  <c r="K1510" i="1"/>
  <c r="K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B1501" i="1"/>
  <c r="H1501" i="1"/>
  <c r="J1501" i="1"/>
  <c r="K1501" i="1"/>
  <c r="Q1501" i="1"/>
  <c r="P1501" i="1" s="1"/>
  <c r="B1499" i="1"/>
  <c r="B1500" i="1"/>
  <c r="H1499" i="1"/>
  <c r="H1500" i="1"/>
  <c r="J1499" i="1"/>
  <c r="J1500" i="1"/>
  <c r="K1499" i="1"/>
  <c r="K1500" i="1"/>
  <c r="Q1499" i="1"/>
  <c r="P1499" i="1" s="1"/>
  <c r="Q1500" i="1"/>
  <c r="P1500" i="1" s="1"/>
  <c r="B1498" i="1"/>
  <c r="H1498" i="1"/>
  <c r="J1498" i="1"/>
  <c r="K1498" i="1"/>
  <c r="Q1498" i="1"/>
  <c r="P1498" i="1" s="1"/>
  <c r="B1497" i="1"/>
  <c r="H1497" i="1"/>
  <c r="J1497" i="1"/>
  <c r="K1497" i="1"/>
  <c r="Q1497" i="1"/>
  <c r="P1497" i="1" s="1"/>
  <c r="B1496" i="1"/>
  <c r="H1496" i="1"/>
  <c r="J1496" i="1"/>
  <c r="K1496" i="1"/>
  <c r="Q1496" i="1"/>
  <c r="P1496" i="1" s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B1477" i="1"/>
  <c r="H1477" i="1"/>
  <c r="J1477" i="1"/>
  <c r="K1477" i="1"/>
  <c r="Q1477" i="1"/>
  <c r="P1477" i="1" s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B1454" i="1"/>
  <c r="H1454" i="1"/>
  <c r="J1454" i="1"/>
  <c r="K1454" i="1"/>
  <c r="Q1454" i="1"/>
  <c r="P1454" i="1" s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B1434" i="1"/>
  <c r="H1434" i="1"/>
  <c r="J1434" i="1"/>
  <c r="K1434" i="1"/>
  <c r="Q1434" i="1"/>
  <c r="P1434" i="1" s="1"/>
  <c r="B1433" i="1"/>
  <c r="H1433" i="1"/>
  <c r="J1433" i="1"/>
  <c r="K1433" i="1"/>
  <c r="Q1433" i="1"/>
  <c r="P1433" i="1" s="1"/>
  <c r="Q1432" i="1"/>
  <c r="P1432" i="1" s="1"/>
  <c r="K1432" i="1"/>
  <c r="B1432" i="1"/>
  <c r="H1432" i="1"/>
  <c r="J1432" i="1"/>
  <c r="B1431" i="1"/>
  <c r="H1431" i="1"/>
  <c r="J1431" i="1"/>
  <c r="K1431" i="1"/>
  <c r="Q1431" i="1"/>
  <c r="P1431" i="1" s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B1353" i="1"/>
  <c r="H1353" i="1"/>
  <c r="J1353" i="1"/>
  <c r="K1353" i="1"/>
  <c r="Q1353" i="1"/>
  <c r="P1353" i="1" s="1"/>
  <c r="B1352" i="1"/>
  <c r="H1352" i="1"/>
  <c r="J1352" i="1"/>
  <c r="K1352" i="1"/>
  <c r="Q1352" i="1"/>
  <c r="P1352" i="1" s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K1299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B1298" i="1"/>
  <c r="H1298" i="1"/>
  <c r="J1298" i="1"/>
  <c r="K1298" i="1"/>
  <c r="Q1298" i="1"/>
  <c r="P1298" i="1" s="1"/>
  <c r="B1297" i="1"/>
  <c r="H1297" i="1"/>
  <c r="J1297" i="1"/>
  <c r="K1297" i="1"/>
  <c r="Q1297" i="1"/>
  <c r="P1297" i="1" s="1"/>
  <c r="K1296" i="1"/>
  <c r="K1295" i="1"/>
  <c r="B1296" i="1"/>
  <c r="H1296" i="1"/>
  <c r="J1296" i="1"/>
  <c r="Q1296" i="1"/>
  <c r="P1296" i="1" s="1"/>
  <c r="B1295" i="1"/>
  <c r="H1295" i="1"/>
  <c r="J1295" i="1"/>
  <c r="Q1295" i="1"/>
  <c r="P1295" i="1" s="1"/>
  <c r="B1294" i="1"/>
  <c r="H1294" i="1"/>
  <c r="J1294" i="1"/>
  <c r="K1294" i="1"/>
  <c r="Q1294" i="1"/>
  <c r="P1294" i="1" s="1"/>
  <c r="K1293" i="1"/>
  <c r="J1293" i="1"/>
  <c r="K1292" i="1"/>
  <c r="J1292" i="1"/>
  <c r="K1291" i="1"/>
  <c r="J1291" i="1"/>
  <c r="K1290" i="1"/>
  <c r="J1290" i="1"/>
  <c r="K1289" i="1"/>
  <c r="J1289" i="1"/>
  <c r="K1288" i="1"/>
  <c r="J1288" i="1"/>
  <c r="K1287" i="1"/>
  <c r="J1287" i="1"/>
  <c r="K1286" i="1"/>
  <c r="J1286" i="1"/>
  <c r="K1285" i="1"/>
  <c r="J1285" i="1"/>
  <c r="K1284" i="1"/>
  <c r="J1284" i="1"/>
  <c r="K1283" i="1"/>
  <c r="J1283" i="1"/>
  <c r="K1282" i="1"/>
  <c r="J1282" i="1"/>
  <c r="K1281" i="1"/>
  <c r="J1281" i="1"/>
  <c r="K1280" i="1"/>
  <c r="J1280" i="1"/>
  <c r="K1279" i="1"/>
  <c r="J1279" i="1"/>
  <c r="K1278" i="1"/>
  <c r="J1278" i="1"/>
  <c r="K1277" i="1"/>
  <c r="J1277" i="1"/>
  <c r="K1276" i="1"/>
  <c r="J1276" i="1"/>
  <c r="K1275" i="1"/>
  <c r="J1275" i="1"/>
  <c r="K1274" i="1"/>
  <c r="J1274" i="1"/>
  <c r="K1273" i="1"/>
  <c r="J1273" i="1"/>
  <c r="K1272" i="1"/>
  <c r="J1272" i="1"/>
  <c r="K1271" i="1"/>
  <c r="J1271" i="1"/>
  <c r="K1270" i="1"/>
  <c r="J1270" i="1"/>
  <c r="K1269" i="1"/>
  <c r="J1269" i="1"/>
  <c r="K1268" i="1"/>
  <c r="J1268" i="1"/>
  <c r="K1267" i="1"/>
  <c r="J1267" i="1"/>
  <c r="K1266" i="1"/>
  <c r="J1266" i="1"/>
  <c r="K1265" i="1"/>
  <c r="J1265" i="1"/>
  <c r="K1264" i="1"/>
  <c r="J1264" i="1"/>
  <c r="K1263" i="1"/>
  <c r="J1263" i="1"/>
  <c r="K1262" i="1"/>
  <c r="J1262" i="1"/>
  <c r="K1261" i="1"/>
  <c r="J1261" i="1"/>
  <c r="K1260" i="1"/>
  <c r="J1260" i="1"/>
  <c r="K1259" i="1"/>
  <c r="J1259" i="1"/>
  <c r="K1258" i="1"/>
  <c r="J1258" i="1"/>
  <c r="K1257" i="1"/>
  <c r="J1257" i="1"/>
  <c r="K1256" i="1"/>
  <c r="J1256" i="1"/>
  <c r="K1255" i="1"/>
  <c r="J1255" i="1"/>
  <c r="K1254" i="1"/>
  <c r="J1254" i="1"/>
  <c r="K1253" i="1"/>
  <c r="J1253" i="1"/>
  <c r="K1252" i="1"/>
  <c r="J1252" i="1"/>
  <c r="K1251" i="1"/>
  <c r="J1251" i="1"/>
  <c r="K1250" i="1"/>
  <c r="J1250" i="1"/>
  <c r="K1249" i="1"/>
  <c r="J1249" i="1"/>
  <c r="K1248" i="1"/>
  <c r="J1248" i="1"/>
  <c r="K1247" i="1"/>
  <c r="J1247" i="1"/>
  <c r="K1246" i="1"/>
  <c r="J1246" i="1"/>
  <c r="K1245" i="1"/>
  <c r="J1245" i="1"/>
  <c r="K1244" i="1"/>
  <c r="J1244" i="1"/>
  <c r="K1243" i="1"/>
  <c r="J1243" i="1"/>
  <c r="K1242" i="1"/>
  <c r="J1242" i="1"/>
  <c r="K1241" i="1"/>
  <c r="J1241" i="1"/>
  <c r="K1240" i="1"/>
  <c r="J1240" i="1"/>
  <c r="K1239" i="1"/>
  <c r="J1239" i="1"/>
  <c r="K1238" i="1"/>
  <c r="J1238" i="1"/>
  <c r="K1237" i="1"/>
  <c r="J1237" i="1"/>
  <c r="K1236" i="1"/>
  <c r="J1236" i="1"/>
  <c r="K1235" i="1"/>
  <c r="J1235" i="1"/>
  <c r="K1234" i="1"/>
  <c r="J1234" i="1"/>
  <c r="K1233" i="1"/>
  <c r="J1233" i="1"/>
  <c r="K1232" i="1"/>
  <c r="J1232" i="1"/>
  <c r="K1231" i="1"/>
  <c r="J1231" i="1"/>
  <c r="K1230" i="1"/>
  <c r="J1230" i="1"/>
  <c r="K1229" i="1"/>
  <c r="J1229" i="1"/>
  <c r="K1228" i="1"/>
  <c r="J1228" i="1"/>
  <c r="K1227" i="1"/>
  <c r="J1227" i="1"/>
  <c r="K1226" i="1"/>
  <c r="J1226" i="1"/>
  <c r="K1225" i="1"/>
  <c r="J1225" i="1"/>
  <c r="K1224" i="1"/>
  <c r="J1224" i="1"/>
  <c r="K1223" i="1"/>
  <c r="J1223" i="1"/>
  <c r="K1222" i="1"/>
  <c r="J1222" i="1"/>
  <c r="K1221" i="1"/>
  <c r="J1221" i="1"/>
  <c r="K1220" i="1"/>
  <c r="J1220" i="1"/>
  <c r="K1219" i="1"/>
  <c r="J1219" i="1"/>
  <c r="K1218" i="1"/>
  <c r="J1218" i="1"/>
  <c r="K1217" i="1"/>
  <c r="J1217" i="1"/>
  <c r="K1216" i="1"/>
  <c r="J1216" i="1"/>
  <c r="K1215" i="1"/>
  <c r="J1215" i="1"/>
  <c r="K1214" i="1"/>
  <c r="J1214" i="1"/>
  <c r="K1213" i="1"/>
  <c r="J1213" i="1"/>
  <c r="K1212" i="1"/>
  <c r="J1212" i="1"/>
  <c r="K1211" i="1"/>
  <c r="J1211" i="1"/>
  <c r="K1210" i="1"/>
  <c r="J1210" i="1"/>
  <c r="K1209" i="1"/>
  <c r="J1209" i="1"/>
  <c r="K1208" i="1"/>
  <c r="J1208" i="1"/>
  <c r="K1207" i="1"/>
  <c r="J1207" i="1"/>
  <c r="K1206" i="1"/>
  <c r="J1206" i="1"/>
  <c r="K1205" i="1"/>
  <c r="J1205" i="1"/>
  <c r="K1204" i="1"/>
  <c r="J1204" i="1"/>
  <c r="K1203" i="1"/>
  <c r="J1203" i="1"/>
  <c r="K1202" i="1"/>
  <c r="J1202" i="1"/>
  <c r="K1201" i="1"/>
  <c r="J1201" i="1"/>
  <c r="K1200" i="1"/>
  <c r="J1200" i="1"/>
  <c r="K1199" i="1"/>
  <c r="J1199" i="1"/>
  <c r="K1198" i="1"/>
  <c r="J1198" i="1"/>
  <c r="K1197" i="1"/>
  <c r="J1197" i="1"/>
  <c r="K1196" i="1"/>
  <c r="J1196" i="1"/>
  <c r="K1195" i="1"/>
  <c r="J1195" i="1"/>
  <c r="K1194" i="1"/>
  <c r="J11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B1193" i="1"/>
  <c r="H1193" i="1"/>
  <c r="J1193" i="1"/>
  <c r="K1193" i="1"/>
  <c r="Q1193" i="1"/>
  <c r="P1193" i="1" s="1"/>
  <c r="B1192" i="1"/>
  <c r="H1192" i="1"/>
  <c r="J1192" i="1"/>
  <c r="K1192" i="1"/>
  <c r="Q1192" i="1"/>
  <c r="P1192" i="1" s="1"/>
  <c r="B1191" i="1"/>
  <c r="H1191" i="1"/>
  <c r="J1191" i="1"/>
  <c r="K1191" i="1"/>
  <c r="Q1191" i="1"/>
  <c r="P1191" i="1" s="1"/>
  <c r="B1190" i="1"/>
  <c r="H1190" i="1"/>
  <c r="J1190" i="1"/>
  <c r="K1190" i="1"/>
  <c r="Q1190" i="1"/>
  <c r="P1190" i="1" s="1"/>
  <c r="B1186" i="1"/>
  <c r="B1187" i="1"/>
  <c r="B1188" i="1"/>
  <c r="B1189" i="1"/>
  <c r="H1186" i="1"/>
  <c r="H1187" i="1"/>
  <c r="H1188" i="1"/>
  <c r="H1189" i="1"/>
  <c r="J1186" i="1"/>
  <c r="J1187" i="1"/>
  <c r="J1188" i="1"/>
  <c r="J1189" i="1"/>
  <c r="K1186" i="1"/>
  <c r="K1187" i="1"/>
  <c r="K1188" i="1"/>
  <c r="K1189" i="1"/>
  <c r="Q1186" i="1"/>
  <c r="P1186" i="1" s="1"/>
  <c r="Q1187" i="1"/>
  <c r="P1187" i="1" s="1"/>
  <c r="Q1188" i="1"/>
  <c r="P1188" i="1" s="1"/>
  <c r="Q1189" i="1"/>
  <c r="P1189" i="1" s="1"/>
  <c r="B1185" i="1"/>
  <c r="H1185" i="1"/>
  <c r="J1185" i="1"/>
  <c r="K1185" i="1"/>
  <c r="Q1185" i="1"/>
  <c r="P1185" i="1" s="1"/>
  <c r="B1184" i="1"/>
  <c r="B1183" i="1"/>
  <c r="B1182" i="1"/>
  <c r="B1181" i="1"/>
  <c r="B1180" i="1"/>
  <c r="B1179" i="1"/>
  <c r="B1178" i="1"/>
  <c r="B1177" i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K1177" i="1"/>
  <c r="K1178" i="1"/>
  <c r="K1179" i="1"/>
  <c r="K1180" i="1"/>
  <c r="K1181" i="1"/>
  <c r="K1182" i="1"/>
  <c r="K1183" i="1"/>
  <c r="K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B1176" i="1"/>
  <c r="H1176" i="1"/>
  <c r="J1176" i="1"/>
  <c r="K1176" i="1"/>
  <c r="Q1176" i="1"/>
  <c r="P1176" i="1" s="1"/>
  <c r="B1175" i="1"/>
  <c r="H1175" i="1"/>
  <c r="J1175" i="1"/>
  <c r="K1175" i="1"/>
  <c r="Q1175" i="1"/>
  <c r="P1175" i="1" s="1"/>
  <c r="B1174" i="1"/>
  <c r="H1174" i="1"/>
  <c r="J1174" i="1"/>
  <c r="K1174" i="1"/>
  <c r="Q1174" i="1"/>
  <c r="P1174" i="1" s="1"/>
  <c r="B1170" i="1"/>
  <c r="B1171" i="1"/>
  <c r="B1172" i="1"/>
  <c r="B1173" i="1"/>
  <c r="H1170" i="1"/>
  <c r="H1171" i="1"/>
  <c r="H1172" i="1"/>
  <c r="H1173" i="1"/>
  <c r="J1170" i="1"/>
  <c r="J1171" i="1"/>
  <c r="J1172" i="1"/>
  <c r="J1173" i="1"/>
  <c r="K1170" i="1"/>
  <c r="K1171" i="1"/>
  <c r="K1172" i="1"/>
  <c r="K1173" i="1"/>
  <c r="Q1170" i="1"/>
  <c r="P1170" i="1" s="1"/>
  <c r="Q1171" i="1"/>
  <c r="P1171" i="1" s="1"/>
  <c r="Q1172" i="1"/>
  <c r="P1172" i="1" s="1"/>
  <c r="Q1173" i="1"/>
  <c r="P1173" i="1" s="1"/>
  <c r="B1169" i="1"/>
  <c r="H1169" i="1"/>
  <c r="J1169" i="1"/>
  <c r="K1169" i="1"/>
  <c r="Q1169" i="1"/>
  <c r="P1169" i="1" s="1"/>
  <c r="B1168" i="1"/>
  <c r="H1168" i="1"/>
  <c r="J1168" i="1"/>
  <c r="K1168" i="1"/>
  <c r="Q1168" i="1"/>
  <c r="P1168" i="1" s="1"/>
  <c r="B1167" i="1"/>
  <c r="H1167" i="1"/>
  <c r="J1167" i="1"/>
  <c r="K1167" i="1"/>
  <c r="Q1167" i="1"/>
  <c r="P1167" i="1" s="1"/>
  <c r="B1166" i="1"/>
  <c r="B1165" i="1"/>
  <c r="B1164" i="1"/>
  <c r="H1164" i="1"/>
  <c r="H1165" i="1"/>
  <c r="H1166" i="1"/>
  <c r="J1164" i="1"/>
  <c r="J1165" i="1"/>
  <c r="J1166" i="1"/>
  <c r="K1164" i="1"/>
  <c r="K1165" i="1"/>
  <c r="K1166" i="1"/>
  <c r="Q1164" i="1"/>
  <c r="P1164" i="1" s="1"/>
  <c r="Q1165" i="1"/>
  <c r="P1165" i="1" s="1"/>
  <c r="Q1166" i="1"/>
  <c r="P1166" i="1" s="1"/>
  <c r="B1163" i="1"/>
  <c r="H1163" i="1"/>
  <c r="J1163" i="1"/>
  <c r="K1163" i="1"/>
  <c r="Q1163" i="1"/>
  <c r="P1163" i="1" s="1"/>
  <c r="B1162" i="1"/>
  <c r="H1162" i="1"/>
  <c r="J1162" i="1"/>
  <c r="K1162" i="1"/>
  <c r="Q1162" i="1"/>
  <c r="P1162" i="1" s="1"/>
  <c r="B1161" i="1"/>
  <c r="B1160" i="1"/>
  <c r="B1159" i="1"/>
  <c r="B1158" i="1"/>
  <c r="B1157" i="1"/>
  <c r="B1156" i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K1156" i="1"/>
  <c r="K1157" i="1"/>
  <c r="K1158" i="1"/>
  <c r="K1159" i="1"/>
  <c r="K1160" i="1"/>
  <c r="K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B1155" i="1"/>
  <c r="H1155" i="1"/>
  <c r="J1155" i="1"/>
  <c r="K1155" i="1"/>
  <c r="Q1155" i="1"/>
  <c r="P1155" i="1" s="1"/>
  <c r="B1152" i="1"/>
  <c r="B1153" i="1"/>
  <c r="B1154" i="1"/>
  <c r="H1152" i="1"/>
  <c r="H1153" i="1"/>
  <c r="H1154" i="1"/>
  <c r="J1152" i="1"/>
  <c r="J1153" i="1"/>
  <c r="J1154" i="1"/>
  <c r="K1152" i="1"/>
  <c r="K1153" i="1"/>
  <c r="K1154" i="1"/>
  <c r="Q1152" i="1"/>
  <c r="P1152" i="1" s="1"/>
  <c r="Q1153" i="1"/>
  <c r="P1153" i="1" s="1"/>
  <c r="Q1154" i="1"/>
  <c r="P1154" i="1" s="1"/>
  <c r="B1148" i="1"/>
  <c r="B1149" i="1"/>
  <c r="B1150" i="1"/>
  <c r="B1151" i="1"/>
  <c r="H1148" i="1"/>
  <c r="H1149" i="1"/>
  <c r="H1150" i="1"/>
  <c r="H1151" i="1"/>
  <c r="J1148" i="1"/>
  <c r="J1149" i="1"/>
  <c r="J1150" i="1"/>
  <c r="J1151" i="1"/>
  <c r="K1148" i="1"/>
  <c r="K1149" i="1"/>
  <c r="K1150" i="1"/>
  <c r="K1151" i="1"/>
  <c r="Q1148" i="1"/>
  <c r="P1148" i="1" s="1"/>
  <c r="Q1149" i="1"/>
  <c r="P1149" i="1" s="1"/>
  <c r="Q1150" i="1"/>
  <c r="P1150" i="1" s="1"/>
  <c r="Q1151" i="1"/>
  <c r="P1151" i="1" s="1"/>
  <c r="B1147" i="1"/>
  <c r="H1147" i="1"/>
  <c r="J1147" i="1"/>
  <c r="K1147" i="1"/>
  <c r="Q1147" i="1"/>
  <c r="P1147" i="1" s="1"/>
  <c r="B1138" i="1"/>
  <c r="B1139" i="1"/>
  <c r="B1140" i="1"/>
  <c r="B1141" i="1"/>
  <c r="B1142" i="1"/>
  <c r="B1143" i="1"/>
  <c r="B1144" i="1"/>
  <c r="B1145" i="1"/>
  <c r="B1146" i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K1138" i="1"/>
  <c r="K1139" i="1"/>
  <c r="K1140" i="1"/>
  <c r="K1141" i="1"/>
  <c r="K1142" i="1"/>
  <c r="K1143" i="1"/>
  <c r="K1144" i="1"/>
  <c r="K1145" i="1"/>
  <c r="K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B1137" i="1"/>
  <c r="H1137" i="1"/>
  <c r="J1137" i="1"/>
  <c r="K1137" i="1"/>
  <c r="Q1137" i="1"/>
  <c r="P1137" i="1" s="1"/>
  <c r="B1136" i="1"/>
  <c r="H1136" i="1"/>
  <c r="J1136" i="1"/>
  <c r="K1136" i="1"/>
  <c r="Q1136" i="1"/>
  <c r="P1136" i="1" s="1"/>
  <c r="B1135" i="1"/>
  <c r="H1135" i="1"/>
  <c r="J1135" i="1"/>
  <c r="K1135" i="1"/>
  <c r="Q1135" i="1"/>
  <c r="P1135" i="1" s="1"/>
  <c r="B1133" i="1"/>
  <c r="B1134" i="1"/>
  <c r="H1133" i="1"/>
  <c r="H1134" i="1"/>
  <c r="J1133" i="1"/>
  <c r="J1134" i="1"/>
  <c r="K1133" i="1"/>
  <c r="K1134" i="1"/>
  <c r="Q1133" i="1"/>
  <c r="P1133" i="1" s="1"/>
  <c r="Q1134" i="1"/>
  <c r="P1134" i="1" s="1"/>
  <c r="B1132" i="1"/>
  <c r="H1132" i="1"/>
  <c r="J1132" i="1"/>
  <c r="K1132" i="1"/>
  <c r="Q1132" i="1"/>
  <c r="P1132" i="1" s="1"/>
  <c r="B1125" i="1"/>
  <c r="B1126" i="1"/>
  <c r="B1127" i="1"/>
  <c r="B1128" i="1"/>
  <c r="B1129" i="1"/>
  <c r="B1130" i="1"/>
  <c r="B1131" i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K1125" i="1"/>
  <c r="K1126" i="1"/>
  <c r="K1127" i="1"/>
  <c r="K1128" i="1"/>
  <c r="K1129" i="1"/>
  <c r="K1130" i="1"/>
  <c r="K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B1124" i="1"/>
  <c r="H1124" i="1"/>
  <c r="J1124" i="1"/>
  <c r="K1124" i="1"/>
  <c r="Q1124" i="1"/>
  <c r="P1124" i="1" s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B1072" i="1"/>
  <c r="H1072" i="1"/>
  <c r="J1072" i="1"/>
  <c r="K1072" i="1"/>
  <c r="Q1072" i="1"/>
  <c r="P1072" i="1" s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B1055" i="1"/>
  <c r="B1056" i="1"/>
  <c r="H1055" i="1"/>
  <c r="H1056" i="1"/>
  <c r="J1055" i="1"/>
  <c r="J1056" i="1"/>
  <c r="K1055" i="1"/>
  <c r="K1056" i="1"/>
  <c r="Q1055" i="1"/>
  <c r="P1055" i="1" s="1"/>
  <c r="Q1056" i="1"/>
  <c r="P1056" i="1" s="1"/>
  <c r="B1054" i="1"/>
  <c r="H1054" i="1"/>
  <c r="J1054" i="1"/>
  <c r="K1054" i="1"/>
  <c r="Q1054" i="1"/>
  <c r="P1054" i="1" s="1"/>
  <c r="B1023" i="1"/>
  <c r="H1023" i="1"/>
  <c r="J1023" i="1"/>
  <c r="K1023" i="1"/>
  <c r="Q1023" i="1"/>
  <c r="P1023" i="1" s="1"/>
  <c r="B1022" i="1"/>
  <c r="H1022" i="1"/>
  <c r="J1022" i="1"/>
  <c r="K1022" i="1"/>
  <c r="Q1022" i="1"/>
  <c r="P1022" i="1" s="1"/>
  <c r="B1015" i="1"/>
  <c r="H1015" i="1"/>
  <c r="J1015" i="1"/>
  <c r="K1015" i="1"/>
  <c r="Q1015" i="1"/>
  <c r="P1015" i="1" s="1"/>
  <c r="B1017" i="1"/>
  <c r="B1018" i="1"/>
  <c r="H1017" i="1"/>
  <c r="H1018" i="1"/>
  <c r="J1017" i="1"/>
  <c r="J1018" i="1"/>
  <c r="K1017" i="1"/>
  <c r="K1018" i="1"/>
  <c r="Q1017" i="1"/>
  <c r="P1017" i="1" s="1"/>
  <c r="Q1018" i="1"/>
  <c r="P1018" i="1" s="1"/>
  <c r="B1016" i="1"/>
  <c r="H1016" i="1"/>
  <c r="J1016" i="1"/>
  <c r="K1016" i="1"/>
  <c r="Q1016" i="1"/>
  <c r="P1016" i="1" s="1"/>
  <c r="B1014" i="1"/>
  <c r="H1014" i="1"/>
  <c r="J1014" i="1"/>
  <c r="K1014" i="1"/>
  <c r="Q1014" i="1"/>
  <c r="P1014" i="1" s="1"/>
  <c r="B1019" i="1"/>
  <c r="H1019" i="1"/>
  <c r="J1019" i="1"/>
  <c r="K1019" i="1"/>
  <c r="Q1019" i="1"/>
  <c r="P1019" i="1" s="1"/>
  <c r="B1021" i="1"/>
  <c r="H1021" i="1"/>
  <c r="J1021" i="1"/>
  <c r="K1021" i="1"/>
  <c r="Q1021" i="1"/>
  <c r="P1021" i="1" s="1"/>
  <c r="B1020" i="1"/>
  <c r="H1020" i="1"/>
  <c r="J1020" i="1"/>
  <c r="K1020" i="1"/>
  <c r="Q1020" i="1"/>
  <c r="P1020" i="1" s="1"/>
  <c r="B1053" i="1"/>
  <c r="H1053" i="1"/>
  <c r="J1053" i="1"/>
  <c r="K1053" i="1"/>
  <c r="Q1053" i="1"/>
  <c r="P1053" i="1" s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B1024" i="1"/>
  <c r="B1025" i="1"/>
  <c r="B1026" i="1"/>
  <c r="H1024" i="1"/>
  <c r="H1025" i="1"/>
  <c r="H1026" i="1"/>
  <c r="J1024" i="1"/>
  <c r="J1025" i="1"/>
  <c r="J1026" i="1"/>
  <c r="K1024" i="1"/>
  <c r="K1025" i="1"/>
  <c r="K1026" i="1"/>
  <c r="Q1024" i="1"/>
  <c r="P1024" i="1" s="1"/>
  <c r="Q1025" i="1"/>
  <c r="P1025" i="1" s="1"/>
  <c r="Q1026" i="1"/>
  <c r="P1026" i="1" s="1"/>
  <c r="B1009" i="1"/>
  <c r="H1009" i="1"/>
  <c r="J1009" i="1"/>
  <c r="K1009" i="1"/>
  <c r="Q1009" i="1"/>
  <c r="P1009" i="1" s="1"/>
  <c r="B1008" i="1"/>
  <c r="H1008" i="1"/>
  <c r="J1008" i="1"/>
  <c r="K1008" i="1"/>
  <c r="Q1008" i="1"/>
  <c r="P1008" i="1" s="1"/>
  <c r="B1011" i="1"/>
  <c r="H1011" i="1"/>
  <c r="J1011" i="1"/>
  <c r="K1011" i="1"/>
  <c r="Q1011" i="1"/>
  <c r="P1011" i="1" s="1"/>
  <c r="B1010" i="1"/>
  <c r="H1010" i="1"/>
  <c r="J1010" i="1"/>
  <c r="K1010" i="1"/>
  <c r="Q1010" i="1"/>
  <c r="P1010" i="1" s="1"/>
  <c r="B1012" i="1"/>
  <c r="B1013" i="1"/>
  <c r="H1012" i="1"/>
  <c r="H1013" i="1"/>
  <c r="J1012" i="1"/>
  <c r="J1013" i="1"/>
  <c r="K1012" i="1"/>
  <c r="K1013" i="1"/>
  <c r="Q1012" i="1"/>
  <c r="P1012" i="1" s="1"/>
  <c r="Q1013" i="1"/>
  <c r="P1013" i="1" s="1"/>
  <c r="B969" i="1"/>
  <c r="H969" i="1"/>
  <c r="J969" i="1"/>
  <c r="K969" i="1"/>
  <c r="Q969" i="1"/>
  <c r="P969" i="1" s="1"/>
  <c r="B1002" i="1"/>
  <c r="B1003" i="1"/>
  <c r="B1004" i="1"/>
  <c r="B1005" i="1"/>
  <c r="H1002" i="1"/>
  <c r="H1003" i="1"/>
  <c r="H1004" i="1"/>
  <c r="H1005" i="1"/>
  <c r="J1002" i="1"/>
  <c r="J1003" i="1"/>
  <c r="J1004" i="1"/>
  <c r="J1005" i="1"/>
  <c r="K1002" i="1"/>
  <c r="K1003" i="1"/>
  <c r="K1004" i="1"/>
  <c r="K1005" i="1"/>
  <c r="Q1002" i="1"/>
  <c r="P1002" i="1" s="1"/>
  <c r="Q1003" i="1"/>
  <c r="P1003" i="1" s="1"/>
  <c r="Q1004" i="1"/>
  <c r="P1004" i="1" s="1"/>
  <c r="Q1005" i="1"/>
  <c r="P1005" i="1" s="1"/>
  <c r="B1001" i="1"/>
  <c r="H1001" i="1"/>
  <c r="J1001" i="1"/>
  <c r="K1001" i="1"/>
  <c r="Q1001" i="1"/>
  <c r="P1001" i="1" s="1"/>
  <c r="B1007" i="1"/>
  <c r="H1007" i="1"/>
  <c r="J1007" i="1"/>
  <c r="K1007" i="1"/>
  <c r="Q1007" i="1"/>
  <c r="P1007" i="1" s="1"/>
  <c r="B1006" i="1"/>
  <c r="H1006" i="1"/>
  <c r="J1006" i="1"/>
  <c r="K1006" i="1"/>
  <c r="Q1006" i="1"/>
  <c r="P1006" i="1" s="1"/>
  <c r="B965" i="1"/>
  <c r="H965" i="1"/>
  <c r="J965" i="1"/>
  <c r="K965" i="1"/>
  <c r="Q965" i="1"/>
  <c r="P965" i="1" s="1"/>
  <c r="B1000" i="1"/>
  <c r="H1000" i="1"/>
  <c r="J1000" i="1"/>
  <c r="K1000" i="1"/>
  <c r="Q1000" i="1"/>
  <c r="P1000" i="1" s="1"/>
  <c r="B988" i="1"/>
  <c r="B989" i="1"/>
  <c r="B990" i="1"/>
  <c r="H988" i="1"/>
  <c r="H989" i="1"/>
  <c r="H990" i="1"/>
  <c r="J988" i="1"/>
  <c r="J989" i="1"/>
  <c r="J990" i="1"/>
  <c r="K988" i="1"/>
  <c r="K989" i="1"/>
  <c r="K990" i="1"/>
  <c r="Q988" i="1"/>
  <c r="P988" i="1" s="1"/>
  <c r="Q989" i="1"/>
  <c r="P989" i="1" s="1"/>
  <c r="Q990" i="1"/>
  <c r="P990" i="1" s="1"/>
  <c r="B992" i="1"/>
  <c r="B993" i="1"/>
  <c r="B994" i="1"/>
  <c r="H992" i="1"/>
  <c r="H993" i="1"/>
  <c r="H994" i="1"/>
  <c r="J992" i="1"/>
  <c r="J993" i="1"/>
  <c r="J994" i="1"/>
  <c r="K992" i="1"/>
  <c r="K993" i="1"/>
  <c r="K994" i="1"/>
  <c r="Q992" i="1"/>
  <c r="P992" i="1" s="1"/>
  <c r="Q993" i="1"/>
  <c r="P993" i="1" s="1"/>
  <c r="Q994" i="1"/>
  <c r="P994" i="1" s="1"/>
  <c r="B991" i="1"/>
  <c r="H991" i="1"/>
  <c r="J991" i="1"/>
  <c r="K991" i="1"/>
  <c r="Q991" i="1"/>
  <c r="P991" i="1" s="1"/>
  <c r="K996" i="1"/>
  <c r="K995" i="1"/>
  <c r="B995" i="1"/>
  <c r="B996" i="1"/>
  <c r="B997" i="1"/>
  <c r="B998" i="1"/>
  <c r="H995" i="1"/>
  <c r="H996" i="1"/>
  <c r="H997" i="1"/>
  <c r="H998" i="1"/>
  <c r="J995" i="1"/>
  <c r="J996" i="1"/>
  <c r="J997" i="1"/>
  <c r="J998" i="1"/>
  <c r="K997" i="1"/>
  <c r="K998" i="1"/>
  <c r="Q995" i="1"/>
  <c r="P995" i="1" s="1"/>
  <c r="Q996" i="1"/>
  <c r="P996" i="1" s="1"/>
  <c r="Q997" i="1"/>
  <c r="P997" i="1" s="1"/>
  <c r="Q998" i="1"/>
  <c r="P998" i="1" s="1"/>
  <c r="B999" i="1"/>
  <c r="H999" i="1"/>
  <c r="J999" i="1"/>
  <c r="K999" i="1"/>
  <c r="Q999" i="1"/>
  <c r="P999" i="1" s="1"/>
  <c r="B966" i="1"/>
  <c r="H966" i="1"/>
  <c r="J966" i="1"/>
  <c r="K966" i="1"/>
  <c r="Q966" i="1"/>
  <c r="P966" i="1" s="1"/>
  <c r="B980" i="1"/>
  <c r="B981" i="1"/>
  <c r="B982" i="1"/>
  <c r="B983" i="1"/>
  <c r="B984" i="1"/>
  <c r="B985" i="1"/>
  <c r="B986" i="1"/>
  <c r="B987" i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K980" i="1"/>
  <c r="K981" i="1"/>
  <c r="K982" i="1"/>
  <c r="K983" i="1"/>
  <c r="K984" i="1"/>
  <c r="K985" i="1"/>
  <c r="K986" i="1"/>
  <c r="K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B977" i="1"/>
  <c r="H977" i="1"/>
  <c r="J977" i="1"/>
  <c r="K977" i="1"/>
  <c r="Q977" i="1"/>
  <c r="P977" i="1" s="1"/>
  <c r="B978" i="1"/>
  <c r="H978" i="1"/>
  <c r="J978" i="1"/>
  <c r="K978" i="1"/>
  <c r="Q978" i="1"/>
  <c r="P978" i="1" s="1"/>
  <c r="B979" i="1"/>
  <c r="H979" i="1"/>
  <c r="J979" i="1"/>
  <c r="K979" i="1"/>
  <c r="Q979" i="1"/>
  <c r="P979" i="1" s="1"/>
  <c r="B976" i="1"/>
  <c r="H976" i="1"/>
  <c r="J976" i="1"/>
  <c r="K976" i="1"/>
  <c r="Q976" i="1"/>
  <c r="P976" i="1" s="1"/>
  <c r="B968" i="1"/>
  <c r="H968" i="1"/>
  <c r="J968" i="1"/>
  <c r="K968" i="1"/>
  <c r="Q968" i="1"/>
  <c r="P968" i="1" s="1"/>
  <c r="B967" i="1"/>
  <c r="H967" i="1"/>
  <c r="J967" i="1"/>
  <c r="K967" i="1"/>
  <c r="Q967" i="1"/>
  <c r="P967" i="1" s="1"/>
  <c r="B970" i="1"/>
  <c r="H970" i="1"/>
  <c r="J970" i="1"/>
  <c r="K970" i="1"/>
  <c r="Q970" i="1"/>
  <c r="P970" i="1" s="1"/>
  <c r="B971" i="1"/>
  <c r="H971" i="1"/>
  <c r="J971" i="1"/>
  <c r="K971" i="1"/>
  <c r="Q971" i="1"/>
  <c r="P971" i="1" s="1"/>
  <c r="B972" i="1"/>
  <c r="H972" i="1"/>
  <c r="J972" i="1"/>
  <c r="K972" i="1"/>
  <c r="Q972" i="1"/>
  <c r="P972" i="1" s="1"/>
  <c r="B973" i="1"/>
  <c r="H973" i="1"/>
  <c r="J973" i="1"/>
  <c r="K973" i="1"/>
  <c r="Q973" i="1"/>
  <c r="P973" i="1" s="1"/>
  <c r="B866" i="1"/>
  <c r="J866" i="1"/>
  <c r="H866" i="1"/>
  <c r="K866" i="1"/>
  <c r="Q866" i="1"/>
  <c r="P866" i="1" s="1"/>
  <c r="B949" i="1"/>
  <c r="H949" i="1"/>
  <c r="J949" i="1"/>
  <c r="K949" i="1"/>
  <c r="Q949" i="1"/>
  <c r="P949" i="1" s="1"/>
  <c r="B950" i="1"/>
  <c r="H950" i="1"/>
  <c r="J950" i="1"/>
  <c r="K950" i="1"/>
  <c r="Q950" i="1"/>
  <c r="P950" i="1" s="1"/>
  <c r="B951" i="1"/>
  <c r="H951" i="1"/>
  <c r="J951" i="1"/>
  <c r="K951" i="1"/>
  <c r="Q951" i="1"/>
  <c r="P951" i="1" s="1"/>
  <c r="B952" i="1"/>
  <c r="H952" i="1"/>
  <c r="J952" i="1"/>
  <c r="K952" i="1"/>
  <c r="Q952" i="1"/>
  <c r="P952" i="1" s="1"/>
  <c r="B953" i="1"/>
  <c r="H953" i="1"/>
  <c r="J953" i="1"/>
  <c r="K953" i="1"/>
  <c r="Q953" i="1"/>
  <c r="P953" i="1" s="1"/>
  <c r="B954" i="1"/>
  <c r="H954" i="1"/>
  <c r="J954" i="1"/>
  <c r="K954" i="1"/>
  <c r="Q954" i="1"/>
  <c r="P954" i="1" s="1"/>
  <c r="B948" i="1"/>
  <c r="H948" i="1"/>
  <c r="J948" i="1"/>
  <c r="K948" i="1"/>
  <c r="Q948" i="1"/>
  <c r="P948" i="1" s="1"/>
  <c r="B946" i="1"/>
  <c r="H946" i="1"/>
  <c r="J946" i="1"/>
  <c r="K946" i="1"/>
  <c r="Q946" i="1"/>
  <c r="P946" i="1" s="1"/>
  <c r="B947" i="1"/>
  <c r="H947" i="1"/>
  <c r="J947" i="1"/>
  <c r="K947" i="1"/>
  <c r="Q947" i="1"/>
  <c r="P947" i="1" s="1"/>
  <c r="B938" i="1"/>
  <c r="H938" i="1"/>
  <c r="J938" i="1"/>
  <c r="K938" i="1"/>
  <c r="Q938" i="1"/>
  <c r="P938" i="1" s="1"/>
  <c r="B939" i="1"/>
  <c r="H939" i="1"/>
  <c r="J939" i="1"/>
  <c r="K939" i="1"/>
  <c r="Q939" i="1"/>
  <c r="P939" i="1" s="1"/>
  <c r="B940" i="1"/>
  <c r="H940" i="1"/>
  <c r="J940" i="1"/>
  <c r="K940" i="1"/>
  <c r="Q940" i="1"/>
  <c r="P940" i="1" s="1"/>
  <c r="B941" i="1"/>
  <c r="H941" i="1"/>
  <c r="J941" i="1"/>
  <c r="K941" i="1"/>
  <c r="Q941" i="1"/>
  <c r="P941" i="1" s="1"/>
  <c r="B942" i="1"/>
  <c r="H942" i="1"/>
  <c r="J942" i="1"/>
  <c r="K942" i="1"/>
  <c r="Q942" i="1"/>
  <c r="P942" i="1" s="1"/>
  <c r="B943" i="1"/>
  <c r="H943" i="1"/>
  <c r="J943" i="1"/>
  <c r="K943" i="1"/>
  <c r="Q943" i="1"/>
  <c r="P943" i="1" s="1"/>
  <c r="B944" i="1"/>
  <c r="H944" i="1"/>
  <c r="J944" i="1"/>
  <c r="K944" i="1"/>
  <c r="Q944" i="1"/>
  <c r="P944" i="1" s="1"/>
  <c r="B945" i="1"/>
  <c r="H945" i="1"/>
  <c r="J945" i="1"/>
  <c r="K945" i="1"/>
  <c r="Q945" i="1"/>
  <c r="P945" i="1" s="1"/>
  <c r="B975" i="1"/>
  <c r="H975" i="1"/>
  <c r="J975" i="1"/>
  <c r="K975" i="1"/>
  <c r="Q975" i="1"/>
  <c r="P975" i="1" s="1"/>
  <c r="B974" i="1"/>
  <c r="H974" i="1"/>
  <c r="J974" i="1"/>
  <c r="K974" i="1"/>
  <c r="Q974" i="1"/>
  <c r="P974" i="1" s="1"/>
  <c r="B956" i="1"/>
  <c r="B957" i="1"/>
  <c r="B958" i="1"/>
  <c r="B959" i="1"/>
  <c r="B960" i="1"/>
  <c r="B961" i="1"/>
  <c r="B962" i="1"/>
  <c r="B963" i="1"/>
  <c r="B964" i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K956" i="1"/>
  <c r="K957" i="1"/>
  <c r="K958" i="1"/>
  <c r="K959" i="1"/>
  <c r="K960" i="1"/>
  <c r="K961" i="1"/>
  <c r="K962" i="1"/>
  <c r="K963" i="1"/>
  <c r="K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B955" i="1"/>
  <c r="H955" i="1"/>
  <c r="J955" i="1"/>
  <c r="K955" i="1"/>
  <c r="Q955" i="1"/>
  <c r="P955" i="1" s="1"/>
  <c r="B934" i="1"/>
  <c r="B935" i="1"/>
  <c r="B936" i="1"/>
  <c r="B937" i="1"/>
  <c r="H934" i="1"/>
  <c r="H935" i="1"/>
  <c r="H936" i="1"/>
  <c r="H937" i="1"/>
  <c r="J934" i="1"/>
  <c r="J935" i="1"/>
  <c r="J936" i="1"/>
  <c r="J937" i="1"/>
  <c r="K934" i="1"/>
  <c r="K935" i="1"/>
  <c r="K936" i="1"/>
  <c r="K937" i="1"/>
  <c r="Q934" i="1"/>
  <c r="P934" i="1" s="1"/>
  <c r="Q935" i="1"/>
  <c r="P935" i="1" s="1"/>
  <c r="Q936" i="1"/>
  <c r="P936" i="1" s="1"/>
  <c r="Q937" i="1"/>
  <c r="P937" i="1" s="1"/>
  <c r="B931" i="1"/>
  <c r="B932" i="1"/>
  <c r="B933" i="1"/>
  <c r="H931" i="1"/>
  <c r="H932" i="1"/>
  <c r="H933" i="1"/>
  <c r="J931" i="1"/>
  <c r="J932" i="1"/>
  <c r="J933" i="1"/>
  <c r="K931" i="1"/>
  <c r="K932" i="1"/>
  <c r="K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B927" i="1"/>
  <c r="B928" i="1"/>
  <c r="B929" i="1"/>
  <c r="H927" i="1"/>
  <c r="H928" i="1"/>
  <c r="H929" i="1"/>
  <c r="J927" i="1"/>
  <c r="J928" i="1"/>
  <c r="J929" i="1"/>
  <c r="K927" i="1"/>
  <c r="K928" i="1"/>
  <c r="K929" i="1"/>
  <c r="B926" i="1"/>
  <c r="H926" i="1"/>
  <c r="J926" i="1"/>
  <c r="K926" i="1"/>
  <c r="Q926" i="1"/>
  <c r="P926" i="1" s="1"/>
  <c r="B930" i="1"/>
  <c r="H930" i="1"/>
  <c r="J930" i="1"/>
  <c r="K930" i="1"/>
  <c r="Q930" i="1"/>
  <c r="P930" i="1" s="1"/>
  <c r="B925" i="1"/>
  <c r="H925" i="1"/>
  <c r="J925" i="1"/>
  <c r="K925" i="1"/>
  <c r="Q925" i="1"/>
  <c r="P925" i="1" s="1"/>
  <c r="B924" i="1"/>
  <c r="H924" i="1"/>
  <c r="J924" i="1"/>
  <c r="K924" i="1"/>
  <c r="Q924" i="1"/>
  <c r="P924" i="1" s="1"/>
  <c r="B923" i="1"/>
  <c r="H923" i="1"/>
  <c r="J923" i="1"/>
  <c r="K923" i="1"/>
  <c r="Q923" i="1"/>
  <c r="P923" i="1" s="1"/>
  <c r="B922" i="1"/>
  <c r="H922" i="1"/>
  <c r="J922" i="1"/>
  <c r="K922" i="1"/>
  <c r="Q922" i="1"/>
  <c r="P922" i="1" s="1"/>
  <c r="B921" i="1"/>
  <c r="H921" i="1"/>
  <c r="J921" i="1"/>
  <c r="K921" i="1"/>
  <c r="Q921" i="1"/>
  <c r="P921" i="1" s="1"/>
  <c r="B920" i="1"/>
  <c r="H920" i="1"/>
  <c r="J920" i="1"/>
  <c r="K920" i="1"/>
  <c r="Q920" i="1"/>
  <c r="P920" i="1" s="1"/>
  <c r="B909" i="1"/>
  <c r="B910" i="1"/>
  <c r="B911" i="1"/>
  <c r="B912" i="1"/>
  <c r="B913" i="1"/>
  <c r="B914" i="1"/>
  <c r="B915" i="1"/>
  <c r="B916" i="1"/>
  <c r="B917" i="1"/>
  <c r="B918" i="1"/>
  <c r="B919" i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K909" i="1"/>
  <c r="K910" i="1"/>
  <c r="K911" i="1"/>
  <c r="K912" i="1"/>
  <c r="K913" i="1"/>
  <c r="K914" i="1"/>
  <c r="K915" i="1"/>
  <c r="K916" i="1"/>
  <c r="K917" i="1"/>
  <c r="K918" i="1"/>
  <c r="K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B907" i="1"/>
  <c r="H907" i="1"/>
  <c r="J907" i="1"/>
  <c r="K907" i="1"/>
  <c r="Q907" i="1"/>
  <c r="P907" i="1" s="1"/>
  <c r="B883" i="1"/>
  <c r="H883" i="1"/>
  <c r="J883" i="1"/>
  <c r="K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B908" i="1"/>
  <c r="H908" i="1"/>
  <c r="K908" i="1"/>
  <c r="Q908" i="1"/>
  <c r="P908" i="1" s="1"/>
  <c r="B906" i="1"/>
  <c r="H906" i="1"/>
  <c r="J906" i="1"/>
  <c r="K906" i="1"/>
  <c r="Q906" i="1"/>
  <c r="P906" i="1" s="1"/>
  <c r="B898" i="1"/>
  <c r="B899" i="1"/>
  <c r="B900" i="1"/>
  <c r="B901" i="1"/>
  <c r="B902" i="1"/>
  <c r="B903" i="1"/>
  <c r="B904" i="1"/>
  <c r="B905" i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K898" i="1"/>
  <c r="K899" i="1"/>
  <c r="K900" i="1"/>
  <c r="K901" i="1"/>
  <c r="K902" i="1"/>
  <c r="K903" i="1"/>
  <c r="K904" i="1"/>
  <c r="K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B897" i="1"/>
  <c r="H897" i="1"/>
  <c r="J897" i="1"/>
  <c r="K897" i="1"/>
  <c r="Q897" i="1"/>
  <c r="P897" i="1" s="1"/>
  <c r="B891" i="1"/>
  <c r="B892" i="1"/>
  <c r="B893" i="1"/>
  <c r="B894" i="1"/>
  <c r="H891" i="1"/>
  <c r="H892" i="1"/>
  <c r="H893" i="1"/>
  <c r="H894" i="1"/>
  <c r="J891" i="1"/>
  <c r="J892" i="1"/>
  <c r="J893" i="1"/>
  <c r="J894" i="1"/>
  <c r="K891" i="1"/>
  <c r="K892" i="1"/>
  <c r="K893" i="1"/>
  <c r="K894" i="1"/>
  <c r="Q891" i="1"/>
  <c r="P891" i="1" s="1"/>
  <c r="Q892" i="1"/>
  <c r="P892" i="1" s="1"/>
  <c r="Q893" i="1"/>
  <c r="P893" i="1" s="1"/>
  <c r="Q894" i="1"/>
  <c r="P894" i="1" s="1"/>
  <c r="B895" i="1"/>
  <c r="H895" i="1"/>
  <c r="J895" i="1"/>
  <c r="K895" i="1"/>
  <c r="Q895" i="1"/>
  <c r="P895" i="1" s="1"/>
  <c r="B896" i="1"/>
  <c r="H896" i="1"/>
  <c r="J896" i="1"/>
  <c r="K896" i="1"/>
  <c r="Q896" i="1"/>
  <c r="P896" i="1" s="1"/>
  <c r="B886" i="1"/>
  <c r="B887" i="1"/>
  <c r="B888" i="1"/>
  <c r="B889" i="1"/>
  <c r="H886" i="1"/>
  <c r="H887" i="1"/>
  <c r="H888" i="1"/>
  <c r="H889" i="1"/>
  <c r="K886" i="1"/>
  <c r="K887" i="1"/>
  <c r="K888" i="1"/>
  <c r="K889" i="1"/>
  <c r="Q886" i="1"/>
  <c r="P886" i="1" s="1"/>
  <c r="Q887" i="1"/>
  <c r="P887" i="1" s="1"/>
  <c r="Q888" i="1"/>
  <c r="P888" i="1" s="1"/>
  <c r="Q889" i="1"/>
  <c r="P889" i="1" s="1"/>
  <c r="B890" i="1"/>
  <c r="H890" i="1"/>
  <c r="J890" i="1"/>
  <c r="K890" i="1"/>
  <c r="Q890" i="1"/>
  <c r="P890" i="1" s="1"/>
  <c r="B832" i="1"/>
  <c r="H832" i="1"/>
  <c r="K832" i="1"/>
  <c r="Q832" i="1"/>
  <c r="P832" i="1" s="1"/>
  <c r="J832" i="1"/>
  <c r="B884" i="1"/>
  <c r="B885" i="1"/>
  <c r="H884" i="1"/>
  <c r="H885" i="1"/>
  <c r="J884" i="1"/>
  <c r="J885" i="1"/>
  <c r="K884" i="1"/>
  <c r="K885" i="1"/>
  <c r="Q884" i="1"/>
  <c r="P884" i="1" s="1"/>
  <c r="Q885" i="1"/>
  <c r="P885" i="1" s="1"/>
  <c r="B882" i="1"/>
  <c r="H882" i="1"/>
  <c r="J882" i="1"/>
  <c r="K882" i="1"/>
  <c r="Q882" i="1"/>
  <c r="P882" i="1" s="1"/>
  <c r="B881" i="1"/>
  <c r="H881" i="1"/>
  <c r="J881" i="1"/>
  <c r="K881" i="1"/>
  <c r="Q881" i="1"/>
  <c r="P881" i="1" s="1"/>
  <c r="Q851" i="1"/>
  <c r="P851" i="1" s="1"/>
  <c r="K851" i="1"/>
  <c r="Q850" i="1"/>
  <c r="P850" i="1" s="1"/>
  <c r="K850" i="1"/>
  <c r="Q849" i="1"/>
  <c r="P849" i="1" s="1"/>
  <c r="K849" i="1"/>
  <c r="Q848" i="1"/>
  <c r="P848" i="1" s="1"/>
  <c r="K848" i="1"/>
  <c r="Q847" i="1"/>
  <c r="P847" i="1" s="1"/>
  <c r="K847" i="1"/>
  <c r="Q846" i="1"/>
  <c r="P846" i="1" s="1"/>
  <c r="K846" i="1"/>
  <c r="Q845" i="1"/>
  <c r="P845" i="1" s="1"/>
  <c r="K845" i="1"/>
  <c r="Q844" i="1"/>
  <c r="P844" i="1" s="1"/>
  <c r="K844" i="1"/>
  <c r="Q843" i="1"/>
  <c r="P843" i="1" s="1"/>
  <c r="K843" i="1"/>
  <c r="Q842" i="1"/>
  <c r="P842" i="1" s="1"/>
  <c r="K842" i="1"/>
  <c r="Q841" i="1"/>
  <c r="P841" i="1" s="1"/>
  <c r="K841" i="1"/>
  <c r="Q840" i="1"/>
  <c r="P840" i="1" s="1"/>
  <c r="K840" i="1"/>
  <c r="Q839" i="1"/>
  <c r="P839" i="1" s="1"/>
  <c r="K839" i="1"/>
  <c r="Q838" i="1"/>
  <c r="P838" i="1" s="1"/>
  <c r="K838" i="1"/>
  <c r="Q837" i="1"/>
  <c r="P837" i="1" s="1"/>
  <c r="K837" i="1"/>
  <c r="Q836" i="1"/>
  <c r="P836" i="1" s="1"/>
  <c r="K836" i="1"/>
  <c r="Q835" i="1"/>
  <c r="P835" i="1" s="1"/>
  <c r="K835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K834" i="1"/>
  <c r="Q834" i="1"/>
  <c r="P834" i="1" s="1"/>
  <c r="B852" i="1"/>
  <c r="B853" i="1"/>
  <c r="B854" i="1"/>
  <c r="H852" i="1"/>
  <c r="H853" i="1"/>
  <c r="H854" i="1"/>
  <c r="J852" i="1"/>
  <c r="J853" i="1"/>
  <c r="J854" i="1"/>
  <c r="K852" i="1"/>
  <c r="K853" i="1"/>
  <c r="K854" i="1"/>
  <c r="Q852" i="1"/>
  <c r="P852" i="1" s="1"/>
  <c r="Q853" i="1"/>
  <c r="P853" i="1" s="1"/>
  <c r="Q854" i="1"/>
  <c r="P854" i="1" s="1"/>
  <c r="B855" i="1"/>
  <c r="B856" i="1"/>
  <c r="B857" i="1"/>
  <c r="B858" i="1"/>
  <c r="B859" i="1"/>
  <c r="B860" i="1"/>
  <c r="H855" i="1"/>
  <c r="H856" i="1"/>
  <c r="H857" i="1"/>
  <c r="H858" i="1"/>
  <c r="H859" i="1"/>
  <c r="H860" i="1"/>
  <c r="J855" i="1"/>
  <c r="J856" i="1"/>
  <c r="J857" i="1"/>
  <c r="J858" i="1"/>
  <c r="J859" i="1"/>
  <c r="J860" i="1"/>
  <c r="K855" i="1"/>
  <c r="K856" i="1"/>
  <c r="K857" i="1"/>
  <c r="K858" i="1"/>
  <c r="K859" i="1"/>
  <c r="K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K879" i="1"/>
  <c r="Q878" i="1"/>
  <c r="P878" i="1" s="1"/>
  <c r="K878" i="1"/>
  <c r="Q877" i="1"/>
  <c r="P877" i="1" s="1"/>
  <c r="K877" i="1"/>
  <c r="Q876" i="1"/>
  <c r="P876" i="1" s="1"/>
  <c r="K876" i="1"/>
  <c r="Q875" i="1"/>
  <c r="P875" i="1" s="1"/>
  <c r="K875" i="1"/>
  <c r="Q874" i="1"/>
  <c r="P874" i="1" s="1"/>
  <c r="K874" i="1"/>
  <c r="Q873" i="1"/>
  <c r="P873" i="1" s="1"/>
  <c r="K873" i="1"/>
  <c r="Q872" i="1"/>
  <c r="P872" i="1" s="1"/>
  <c r="K872" i="1"/>
  <c r="Q871" i="1"/>
  <c r="P871" i="1" s="1"/>
  <c r="K871" i="1"/>
  <c r="Q870" i="1"/>
  <c r="P870" i="1" s="1"/>
  <c r="K870" i="1"/>
  <c r="Q869" i="1"/>
  <c r="P869" i="1" s="1"/>
  <c r="K869" i="1"/>
  <c r="Q868" i="1"/>
  <c r="P868" i="1" s="1"/>
  <c r="K868" i="1"/>
  <c r="Q867" i="1"/>
  <c r="P867" i="1" s="1"/>
  <c r="K867" i="1"/>
  <c r="Q865" i="1"/>
  <c r="P865" i="1" s="1"/>
  <c r="K865" i="1"/>
  <c r="Q864" i="1"/>
  <c r="P864" i="1" s="1"/>
  <c r="K864" i="1"/>
  <c r="Q863" i="1"/>
  <c r="P863" i="1" s="1"/>
  <c r="K863" i="1"/>
  <c r="Q862" i="1"/>
  <c r="P862" i="1" s="1"/>
  <c r="K862" i="1"/>
  <c r="B861" i="1"/>
  <c r="B862" i="1"/>
  <c r="B863" i="1"/>
  <c r="B864" i="1"/>
  <c r="B865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K861" i="1"/>
  <c r="Q861" i="1"/>
  <c r="P861" i="1" s="1"/>
  <c r="B880" i="1"/>
  <c r="H880" i="1"/>
  <c r="J880" i="1"/>
  <c r="K880" i="1"/>
  <c r="Q880" i="1"/>
  <c r="P880" i="1" s="1"/>
  <c r="B831" i="1"/>
  <c r="H831" i="1"/>
  <c r="J831" i="1"/>
  <c r="K831" i="1"/>
  <c r="Q831" i="1"/>
  <c r="P831" i="1" s="1"/>
  <c r="B833" i="1"/>
  <c r="H833" i="1"/>
  <c r="K833" i="1"/>
  <c r="Q833" i="1"/>
  <c r="P833" i="1" s="1"/>
  <c r="B808" i="1"/>
  <c r="B809" i="1"/>
  <c r="B810" i="1"/>
  <c r="B811" i="1"/>
  <c r="B812" i="1"/>
  <c r="H808" i="1"/>
  <c r="H809" i="1"/>
  <c r="H810" i="1"/>
  <c r="H811" i="1"/>
  <c r="H812" i="1"/>
  <c r="J808" i="1"/>
  <c r="J809" i="1"/>
  <c r="J810" i="1"/>
  <c r="J811" i="1"/>
  <c r="J812" i="1"/>
  <c r="K808" i="1"/>
  <c r="K809" i="1"/>
  <c r="K810" i="1"/>
  <c r="K811" i="1"/>
  <c r="K812" i="1"/>
  <c r="Q808" i="1"/>
  <c r="P808" i="1" s="1"/>
  <c r="Q809" i="1"/>
  <c r="P809" i="1" s="1"/>
  <c r="Q810" i="1"/>
  <c r="P810" i="1" s="1"/>
  <c r="Q811" i="1"/>
  <c r="P811" i="1" s="1"/>
  <c r="Q812" i="1"/>
  <c r="P812" i="1" s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B813" i="1"/>
  <c r="H813" i="1"/>
  <c r="J813" i="1"/>
  <c r="K813" i="1"/>
  <c r="Q813" i="1"/>
  <c r="P813" i="1" s="1"/>
  <c r="B764" i="1"/>
  <c r="B765" i="1"/>
  <c r="B766" i="1"/>
  <c r="B767" i="1"/>
  <c r="B768" i="1"/>
  <c r="B769" i="1"/>
  <c r="B770" i="1"/>
  <c r="B771" i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K764" i="1"/>
  <c r="K765" i="1"/>
  <c r="K766" i="1"/>
  <c r="K767" i="1"/>
  <c r="K768" i="1"/>
  <c r="K769" i="1"/>
  <c r="K770" i="1"/>
  <c r="K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K773" i="1"/>
  <c r="J773" i="1"/>
  <c r="K772" i="1"/>
  <c r="J772" i="1"/>
  <c r="H773" i="1"/>
  <c r="H772" i="1"/>
  <c r="B772" i="1"/>
  <c r="B773" i="1"/>
  <c r="B774" i="1"/>
  <c r="H774" i="1"/>
  <c r="J774" i="1"/>
  <c r="K774" i="1"/>
  <c r="Q774" i="1"/>
  <c r="P774" i="1" s="1"/>
  <c r="B775" i="1"/>
  <c r="B776" i="1"/>
  <c r="B777" i="1"/>
  <c r="B778" i="1"/>
  <c r="B779" i="1"/>
  <c r="B780" i="1"/>
  <c r="B781" i="1"/>
  <c r="B782" i="1"/>
  <c r="B783" i="1"/>
  <c r="B784" i="1"/>
  <c r="B785" i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K775" i="1"/>
  <c r="K776" i="1"/>
  <c r="K777" i="1"/>
  <c r="K778" i="1"/>
  <c r="K779" i="1"/>
  <c r="K780" i="1"/>
  <c r="K781" i="1"/>
  <c r="K782" i="1"/>
  <c r="K783" i="1"/>
  <c r="K784" i="1"/>
  <c r="K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B761" i="1"/>
  <c r="H761" i="1"/>
  <c r="J761" i="1"/>
  <c r="K761" i="1"/>
  <c r="Q761" i="1"/>
  <c r="P761" i="1" s="1"/>
  <c r="B762" i="1"/>
  <c r="B763" i="1"/>
  <c r="H762" i="1"/>
  <c r="H763" i="1"/>
  <c r="J762" i="1"/>
  <c r="J763" i="1"/>
  <c r="K762" i="1"/>
  <c r="K763" i="1"/>
  <c r="Q762" i="1"/>
  <c r="P762" i="1" s="1"/>
  <c r="Q763" i="1"/>
  <c r="P763" i="1" s="1"/>
  <c r="B755" i="1"/>
  <c r="H755" i="1"/>
  <c r="J755" i="1"/>
  <c r="K755" i="1"/>
  <c r="Q755" i="1"/>
  <c r="P755" i="1" s="1"/>
  <c r="B754" i="1"/>
  <c r="H754" i="1"/>
  <c r="J754" i="1"/>
  <c r="K754" i="1"/>
  <c r="Q754" i="1"/>
  <c r="P754" i="1" s="1"/>
  <c r="B757" i="1"/>
  <c r="B758" i="1"/>
  <c r="B759" i="1"/>
  <c r="H757" i="1"/>
  <c r="H758" i="1"/>
  <c r="H759" i="1"/>
  <c r="J757" i="1"/>
  <c r="J758" i="1"/>
  <c r="J759" i="1"/>
  <c r="K757" i="1"/>
  <c r="K758" i="1"/>
  <c r="K759" i="1"/>
  <c r="Q757" i="1"/>
  <c r="P757" i="1" s="1"/>
  <c r="Q758" i="1"/>
  <c r="P758" i="1" s="1"/>
  <c r="Q759" i="1"/>
  <c r="P759" i="1" s="1"/>
  <c r="B756" i="1"/>
  <c r="H756" i="1"/>
  <c r="J756" i="1"/>
  <c r="K756" i="1"/>
  <c r="Q756" i="1"/>
  <c r="P756" i="1" s="1"/>
  <c r="B760" i="1"/>
  <c r="H760" i="1"/>
  <c r="J760" i="1"/>
  <c r="K760" i="1"/>
  <c r="Q760" i="1"/>
  <c r="P760" i="1" s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K735" i="1"/>
  <c r="Q734" i="1"/>
  <c r="P734" i="1" s="1"/>
  <c r="K734" i="1"/>
  <c r="Q733" i="1"/>
  <c r="P733" i="1" s="1"/>
  <c r="K733" i="1"/>
  <c r="Q732" i="1"/>
  <c r="P732" i="1" s="1"/>
  <c r="K732" i="1"/>
  <c r="Q731" i="1"/>
  <c r="P731" i="1" s="1"/>
  <c r="K731" i="1"/>
  <c r="Q730" i="1"/>
  <c r="P730" i="1" s="1"/>
  <c r="K730" i="1"/>
  <c r="Q729" i="1"/>
  <c r="P729" i="1" s="1"/>
  <c r="K729" i="1"/>
  <c r="Q728" i="1"/>
  <c r="P728" i="1" s="1"/>
  <c r="K728" i="1"/>
  <c r="Q727" i="1"/>
  <c r="P727" i="1" s="1"/>
  <c r="K727" i="1"/>
  <c r="Q726" i="1"/>
  <c r="P726" i="1" s="1"/>
  <c r="K726" i="1"/>
  <c r="Q725" i="1"/>
  <c r="P725" i="1" s="1"/>
  <c r="K725" i="1"/>
  <c r="Q724" i="1"/>
  <c r="P724" i="1" s="1"/>
  <c r="K724" i="1"/>
  <c r="Q723" i="1"/>
  <c r="P723" i="1" s="1"/>
  <c r="K723" i="1"/>
  <c r="Q722" i="1"/>
  <c r="P722" i="1" s="1"/>
  <c r="K722" i="1"/>
  <c r="Q721" i="1"/>
  <c r="P721" i="1" s="1"/>
  <c r="K721" i="1"/>
  <c r="Q720" i="1"/>
  <c r="P720" i="1" s="1"/>
  <c r="K720" i="1"/>
  <c r="Q719" i="1"/>
  <c r="P719" i="1" s="1"/>
  <c r="K719" i="1"/>
  <c r="Q718" i="1"/>
  <c r="P718" i="1" s="1"/>
  <c r="K718" i="1"/>
  <c r="Q717" i="1"/>
  <c r="P717" i="1" s="1"/>
  <c r="K717" i="1"/>
  <c r="Q716" i="1"/>
  <c r="P716" i="1" s="1"/>
  <c r="K716" i="1"/>
  <c r="Q715" i="1"/>
  <c r="P715" i="1" s="1"/>
  <c r="K715" i="1"/>
  <c r="Q714" i="1"/>
  <c r="P714" i="1" s="1"/>
  <c r="K714" i="1"/>
  <c r="Q713" i="1"/>
  <c r="P713" i="1" s="1"/>
  <c r="K713" i="1"/>
  <c r="Q712" i="1"/>
  <c r="P712" i="1" s="1"/>
  <c r="K712" i="1"/>
  <c r="Q711" i="1"/>
  <c r="P711" i="1" s="1"/>
  <c r="K711" i="1"/>
  <c r="Q710" i="1"/>
  <c r="P710" i="1" s="1"/>
  <c r="K710" i="1"/>
  <c r="Q709" i="1"/>
  <c r="P709" i="1" s="1"/>
  <c r="K709" i="1"/>
  <c r="Q708" i="1"/>
  <c r="P708" i="1" s="1"/>
  <c r="K708" i="1"/>
  <c r="Q707" i="1"/>
  <c r="P707" i="1" s="1"/>
  <c r="K707" i="1"/>
  <c r="Q706" i="1"/>
  <c r="P706" i="1" s="1"/>
  <c r="K706" i="1"/>
  <c r="Q705" i="1"/>
  <c r="P705" i="1" s="1"/>
  <c r="K705" i="1"/>
  <c r="Q704" i="1"/>
  <c r="P704" i="1" s="1"/>
  <c r="K704" i="1"/>
  <c r="Q703" i="1"/>
  <c r="P703" i="1" s="1"/>
  <c r="K703" i="1"/>
  <c r="Q702" i="1"/>
  <c r="P702" i="1" s="1"/>
  <c r="K702" i="1"/>
  <c r="Q701" i="1"/>
  <c r="P701" i="1" s="1"/>
  <c r="K701" i="1"/>
  <c r="Q700" i="1"/>
  <c r="P700" i="1" s="1"/>
  <c r="K700" i="1"/>
  <c r="Q699" i="1"/>
  <c r="P699" i="1" s="1"/>
  <c r="K699" i="1"/>
  <c r="Q698" i="1"/>
  <c r="P698" i="1" s="1"/>
  <c r="K698" i="1"/>
  <c r="Q697" i="1"/>
  <c r="P697" i="1" s="1"/>
  <c r="K697" i="1"/>
  <c r="Q696" i="1"/>
  <c r="P696" i="1" s="1"/>
  <c r="K696" i="1"/>
  <c r="Q695" i="1"/>
  <c r="P695" i="1" s="1"/>
  <c r="K695" i="1"/>
  <c r="Q694" i="1"/>
  <c r="P694" i="1" s="1"/>
  <c r="K694" i="1"/>
  <c r="Q693" i="1"/>
  <c r="P693" i="1" s="1"/>
  <c r="K693" i="1"/>
  <c r="Q692" i="1"/>
  <c r="P692" i="1" s="1"/>
  <c r="K692" i="1"/>
  <c r="Q691" i="1"/>
  <c r="P691" i="1" s="1"/>
  <c r="K691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B690" i="1"/>
  <c r="H690" i="1"/>
  <c r="J690" i="1"/>
  <c r="K690" i="1"/>
  <c r="Q690" i="1"/>
  <c r="P690" i="1" s="1"/>
  <c r="Q738" i="1"/>
  <c r="P738" i="1" s="1"/>
  <c r="Q737" i="1"/>
  <c r="P737" i="1" s="1"/>
  <c r="B737" i="1"/>
  <c r="B738" i="1"/>
  <c r="H737" i="1"/>
  <c r="H738" i="1"/>
  <c r="J737" i="1"/>
  <c r="J738" i="1"/>
  <c r="K737" i="1"/>
  <c r="K738" i="1"/>
  <c r="B736" i="1"/>
  <c r="H736" i="1"/>
  <c r="J736" i="1"/>
  <c r="K736" i="1"/>
  <c r="Q736" i="1"/>
  <c r="P736" i="1" s="1"/>
  <c r="B663" i="1"/>
  <c r="B664" i="1"/>
  <c r="B665" i="1"/>
  <c r="H663" i="1"/>
  <c r="H664" i="1"/>
  <c r="H665" i="1"/>
  <c r="J663" i="1"/>
  <c r="J664" i="1"/>
  <c r="J665" i="1"/>
  <c r="K663" i="1"/>
  <c r="K664" i="1"/>
  <c r="K665" i="1"/>
  <c r="Q663" i="1"/>
  <c r="P663" i="1" s="1"/>
  <c r="Q664" i="1"/>
  <c r="P664" i="1" s="1"/>
  <c r="Q665" i="1"/>
  <c r="P665" i="1" s="1"/>
  <c r="B662" i="1"/>
  <c r="H662" i="1"/>
  <c r="J662" i="1"/>
  <c r="K662" i="1"/>
  <c r="Q662" i="1"/>
  <c r="P662" i="1" s="1"/>
  <c r="B667" i="1"/>
  <c r="B668" i="1"/>
  <c r="B669" i="1"/>
  <c r="B670" i="1"/>
  <c r="B671" i="1"/>
  <c r="B672" i="1"/>
  <c r="B673" i="1"/>
  <c r="B674" i="1"/>
  <c r="B675" i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K667" i="1"/>
  <c r="K668" i="1"/>
  <c r="K669" i="1"/>
  <c r="K670" i="1"/>
  <c r="K671" i="1"/>
  <c r="K672" i="1"/>
  <c r="K673" i="1"/>
  <c r="K674" i="1"/>
  <c r="K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B666" i="1"/>
  <c r="H666" i="1"/>
  <c r="J666" i="1"/>
  <c r="K666" i="1"/>
  <c r="Q666" i="1"/>
  <c r="P666" i="1" s="1"/>
  <c r="B653" i="1"/>
  <c r="B654" i="1"/>
  <c r="B655" i="1"/>
  <c r="B656" i="1"/>
  <c r="B657" i="1"/>
  <c r="B658" i="1"/>
  <c r="B659" i="1"/>
  <c r="B660" i="1"/>
  <c r="B661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K653" i="1"/>
  <c r="K654" i="1"/>
  <c r="K655" i="1"/>
  <c r="K656" i="1"/>
  <c r="K657" i="1"/>
  <c r="K658" i="1"/>
  <c r="K659" i="1"/>
  <c r="K660" i="1"/>
  <c r="K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B652" i="1"/>
  <c r="H652" i="1"/>
  <c r="J652" i="1"/>
  <c r="K652" i="1"/>
  <c r="Q652" i="1"/>
  <c r="P652" i="1" s="1"/>
  <c r="B643" i="1"/>
  <c r="H643" i="1"/>
  <c r="J643" i="1"/>
  <c r="K643" i="1"/>
  <c r="Q643" i="1"/>
  <c r="P643" i="1" s="1"/>
  <c r="B644" i="1"/>
  <c r="B645" i="1"/>
  <c r="B646" i="1"/>
  <c r="B647" i="1"/>
  <c r="B648" i="1"/>
  <c r="B649" i="1"/>
  <c r="B650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K644" i="1"/>
  <c r="K645" i="1"/>
  <c r="K646" i="1"/>
  <c r="K647" i="1"/>
  <c r="K648" i="1"/>
  <c r="K649" i="1"/>
  <c r="K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B651" i="1"/>
  <c r="H651" i="1"/>
  <c r="J651" i="1"/>
  <c r="K651" i="1"/>
  <c r="Q651" i="1"/>
  <c r="P651" i="1" s="1"/>
  <c r="B642" i="1"/>
  <c r="H642" i="1"/>
  <c r="J642" i="1"/>
  <c r="K642" i="1"/>
  <c r="Q642" i="1"/>
  <c r="P642" i="1" s="1"/>
  <c r="B641" i="1"/>
  <c r="H641" i="1"/>
  <c r="J641" i="1"/>
  <c r="K641" i="1"/>
  <c r="Q641" i="1"/>
  <c r="P641" i="1" s="1"/>
  <c r="B640" i="1"/>
  <c r="H640" i="1"/>
  <c r="J640" i="1"/>
  <c r="K640" i="1"/>
  <c r="Q640" i="1"/>
  <c r="P640" i="1" s="1"/>
  <c r="B633" i="1"/>
  <c r="B634" i="1"/>
  <c r="H633" i="1"/>
  <c r="H634" i="1"/>
  <c r="J633" i="1"/>
  <c r="J634" i="1"/>
  <c r="K633" i="1"/>
  <c r="K634" i="1"/>
  <c r="Q633" i="1"/>
  <c r="P633" i="1" s="1"/>
  <c r="Q634" i="1"/>
  <c r="P634" i="1" s="1"/>
  <c r="B624" i="1"/>
  <c r="B625" i="1"/>
  <c r="B626" i="1"/>
  <c r="B627" i="1"/>
  <c r="B628" i="1"/>
  <c r="B629" i="1"/>
  <c r="B630" i="1"/>
  <c r="B631" i="1"/>
  <c r="B632" i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K624" i="1"/>
  <c r="K625" i="1"/>
  <c r="K626" i="1"/>
  <c r="K627" i="1"/>
  <c r="K628" i="1"/>
  <c r="K629" i="1"/>
  <c r="K630" i="1"/>
  <c r="K631" i="1"/>
  <c r="K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B623" i="1"/>
  <c r="H623" i="1"/>
  <c r="J623" i="1"/>
  <c r="K623" i="1"/>
  <c r="Q623" i="1"/>
  <c r="P623" i="1" s="1"/>
  <c r="B636" i="1"/>
  <c r="B637" i="1"/>
  <c r="B638" i="1"/>
  <c r="B639" i="1"/>
  <c r="H636" i="1"/>
  <c r="H637" i="1"/>
  <c r="H638" i="1"/>
  <c r="H639" i="1"/>
  <c r="J636" i="1"/>
  <c r="J637" i="1"/>
  <c r="J638" i="1"/>
  <c r="J639" i="1"/>
  <c r="K636" i="1"/>
  <c r="K637" i="1"/>
  <c r="K638" i="1"/>
  <c r="K639" i="1"/>
  <c r="Q636" i="1"/>
  <c r="P636" i="1" s="1"/>
  <c r="Q637" i="1"/>
  <c r="P637" i="1" s="1"/>
  <c r="Q638" i="1"/>
  <c r="P638" i="1" s="1"/>
  <c r="Q639" i="1"/>
  <c r="P639" i="1" s="1"/>
  <c r="B635" i="1"/>
  <c r="H635" i="1"/>
  <c r="J635" i="1"/>
  <c r="K635" i="1"/>
  <c r="Q635" i="1"/>
  <c r="P635" i="1" s="1"/>
  <c r="B377" i="1"/>
  <c r="H377" i="1"/>
  <c r="J377" i="1"/>
  <c r="K377" i="1"/>
  <c r="Q377" i="1"/>
  <c r="P377" i="1" s="1"/>
  <c r="B382" i="1"/>
  <c r="H382" i="1"/>
  <c r="J382" i="1"/>
  <c r="K382" i="1"/>
  <c r="Q382" i="1"/>
  <c r="P382" i="1" s="1"/>
  <c r="B499" i="1"/>
  <c r="H499" i="1"/>
  <c r="J499" i="1"/>
  <c r="K499" i="1"/>
  <c r="Q499" i="1"/>
  <c r="P499" i="1" s="1"/>
  <c r="B500" i="1"/>
  <c r="H500" i="1"/>
  <c r="J500" i="1"/>
  <c r="K500" i="1"/>
  <c r="Q500" i="1"/>
  <c r="P500" i="1" s="1"/>
  <c r="B501" i="1"/>
  <c r="H501" i="1"/>
  <c r="J501" i="1"/>
  <c r="K501" i="1"/>
  <c r="Q501" i="1"/>
  <c r="P501" i="1" s="1"/>
  <c r="B502" i="1"/>
  <c r="H502" i="1"/>
  <c r="J502" i="1"/>
  <c r="K502" i="1"/>
  <c r="Q502" i="1"/>
  <c r="P502" i="1" s="1"/>
  <c r="B503" i="1"/>
  <c r="H503" i="1"/>
  <c r="J503" i="1"/>
  <c r="K503" i="1"/>
  <c r="Q503" i="1"/>
  <c r="P503" i="1" s="1"/>
  <c r="B504" i="1"/>
  <c r="H504" i="1"/>
  <c r="J504" i="1"/>
  <c r="K504" i="1"/>
  <c r="Q504" i="1"/>
  <c r="P504" i="1" s="1"/>
  <c r="B505" i="1"/>
  <c r="H505" i="1"/>
  <c r="J505" i="1"/>
  <c r="K505" i="1"/>
  <c r="Q505" i="1"/>
  <c r="P505" i="1" s="1"/>
  <c r="B506" i="1"/>
  <c r="H506" i="1"/>
  <c r="J506" i="1"/>
  <c r="K506" i="1"/>
  <c r="Q506" i="1"/>
  <c r="P506" i="1" s="1"/>
  <c r="B507" i="1"/>
  <c r="H507" i="1"/>
  <c r="J507" i="1"/>
  <c r="K507" i="1"/>
  <c r="Q507" i="1"/>
  <c r="P507" i="1" s="1"/>
  <c r="B508" i="1"/>
  <c r="H508" i="1"/>
  <c r="J508" i="1"/>
  <c r="K508" i="1"/>
  <c r="Q508" i="1"/>
  <c r="P508" i="1" s="1"/>
  <c r="B514" i="1"/>
  <c r="H514" i="1"/>
  <c r="J514" i="1"/>
  <c r="K514" i="1"/>
  <c r="Q514" i="1"/>
  <c r="P514" i="1" s="1"/>
  <c r="B515" i="1"/>
  <c r="H515" i="1"/>
  <c r="J515" i="1"/>
  <c r="K515" i="1"/>
  <c r="Q515" i="1"/>
  <c r="P515" i="1" s="1"/>
  <c r="B516" i="1"/>
  <c r="H516" i="1"/>
  <c r="J516" i="1"/>
  <c r="K516" i="1"/>
  <c r="Q516" i="1"/>
  <c r="P516" i="1" s="1"/>
  <c r="B517" i="1"/>
  <c r="H517" i="1"/>
  <c r="J517" i="1"/>
  <c r="K517" i="1"/>
  <c r="Q517" i="1"/>
  <c r="P517" i="1" s="1"/>
  <c r="B518" i="1"/>
  <c r="H518" i="1"/>
  <c r="J518" i="1"/>
  <c r="K518" i="1"/>
  <c r="Q518" i="1"/>
  <c r="P518" i="1" s="1"/>
  <c r="B519" i="1"/>
  <c r="H519" i="1"/>
  <c r="J519" i="1"/>
  <c r="K519" i="1"/>
  <c r="Q519" i="1"/>
  <c r="P519" i="1" s="1"/>
  <c r="B520" i="1"/>
  <c r="H520" i="1"/>
  <c r="J520" i="1"/>
  <c r="K520" i="1"/>
  <c r="Q520" i="1"/>
  <c r="P520" i="1" s="1"/>
  <c r="B521" i="1"/>
  <c r="H521" i="1"/>
  <c r="J521" i="1"/>
  <c r="K521" i="1"/>
  <c r="Q521" i="1"/>
  <c r="P521" i="1" s="1"/>
  <c r="B522" i="1"/>
  <c r="H522" i="1"/>
  <c r="J522" i="1"/>
  <c r="K522" i="1"/>
  <c r="Q522" i="1"/>
  <c r="P522" i="1" s="1"/>
  <c r="B523" i="1"/>
  <c r="H523" i="1"/>
  <c r="J523" i="1"/>
  <c r="K523" i="1"/>
  <c r="Q523" i="1"/>
  <c r="P523" i="1" s="1"/>
  <c r="B524" i="1"/>
  <c r="H524" i="1"/>
  <c r="J524" i="1"/>
  <c r="K524" i="1"/>
  <c r="Q524" i="1"/>
  <c r="P524" i="1" s="1"/>
  <c r="B525" i="1"/>
  <c r="H525" i="1"/>
  <c r="J525" i="1"/>
  <c r="K525" i="1"/>
  <c r="Q525" i="1"/>
  <c r="P525" i="1" s="1"/>
  <c r="B526" i="1"/>
  <c r="H526" i="1"/>
  <c r="J526" i="1"/>
  <c r="K526" i="1"/>
  <c r="Q526" i="1"/>
  <c r="P526" i="1" s="1"/>
  <c r="B527" i="1"/>
  <c r="H527" i="1"/>
  <c r="J527" i="1"/>
  <c r="K527" i="1"/>
  <c r="Q527" i="1"/>
  <c r="P527" i="1" s="1"/>
  <c r="B528" i="1"/>
  <c r="H528" i="1"/>
  <c r="J528" i="1"/>
  <c r="K528" i="1"/>
  <c r="Q528" i="1"/>
  <c r="P528" i="1" s="1"/>
  <c r="B529" i="1"/>
  <c r="H529" i="1"/>
  <c r="J529" i="1"/>
  <c r="K529" i="1"/>
  <c r="Q529" i="1"/>
  <c r="P529" i="1" s="1"/>
  <c r="B530" i="1"/>
  <c r="H530" i="1"/>
  <c r="J530" i="1"/>
  <c r="K530" i="1"/>
  <c r="Q530" i="1"/>
  <c r="P530" i="1" s="1"/>
  <c r="B531" i="1"/>
  <c r="H531" i="1"/>
  <c r="J531" i="1"/>
  <c r="K531" i="1"/>
  <c r="Q531" i="1"/>
  <c r="P531" i="1" s="1"/>
  <c r="B532" i="1"/>
  <c r="H532" i="1"/>
  <c r="J532" i="1"/>
  <c r="K532" i="1"/>
  <c r="Q532" i="1"/>
  <c r="P532" i="1" s="1"/>
  <c r="B533" i="1"/>
  <c r="H533" i="1"/>
  <c r="J533" i="1"/>
  <c r="K533" i="1"/>
  <c r="Q533" i="1"/>
  <c r="P533" i="1" s="1"/>
  <c r="B534" i="1"/>
  <c r="H534" i="1"/>
  <c r="J534" i="1"/>
  <c r="K534" i="1"/>
  <c r="Q534" i="1"/>
  <c r="P534" i="1" s="1"/>
  <c r="B535" i="1"/>
  <c r="H535" i="1"/>
  <c r="J535" i="1"/>
  <c r="K535" i="1"/>
  <c r="Q535" i="1"/>
  <c r="P535" i="1" s="1"/>
  <c r="B536" i="1"/>
  <c r="H536" i="1"/>
  <c r="J536" i="1"/>
  <c r="K536" i="1"/>
  <c r="Q536" i="1"/>
  <c r="P536" i="1" s="1"/>
  <c r="B537" i="1"/>
  <c r="H537" i="1"/>
  <c r="J537" i="1"/>
  <c r="K537" i="1"/>
  <c r="Q537" i="1"/>
  <c r="P537" i="1" s="1"/>
  <c r="B538" i="1"/>
  <c r="H538" i="1"/>
  <c r="J538" i="1"/>
  <c r="K538" i="1"/>
  <c r="Q538" i="1"/>
  <c r="P538" i="1" s="1"/>
  <c r="B539" i="1"/>
  <c r="H539" i="1"/>
  <c r="J539" i="1"/>
  <c r="K539" i="1"/>
  <c r="Q539" i="1"/>
  <c r="P539" i="1" s="1"/>
  <c r="B540" i="1"/>
  <c r="H540" i="1"/>
  <c r="J540" i="1"/>
  <c r="K540" i="1"/>
  <c r="Q540" i="1"/>
  <c r="P540" i="1" s="1"/>
  <c r="B541" i="1"/>
  <c r="H541" i="1"/>
  <c r="J541" i="1"/>
  <c r="K541" i="1"/>
  <c r="Q541" i="1"/>
  <c r="P541" i="1" s="1"/>
  <c r="B542" i="1"/>
  <c r="H542" i="1"/>
  <c r="J542" i="1"/>
  <c r="K542" i="1"/>
  <c r="Q542" i="1"/>
  <c r="P542" i="1" s="1"/>
  <c r="B543" i="1"/>
  <c r="H543" i="1"/>
  <c r="J543" i="1"/>
  <c r="K543" i="1"/>
  <c r="Q543" i="1"/>
  <c r="P543" i="1" s="1"/>
  <c r="B544" i="1"/>
  <c r="H544" i="1"/>
  <c r="J544" i="1"/>
  <c r="K544" i="1"/>
  <c r="Q544" i="1"/>
  <c r="P544" i="1" s="1"/>
  <c r="B545" i="1"/>
  <c r="H545" i="1"/>
  <c r="J545" i="1"/>
  <c r="K545" i="1"/>
  <c r="Q545" i="1"/>
  <c r="P545" i="1" s="1"/>
  <c r="B546" i="1"/>
  <c r="H546" i="1"/>
  <c r="J546" i="1"/>
  <c r="K546" i="1"/>
  <c r="Q546" i="1"/>
  <c r="P546" i="1" s="1"/>
  <c r="B547" i="1"/>
  <c r="H547" i="1"/>
  <c r="J547" i="1"/>
  <c r="K547" i="1"/>
  <c r="Q547" i="1"/>
  <c r="P547" i="1" s="1"/>
  <c r="B548" i="1"/>
  <c r="H548" i="1"/>
  <c r="J548" i="1"/>
  <c r="K548" i="1"/>
  <c r="Q548" i="1"/>
  <c r="P548" i="1" s="1"/>
  <c r="B549" i="1"/>
  <c r="H549" i="1"/>
  <c r="J549" i="1"/>
  <c r="K549" i="1"/>
  <c r="Q549" i="1"/>
  <c r="P549" i="1" s="1"/>
  <c r="B550" i="1"/>
  <c r="H550" i="1"/>
  <c r="J550" i="1"/>
  <c r="K550" i="1"/>
  <c r="Q550" i="1"/>
  <c r="P550" i="1" s="1"/>
  <c r="B551" i="1"/>
  <c r="H551" i="1"/>
  <c r="J551" i="1"/>
  <c r="K551" i="1"/>
  <c r="Q551" i="1"/>
  <c r="P551" i="1" s="1"/>
  <c r="B552" i="1"/>
  <c r="H552" i="1"/>
  <c r="J552" i="1"/>
  <c r="K552" i="1"/>
  <c r="Q552" i="1"/>
  <c r="P552" i="1" s="1"/>
  <c r="B553" i="1"/>
  <c r="H553" i="1"/>
  <c r="J553" i="1"/>
  <c r="K553" i="1"/>
  <c r="Q553" i="1"/>
  <c r="P553" i="1" s="1"/>
  <c r="B554" i="1"/>
  <c r="H554" i="1"/>
  <c r="J554" i="1"/>
  <c r="K554" i="1"/>
  <c r="Q554" i="1"/>
  <c r="P554" i="1" s="1"/>
  <c r="B555" i="1"/>
  <c r="H555" i="1"/>
  <c r="J555" i="1"/>
  <c r="K555" i="1"/>
  <c r="Q555" i="1"/>
  <c r="P555" i="1" s="1"/>
  <c r="B556" i="1"/>
  <c r="H556" i="1"/>
  <c r="J556" i="1"/>
  <c r="K556" i="1"/>
  <c r="Q556" i="1"/>
  <c r="P556" i="1" s="1"/>
  <c r="B557" i="1"/>
  <c r="H557" i="1"/>
  <c r="J557" i="1"/>
  <c r="K557" i="1"/>
  <c r="Q557" i="1"/>
  <c r="P557" i="1" s="1"/>
  <c r="B558" i="1"/>
  <c r="H558" i="1"/>
  <c r="J558" i="1"/>
  <c r="K558" i="1"/>
  <c r="Q558" i="1"/>
  <c r="P558" i="1" s="1"/>
  <c r="B559" i="1"/>
  <c r="H559" i="1"/>
  <c r="J559" i="1"/>
  <c r="K559" i="1"/>
  <c r="Q559" i="1"/>
  <c r="P559" i="1" s="1"/>
  <c r="B560" i="1"/>
  <c r="H560" i="1"/>
  <c r="J560" i="1"/>
  <c r="K560" i="1"/>
  <c r="Q560" i="1"/>
  <c r="P560" i="1" s="1"/>
  <c r="B561" i="1"/>
  <c r="H561" i="1"/>
  <c r="J561" i="1"/>
  <c r="K561" i="1"/>
  <c r="Q561" i="1"/>
  <c r="P561" i="1" s="1"/>
  <c r="B562" i="1"/>
  <c r="H562" i="1"/>
  <c r="J562" i="1"/>
  <c r="K562" i="1"/>
  <c r="Q562" i="1"/>
  <c r="P562" i="1" s="1"/>
  <c r="B563" i="1"/>
  <c r="H563" i="1"/>
  <c r="J563" i="1"/>
  <c r="K563" i="1"/>
  <c r="Q563" i="1"/>
  <c r="P563" i="1" s="1"/>
  <c r="B564" i="1"/>
  <c r="H564" i="1"/>
  <c r="J564" i="1"/>
  <c r="K564" i="1"/>
  <c r="Q564" i="1"/>
  <c r="P564" i="1" s="1"/>
  <c r="B565" i="1"/>
  <c r="H565" i="1"/>
  <c r="J565" i="1"/>
  <c r="K565" i="1"/>
  <c r="Q565" i="1"/>
  <c r="P565" i="1" s="1"/>
  <c r="B566" i="1"/>
  <c r="H566" i="1"/>
  <c r="J566" i="1"/>
  <c r="K566" i="1"/>
  <c r="Q566" i="1"/>
  <c r="P566" i="1" s="1"/>
  <c r="B567" i="1"/>
  <c r="H567" i="1"/>
  <c r="J567" i="1"/>
  <c r="K567" i="1"/>
  <c r="Q567" i="1"/>
  <c r="P567" i="1" s="1"/>
  <c r="B568" i="1"/>
  <c r="H568" i="1"/>
  <c r="J568" i="1"/>
  <c r="K568" i="1"/>
  <c r="Q568" i="1"/>
  <c r="P568" i="1" s="1"/>
  <c r="B569" i="1"/>
  <c r="H569" i="1"/>
  <c r="J569" i="1"/>
  <c r="K569" i="1"/>
  <c r="Q569" i="1"/>
  <c r="P569" i="1" s="1"/>
  <c r="B570" i="1"/>
  <c r="H570" i="1"/>
  <c r="J570" i="1"/>
  <c r="K570" i="1"/>
  <c r="Q570" i="1"/>
  <c r="P570" i="1" s="1"/>
  <c r="B571" i="1"/>
  <c r="H571" i="1"/>
  <c r="J571" i="1"/>
  <c r="K571" i="1"/>
  <c r="Q571" i="1"/>
  <c r="P571" i="1" s="1"/>
  <c r="B572" i="1"/>
  <c r="H572" i="1"/>
  <c r="J572" i="1"/>
  <c r="K572" i="1"/>
  <c r="Q572" i="1"/>
  <c r="P572" i="1" s="1"/>
  <c r="B573" i="1"/>
  <c r="H573" i="1"/>
  <c r="J573" i="1"/>
  <c r="K573" i="1"/>
  <c r="Q573" i="1"/>
  <c r="P573" i="1" s="1"/>
  <c r="B574" i="1"/>
  <c r="H574" i="1"/>
  <c r="J574" i="1"/>
  <c r="K574" i="1"/>
  <c r="Q574" i="1"/>
  <c r="P574" i="1" s="1"/>
  <c r="B575" i="1"/>
  <c r="H575" i="1"/>
  <c r="J575" i="1"/>
  <c r="K575" i="1"/>
  <c r="Q575" i="1"/>
  <c r="P575" i="1" s="1"/>
  <c r="B576" i="1"/>
  <c r="H576" i="1"/>
  <c r="J576" i="1"/>
  <c r="K576" i="1"/>
  <c r="Q576" i="1"/>
  <c r="P576" i="1" s="1"/>
  <c r="B577" i="1"/>
  <c r="H577" i="1"/>
  <c r="J577" i="1"/>
  <c r="K577" i="1"/>
  <c r="Q577" i="1"/>
  <c r="P577" i="1" s="1"/>
  <c r="B578" i="1"/>
  <c r="H578" i="1"/>
  <c r="J578" i="1"/>
  <c r="K578" i="1"/>
  <c r="Q578" i="1"/>
  <c r="P578" i="1" s="1"/>
  <c r="B579" i="1"/>
  <c r="H579" i="1"/>
  <c r="J579" i="1"/>
  <c r="K579" i="1"/>
  <c r="Q579" i="1"/>
  <c r="P579" i="1" s="1"/>
  <c r="B580" i="1"/>
  <c r="H580" i="1"/>
  <c r="J580" i="1"/>
  <c r="K580" i="1"/>
  <c r="Q580" i="1"/>
  <c r="P580" i="1" s="1"/>
  <c r="B581" i="1"/>
  <c r="H581" i="1"/>
  <c r="J581" i="1"/>
  <c r="K581" i="1"/>
  <c r="Q581" i="1"/>
  <c r="P581" i="1" s="1"/>
  <c r="B582" i="1"/>
  <c r="H582" i="1"/>
  <c r="J582" i="1"/>
  <c r="K582" i="1"/>
  <c r="Q582" i="1"/>
  <c r="P582" i="1" s="1"/>
  <c r="B583" i="1"/>
  <c r="H583" i="1"/>
  <c r="J583" i="1"/>
  <c r="K583" i="1"/>
  <c r="Q583" i="1"/>
  <c r="P583" i="1" s="1"/>
  <c r="B584" i="1"/>
  <c r="H584" i="1"/>
  <c r="J584" i="1"/>
  <c r="K584" i="1"/>
  <c r="Q584" i="1"/>
  <c r="P584" i="1" s="1"/>
  <c r="B585" i="1"/>
  <c r="H585" i="1"/>
  <c r="J585" i="1"/>
  <c r="K585" i="1"/>
  <c r="Q585" i="1"/>
  <c r="P585" i="1" s="1"/>
  <c r="B586" i="1"/>
  <c r="H586" i="1"/>
  <c r="J586" i="1"/>
  <c r="K586" i="1"/>
  <c r="Q586" i="1"/>
  <c r="P586" i="1" s="1"/>
  <c r="B587" i="1"/>
  <c r="H587" i="1"/>
  <c r="J587" i="1"/>
  <c r="K587" i="1"/>
  <c r="Q587" i="1"/>
  <c r="P587" i="1" s="1"/>
  <c r="B588" i="1"/>
  <c r="H588" i="1"/>
  <c r="J588" i="1"/>
  <c r="K588" i="1"/>
  <c r="Q588" i="1"/>
  <c r="P588" i="1" s="1"/>
  <c r="B589" i="1"/>
  <c r="H589" i="1"/>
  <c r="J589" i="1"/>
  <c r="K589" i="1"/>
  <c r="Q589" i="1"/>
  <c r="P589" i="1" s="1"/>
  <c r="B590" i="1"/>
  <c r="H590" i="1"/>
  <c r="J590" i="1"/>
  <c r="K590" i="1"/>
  <c r="Q590" i="1"/>
  <c r="P590" i="1" s="1"/>
  <c r="B591" i="1"/>
  <c r="H591" i="1"/>
  <c r="J591" i="1"/>
  <c r="K591" i="1"/>
  <c r="Q591" i="1"/>
  <c r="P591" i="1" s="1"/>
  <c r="B592" i="1"/>
  <c r="H592" i="1"/>
  <c r="J592" i="1"/>
  <c r="K592" i="1"/>
  <c r="Q592" i="1"/>
  <c r="P592" i="1" s="1"/>
  <c r="B593" i="1"/>
  <c r="H593" i="1"/>
  <c r="J593" i="1"/>
  <c r="K593" i="1"/>
  <c r="Q593" i="1"/>
  <c r="P593" i="1" s="1"/>
  <c r="B594" i="1"/>
  <c r="H594" i="1"/>
  <c r="J594" i="1"/>
  <c r="K594" i="1"/>
  <c r="Q594" i="1"/>
  <c r="P594" i="1" s="1"/>
  <c r="B595" i="1"/>
  <c r="H595" i="1"/>
  <c r="J595" i="1"/>
  <c r="K595" i="1"/>
  <c r="Q595" i="1"/>
  <c r="P595" i="1" s="1"/>
  <c r="B596" i="1"/>
  <c r="H596" i="1"/>
  <c r="J596" i="1"/>
  <c r="K596" i="1"/>
  <c r="Q596" i="1"/>
  <c r="P596" i="1" s="1"/>
  <c r="B597" i="1"/>
  <c r="H597" i="1"/>
  <c r="J597" i="1"/>
  <c r="K597" i="1"/>
  <c r="Q597" i="1"/>
  <c r="P597" i="1" s="1"/>
  <c r="B598" i="1"/>
  <c r="H598" i="1"/>
  <c r="J598" i="1"/>
  <c r="K598" i="1"/>
  <c r="Q598" i="1"/>
  <c r="P598" i="1" s="1"/>
  <c r="B599" i="1"/>
  <c r="H599" i="1"/>
  <c r="J599" i="1"/>
  <c r="K599" i="1"/>
  <c r="Q599" i="1"/>
  <c r="P599" i="1" s="1"/>
  <c r="B600" i="1"/>
  <c r="H600" i="1"/>
  <c r="J600" i="1"/>
  <c r="K600" i="1"/>
  <c r="Q600" i="1"/>
  <c r="P600" i="1" s="1"/>
  <c r="B601" i="1"/>
  <c r="H601" i="1"/>
  <c r="J601" i="1"/>
  <c r="K601" i="1"/>
  <c r="Q601" i="1"/>
  <c r="P601" i="1" s="1"/>
  <c r="B602" i="1"/>
  <c r="H602" i="1"/>
  <c r="J602" i="1"/>
  <c r="K602" i="1"/>
  <c r="Q602" i="1"/>
  <c r="P602" i="1" s="1"/>
  <c r="B603" i="1"/>
  <c r="H603" i="1"/>
  <c r="J603" i="1"/>
  <c r="K603" i="1"/>
  <c r="Q603" i="1"/>
  <c r="P603" i="1" s="1"/>
  <c r="B604" i="1"/>
  <c r="H604" i="1"/>
  <c r="J604" i="1"/>
  <c r="K604" i="1"/>
  <c r="Q604" i="1"/>
  <c r="P604" i="1" s="1"/>
  <c r="B605" i="1"/>
  <c r="H605" i="1"/>
  <c r="J605" i="1"/>
  <c r="K605" i="1"/>
  <c r="Q605" i="1"/>
  <c r="P605" i="1" s="1"/>
  <c r="B606" i="1"/>
  <c r="H606" i="1"/>
  <c r="J606" i="1"/>
  <c r="K606" i="1"/>
  <c r="Q606" i="1"/>
  <c r="P606" i="1" s="1"/>
  <c r="B607" i="1"/>
  <c r="H607" i="1"/>
  <c r="J607" i="1"/>
  <c r="K607" i="1"/>
  <c r="Q607" i="1"/>
  <c r="P607" i="1" s="1"/>
  <c r="B608" i="1"/>
  <c r="H608" i="1"/>
  <c r="J608" i="1"/>
  <c r="K608" i="1"/>
  <c r="Q608" i="1"/>
  <c r="P608" i="1" s="1"/>
  <c r="B609" i="1"/>
  <c r="H609" i="1"/>
  <c r="J609" i="1"/>
  <c r="K609" i="1"/>
  <c r="Q609" i="1"/>
  <c r="P609" i="1" s="1"/>
  <c r="B610" i="1"/>
  <c r="H610" i="1"/>
  <c r="J610" i="1"/>
  <c r="K610" i="1"/>
  <c r="Q610" i="1"/>
  <c r="P610" i="1" s="1"/>
  <c r="B611" i="1"/>
  <c r="H611" i="1"/>
  <c r="J611" i="1"/>
  <c r="K611" i="1"/>
  <c r="Q611" i="1"/>
  <c r="P611" i="1" s="1"/>
  <c r="B612" i="1"/>
  <c r="H612" i="1"/>
  <c r="J612" i="1"/>
  <c r="K612" i="1"/>
  <c r="Q612" i="1"/>
  <c r="P612" i="1" s="1"/>
  <c r="B613" i="1"/>
  <c r="H613" i="1"/>
  <c r="J613" i="1"/>
  <c r="K613" i="1"/>
  <c r="Q613" i="1"/>
  <c r="P613" i="1" s="1"/>
  <c r="B614" i="1"/>
  <c r="H614" i="1"/>
  <c r="J614" i="1"/>
  <c r="K614" i="1"/>
  <c r="Q614" i="1"/>
  <c r="P614" i="1" s="1"/>
  <c r="B615" i="1"/>
  <c r="H615" i="1"/>
  <c r="J615" i="1"/>
  <c r="K615" i="1"/>
  <c r="Q615" i="1"/>
  <c r="P615" i="1" s="1"/>
  <c r="B616" i="1"/>
  <c r="H616" i="1"/>
  <c r="J616" i="1"/>
  <c r="K616" i="1"/>
  <c r="Q616" i="1"/>
  <c r="P616" i="1" s="1"/>
  <c r="B617" i="1"/>
  <c r="H617" i="1"/>
  <c r="J617" i="1"/>
  <c r="K617" i="1"/>
  <c r="Q617" i="1"/>
  <c r="P617" i="1" s="1"/>
  <c r="B618" i="1"/>
  <c r="H618" i="1"/>
  <c r="J618" i="1"/>
  <c r="K618" i="1"/>
  <c r="Q618" i="1"/>
  <c r="P618" i="1" s="1"/>
  <c r="B619" i="1"/>
  <c r="H619" i="1"/>
  <c r="J619" i="1"/>
  <c r="K619" i="1"/>
  <c r="Q619" i="1"/>
  <c r="P619" i="1" s="1"/>
  <c r="B620" i="1"/>
  <c r="H620" i="1"/>
  <c r="J620" i="1"/>
  <c r="K620" i="1"/>
  <c r="Q620" i="1"/>
  <c r="P620" i="1" s="1"/>
  <c r="B621" i="1"/>
  <c r="H621" i="1"/>
  <c r="J621" i="1"/>
  <c r="K621" i="1"/>
  <c r="Q621" i="1"/>
  <c r="P621" i="1" s="1"/>
  <c r="B622" i="1"/>
  <c r="H622" i="1"/>
  <c r="J622" i="1"/>
  <c r="K622" i="1"/>
  <c r="Q622" i="1"/>
  <c r="P622" i="1" s="1"/>
  <c r="B513" i="1"/>
  <c r="H513" i="1"/>
  <c r="J513" i="1"/>
  <c r="K513" i="1"/>
  <c r="Q513" i="1"/>
  <c r="P513" i="1" s="1"/>
  <c r="B512" i="1"/>
  <c r="H512" i="1"/>
  <c r="J512" i="1"/>
  <c r="K512" i="1"/>
  <c r="Q512" i="1"/>
  <c r="P512" i="1" s="1"/>
  <c r="B511" i="1"/>
  <c r="H511" i="1"/>
  <c r="J511" i="1"/>
  <c r="K511" i="1"/>
  <c r="Q511" i="1"/>
  <c r="P511" i="1" s="1"/>
  <c r="B510" i="1"/>
  <c r="H510" i="1"/>
  <c r="J510" i="1"/>
  <c r="K510" i="1"/>
  <c r="Q510" i="1"/>
  <c r="P510" i="1" s="1"/>
  <c r="B509" i="1"/>
  <c r="H509" i="1"/>
  <c r="J509" i="1"/>
  <c r="K509" i="1"/>
  <c r="Q509" i="1"/>
  <c r="P509" i="1" s="1"/>
  <c r="H498" i="1"/>
  <c r="B498" i="1"/>
  <c r="J498" i="1"/>
  <c r="K498" i="1"/>
  <c r="Q498" i="1"/>
  <c r="P498" i="1" s="1"/>
  <c r="H2" i="1"/>
  <c r="J2" i="1"/>
  <c r="K2" i="1"/>
  <c r="Q2" i="1"/>
  <c r="P2" i="1" s="1"/>
  <c r="H3" i="1"/>
  <c r="J3" i="1"/>
  <c r="K3" i="1"/>
  <c r="Q3" i="1"/>
  <c r="P3" i="1" s="1"/>
  <c r="H4" i="1"/>
  <c r="J4" i="1"/>
  <c r="K4" i="1"/>
  <c r="Q4" i="1"/>
  <c r="P4" i="1" s="1"/>
  <c r="H5" i="1"/>
  <c r="J5" i="1"/>
  <c r="K5" i="1"/>
  <c r="Q5" i="1"/>
  <c r="P5" i="1" s="1"/>
  <c r="H6" i="1"/>
  <c r="J6" i="1"/>
  <c r="K6" i="1"/>
  <c r="Q6" i="1"/>
  <c r="P6" i="1" s="1"/>
  <c r="H7" i="1"/>
  <c r="J7" i="1"/>
  <c r="K7" i="1"/>
  <c r="Q7" i="1"/>
  <c r="P7" i="1" s="1"/>
  <c r="H8" i="1"/>
  <c r="J8" i="1"/>
  <c r="K8" i="1"/>
  <c r="Q8" i="1"/>
  <c r="P8" i="1" s="1"/>
  <c r="H9" i="1"/>
  <c r="J9" i="1"/>
  <c r="K9" i="1"/>
  <c r="Q9" i="1"/>
  <c r="P9" i="1" s="1"/>
  <c r="H10" i="1"/>
  <c r="J10" i="1"/>
  <c r="K10" i="1"/>
  <c r="Q10" i="1"/>
  <c r="P10" i="1" s="1"/>
  <c r="B496" i="1"/>
  <c r="B497" i="1"/>
  <c r="H496" i="1"/>
  <c r="H497" i="1"/>
  <c r="J496" i="1"/>
  <c r="J497" i="1"/>
  <c r="K496" i="1"/>
  <c r="K497" i="1"/>
  <c r="Q496" i="1"/>
  <c r="P496" i="1" s="1"/>
  <c r="Q497" i="1"/>
  <c r="P497" i="1" s="1"/>
  <c r="B495" i="1"/>
  <c r="H495" i="1"/>
  <c r="J495" i="1"/>
  <c r="K495" i="1"/>
  <c r="Q495" i="1"/>
  <c r="P495" i="1" s="1"/>
  <c r="B494" i="1"/>
  <c r="H494" i="1"/>
  <c r="J494" i="1"/>
  <c r="K494" i="1"/>
  <c r="Q494" i="1"/>
  <c r="P494" i="1" s="1"/>
  <c r="B493" i="1"/>
  <c r="H493" i="1"/>
  <c r="J493" i="1"/>
  <c r="K493" i="1"/>
  <c r="Q493" i="1"/>
  <c r="P493" i="1" s="1"/>
  <c r="B488" i="1"/>
  <c r="B489" i="1"/>
  <c r="B490" i="1"/>
  <c r="B491" i="1"/>
  <c r="B492" i="1"/>
  <c r="H488" i="1"/>
  <c r="H489" i="1"/>
  <c r="H490" i="1"/>
  <c r="H491" i="1"/>
  <c r="H492" i="1"/>
  <c r="J488" i="1"/>
  <c r="J489" i="1"/>
  <c r="J490" i="1"/>
  <c r="J491" i="1"/>
  <c r="J492" i="1"/>
  <c r="K488" i="1"/>
  <c r="K489" i="1"/>
  <c r="K490" i="1"/>
  <c r="K491" i="1"/>
  <c r="K492" i="1"/>
  <c r="Q488" i="1"/>
  <c r="P488" i="1" s="1"/>
  <c r="Q489" i="1"/>
  <c r="P489" i="1" s="1"/>
  <c r="Q490" i="1"/>
  <c r="P490" i="1" s="1"/>
  <c r="Q491" i="1"/>
  <c r="P491" i="1" s="1"/>
  <c r="Q492" i="1"/>
  <c r="P492" i="1" s="1"/>
  <c r="B431" i="1"/>
  <c r="B430" i="1"/>
  <c r="H430" i="1"/>
  <c r="H431" i="1"/>
  <c r="J430" i="1"/>
  <c r="J431" i="1"/>
  <c r="K430" i="1"/>
  <c r="K431" i="1"/>
  <c r="Q430" i="1"/>
  <c r="P430" i="1" s="1"/>
  <c r="Q431" i="1"/>
  <c r="P431" i="1" s="1"/>
  <c r="B429" i="1"/>
  <c r="H429" i="1"/>
  <c r="J429" i="1"/>
  <c r="K429" i="1"/>
  <c r="Q429" i="1"/>
  <c r="P429" i="1" s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B432" i="1"/>
  <c r="H432" i="1"/>
  <c r="J432" i="1"/>
  <c r="K432" i="1"/>
  <c r="Q432" i="1"/>
  <c r="P432" i="1" s="1"/>
  <c r="B384" i="1"/>
  <c r="B385" i="1"/>
  <c r="B386" i="1"/>
  <c r="H384" i="1"/>
  <c r="H385" i="1"/>
  <c r="H386" i="1"/>
  <c r="J384" i="1"/>
  <c r="J385" i="1"/>
  <c r="J386" i="1"/>
  <c r="K384" i="1"/>
  <c r="K385" i="1"/>
  <c r="K386" i="1"/>
  <c r="Q384" i="1"/>
  <c r="P384" i="1" s="1"/>
  <c r="Q385" i="1"/>
  <c r="P385" i="1" s="1"/>
  <c r="Q386" i="1"/>
  <c r="P386" i="1" s="1"/>
  <c r="B383" i="1"/>
  <c r="H383" i="1"/>
  <c r="J383" i="1"/>
  <c r="K383" i="1"/>
  <c r="Q383" i="1"/>
  <c r="P383" i="1" s="1"/>
  <c r="B387" i="1"/>
  <c r="H387" i="1"/>
  <c r="J387" i="1"/>
  <c r="K387" i="1"/>
  <c r="Q387" i="1"/>
  <c r="P387" i="1" s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B365" i="1"/>
  <c r="H365" i="1"/>
  <c r="J365" i="1"/>
  <c r="K365" i="1"/>
  <c r="Q365" i="1"/>
  <c r="P365" i="1" s="1"/>
  <c r="B367" i="1"/>
  <c r="B368" i="1"/>
  <c r="B369" i="1"/>
  <c r="B370" i="1"/>
  <c r="B371" i="1"/>
  <c r="B372" i="1"/>
  <c r="B373" i="1"/>
  <c r="B374" i="1"/>
  <c r="B375" i="1"/>
  <c r="B376" i="1"/>
  <c r="B378" i="1"/>
  <c r="B379" i="1"/>
  <c r="B380" i="1"/>
  <c r="B381" i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K367" i="1"/>
  <c r="K368" i="1"/>
  <c r="K369" i="1"/>
  <c r="K370" i="1"/>
  <c r="K371" i="1"/>
  <c r="K372" i="1"/>
  <c r="K373" i="1"/>
  <c r="K374" i="1"/>
  <c r="K375" i="1"/>
  <c r="K376" i="1"/>
  <c r="K378" i="1"/>
  <c r="K379" i="1"/>
  <c r="K380" i="1"/>
  <c r="K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B366" i="1"/>
  <c r="H366" i="1"/>
  <c r="J366" i="1"/>
  <c r="K366" i="1"/>
  <c r="Q366" i="1"/>
  <c r="P366" i="1" s="1"/>
  <c r="B342" i="1"/>
  <c r="B343" i="1"/>
  <c r="B344" i="1"/>
  <c r="B345" i="1"/>
  <c r="B346" i="1"/>
  <c r="H342" i="1"/>
  <c r="H343" i="1"/>
  <c r="H344" i="1"/>
  <c r="H345" i="1"/>
  <c r="H346" i="1"/>
  <c r="J342" i="1"/>
  <c r="J343" i="1"/>
  <c r="J344" i="1"/>
  <c r="J345" i="1"/>
  <c r="J346" i="1"/>
  <c r="K342" i="1"/>
  <c r="K343" i="1"/>
  <c r="K344" i="1"/>
  <c r="K345" i="1"/>
  <c r="K346" i="1"/>
  <c r="Q342" i="1"/>
  <c r="P342" i="1" s="1"/>
  <c r="Q343" i="1"/>
  <c r="P343" i="1" s="1"/>
  <c r="Q344" i="1"/>
  <c r="P344" i="1" s="1"/>
  <c r="Q345" i="1"/>
  <c r="P345" i="1" s="1"/>
  <c r="Q346" i="1"/>
  <c r="P346" i="1" s="1"/>
  <c r="B341" i="1"/>
  <c r="H341" i="1"/>
  <c r="J341" i="1"/>
  <c r="K341" i="1"/>
  <c r="Q341" i="1"/>
  <c r="P341" i="1" s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B361" i="1"/>
  <c r="B362" i="1"/>
  <c r="B363" i="1"/>
  <c r="H361" i="1"/>
  <c r="H362" i="1"/>
  <c r="H363" i="1"/>
  <c r="J361" i="1"/>
  <c r="J362" i="1"/>
  <c r="J363" i="1"/>
  <c r="K361" i="1"/>
  <c r="K362" i="1"/>
  <c r="K363" i="1"/>
  <c r="Q361" i="1"/>
  <c r="P361" i="1" s="1"/>
  <c r="Q362" i="1"/>
  <c r="P362" i="1" s="1"/>
  <c r="Q363" i="1"/>
  <c r="P363" i="1" s="1"/>
  <c r="B360" i="1"/>
  <c r="H360" i="1"/>
  <c r="J360" i="1"/>
  <c r="K360" i="1"/>
  <c r="Q360" i="1"/>
  <c r="P360" i="1" s="1"/>
  <c r="B364" i="1"/>
  <c r="H364" i="1"/>
  <c r="J364" i="1"/>
  <c r="K364" i="1"/>
  <c r="Q364" i="1"/>
  <c r="P364" i="1" s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B315" i="1"/>
  <c r="H315" i="1"/>
  <c r="J315" i="1"/>
  <c r="K315" i="1"/>
  <c r="Q315" i="1"/>
  <c r="P315" i="1" s="1"/>
  <c r="B317" i="1"/>
  <c r="B318" i="1"/>
  <c r="B319" i="1"/>
  <c r="B320" i="1"/>
  <c r="B321" i="1"/>
  <c r="H317" i="1"/>
  <c r="H318" i="1"/>
  <c r="H319" i="1"/>
  <c r="H320" i="1"/>
  <c r="H321" i="1"/>
  <c r="J317" i="1"/>
  <c r="J318" i="1"/>
  <c r="J319" i="1"/>
  <c r="J320" i="1"/>
  <c r="J321" i="1"/>
  <c r="K317" i="1"/>
  <c r="K318" i="1"/>
  <c r="K319" i="1"/>
  <c r="K320" i="1"/>
  <c r="K321" i="1"/>
  <c r="Q317" i="1"/>
  <c r="P317" i="1" s="1"/>
  <c r="Q318" i="1"/>
  <c r="P318" i="1" s="1"/>
  <c r="Q319" i="1"/>
  <c r="P319" i="1" s="1"/>
  <c r="Q320" i="1"/>
  <c r="P320" i="1" s="1"/>
  <c r="Q321" i="1"/>
  <c r="P321" i="1" s="1"/>
  <c r="B316" i="1"/>
  <c r="H316" i="1"/>
  <c r="J316" i="1"/>
  <c r="K316" i="1"/>
  <c r="Q316" i="1"/>
  <c r="P316" i="1" s="1"/>
  <c r="B322" i="1"/>
  <c r="H322" i="1"/>
  <c r="J322" i="1"/>
  <c r="K322" i="1"/>
  <c r="Q322" i="1"/>
  <c r="P322" i="1" s="1"/>
  <c r="B314" i="1"/>
  <c r="H314" i="1"/>
  <c r="J314" i="1"/>
  <c r="K314" i="1"/>
  <c r="Q314" i="1"/>
  <c r="P314" i="1" s="1"/>
  <c r="B313" i="1"/>
  <c r="B312" i="1"/>
  <c r="B311" i="1"/>
  <c r="B310" i="1"/>
  <c r="B309" i="1"/>
  <c r="H309" i="1"/>
  <c r="H310" i="1"/>
  <c r="H311" i="1"/>
  <c r="H312" i="1"/>
  <c r="H313" i="1"/>
  <c r="J309" i="1"/>
  <c r="J310" i="1"/>
  <c r="J311" i="1"/>
  <c r="J312" i="1"/>
  <c r="J313" i="1"/>
  <c r="K309" i="1"/>
  <c r="K310" i="1"/>
  <c r="K311" i="1"/>
  <c r="K312" i="1"/>
  <c r="K313" i="1"/>
  <c r="Q309" i="1"/>
  <c r="P309" i="1" s="1"/>
  <c r="Q310" i="1"/>
  <c r="P310" i="1" s="1"/>
  <c r="Q311" i="1"/>
  <c r="P311" i="1" s="1"/>
  <c r="Q312" i="1"/>
  <c r="P312" i="1" s="1"/>
  <c r="Q313" i="1"/>
  <c r="P313" i="1" s="1"/>
  <c r="B308" i="1"/>
  <c r="H308" i="1"/>
  <c r="J308" i="1"/>
  <c r="K308" i="1"/>
  <c r="Q308" i="1"/>
  <c r="P308" i="1" s="1"/>
  <c r="B307" i="1"/>
  <c r="H307" i="1"/>
  <c r="J307" i="1"/>
  <c r="K307" i="1"/>
  <c r="Q307" i="1"/>
  <c r="P307" i="1" s="1"/>
  <c r="B297" i="1"/>
  <c r="B298" i="1"/>
  <c r="B299" i="1"/>
  <c r="B300" i="1"/>
  <c r="B301" i="1"/>
  <c r="B302" i="1"/>
  <c r="B303" i="1"/>
  <c r="B304" i="1"/>
  <c r="B305" i="1"/>
  <c r="B306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K297" i="1"/>
  <c r="K298" i="1"/>
  <c r="K299" i="1"/>
  <c r="K300" i="1"/>
  <c r="K301" i="1"/>
  <c r="K302" i="1"/>
  <c r="K303" i="1"/>
  <c r="K304" i="1"/>
  <c r="K305" i="1"/>
  <c r="K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B296" i="1"/>
  <c r="H296" i="1"/>
  <c r="J296" i="1"/>
  <c r="K296" i="1"/>
  <c r="Q296" i="1"/>
  <c r="P296" i="1" s="1"/>
  <c r="B287" i="1"/>
  <c r="B288" i="1"/>
  <c r="B289" i="1"/>
  <c r="B290" i="1"/>
  <c r="B291" i="1"/>
  <c r="B292" i="1"/>
  <c r="B293" i="1"/>
  <c r="B294" i="1"/>
  <c r="B295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K287" i="1"/>
  <c r="K288" i="1"/>
  <c r="K289" i="1"/>
  <c r="K290" i="1"/>
  <c r="K291" i="1"/>
  <c r="K292" i="1"/>
  <c r="K293" i="1"/>
  <c r="K294" i="1"/>
  <c r="K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B286" i="1"/>
  <c r="H286" i="1"/>
  <c r="J286" i="1"/>
  <c r="K286" i="1"/>
  <c r="Q286" i="1"/>
  <c r="P286" i="1" s="1"/>
  <c r="B282" i="1"/>
  <c r="B283" i="1"/>
  <c r="B284" i="1"/>
  <c r="B285" i="1"/>
  <c r="H282" i="1"/>
  <c r="H283" i="1"/>
  <c r="H284" i="1"/>
  <c r="H285" i="1"/>
  <c r="J282" i="1"/>
  <c r="J283" i="1"/>
  <c r="J284" i="1"/>
  <c r="J285" i="1"/>
  <c r="K282" i="1"/>
  <c r="K283" i="1"/>
  <c r="K284" i="1"/>
  <c r="K285" i="1"/>
  <c r="Q282" i="1"/>
  <c r="P282" i="1" s="1"/>
  <c r="Q283" i="1"/>
  <c r="P283" i="1" s="1"/>
  <c r="Q284" i="1"/>
  <c r="P284" i="1" s="1"/>
  <c r="Q285" i="1"/>
  <c r="P285" i="1" s="1"/>
  <c r="B267" i="1"/>
  <c r="B268" i="1"/>
  <c r="B269" i="1"/>
  <c r="H267" i="1"/>
  <c r="H268" i="1"/>
  <c r="H269" i="1"/>
  <c r="J267" i="1"/>
  <c r="J268" i="1"/>
  <c r="J269" i="1"/>
  <c r="K267" i="1"/>
  <c r="K268" i="1"/>
  <c r="K269" i="1"/>
  <c r="Q267" i="1"/>
  <c r="P267" i="1" s="1"/>
  <c r="Q268" i="1"/>
  <c r="P268" i="1" s="1"/>
  <c r="Q269" i="1"/>
  <c r="P269" i="1" s="1"/>
  <c r="B266" i="1"/>
  <c r="H266" i="1"/>
  <c r="J266" i="1"/>
  <c r="K266" i="1"/>
  <c r="Q266" i="1"/>
  <c r="P266" i="1" s="1"/>
  <c r="B271" i="1"/>
  <c r="B272" i="1"/>
  <c r="B273" i="1"/>
  <c r="B274" i="1"/>
  <c r="B275" i="1"/>
  <c r="B276" i="1"/>
  <c r="B277" i="1"/>
  <c r="B278" i="1"/>
  <c r="B279" i="1"/>
  <c r="B280" i="1"/>
  <c r="B281" i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K271" i="1"/>
  <c r="K272" i="1"/>
  <c r="K273" i="1"/>
  <c r="K274" i="1"/>
  <c r="K275" i="1"/>
  <c r="K276" i="1"/>
  <c r="K277" i="1"/>
  <c r="K278" i="1"/>
  <c r="K279" i="1"/>
  <c r="K280" i="1"/>
  <c r="K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B270" i="1"/>
  <c r="H270" i="1"/>
  <c r="J270" i="1"/>
  <c r="K270" i="1"/>
  <c r="Q270" i="1"/>
  <c r="P270" i="1" s="1"/>
  <c r="B263" i="1"/>
  <c r="B264" i="1"/>
  <c r="B265" i="1"/>
  <c r="H263" i="1"/>
  <c r="H264" i="1"/>
  <c r="H265" i="1"/>
  <c r="J263" i="1"/>
  <c r="J264" i="1"/>
  <c r="J265" i="1"/>
  <c r="K263" i="1"/>
  <c r="K264" i="1"/>
  <c r="K265" i="1"/>
  <c r="Q263" i="1"/>
  <c r="P263" i="1" s="1"/>
  <c r="Q264" i="1"/>
  <c r="P264" i="1" s="1"/>
  <c r="Q265" i="1"/>
  <c r="P265" i="1" s="1"/>
  <c r="B256" i="1"/>
  <c r="B257" i="1"/>
  <c r="B258" i="1"/>
  <c r="B259" i="1"/>
  <c r="B260" i="1"/>
  <c r="B261" i="1"/>
  <c r="B262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K256" i="1"/>
  <c r="K257" i="1"/>
  <c r="K258" i="1"/>
  <c r="K259" i="1"/>
  <c r="K260" i="1"/>
  <c r="K261" i="1"/>
  <c r="K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B251" i="1"/>
  <c r="B252" i="1"/>
  <c r="B253" i="1"/>
  <c r="B254" i="1"/>
  <c r="B255" i="1"/>
  <c r="H251" i="1"/>
  <c r="H252" i="1"/>
  <c r="H253" i="1"/>
  <c r="H254" i="1"/>
  <c r="H255" i="1"/>
  <c r="J251" i="1"/>
  <c r="J252" i="1"/>
  <c r="J253" i="1"/>
  <c r="J254" i="1"/>
  <c r="J255" i="1"/>
  <c r="K251" i="1"/>
  <c r="K252" i="1"/>
  <c r="K253" i="1"/>
  <c r="K254" i="1"/>
  <c r="K255" i="1"/>
  <c r="Q251" i="1"/>
  <c r="P251" i="1" s="1"/>
  <c r="Q252" i="1"/>
  <c r="P252" i="1" s="1"/>
  <c r="Q253" i="1"/>
  <c r="P253" i="1" s="1"/>
  <c r="Q254" i="1"/>
  <c r="P254" i="1" s="1"/>
  <c r="Q255" i="1"/>
  <c r="P255" i="1" s="1"/>
  <c r="B250" i="1"/>
  <c r="H250" i="1"/>
  <c r="J250" i="1"/>
  <c r="K250" i="1"/>
  <c r="Q250" i="1"/>
  <c r="P250" i="1" s="1"/>
  <c r="B249" i="1"/>
  <c r="H249" i="1"/>
  <c r="J249" i="1"/>
  <c r="K249" i="1"/>
  <c r="Q249" i="1"/>
  <c r="P249" i="1" s="1"/>
  <c r="B245" i="1"/>
  <c r="B246" i="1"/>
  <c r="B247" i="1"/>
  <c r="B248" i="1"/>
  <c r="H245" i="1"/>
  <c r="H246" i="1"/>
  <c r="H247" i="1"/>
  <c r="H248" i="1"/>
  <c r="J245" i="1"/>
  <c r="J246" i="1"/>
  <c r="J247" i="1"/>
  <c r="J248" i="1"/>
  <c r="K245" i="1"/>
  <c r="K246" i="1"/>
  <c r="K247" i="1"/>
  <c r="K248" i="1"/>
  <c r="Q245" i="1"/>
  <c r="P245" i="1" s="1"/>
  <c r="Q246" i="1"/>
  <c r="P246" i="1" s="1"/>
  <c r="Q247" i="1"/>
  <c r="P247" i="1" s="1"/>
  <c r="Q248" i="1"/>
  <c r="P248" i="1" s="1"/>
  <c r="H244" i="1"/>
  <c r="B235" i="1"/>
  <c r="B236" i="1"/>
  <c r="B237" i="1"/>
  <c r="B238" i="1"/>
  <c r="B239" i="1"/>
  <c r="B240" i="1"/>
  <c r="B241" i="1"/>
  <c r="B242" i="1"/>
  <c r="B243" i="1"/>
  <c r="B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K235" i="1"/>
  <c r="K236" i="1"/>
  <c r="K237" i="1"/>
  <c r="K238" i="1"/>
  <c r="K239" i="1"/>
  <c r="K240" i="1"/>
  <c r="K241" i="1"/>
  <c r="K242" i="1"/>
  <c r="K243" i="1"/>
  <c r="K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B206" i="1"/>
  <c r="B207" i="1"/>
  <c r="H206" i="1"/>
  <c r="H207" i="1"/>
  <c r="J206" i="1"/>
  <c r="J207" i="1"/>
  <c r="K206" i="1"/>
  <c r="K207" i="1"/>
  <c r="Q206" i="1"/>
  <c r="P206" i="1" s="1"/>
  <c r="Q207" i="1"/>
  <c r="P207" i="1" s="1"/>
  <c r="B205" i="1"/>
  <c r="H205" i="1"/>
  <c r="J205" i="1"/>
  <c r="K205" i="1"/>
  <c r="Q205" i="1"/>
  <c r="P205" i="1" s="1"/>
  <c r="B204" i="1"/>
  <c r="H204" i="1"/>
  <c r="J204" i="1"/>
  <c r="K204" i="1"/>
  <c r="Q204" i="1"/>
  <c r="P204" i="1" s="1"/>
  <c r="B203" i="1"/>
  <c r="H203" i="1"/>
  <c r="J203" i="1"/>
  <c r="K203" i="1"/>
  <c r="Q203" i="1"/>
  <c r="P203" i="1" s="1"/>
  <c r="B190" i="1"/>
  <c r="H190" i="1"/>
  <c r="J190" i="1"/>
  <c r="K190" i="1"/>
  <c r="Q190" i="1"/>
  <c r="P190" i="1" s="1"/>
  <c r="B191" i="1"/>
  <c r="H191" i="1"/>
  <c r="J191" i="1"/>
  <c r="K191" i="1"/>
  <c r="Q191" i="1"/>
  <c r="P191" i="1" s="1"/>
  <c r="B192" i="1"/>
  <c r="B193" i="1"/>
  <c r="B194" i="1"/>
  <c r="B195" i="1"/>
  <c r="B196" i="1"/>
  <c r="H192" i="1"/>
  <c r="H193" i="1"/>
  <c r="H194" i="1"/>
  <c r="H195" i="1"/>
  <c r="H196" i="1"/>
  <c r="J192" i="1"/>
  <c r="J193" i="1"/>
  <c r="J194" i="1"/>
  <c r="J195" i="1"/>
  <c r="J196" i="1"/>
  <c r="K192" i="1"/>
  <c r="K193" i="1"/>
  <c r="K194" i="1"/>
  <c r="K195" i="1"/>
  <c r="K196" i="1"/>
  <c r="Q192" i="1"/>
  <c r="P192" i="1" s="1"/>
  <c r="Q193" i="1"/>
  <c r="P193" i="1" s="1"/>
  <c r="Q194" i="1"/>
  <c r="P194" i="1" s="1"/>
  <c r="Q195" i="1"/>
  <c r="P195" i="1" s="1"/>
  <c r="Q196" i="1"/>
  <c r="P196" i="1" s="1"/>
  <c r="B201" i="1"/>
  <c r="B202" i="1"/>
  <c r="H201" i="1"/>
  <c r="H202" i="1"/>
  <c r="J201" i="1"/>
  <c r="J202" i="1"/>
  <c r="K201" i="1"/>
  <c r="K202" i="1"/>
  <c r="Q201" i="1"/>
  <c r="P201" i="1" s="1"/>
  <c r="Q202" i="1"/>
  <c r="P202" i="1" s="1"/>
  <c r="B197" i="1"/>
  <c r="B198" i="1"/>
  <c r="B199" i="1"/>
  <c r="B200" i="1"/>
  <c r="H197" i="1"/>
  <c r="H198" i="1"/>
  <c r="H199" i="1"/>
  <c r="H200" i="1"/>
  <c r="J197" i="1"/>
  <c r="J198" i="1"/>
  <c r="J199" i="1"/>
  <c r="J200" i="1"/>
  <c r="K197" i="1"/>
  <c r="K198" i="1"/>
  <c r="K199" i="1"/>
  <c r="K200" i="1"/>
  <c r="Q197" i="1"/>
  <c r="P197" i="1" s="1"/>
  <c r="Q198" i="1"/>
  <c r="P198" i="1" s="1"/>
  <c r="Q199" i="1"/>
  <c r="P199" i="1" s="1"/>
  <c r="Q200" i="1"/>
  <c r="P200" i="1" s="1"/>
  <c r="B187" i="1"/>
  <c r="B188" i="1"/>
  <c r="B189" i="1"/>
  <c r="H187" i="1"/>
  <c r="H188" i="1"/>
  <c r="H189" i="1"/>
  <c r="J187" i="1"/>
  <c r="J188" i="1"/>
  <c r="J189" i="1"/>
  <c r="K187" i="1"/>
  <c r="K188" i="1"/>
  <c r="K189" i="1"/>
  <c r="Q187" i="1"/>
  <c r="P187" i="1" s="1"/>
  <c r="Q188" i="1"/>
  <c r="P188" i="1" s="1"/>
  <c r="Q189" i="1"/>
  <c r="P189" i="1" s="1"/>
  <c r="B164" i="1"/>
  <c r="H164" i="1"/>
  <c r="K164" i="1"/>
  <c r="Q164" i="1"/>
  <c r="P164" i="1" s="1"/>
  <c r="B165" i="1"/>
  <c r="B166" i="1"/>
  <c r="H165" i="1"/>
  <c r="H166" i="1"/>
  <c r="J165" i="1"/>
  <c r="J166" i="1"/>
  <c r="K165" i="1"/>
  <c r="K166" i="1"/>
  <c r="Q165" i="1"/>
  <c r="P165" i="1" s="1"/>
  <c r="Q166" i="1"/>
  <c r="P166" i="1" s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B163" i="1"/>
  <c r="H163" i="1"/>
  <c r="J163" i="1"/>
  <c r="K163" i="1"/>
  <c r="Q163" i="1"/>
  <c r="P163" i="1" s="1"/>
  <c r="B162" i="1"/>
  <c r="H162" i="1"/>
  <c r="J162" i="1"/>
  <c r="K162" i="1"/>
  <c r="Q162" i="1"/>
  <c r="P162" i="1" s="1"/>
  <c r="B160" i="1"/>
  <c r="B161" i="1"/>
  <c r="H160" i="1"/>
  <c r="H161" i="1"/>
  <c r="J160" i="1"/>
  <c r="J161" i="1"/>
  <c r="K160" i="1"/>
  <c r="K161" i="1"/>
  <c r="Q160" i="1"/>
  <c r="P160" i="1" s="1"/>
  <c r="Q161" i="1"/>
  <c r="P161" i="1" s="1"/>
  <c r="B159" i="1"/>
  <c r="H159" i="1"/>
  <c r="J159" i="1"/>
  <c r="K159" i="1"/>
  <c r="Q159" i="1"/>
  <c r="P159" i="1" s="1"/>
  <c r="B157" i="1"/>
  <c r="B158" i="1"/>
  <c r="H157" i="1"/>
  <c r="H158" i="1"/>
  <c r="J157" i="1"/>
  <c r="J158" i="1"/>
  <c r="K157" i="1"/>
  <c r="K158" i="1"/>
  <c r="Q157" i="1"/>
  <c r="P157" i="1" s="1"/>
  <c r="Q158" i="1"/>
  <c r="P158" i="1" s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B130" i="1"/>
  <c r="B131" i="1"/>
  <c r="H130" i="1"/>
  <c r="H131" i="1"/>
  <c r="J130" i="1"/>
  <c r="J131" i="1"/>
  <c r="K130" i="1"/>
  <c r="K131" i="1"/>
  <c r="Q130" i="1"/>
  <c r="P130" i="1" s="1"/>
  <c r="Q131" i="1"/>
  <c r="P131" i="1" s="1"/>
  <c r="Q129" i="1"/>
  <c r="P129" i="1" s="1"/>
  <c r="K129" i="1"/>
  <c r="Q128" i="1"/>
  <c r="P128" i="1" s="1"/>
  <c r="K128" i="1"/>
  <c r="Q127" i="1"/>
  <c r="P127" i="1" s="1"/>
  <c r="K127" i="1"/>
  <c r="Q126" i="1"/>
  <c r="P126" i="1" s="1"/>
  <c r="K126" i="1"/>
  <c r="Q125" i="1"/>
  <c r="P125" i="1" s="1"/>
  <c r="K125" i="1"/>
  <c r="Q124" i="1"/>
  <c r="P124" i="1" s="1"/>
  <c r="K124" i="1"/>
  <c r="Q123" i="1"/>
  <c r="P123" i="1" s="1"/>
  <c r="K123" i="1"/>
  <c r="Q122" i="1"/>
  <c r="P122" i="1" s="1"/>
  <c r="K122" i="1"/>
  <c r="Q121" i="1"/>
  <c r="P121" i="1" s="1"/>
  <c r="K121" i="1"/>
  <c r="Q120" i="1"/>
  <c r="P120" i="1" s="1"/>
  <c r="K120" i="1"/>
  <c r="Q119" i="1"/>
  <c r="P119" i="1" s="1"/>
  <c r="K119" i="1"/>
  <c r="Q118" i="1"/>
  <c r="P118" i="1" s="1"/>
  <c r="K118" i="1"/>
  <c r="Q117" i="1"/>
  <c r="P117" i="1" s="1"/>
  <c r="K117" i="1"/>
  <c r="Q116" i="1"/>
  <c r="P116" i="1" s="1"/>
  <c r="K116" i="1"/>
  <c r="Q115" i="1"/>
  <c r="P115" i="1" s="1"/>
  <c r="K115" i="1"/>
  <c r="Q114" i="1"/>
  <c r="P114" i="1" s="1"/>
  <c r="K114" i="1"/>
  <c r="Q113" i="1"/>
  <c r="P113" i="1" s="1"/>
  <c r="K113" i="1"/>
  <c r="Q112" i="1"/>
  <c r="P112" i="1" s="1"/>
  <c r="K112" i="1"/>
  <c r="Q111" i="1"/>
  <c r="P111" i="1" s="1"/>
  <c r="K111" i="1"/>
  <c r="Q110" i="1"/>
  <c r="P110" i="1" s="1"/>
  <c r="K110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K109" i="1"/>
  <c r="Q109" i="1"/>
  <c r="P109" i="1" s="1"/>
  <c r="B86" i="1"/>
  <c r="B87" i="1"/>
  <c r="B88" i="1"/>
  <c r="H86" i="1"/>
  <c r="H87" i="1"/>
  <c r="H88" i="1"/>
  <c r="J86" i="1"/>
  <c r="J87" i="1"/>
  <c r="J88" i="1"/>
  <c r="K86" i="1"/>
  <c r="K87" i="1"/>
  <c r="K88" i="1"/>
  <c r="Q86" i="1"/>
  <c r="P86" i="1" s="1"/>
  <c r="Q87" i="1"/>
  <c r="P87" i="1" s="1"/>
  <c r="Q88" i="1"/>
  <c r="P88" i="1" s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B89" i="1"/>
  <c r="H89" i="1"/>
  <c r="J89" i="1"/>
  <c r="K89" i="1"/>
  <c r="Q89" i="1"/>
  <c r="P89" i="1" s="1"/>
  <c r="Q85" i="1"/>
  <c r="P85" i="1" s="1"/>
  <c r="K85" i="1"/>
  <c r="Q84" i="1"/>
  <c r="P84" i="1" s="1"/>
  <c r="K84" i="1"/>
  <c r="Q83" i="1"/>
  <c r="P83" i="1" s="1"/>
  <c r="K83" i="1"/>
  <c r="Q82" i="1"/>
  <c r="P82" i="1" s="1"/>
  <c r="K82" i="1"/>
  <c r="Q81" i="1"/>
  <c r="P81" i="1" s="1"/>
  <c r="K81" i="1"/>
  <c r="Q80" i="1"/>
  <c r="P80" i="1" s="1"/>
  <c r="K80" i="1"/>
  <c r="Q79" i="1"/>
  <c r="P79" i="1" s="1"/>
  <c r="K79" i="1"/>
  <c r="Q78" i="1"/>
  <c r="P78" i="1" s="1"/>
  <c r="K78" i="1"/>
  <c r="Q77" i="1"/>
  <c r="P77" i="1" s="1"/>
  <c r="K77" i="1"/>
  <c r="Q76" i="1"/>
  <c r="P76" i="1" s="1"/>
  <c r="K76" i="1"/>
  <c r="Q75" i="1"/>
  <c r="P75" i="1" s="1"/>
  <c r="K75" i="1"/>
  <c r="Q74" i="1"/>
  <c r="P74" i="1" s="1"/>
  <c r="K74" i="1"/>
  <c r="Q73" i="1"/>
  <c r="P73" i="1" s="1"/>
  <c r="K73" i="1"/>
  <c r="Q72" i="1"/>
  <c r="P72" i="1" s="1"/>
  <c r="K72" i="1"/>
  <c r="Q71" i="1"/>
  <c r="P71" i="1" s="1"/>
  <c r="K71" i="1"/>
  <c r="Q70" i="1"/>
  <c r="P70" i="1" s="1"/>
  <c r="K70" i="1"/>
  <c r="Q69" i="1"/>
  <c r="P69" i="1" s="1"/>
  <c r="K69" i="1"/>
  <c r="Q68" i="1"/>
  <c r="P68" i="1" s="1"/>
  <c r="K68" i="1"/>
  <c r="Q67" i="1"/>
  <c r="P67" i="1" s="1"/>
  <c r="K67" i="1"/>
  <c r="Q66" i="1"/>
  <c r="P66" i="1" s="1"/>
  <c r="K66" i="1"/>
  <c r="Q65" i="1"/>
  <c r="P65" i="1" s="1"/>
  <c r="K65" i="1"/>
  <c r="Q64" i="1"/>
  <c r="P64" i="1" s="1"/>
  <c r="K64" i="1"/>
  <c r="Q63" i="1"/>
  <c r="P63" i="1" s="1"/>
  <c r="K63" i="1"/>
  <c r="Q62" i="1"/>
  <c r="P62" i="1" s="1"/>
  <c r="K62" i="1"/>
  <c r="Q61" i="1"/>
  <c r="P61" i="1" s="1"/>
  <c r="K61" i="1"/>
  <c r="Q60" i="1"/>
  <c r="P60" i="1" s="1"/>
  <c r="K60" i="1"/>
  <c r="Q59" i="1"/>
  <c r="P59" i="1" s="1"/>
  <c r="K59" i="1"/>
  <c r="Q58" i="1"/>
  <c r="P58" i="1" s="1"/>
  <c r="K58" i="1"/>
  <c r="Q57" i="1"/>
  <c r="P57" i="1" s="1"/>
  <c r="K57" i="1"/>
  <c r="Q56" i="1"/>
  <c r="P56" i="1" s="1"/>
  <c r="K56" i="1"/>
  <c r="Q55" i="1"/>
  <c r="P55" i="1" s="1"/>
  <c r="K55" i="1"/>
  <c r="Q54" i="1"/>
  <c r="P54" i="1" s="1"/>
  <c r="K54" i="1"/>
  <c r="Q53" i="1"/>
  <c r="P53" i="1" s="1"/>
  <c r="K53" i="1"/>
  <c r="Q52" i="1"/>
  <c r="P52" i="1" s="1"/>
  <c r="K52" i="1"/>
  <c r="Q51" i="1"/>
  <c r="P51" i="1" s="1"/>
  <c r="K51" i="1"/>
  <c r="Q50" i="1"/>
  <c r="P50" i="1" s="1"/>
  <c r="K50" i="1"/>
  <c r="Q49" i="1"/>
  <c r="P49" i="1" s="1"/>
  <c r="K49" i="1"/>
  <c r="Q48" i="1"/>
  <c r="P48" i="1" s="1"/>
  <c r="K48" i="1"/>
  <c r="Q47" i="1"/>
  <c r="P47" i="1" s="1"/>
  <c r="K47" i="1"/>
  <c r="Q46" i="1"/>
  <c r="P46" i="1" s="1"/>
  <c r="K46" i="1"/>
  <c r="Q45" i="1"/>
  <c r="P45" i="1" s="1"/>
  <c r="K45" i="1"/>
  <c r="Q44" i="1"/>
  <c r="P44" i="1" s="1"/>
  <c r="K44" i="1"/>
  <c r="Q43" i="1"/>
  <c r="P43" i="1" s="1"/>
  <c r="K43" i="1"/>
  <c r="Q42" i="1"/>
  <c r="P42" i="1" s="1"/>
  <c r="K42" i="1"/>
  <c r="Q41" i="1"/>
  <c r="P41" i="1" s="1"/>
  <c r="K41" i="1"/>
  <c r="Q40" i="1"/>
  <c r="P40" i="1" s="1"/>
  <c r="K40" i="1"/>
  <c r="Q39" i="1"/>
  <c r="P39" i="1" s="1"/>
  <c r="K39" i="1"/>
  <c r="Q38" i="1"/>
  <c r="P38" i="1" s="1"/>
  <c r="K38" i="1"/>
  <c r="Q37" i="1"/>
  <c r="P37" i="1" s="1"/>
  <c r="K37" i="1"/>
  <c r="Q36" i="1"/>
  <c r="P36" i="1" s="1"/>
  <c r="K36" i="1"/>
  <c r="Q35" i="1"/>
  <c r="P35" i="1" s="1"/>
  <c r="K35" i="1"/>
  <c r="Q34" i="1"/>
  <c r="P34" i="1" s="1"/>
  <c r="K34" i="1"/>
  <c r="Q33" i="1"/>
  <c r="P33" i="1" s="1"/>
  <c r="K33" i="1"/>
  <c r="Q32" i="1"/>
  <c r="P32" i="1" s="1"/>
  <c r="K32" i="1"/>
  <c r="Q31" i="1"/>
  <c r="P31" i="1" s="1"/>
  <c r="K31" i="1"/>
  <c r="Q30" i="1"/>
  <c r="P30" i="1" s="1"/>
  <c r="K30" i="1"/>
  <c r="Q29" i="1"/>
  <c r="P29" i="1" s="1"/>
  <c r="K29" i="1"/>
  <c r="Q28" i="1"/>
  <c r="P28" i="1" s="1"/>
  <c r="K28" i="1"/>
  <c r="Q27" i="1"/>
  <c r="P27" i="1" s="1"/>
  <c r="K27" i="1"/>
  <c r="Q26" i="1"/>
  <c r="P26" i="1" s="1"/>
  <c r="K26" i="1"/>
  <c r="Q25" i="1"/>
  <c r="P25" i="1" s="1"/>
  <c r="K25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K24" i="1"/>
  <c r="Q24" i="1"/>
  <c r="P24" i="1" s="1"/>
  <c r="Q23" i="1"/>
  <c r="P23" i="1" s="1"/>
  <c r="K23" i="1"/>
  <c r="B23" i="1"/>
  <c r="H23" i="1"/>
  <c r="J23" i="1"/>
  <c r="K20" i="1"/>
  <c r="K19" i="1"/>
  <c r="K18" i="1"/>
  <c r="K17" i="1"/>
  <c r="B17" i="1"/>
  <c r="B18" i="1"/>
  <c r="B19" i="1"/>
  <c r="B20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B21" i="1"/>
  <c r="B22" i="1"/>
  <c r="H21" i="1"/>
  <c r="H22" i="1"/>
  <c r="J21" i="1"/>
  <c r="J22" i="1"/>
  <c r="K21" i="1"/>
  <c r="K22" i="1"/>
  <c r="Q21" i="1"/>
  <c r="P21" i="1" s="1"/>
  <c r="Q22" i="1"/>
  <c r="P22" i="1" s="1"/>
  <c r="B11" i="1"/>
  <c r="H11" i="1"/>
  <c r="J11" i="1"/>
  <c r="K11" i="1"/>
  <c r="Q11" i="1"/>
  <c r="P11" i="1" s="1"/>
  <c r="B12" i="1"/>
  <c r="B13" i="1"/>
  <c r="B14" i="1"/>
  <c r="B15" i="1"/>
  <c r="B16" i="1"/>
  <c r="H12" i="1"/>
  <c r="H13" i="1"/>
  <c r="H14" i="1"/>
  <c r="H15" i="1"/>
  <c r="H16" i="1"/>
  <c r="J12" i="1"/>
  <c r="J13" i="1"/>
  <c r="J14" i="1"/>
  <c r="J15" i="1"/>
  <c r="J16" i="1"/>
  <c r="K12" i="1"/>
  <c r="K13" i="1"/>
  <c r="K14" i="1"/>
  <c r="K15" i="1"/>
  <c r="K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2" i="2"/>
  <c r="B9" i="1" s="1"/>
  <c r="B7" i="1" l="1"/>
  <c r="B8" i="1"/>
  <c r="B3" i="1"/>
  <c r="B2" i="1"/>
  <c r="B4" i="1"/>
  <c r="B5" i="1"/>
  <c r="B10" i="1"/>
  <c r="B6" i="1"/>
  <c r="J2894" i="1"/>
  <c r="J2893" i="1"/>
  <c r="J2891" i="1"/>
  <c r="J2896" i="1"/>
  <c r="J2895" i="1"/>
  <c r="J289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<sst xmlns="http://schemas.openxmlformats.org/spreadsheetml/2006/main" count="32606" uniqueCount="5720">
  <si>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</si>
  <si>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</si>
  <si>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</si>
  <si>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</si>
  <si>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</si>
  <si>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</si>
  <si>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</si>
  <si>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</si>
  <si>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</si>
  <si>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</si>
  <si>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</si>
  <si>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</si>
  <si>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</si>
  <si>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</si>
  <si>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</si>
  <si>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</si>
  <si>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</si>
  <si>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</si>
  <si>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</si>
  <si>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</si>
  <si>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</si>
  <si>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</si>
  <si>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</si>
  <si>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</si>
  <si>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</si>
  <si>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</si>
  <si>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</si>
  <si>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</si>
  <si>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</si>
  <si>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</si>
  <si>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</si>
  <si>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</si>
  <si>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</si>
  <si>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</si>
  <si>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</si>
  <si>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</si>
  <si>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</si>
  <si>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</si>
  <si>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</si>
  <si>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</si>
  <si>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</si>
  <si>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</si>
  <si>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</si>
  <si>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</si>
  <si>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</si>
  <si>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</si>
  <si>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</si>
  <si>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</si>
  <si>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</si>
  <si>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</si>
  <si>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</si>
  <si>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</si>
  <si>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</si>
  <si>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</si>
  <si>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</si>
  <si>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</si>
  <si>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</si>
  <si>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</si>
  <si>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</si>
  <si>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</si>
  <si>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</si>
  <si>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</si>
  <si>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</si>
  <si>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</si>
  <si>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</si>
  <si>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</si>
  <si>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</si>
  <si>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</si>
  <si>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</si>
  <si>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</si>
  <si>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</si>
  <si>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</si>
  <si>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</si>
  <si>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</si>
  <si>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</si>
  <si>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</si>
  <si>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</si>
  <si>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</si>
  <si>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</si>
  <si>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</si>
  <si>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</si>
  <si>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</si>
  <si>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</si>
  <si>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</si>
  <si>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</si>
  <si>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</si>
  <si>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</si>
  <si>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</si>
  <si>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</si>
  <si>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</si>
  <si>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</si>
  <si>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</si>
  <si>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</si>
  <si>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</si>
  <si>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</si>
  <si>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</si>
  <si>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</si>
  <si>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</si>
  <si>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</si>
  <si>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</si>
  <si>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</si>
  <si>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</si>
  <si>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</si>
  <si>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</si>
  <si>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</si>
  <si>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</si>
  <si>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</si>
  <si>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</si>
  <si>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</si>
  <si>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</si>
  <si>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</si>
  <si>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</si>
  <si>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</si>
  <si>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</si>
  <si>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</si>
  <si>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</si>
  <si>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</si>
  <si>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</si>
  <si>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</si>
  <si>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</si>
  <si>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</si>
  <si>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</si>
  <si>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</si>
  <si>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</si>
  <si>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</si>
  <si>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</si>
  <si>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</si>
  <si>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</si>
  <si>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</si>
  <si>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</si>
  <si>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</si>
  <si>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</si>
  <si>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</si>
  <si>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</si>
  <si>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</si>
  <si>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</si>
  <si>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</si>
  <si>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</si>
  <si>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</si>
  <si>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</si>
  <si>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</si>
  <si>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</si>
  <si>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</si>
  <si>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</si>
  <si>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</si>
  <si>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</si>
  <si>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</si>
  <si>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</si>
  <si>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</si>
  <si>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</si>
  <si>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</si>
  <si>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</si>
  <si>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</si>
  <si>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</si>
  <si>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</si>
  <si>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</si>
  <si>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</si>
  <si>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</si>
  <si>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</si>
  <si>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</si>
  <si>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</si>
  <si>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</si>
  <si>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</si>
  <si>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</si>
  <si>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</si>
  <si>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</si>
  <si>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</si>
  <si>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</si>
  <si>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</si>
  <si>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</si>
  <si>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</si>
  <si>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</si>
  <si>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</si>
  <si>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</si>
  <si>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</si>
  <si>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</si>
  <si>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</si>
  <si>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</si>
  <si>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</si>
  <si>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</si>
  <si>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</si>
  <si>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</si>
  <si>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</si>
  <si>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</si>
  <si>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</si>
  <si>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</si>
  <si>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</si>
  <si>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</si>
  <si>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</si>
  <si>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</si>
  <si>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</si>
  <si>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</si>
  <si>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</si>
  <si>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</si>
  <si>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</si>
  <si>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</si>
  <si>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</si>
  <si>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</si>
  <si>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</si>
  <si>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</si>
  <si>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</si>
  <si>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</si>
  <si>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</si>
  <si>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</si>
  <si>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</si>
  <si>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</si>
  <si>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</si>
  <si>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</si>
  <si>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</si>
  <si>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</si>
  <si>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</si>
  <si>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</si>
  <si>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</si>
  <si>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</si>
  <si>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</si>
  <si>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</si>
  <si>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</si>
  <si>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</si>
  <si>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</si>
  <si>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</si>
  <si>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</si>
  <si>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</si>
  <si>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</si>
  <si>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</si>
  <si>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</si>
  <si>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</si>
  <si>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</si>
  <si>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</si>
  <si>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</si>
  <si>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</si>
  <si>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</si>
  <si>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</si>
  <si>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</si>
  <si>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</si>
  <si>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</si>
  <si>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</si>
  <si>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</si>
  <si>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</si>
  <si>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</si>
  <si>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</si>
  <si>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</si>
  <si>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</si>
  <si>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</si>
  <si>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</si>
  <si>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</si>
  <si>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</si>
  <si>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</si>
  <si>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</si>
  <si>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</si>
  <si>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</si>
  <si>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</si>
  <si>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</si>
  <si>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</si>
  <si>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</si>
  <si>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</si>
  <si>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</si>
  <si>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</si>
  <si>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</si>
  <si>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</si>
  <si>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</si>
  <si>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</si>
  <si>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</si>
  <si>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</si>
  <si>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</si>
  <si>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</si>
  <si>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</si>
  <si>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</si>
  <si>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</si>
  <si>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</si>
  <si>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</si>
  <si>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</si>
  <si>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</si>
  <si>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</si>
  <si>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</si>
  <si>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</si>
  <si>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</si>
  <si>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</si>
  <si>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</si>
  <si>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</si>
  <si>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</si>
  <si>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</si>
  <si>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</si>
  <si>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</si>
  <si>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</si>
  <si>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</si>
  <si>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</si>
  <si>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</si>
  <si>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</si>
  <si>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</si>
  <si>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</si>
  <si>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</si>
  <si>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</si>
  <si>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</si>
  <si>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</si>
  <si>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</si>
  <si>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</si>
  <si>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</si>
  <si>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</si>
  <si>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</si>
  <si>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</si>
  <si>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</si>
  <si>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</si>
  <si>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</si>
  <si>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</si>
  <si>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</si>
  <si>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</si>
  <si>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</si>
  <si>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</si>
  <si>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</si>
  <si>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</si>
  <si>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</si>
  <si>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</si>
  <si>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</si>
  <si>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</si>
  <si>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</si>
  <si>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</si>
  <si>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</si>
  <si>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</si>
  <si>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</si>
  <si>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</si>
  <si>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</si>
  <si>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</si>
  <si>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</si>
  <si>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</si>
  <si>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</si>
  <si>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</si>
  <si>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</si>
  <si>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</si>
  <si>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</si>
  <si>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</si>
  <si>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</si>
  <si>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</si>
  <si>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</si>
  <si>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</si>
  <si>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</si>
  <si>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</si>
  <si>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</si>
  <si>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</si>
  <si>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</si>
  <si>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</si>
  <si>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</si>
  <si>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</si>
  <si>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</si>
  <si>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</si>
  <si>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</si>
  <si>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</si>
  <si>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</si>
  <si>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</si>
  <si>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</si>
  <si>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</si>
  <si>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</si>
  <si>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</si>
  <si>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</si>
  <si>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</si>
  <si>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</si>
  <si>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</si>
  <si>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</si>
  <si>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</si>
  <si>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</si>
  <si>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</si>
  <si>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</si>
  <si>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</si>
  <si>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</si>
  <si>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</si>
  <si>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</si>
  <si>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</si>
  <si>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</si>
  <si>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</si>
  <si>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</si>
  <si>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</si>
  <si>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</si>
  <si>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</si>
  <si>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</si>
  <si>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</si>
  <si>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</si>
  <si>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</si>
  <si>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</si>
  <si>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</si>
  <si>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</si>
  <si>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</si>
  <si>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</si>
  <si>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</si>
  <si>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</si>
  <si>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</si>
  <si>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</si>
  <si>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</si>
  <si>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</si>
  <si>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</si>
  <si>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</si>
  <si>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</si>
  <si>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</si>
  <si>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</si>
  <si>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</si>
  <si>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</si>
  <si>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</si>
  <si>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</si>
  <si>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</si>
  <si>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</si>
  <si>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</si>
  <si>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</si>
  <si>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</si>
  <si>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</si>
  <si>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</si>
  <si>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</si>
  <si>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</si>
  <si>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</si>
  <si>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</si>
  <si>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</si>
  <si>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</si>
  <si>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</si>
  <si>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</si>
  <si>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</si>
  <si>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</si>
  <si>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</si>
  <si>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</si>
  <si>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</si>
  <si>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</si>
  <si>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</si>
  <si>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</si>
  <si>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</si>
  <si>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</si>
  <si>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</si>
  <si>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</si>
  <si>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</si>
  <si>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</si>
  <si>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</si>
  <si>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</si>
  <si>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</si>
  <si>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</si>
  <si>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</si>
  <si>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</si>
  <si>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</si>
  <si>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</si>
  <si>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</si>
  <si>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</si>
  <si>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</si>
  <si>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</si>
  <si>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</si>
  <si>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</si>
  <si>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</si>
  <si>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</si>
  <si>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</si>
  <si>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</si>
  <si>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</si>
  <si>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</si>
  <si>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</si>
  <si>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</si>
  <si>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</si>
  <si>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</si>
  <si>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</si>
  <si>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</si>
  <si>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</si>
  <si>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</si>
  <si>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</si>
  <si>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</si>
  <si>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</si>
  <si>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</si>
  <si>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</si>
  <si>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</si>
  <si>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</si>
  <si>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</si>
  <si>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</si>
  <si>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</si>
  <si>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</si>
  <si>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</si>
  <si>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</si>
  <si>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</si>
  <si>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</si>
  <si>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</si>
  <si>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</si>
  <si>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</si>
  <si>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</si>
  <si>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</si>
  <si>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</si>
  <si>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</si>
  <si>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</si>
  <si>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</si>
  <si>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</si>
  <si>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</si>
  <si>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</si>
  <si>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</si>
  <si>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</si>
  <si>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</si>
  <si>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</si>
  <si>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</si>
  <si>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</si>
  <si>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</si>
  <si>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</si>
  <si>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</si>
  <si>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</si>
  <si>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</si>
  <si>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</si>
  <si>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</si>
  <si>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</si>
  <si>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</si>
  <si>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</si>
  <si>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</si>
  <si>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</si>
  <si>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</si>
  <si>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</si>
  <si>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</si>
  <si>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</si>
  <si>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</si>
  <si>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</si>
  <si>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</si>
  <si>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</si>
  <si>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</si>
  <si>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</si>
  <si>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</si>
  <si>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</si>
  <si>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</si>
  <si>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</si>
  <si>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</si>
  <si>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</si>
  <si>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</si>
  <si>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</si>
  <si>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</si>
  <si>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</si>
  <si>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</si>
  <si>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</si>
  <si>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</si>
  <si>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</si>
  <si>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</si>
  <si>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</si>
  <si>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</si>
  <si>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</si>
  <si>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</si>
  <si>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</si>
  <si>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</si>
  <si>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</si>
  <si>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</si>
  <si>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</si>
  <si>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</si>
  <si>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</si>
  <si>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</si>
  <si>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</si>
  <si>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</si>
  <si>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</si>
  <si>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</si>
  <si>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</si>
  <si>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</si>
  <si>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</si>
  <si>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</si>
  <si>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</si>
  <si>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</si>
  <si>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</si>
  <si>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</si>
  <si>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</si>
  <si>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</si>
  <si>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</si>
  <si>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</si>
  <si>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</si>
  <si>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</si>
  <si>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</si>
  <si>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</si>
  <si>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</si>
  <si>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</si>
  <si>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</si>
  <si>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</si>
  <si>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</si>
  <si>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</si>
  <si>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</si>
  <si>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</si>
  <si>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</si>
  <si>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</si>
  <si>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</si>
  <si>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</si>
  <si>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</si>
  <si>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</si>
  <si>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</si>
  <si>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</si>
  <si>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</si>
  <si>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</si>
  <si>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</si>
  <si>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</si>
  <si>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</si>
  <si>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</si>
  <si>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</si>
  <si>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</si>
  <si>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</si>
  <si>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</si>
  <si>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</si>
  <si>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</si>
  <si>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</si>
  <si>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</si>
  <si>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</si>
  <si>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</si>
  <si>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</si>
  <si>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</si>
  <si>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</si>
  <si>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</si>
  <si>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</si>
  <si>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</si>
  <si>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</si>
  <si>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</si>
  <si>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</si>
  <si>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</si>
  <si>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</si>
  <si>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</si>
  <si>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</si>
  <si>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</si>
  <si>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</si>
  <si>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</si>
  <si>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</si>
  <si>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</si>
  <si>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</si>
  <si>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</si>
  <si>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</si>
  <si>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</si>
  <si>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</si>
  <si>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</si>
  <si>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</si>
  <si>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</si>
  <si>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</si>
  <si>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</si>
  <si>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</si>
  <si>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</si>
  <si>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</si>
  <si>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</si>
  <si>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</si>
  <si>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</si>
  <si>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</si>
  <si>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</si>
  <si>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</si>
  <si>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</si>
  <si>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</si>
  <si>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</si>
  <si>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</si>
  <si>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</si>
  <si>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</si>
  <si>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</si>
  <si>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</si>
  <si>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</si>
  <si>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</si>
  <si>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</si>
  <si>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</si>
  <si>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</si>
  <si>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</si>
  <si>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</si>
  <si>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</si>
  <si>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</si>
  <si>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</si>
  <si>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</si>
  <si>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</si>
  <si>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</si>
  <si>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</si>
  <si>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</si>
  <si>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</si>
  <si>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</si>
  <si>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</si>
  <si>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</si>
  <si>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</si>
  <si>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</si>
  <si>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</si>
  <si>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</si>
  <si>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</si>
  <si>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</si>
  <si>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</si>
  <si>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</si>
  <si>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</si>
  <si>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</si>
  <si>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</si>
  <si>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</si>
  <si>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</si>
  <si>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</si>
  <si>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</si>
  <si>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</si>
  <si>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</si>
  <si>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</si>
  <si>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</si>
  <si>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</si>
  <si>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</si>
  <si>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</si>
  <si>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</si>
  <si>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</si>
  <si>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</si>
  <si>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</si>
  <si>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</si>
  <si>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</si>
  <si>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</si>
  <si>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</si>
  <si>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</si>
  <si>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</si>
  <si>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</si>
  <si>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</si>
  <si>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</si>
  <si>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</si>
  <si>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</si>
  <si>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</si>
  <si>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</si>
  <si>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</si>
  <si>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</si>
  <si>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</si>
  <si>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</si>
  <si>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</si>
  <si>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</si>
  <si>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</si>
  <si>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</si>
  <si>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</si>
  <si>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</si>
  <si>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</si>
  <si>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</si>
  <si>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</si>
  <si>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</si>
  <si>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</si>
  <si>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</si>
  <si>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</si>
  <si>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</si>
  <si>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</si>
  <si>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</si>
  <si>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</si>
  <si>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</si>
  <si>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</si>
  <si>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</si>
  <si>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</si>
  <si>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</si>
  <si>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</si>
  <si>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</si>
  <si>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</si>
  <si>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</si>
  <si>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</si>
  <si>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</si>
  <si>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</si>
  <si>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</si>
  <si>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</si>
  <si>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</si>
  <si>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</si>
  <si>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</si>
  <si>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</si>
  <si>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</si>
  <si>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</si>
  <si>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</si>
  <si>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</si>
  <si>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</si>
  <si>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</si>
  <si>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</si>
  <si>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</si>
  <si>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</si>
  <si>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</si>
  <si>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</si>
  <si>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</si>
  <si>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</si>
  <si>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</si>
  <si>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</si>
  <si>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</si>
  <si>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</si>
  <si>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</si>
  <si>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</si>
  <si>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</si>
  <si>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</si>
  <si>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</si>
  <si>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</si>
  <si>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</si>
  <si>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</si>
  <si>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</si>
  <si>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</si>
  <si>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</si>
  <si>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</si>
  <si>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</si>
  <si>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</si>
  <si>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</si>
  <si>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</si>
  <si>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</si>
  <si>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</si>
  <si>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</si>
  <si>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</si>
  <si>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</si>
  <si>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</si>
  <si>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</si>
  <si>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</si>
  <si>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</si>
  <si>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</si>
  <si>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</si>
  <si>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</si>
  <si>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</si>
  <si>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</si>
  <si>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</si>
  <si>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</si>
  <si>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</si>
  <si>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</si>
  <si>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</si>
  <si>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</si>
  <si>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</si>
  <si>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</si>
  <si>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</si>
  <si>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</si>
  <si>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</si>
  <si>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</si>
  <si>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</si>
  <si>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</si>
  <si>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</si>
  <si>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</si>
  <si>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</si>
  <si>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</si>
  <si>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</si>
  <si>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</si>
  <si>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</si>
  <si>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</si>
  <si>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</si>
  <si>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</si>
  <si>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</si>
  <si>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</si>
  <si>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</si>
  <si>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</si>
  <si>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</si>
  <si>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</si>
  <si>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</si>
  <si>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</si>
  <si>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</si>
  <si>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</si>
  <si>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</si>
  <si>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</si>
  <si>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</si>
  <si>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</si>
  <si>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</si>
  <si>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</si>
  <si>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</si>
  <si>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</si>
  <si>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</si>
  <si>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</si>
  <si>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</si>
  <si>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</si>
  <si>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</si>
  <si>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</si>
  <si>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</si>
  <si>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</si>
  <si>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</si>
  <si>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</si>
  <si>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</si>
  <si>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</si>
  <si>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</si>
  <si>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</si>
  <si>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</si>
  <si>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</si>
  <si>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</si>
  <si>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</si>
  <si>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</si>
  <si>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</si>
  <si>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</si>
  <si>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</si>
  <si>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</si>
  <si>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</si>
  <si>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</si>
  <si>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</si>
  <si>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</si>
  <si>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</si>
  <si>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</si>
  <si>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</si>
  <si>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</si>
  <si>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</si>
  <si>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</si>
  <si>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</si>
  <si>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</si>
  <si>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</si>
  <si>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</si>
  <si>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</si>
  <si>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</si>
  <si>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</si>
  <si>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</si>
  <si>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</si>
  <si>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</si>
  <si>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</si>
  <si>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</si>
  <si>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</si>
  <si>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</si>
  <si>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</si>
  <si>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</si>
  <si>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</si>
  <si>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</si>
  <si>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</si>
  <si>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</si>
  <si>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</si>
  <si>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</si>
  <si>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</si>
  <si>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</si>
  <si>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</si>
  <si>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</si>
  <si>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</si>
  <si>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</si>
  <si>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</si>
  <si>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</si>
  <si>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</si>
  <si>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</si>
  <si>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</si>
  <si>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</si>
  <si>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</si>
  <si>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</si>
  <si>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</si>
  <si>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</si>
  <si>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</si>
  <si>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</si>
  <si>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</si>
  <si>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</si>
  <si>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</si>
  <si>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</si>
  <si>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</si>
  <si>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</si>
  <si>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</si>
  <si>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</si>
  <si>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</si>
  <si>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</si>
  <si>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</si>
  <si>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</si>
  <si>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</si>
  <si>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</si>
  <si>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</si>
  <si>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</si>
  <si>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</si>
  <si>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</si>
  <si>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</si>
  <si>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</si>
  <si>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</si>
  <si>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</si>
  <si>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</si>
  <si>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</si>
  <si>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</si>
  <si>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</si>
  <si>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</si>
  <si>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</si>
  <si>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</si>
  <si>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</si>
  <si>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</si>
  <si>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</si>
  <si>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</si>
  <si>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</si>
  <si>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</si>
  <si>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</si>
  <si>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</si>
  <si>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</si>
  <si>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</si>
  <si>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</si>
  <si>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</si>
  <si>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</si>
  <si>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</si>
  <si>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</si>
  <si>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</si>
  <si>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</si>
  <si>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</si>
  <si>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</si>
  <si>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</si>
  <si>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</si>
  <si>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</si>
  <si>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</si>
  <si>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</si>
  <si>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</si>
  <si>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</si>
  <si>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</si>
  <si>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</si>
  <si>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</si>
  <si>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</si>
  <si>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</si>
  <si>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</si>
  <si>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</si>
  <si>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</si>
  <si>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</si>
  <si>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</si>
  <si>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</si>
  <si>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</si>
  <si>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</si>
  <si>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</si>
  <si>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</si>
  <si>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</si>
  <si>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</si>
  <si>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</si>
  <si>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</si>
  <si>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</si>
  <si>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</si>
  <si>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</si>
  <si>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</si>
  <si>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</si>
  <si>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</si>
  <si>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</si>
  <si>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</si>
  <si>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</si>
  <si>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</si>
  <si>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</si>
  <si>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</si>
  <si>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</si>
  <si>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</si>
  <si>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</si>
  <si>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</si>
  <si>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</si>
  <si>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</si>
  <si>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</si>
  <si>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</si>
  <si>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</si>
  <si>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</si>
  <si>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</si>
  <si>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</si>
  <si>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</si>
  <si>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</si>
  <si>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</si>
  <si>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</si>
  <si>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</si>
  <si>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</si>
  <si>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</si>
  <si>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</si>
  <si>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</si>
  <si>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</si>
  <si>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</si>
  <si>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</si>
  <si>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</si>
  <si>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</si>
  <si>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</si>
  <si>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</si>
  <si>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</si>
  <si>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</si>
  <si>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</si>
  <si>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</si>
  <si>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</si>
  <si>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</si>
  <si>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</si>
  <si>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</si>
  <si>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</si>
  <si>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</si>
  <si>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</si>
  <si>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</si>
  <si>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</si>
  <si>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</si>
  <si>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</si>
  <si>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</si>
  <si>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</si>
  <si>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</si>
  <si>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</si>
  <si>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</si>
  <si>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</si>
  <si>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</si>
  <si>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</si>
  <si>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</si>
  <si>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</si>
  <si>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</si>
  <si>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</si>
  <si>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</si>
  <si>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</si>
  <si>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</si>
  <si>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</si>
  <si>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</si>
  <si>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</si>
  <si>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</si>
  <si>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</si>
  <si>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</si>
  <si>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</si>
  <si>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</si>
  <si>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</si>
  <si>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</si>
  <si>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</si>
  <si>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</si>
  <si>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</si>
  <si>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</si>
  <si>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</si>
  <si>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</si>
  <si>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</si>
  <si>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</si>
  <si>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</si>
  <si>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</si>
  <si>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</si>
  <si>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</si>
  <si>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</si>
  <si>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</si>
  <si>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</si>
  <si>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</si>
  <si>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</si>
  <si>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</si>
  <si>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</si>
  <si>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</si>
  <si>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</si>
  <si>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</si>
  <si>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</si>
  <si>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</si>
  <si>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</si>
  <si>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</si>
  <si>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</si>
  <si>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</si>
  <si>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</si>
  <si>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</si>
  <si>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</si>
  <si>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</si>
  <si>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</si>
  <si>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</si>
  <si>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</si>
  <si>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</si>
  <si>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</si>
  <si>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</si>
  <si>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</si>
  <si>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</si>
  <si>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</si>
  <si>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</si>
  <si>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</si>
  <si>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</si>
  <si>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</si>
  <si>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</si>
  <si>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</si>
  <si>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</si>
  <si>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</si>
  <si>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</si>
  <si>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</si>
  <si>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</si>
  <si>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</si>
  <si>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</si>
  <si>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</si>
  <si>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</si>
  <si>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</si>
  <si>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</si>
  <si>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</si>
  <si>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</si>
  <si>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</si>
  <si>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</si>
  <si>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</si>
  <si>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</si>
  <si>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</si>
  <si>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</si>
  <si>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</si>
  <si>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</si>
  <si>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</si>
  <si>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</si>
  <si>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</si>
  <si>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</si>
  <si>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</si>
  <si>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</si>
  <si>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</si>
  <si>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</si>
  <si>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</si>
  <si>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</si>
  <si>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</si>
  <si>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</si>
  <si>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</si>
  <si>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</si>
  <si>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</si>
  <si>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</si>
  <si>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</si>
  <si>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</si>
  <si>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</si>
  <si>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</si>
  <si>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</si>
  <si>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</si>
  <si>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</si>
  <si>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</si>
  <si>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</si>
  <si>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</si>
  <si>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</si>
  <si>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</si>
  <si>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</si>
  <si>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</si>
  <si>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</si>
  <si>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</si>
  <si>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</si>
  <si>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</si>
  <si>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</si>
  <si>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</si>
  <si>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</si>
  <si>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</si>
  <si>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</si>
  <si>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</si>
  <si>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</si>
  <si>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</si>
  <si>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</si>
  <si>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</si>
  <si>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</si>
  <si>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</si>
  <si>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</si>
  <si>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</si>
  <si>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</si>
  <si>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</si>
  <si>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</si>
  <si>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</si>
  <si>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</si>
  <si>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</si>
  <si>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</si>
  <si>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</si>
  <si>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</si>
  <si>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</si>
  <si>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</si>
  <si>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</si>
  <si>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</si>
  <si>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</si>
  <si>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</si>
  <si>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</si>
  <si>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</si>
  <si>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</si>
  <si>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</si>
  <si>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</si>
  <si>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</si>
  <si>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</si>
  <si>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</si>
  <si>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</si>
  <si>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</si>
  <si>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</si>
  <si>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</si>
  <si>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</si>
  <si>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</si>
  <si>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</si>
  <si>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</si>
  <si>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</si>
  <si>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</si>
  <si>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</si>
  <si>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</si>
  <si>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</si>
  <si>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</si>
  <si>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</si>
  <si>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</si>
  <si>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</si>
  <si>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</si>
  <si>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</si>
  <si>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</si>
  <si>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</si>
  <si>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</si>
  <si>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</si>
  <si>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</si>
  <si>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</si>
  <si>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</si>
  <si>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</si>
  <si>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</si>
  <si>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</si>
  <si>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</si>
  <si>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</si>
  <si>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</si>
  <si>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</si>
  <si>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</si>
  <si>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</si>
  <si>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</si>
  <si>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</si>
  <si>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</si>
  <si>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</si>
  <si>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</si>
  <si>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</si>
  <si>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</si>
  <si>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</si>
  <si>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</si>
  <si>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</si>
  <si>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</si>
  <si>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</si>
  <si>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</si>
  <si>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</si>
  <si>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</si>
  <si>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</si>
  <si>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</si>
  <si>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</si>
  <si>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</si>
  <si>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</si>
  <si>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</si>
  <si>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</si>
  <si>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</si>
  <si>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</si>
  <si>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</si>
  <si>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</si>
  <si>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</si>
  <si>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</si>
  <si>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</si>
  <si>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</si>
  <si>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</si>
  <si>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</si>
  <si>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</si>
  <si>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</si>
  <si>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</si>
  <si>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</si>
  <si>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</si>
  <si>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</si>
  <si>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</si>
  <si>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</si>
  <si>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</si>
  <si>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</si>
  <si>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</si>
  <si>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</si>
  <si>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</si>
  <si>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</si>
  <si>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</si>
  <si>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</si>
  <si>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</si>
  <si>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</si>
  <si>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</si>
  <si>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</si>
  <si>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</si>
  <si>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</si>
  <si>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</si>
  <si>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</si>
  <si>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</si>
  <si>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</si>
  <si>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</si>
  <si>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</si>
  <si>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</si>
  <si>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</si>
  <si>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</si>
  <si>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</si>
  <si>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</si>
  <si>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</si>
  <si>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</si>
  <si>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</si>
  <si>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</si>
  <si>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</si>
  <si>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</si>
  <si>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</si>
  <si>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</si>
  <si>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</si>
  <si>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</si>
  <si>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</si>
  <si>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</si>
  <si>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</si>
  <si>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</si>
  <si>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</si>
  <si>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</si>
  <si>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</si>
  <si>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</si>
  <si>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</si>
  <si>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</si>
  <si>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</si>
  <si>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</si>
  <si>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</si>
  <si>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</si>
  <si>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</si>
  <si>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</si>
  <si>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</si>
  <si>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</si>
  <si>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</si>
  <si>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</si>
  <si>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</si>
  <si>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</si>
  <si>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</si>
  <si>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</si>
  <si>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</si>
  <si>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</si>
  <si>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</si>
  <si>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</si>
  <si>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</si>
  <si>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</si>
  <si>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</si>
  <si>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</si>
  <si>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</si>
  <si>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</si>
  <si>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</si>
  <si>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</si>
  <si>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</si>
  <si>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</si>
  <si>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</si>
  <si>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</si>
  <si>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</si>
  <si>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</si>
  <si>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</si>
  <si>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</si>
  <si>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</si>
  <si>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</si>
  <si>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</si>
  <si>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</si>
  <si>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</si>
  <si>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</si>
  <si>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</si>
  <si>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</si>
  <si>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</si>
  <si>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</si>
  <si>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</si>
  <si>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</si>
  <si>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</si>
  <si>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</si>
  <si>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</si>
  <si>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</si>
  <si>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</si>
  <si>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</si>
  <si>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</si>
  <si>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</si>
  <si>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</si>
  <si>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</si>
  <si>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</si>
  <si>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</si>
  <si>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</si>
  <si>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</si>
  <si>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</si>
  <si>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</si>
  <si>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</si>
  <si>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</si>
  <si>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</si>
  <si>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</si>
  <si>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</si>
  <si>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</si>
  <si>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</si>
  <si>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</si>
  <si>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</si>
  <si>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</si>
  <si>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</si>
  <si>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</si>
  <si>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</si>
  <si>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</si>
  <si>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</si>
  <si>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</si>
  <si>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</si>
  <si>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</si>
  <si>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</si>
  <si>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</si>
  <si>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</si>
  <si>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</si>
  <si>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</si>
  <si>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</si>
  <si>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</si>
  <si>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</si>
  <si>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</si>
  <si>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</si>
  <si>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</si>
  <si>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</si>
  <si>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</si>
  <si>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</si>
  <si>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</si>
  <si>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</si>
  <si>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</si>
  <si>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</si>
  <si>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</si>
  <si>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</si>
  <si>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</si>
  <si>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</si>
  <si>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</si>
  <si>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</si>
  <si>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</si>
  <si>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</si>
  <si>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</si>
  <si>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</si>
  <si>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</si>
  <si>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</si>
  <si>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</si>
  <si>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</si>
  <si>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</si>
  <si>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</si>
  <si>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</si>
  <si>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</si>
  <si>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</si>
  <si>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</si>
  <si>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</si>
  <si>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</si>
  <si>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</si>
  <si>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</si>
  <si>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</si>
  <si>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</si>
  <si>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</si>
  <si>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</si>
  <si>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</si>
  <si>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</si>
  <si>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</si>
  <si>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</si>
  <si>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</si>
  <si>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</si>
  <si>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</si>
  <si>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</si>
  <si>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</si>
  <si>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</si>
  <si>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</si>
  <si>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</si>
  <si>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</si>
  <si>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</si>
  <si>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</si>
  <si>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</si>
  <si>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</si>
  <si>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</si>
  <si>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</si>
  <si>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</si>
  <si>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</si>
  <si>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</si>
  <si>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</si>
  <si>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</si>
  <si>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</si>
  <si>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</si>
  <si>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</si>
  <si>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</si>
  <si>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</si>
  <si>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</si>
  <si>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</si>
  <si>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</si>
  <si>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</si>
  <si>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</si>
  <si>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</si>
  <si>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</si>
  <si>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</si>
  <si>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</si>
  <si>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</si>
  <si>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</si>
  <si>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</si>
  <si>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</si>
  <si>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</si>
  <si>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</si>
  <si>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</si>
  <si>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</si>
  <si>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</si>
  <si>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</si>
  <si>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</si>
  <si>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</si>
  <si>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</si>
  <si>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</si>
  <si>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</si>
  <si>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</si>
  <si>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</si>
  <si>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</si>
  <si>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</si>
  <si>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</si>
  <si>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</si>
  <si>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</si>
  <si>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</si>
  <si>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</si>
  <si>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</si>
  <si>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</si>
  <si>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</si>
  <si>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</si>
  <si>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</si>
  <si>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</si>
  <si>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</si>
  <si>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</si>
  <si>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</si>
  <si>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</si>
  <si>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</si>
  <si>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</si>
  <si>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</si>
  <si>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</si>
  <si>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</si>
  <si>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</si>
  <si>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</si>
  <si>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</si>
  <si>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</si>
  <si>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</si>
  <si>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</si>
  <si>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</si>
  <si>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</si>
  <si>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</si>
  <si>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</si>
  <si>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</si>
  <si>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</si>
  <si>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</si>
  <si>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</si>
  <si>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</si>
  <si>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</si>
  <si>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</si>
  <si>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</si>
  <si>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</si>
  <si>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</si>
  <si>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</si>
  <si>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</si>
  <si>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</si>
  <si>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</si>
  <si>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</si>
  <si>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</si>
  <si>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</si>
  <si>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</si>
  <si>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</si>
  <si>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</si>
  <si>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</si>
  <si>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</si>
  <si>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</si>
  <si>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</si>
  <si>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</si>
  <si>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</si>
  <si>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</si>
  <si>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</si>
  <si>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</si>
  <si>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</si>
  <si>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</si>
  <si>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</si>
  <si>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</si>
  <si>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</si>
  <si>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</si>
  <si>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</si>
  <si>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</si>
  <si>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</si>
  <si>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</si>
  <si>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</si>
  <si>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</si>
  <si>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</si>
  <si>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</si>
  <si>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</si>
  <si>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</si>
  <si>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</si>
  <si>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</si>
  <si>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</si>
  <si>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</si>
  <si>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</si>
  <si>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</si>
  <si>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</si>
  <si>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</si>
  <si>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</si>
  <si>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</si>
  <si>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</si>
  <si>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</si>
  <si>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</si>
  <si>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</si>
  <si>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</si>
  <si>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</si>
  <si>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</si>
  <si>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</si>
  <si>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</si>
  <si>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</si>
  <si>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</si>
  <si>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</si>
  <si>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</si>
  <si>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</si>
  <si>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</si>
  <si>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</si>
  <si>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</si>
  <si>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</si>
  <si>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</si>
  <si>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</si>
  <si>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</si>
  <si>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</si>
  <si>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</si>
  <si>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</si>
  <si>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</si>
  <si>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</si>
  <si>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</si>
  <si>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</si>
  <si>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</si>
  <si>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</si>
  <si>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</si>
  <si>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</si>
  <si>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</si>
  <si>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</si>
  <si>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</si>
  <si>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</si>
  <si>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</si>
  <si>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</si>
  <si>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</si>
  <si>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</si>
  <si>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</si>
  <si>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</si>
  <si>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</si>
  <si>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</si>
  <si>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</si>
  <si>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</si>
  <si>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</si>
  <si>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</si>
  <si>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</si>
  <si>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</si>
  <si>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</si>
  <si>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</si>
  <si>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</si>
  <si>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</si>
  <si>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</si>
  <si>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</si>
  <si>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</si>
  <si>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</si>
  <si>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</si>
  <si>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</si>
  <si>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</si>
  <si>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</si>
  <si>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</si>
  <si>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</si>
  <si>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</si>
  <si>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</si>
  <si>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</si>
  <si>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</si>
  <si>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</si>
  <si>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</si>
  <si>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</si>
  <si>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</si>
  <si>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</si>
  <si>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</si>
  <si>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</si>
  <si>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</si>
  <si>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</si>
  <si>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</si>
  <si>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</si>
  <si>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</si>
  <si>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</si>
  <si>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</si>
  <si>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</si>
  <si>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</si>
  <si>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</si>
  <si>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</si>
  <si>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</si>
  <si>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</si>
  <si>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</si>
  <si>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</si>
  <si>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</si>
  <si>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</si>
  <si>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</si>
  <si>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</si>
  <si>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</si>
  <si>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</si>
  <si>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</si>
  <si>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</si>
  <si>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</si>
  <si>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</si>
  <si>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</si>
  <si>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</si>
  <si>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</si>
  <si>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</si>
  <si>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</si>
  <si>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</si>
  <si>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</si>
  <si>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</si>
  <si>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</si>
  <si>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</si>
  <si>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</si>
  <si>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</si>
  <si>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</si>
  <si>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</si>
  <si>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</si>
  <si>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</si>
  <si>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</si>
  <si>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</si>
  <si>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</si>
  <si>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</si>
  <si>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</si>
  <si>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</si>
  <si>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</si>
  <si>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</si>
  <si>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</si>
  <si>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</si>
  <si>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</si>
  <si>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</si>
  <si>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</si>
  <si>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</si>
  <si>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</si>
  <si>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</si>
  <si>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</si>
  <si>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</si>
  <si>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</si>
  <si>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</si>
  <si>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</si>
  <si>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</si>
  <si>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</si>
  <si>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</si>
  <si>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</si>
  <si>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</si>
  <si>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</si>
  <si>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</si>
  <si>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</si>
  <si>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</si>
  <si>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</si>
  <si>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</si>
  <si>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</si>
  <si>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</si>
  <si>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</si>
  <si>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</si>
  <si>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</si>
  <si>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</si>
  <si>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</si>
  <si>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</si>
  <si>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</si>
  <si>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</si>
  <si>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</si>
  <si>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</si>
  <si>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</si>
  <si>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</si>
  <si>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</si>
  <si>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</si>
  <si>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</si>
  <si>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</si>
  <si>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</si>
  <si>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</si>
  <si>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</si>
  <si>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</si>
  <si>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</si>
  <si>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</si>
  <si>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</si>
  <si>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</si>
  <si>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</si>
  <si>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</si>
  <si>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</si>
  <si>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</si>
  <si>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</si>
  <si>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</si>
  <si>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</si>
  <si>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</si>
  <si>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</si>
  <si>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</si>
  <si>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</si>
  <si>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</si>
  <si>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</si>
  <si>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</si>
  <si>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</si>
  <si>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</si>
  <si>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</si>
  <si>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</si>
  <si>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</si>
  <si>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</si>
  <si>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</si>
  <si>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</si>
  <si>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</si>
  <si>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</si>
  <si>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</si>
  <si>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</si>
  <si>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</si>
  <si>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</si>
  <si>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</si>
  <si>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</si>
  <si>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</si>
  <si>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</si>
  <si>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</si>
  <si>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</si>
  <si>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</si>
  <si>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</si>
  <si>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</si>
  <si>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</si>
  <si>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</si>
  <si>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</si>
  <si>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</si>
  <si>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</si>
  <si>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</si>
  <si>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</si>
  <si>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</si>
  <si>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</si>
  <si>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</si>
  <si>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</si>
  <si>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</si>
  <si>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</si>
  <si>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</si>
  <si>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</si>
  <si>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</si>
  <si>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</si>
  <si>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</si>
  <si>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</si>
  <si>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</si>
  <si>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</si>
  <si>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</si>
  <si>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</si>
  <si>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</si>
  <si>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</si>
  <si>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</si>
  <si>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</si>
  <si>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</si>
  <si>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</si>
  <si>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</si>
  <si>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</si>
  <si>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</si>
  <si>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</si>
  <si>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</si>
  <si>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</si>
  <si>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</si>
  <si>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</si>
  <si>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</si>
  <si>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</si>
  <si>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</si>
  <si>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</si>
  <si>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</si>
  <si>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</si>
  <si>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</si>
  <si>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</si>
  <si>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</si>
  <si>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</si>
  <si>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</si>
  <si>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</si>
  <si>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</si>
  <si>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</si>
  <si>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</si>
  <si>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</si>
  <si>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</si>
  <si>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</si>
  <si>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</si>
  <si>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</si>
  <si>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</si>
  <si>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</si>
  <si>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</si>
  <si>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</si>
  <si>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</si>
  <si>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</si>
  <si>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</si>
  <si>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</si>
  <si>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</si>
  <si>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</si>
  <si>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</si>
  <si>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</si>
  <si>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</si>
  <si>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</si>
  <si>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</si>
  <si>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</si>
  <si>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</si>
  <si>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</si>
  <si>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</si>
  <si>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</si>
  <si>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</si>
  <si>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</si>
  <si>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</si>
  <si>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</si>
  <si>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</si>
  <si>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</si>
  <si>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</si>
  <si>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</si>
  <si>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</si>
  <si>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</si>
  <si>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</si>
  <si>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</si>
  <si>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</si>
  <si>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</si>
  <si>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</si>
  <si>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</si>
  <si>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</si>
  <si>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</si>
  <si>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</si>
  <si>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</si>
  <si>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</si>
  <si>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</si>
  <si>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</si>
  <si>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</si>
  <si>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</si>
  <si>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</si>
  <si>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</si>
  <si>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</si>
  <si>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</si>
  <si>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</si>
  <si>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</si>
  <si>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</si>
  <si>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</si>
  <si>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</si>
  <si>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</si>
  <si>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</si>
  <si>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</si>
  <si>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</si>
  <si>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</si>
  <si>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</si>
  <si>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</si>
  <si>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</si>
  <si>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</si>
  <si>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</si>
  <si>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</si>
  <si>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</si>
  <si>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</si>
  <si>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</si>
  <si>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</si>
  <si>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</si>
  <si>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</si>
  <si>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</si>
  <si>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</si>
  <si>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</si>
  <si>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</si>
  <si>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</si>
  <si>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</si>
  <si>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</si>
  <si>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</si>
  <si>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</si>
  <si>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</si>
  <si>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</si>
  <si>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</si>
  <si>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</si>
  <si>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</si>
  <si>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</si>
  <si>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</si>
  <si>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</si>
  <si>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</si>
  <si>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</si>
  <si>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</si>
  <si>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</si>
  <si>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</si>
  <si>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</si>
  <si>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</si>
  <si>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</si>
  <si>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</si>
  <si>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</si>
  <si>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</si>
  <si>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</si>
  <si>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</si>
  <si>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</si>
  <si>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</si>
  <si>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</si>
  <si>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</si>
  <si>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</si>
  <si>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</si>
  <si>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</si>
  <si>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</si>
  <si>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</si>
  <si>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</si>
  <si>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</si>
  <si>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</si>
  <si>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</si>
  <si>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</si>
  <si>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</si>
  <si>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</si>
  <si>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</si>
  <si>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</si>
  <si>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</si>
  <si>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</si>
  <si>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</si>
  <si>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</si>
  <si>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</si>
  <si>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</si>
  <si>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</si>
  <si>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</si>
  <si>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</si>
  <si>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</si>
  <si>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</si>
  <si>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</si>
  <si>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</si>
  <si>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</si>
  <si>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</si>
  <si>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</si>
  <si>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</si>
  <si>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</si>
  <si>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</si>
  <si>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</si>
  <si>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</si>
  <si>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</si>
  <si>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</si>
  <si>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</si>
  <si>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</si>
  <si>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</si>
  <si>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</si>
  <si>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</si>
  <si>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</si>
  <si>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</si>
  <si>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</si>
  <si>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</si>
  <si>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</si>
  <si>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</si>
  <si>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</si>
  <si>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</si>
  <si>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</si>
  <si>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</si>
  <si>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</si>
  <si>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</si>
  <si>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</si>
  <si>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</si>
  <si>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</si>
  <si>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</si>
  <si>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</si>
  <si>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</si>
  <si>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</si>
  <si>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</si>
  <si>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</si>
  <si>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</si>
  <si>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</si>
  <si>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</si>
  <si>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</si>
  <si>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</si>
  <si>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</si>
  <si>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</si>
  <si>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</si>
  <si>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</si>
  <si>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</si>
  <si>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</si>
  <si>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</si>
  <si>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</si>
  <si>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</si>
  <si>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</si>
  <si>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</si>
  <si>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</si>
  <si>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</si>
  <si>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</si>
  <si>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</si>
  <si>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</si>
  <si>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</si>
  <si>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</si>
  <si>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</si>
  <si>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</si>
  <si>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</si>
  <si>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</si>
  <si>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</si>
  <si>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</si>
  <si>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</si>
  <si>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</si>
  <si>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</si>
  <si>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</si>
  <si>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</si>
  <si>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</si>
  <si>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</si>
  <si>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</si>
  <si>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</si>
  <si>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</si>
  <si>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</si>
  <si>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</si>
  <si>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</si>
  <si>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</si>
  <si>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</si>
  <si>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</si>
  <si>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</si>
  <si>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</si>
  <si>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</si>
  <si>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</si>
  <si>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</si>
  <si>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</si>
  <si>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</si>
  <si>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</si>
  <si>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</si>
  <si>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</si>
  <si>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</si>
  <si>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</si>
  <si>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</si>
  <si>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</si>
  <si>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</si>
  <si>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</si>
  <si>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</si>
  <si>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</si>
  <si>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</si>
  <si>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</si>
  <si>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</si>
  <si>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</si>
  <si>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</si>
  <si>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</si>
  <si>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</si>
  <si>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</si>
  <si>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</si>
  <si>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</si>
  <si>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</si>
  <si>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</si>
  <si>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</si>
  <si>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</si>
  <si>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</si>
  <si>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</si>
  <si>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</si>
  <si>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</si>
  <si>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</si>
  <si>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</si>
  <si>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</si>
  <si>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</si>
  <si>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</si>
  <si>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</si>
  <si>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</si>
  <si>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</si>
  <si>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</si>
  <si>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</si>
  <si>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</si>
  <si>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</si>
  <si>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</si>
  <si>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</si>
  <si>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</si>
  <si>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</si>
  <si>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</si>
  <si>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</si>
  <si>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</si>
  <si>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</si>
  <si>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</si>
  <si>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</si>
  <si>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</si>
  <si>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</si>
  <si>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</si>
  <si>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</si>
  <si>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</si>
  <si>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</si>
  <si>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</si>
  <si>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</si>
  <si>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</si>
  <si>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</si>
  <si>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</si>
  <si>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</si>
  <si>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</si>
  <si>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</si>
  <si>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</si>
  <si>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</si>
  <si>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</si>
  <si>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</si>
  <si>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</si>
  <si>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</si>
  <si>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</si>
  <si>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</si>
  <si>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</si>
  <si>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</si>
  <si>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</si>
  <si>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</si>
  <si>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</si>
  <si>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</si>
  <si>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</si>
  <si>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</si>
  <si>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</si>
  <si>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</si>
  <si>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</si>
  <si>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</si>
  <si>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</si>
  <si>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</si>
  <si>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</si>
  <si>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</si>
  <si>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</si>
  <si>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</si>
  <si>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</si>
  <si>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</si>
  <si>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</si>
  <si>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</si>
  <si>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</si>
  <si>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</si>
  <si>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</si>
  <si>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</si>
  <si>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</si>
  <si>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</si>
  <si>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</si>
  <si>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</si>
  <si>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</si>
  <si>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</si>
  <si>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</si>
  <si>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</si>
  <si>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</si>
  <si>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</si>
  <si>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</si>
  <si>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</si>
  <si>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</si>
  <si>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</si>
  <si>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</si>
  <si>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</si>
  <si>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</si>
  <si>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</si>
  <si>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</si>
  <si>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</si>
  <si>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</si>
  <si>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</si>
  <si>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</si>
  <si>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</si>
  <si>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</si>
  <si>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</si>
  <si>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</si>
  <si>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</si>
  <si>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</si>
  <si>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</si>
  <si>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</si>
  <si>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</si>
  <si>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</si>
  <si>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</si>
  <si>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</si>
  <si>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</si>
  <si>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</si>
  <si>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</si>
  <si>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</si>
  <si>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</si>
  <si>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</si>
  <si>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</si>
  <si>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</si>
  <si>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</si>
  <si>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</si>
  <si>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</si>
  <si>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</si>
  <si>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</si>
  <si>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</si>
  <si>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</si>
  <si>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</si>
  <si>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</si>
  <si>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</si>
  <si>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</si>
  <si>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</si>
  <si>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</si>
  <si>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</si>
  <si>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</si>
  <si>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</si>
  <si>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</si>
  <si>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</si>
  <si>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</si>
  <si>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</si>
  <si>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</si>
  <si>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</si>
  <si>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</si>
  <si>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</si>
  <si>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</si>
  <si>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</si>
  <si>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</si>
  <si>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</si>
  <si>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</si>
  <si>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</si>
  <si>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</si>
  <si>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</si>
  <si>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</si>
  <si>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</si>
  <si>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</si>
  <si>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</si>
  <si>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</si>
  <si>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</si>
  <si>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</si>
  <si>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</si>
  <si>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</si>
  <si>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</si>
  <si>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</si>
  <si>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</si>
  <si>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</si>
  <si>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</si>
  <si>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</si>
  <si>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</si>
  <si>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</si>
  <si>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</si>
  <si>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</si>
  <si>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</si>
  <si>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</si>
  <si>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</si>
  <si>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</si>
  <si>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</si>
  <si>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</si>
  <si>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</si>
  <si>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</si>
  <si>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</si>
  <si>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</si>
  <si>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</si>
  <si>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</si>
  <si>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</si>
  <si>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</si>
  <si>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</si>
  <si>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</si>
  <si>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</si>
  <si>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</si>
  <si>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</si>
  <si>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</si>
  <si>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</si>
  <si>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</si>
  <si>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</si>
  <si>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</si>
  <si>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</si>
  <si>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</si>
  <si>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</si>
  <si>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</si>
  <si>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</si>
  <si>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</si>
  <si>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</si>
  <si>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</si>
  <si>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</si>
  <si>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</si>
  <si>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</si>
  <si>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</si>
  <si>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</si>
  <si>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</si>
  <si>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</si>
  <si>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</si>
  <si>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</si>
  <si>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</si>
  <si>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</si>
  <si>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</si>
  <si>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</si>
  <si>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</si>
  <si>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</si>
  <si>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</si>
  <si>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</si>
  <si>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</si>
  <si>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</si>
  <si>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</si>
  <si>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</si>
  <si>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</si>
  <si>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</si>
  <si>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</si>
  <si>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</si>
  <si>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</si>
  <si>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</si>
  <si>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</si>
  <si>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</si>
  <si>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</si>
  <si>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</si>
  <si>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</si>
  <si>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</si>
  <si>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</si>
  <si>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</si>
  <si>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</si>
  <si>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</si>
  <si>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</si>
  <si>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</si>
  <si>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</si>
  <si>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</si>
  <si>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</si>
  <si>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</si>
  <si>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</si>
  <si>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</si>
  <si>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</si>
  <si>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</si>
  <si>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</si>
  <si>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</si>
  <si>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</si>
  <si>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</si>
  <si>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</si>
  <si>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</si>
  <si>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</si>
  <si>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</si>
  <si>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</si>
  <si>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</si>
  <si>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</si>
  <si>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</si>
  <si>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</si>
  <si>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</si>
  <si>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</si>
  <si>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</si>
  <si>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</si>
  <si>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</si>
  <si>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</si>
  <si>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</si>
  <si>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</si>
  <si>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</si>
  <si>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</si>
  <si>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</si>
  <si>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</si>
  <si>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</si>
  <si>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</si>
  <si>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</si>
  <si>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</si>
  <si>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</si>
  <si>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</si>
  <si>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</si>
  <si>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</si>
  <si>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</si>
  <si>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</si>
  <si>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</si>
  <si>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</si>
  <si>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</si>
  <si>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</si>
  <si>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</si>
  <si>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</si>
  <si>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</si>
  <si>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</si>
  <si>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</si>
  <si>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</si>
  <si>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</si>
  <si>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</si>
  <si>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</si>
  <si>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</si>
  <si>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</si>
  <si>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</si>
  <si>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</si>
  <si>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</si>
  <si>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</si>
  <si>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</si>
  <si>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</si>
  <si>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</si>
  <si>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</si>
  <si>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</si>
  <si>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</si>
  <si>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</si>
  <si>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</si>
  <si>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</si>
  <si>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</si>
  <si>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</si>
  <si>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</si>
  <si>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</si>
  <si>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</si>
  <si>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</si>
  <si>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</si>
  <si>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</si>
  <si>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</si>
  <si>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</si>
  <si>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</si>
  <si>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</si>
  <si>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</si>
  <si>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</si>
  <si>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</si>
  <si>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</si>
  <si>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</si>
  <si>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</si>
  <si>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</si>
  <si>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</si>
  <si>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</si>
  <si>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</si>
  <si>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</si>
  <si>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</si>
  <si>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</si>
  <si>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</si>
  <si>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</si>
  <si>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</si>
  <si>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</si>
  <si>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</si>
  <si>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</si>
  <si>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</si>
  <si>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</si>
  <si>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</si>
  <si>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</si>
  <si>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</si>
  <si>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</si>
  <si>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</si>
  <si>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</si>
  <si>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</si>
  <si>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</si>
  <si>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</si>
  <si>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</si>
  <si>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</si>
  <si>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</si>
  <si>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</si>
  <si>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</si>
  <si>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</si>
  <si>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</si>
  <si>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</si>
  <si>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</si>
  <si>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</si>
  <si>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</si>
  <si>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</si>
  <si>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</si>
  <si>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</si>
  <si>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</si>
  <si>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</si>
  <si>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</si>
  <si>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</si>
  <si>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</si>
  <si>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</si>
  <si>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</si>
  <si>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</si>
  <si>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</si>
  <si>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</si>
  <si>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</si>
  <si>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</si>
  <si>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</si>
  <si>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</si>
  <si>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</si>
  <si>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</si>
  <si>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</si>
  <si>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</si>
  <si>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</si>
  <si>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</si>
  <si>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</si>
  <si>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</si>
  <si>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</si>
  <si>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</si>
  <si>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</si>
  <si>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</si>
  <si>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</si>
  <si>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</si>
  <si>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</si>
  <si>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</si>
  <si>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</si>
  <si>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</si>
  <si>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</si>
  <si>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</si>
  <si>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</si>
  <si>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</si>
  <si>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</si>
  <si>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</si>
  <si>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</si>
  <si>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</si>
  <si>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</si>
  <si>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</si>
  <si>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</si>
  <si>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</si>
  <si>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</si>
  <si>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</si>
  <si>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</si>
  <si>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</si>
  <si>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</si>
  <si>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</si>
  <si>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</si>
  <si>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</si>
  <si>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</si>
  <si>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</si>
  <si>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</si>
  <si>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</si>
  <si>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</si>
  <si>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</si>
  <si>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</si>
  <si>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</si>
  <si>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</si>
  <si>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</si>
  <si>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</si>
  <si>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</si>
  <si>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</si>
  <si>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</si>
  <si>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</si>
  <si>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</si>
  <si>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</si>
  <si>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</si>
  <si>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</si>
  <si>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</si>
  <si>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</si>
  <si>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</si>
  <si>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</si>
  <si>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</si>
  <si>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</si>
  <si>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</si>
  <si>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</si>
  <si>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</si>
  <si>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</si>
  <si>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</si>
  <si>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</si>
  <si>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</si>
  <si>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</si>
  <si>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</si>
  <si>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</si>
  <si>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</si>
  <si>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</si>
  <si>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</si>
  <si>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</si>
  <si>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</si>
  <si>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</si>
  <si>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</si>
  <si>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</si>
  <si>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</si>
  <si>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</si>
  <si>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</si>
  <si>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</si>
  <si>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</si>
  <si>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</si>
  <si>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</si>
  <si>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</si>
  <si>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</si>
  <si>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</si>
  <si>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</si>
  <si>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</si>
  <si>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</si>
  <si>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</si>
  <si>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</si>
  <si>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</si>
  <si>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</si>
  <si>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</si>
  <si>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</si>
  <si>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</si>
  <si>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</si>
  <si>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</si>
  <si>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</si>
  <si>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</si>
  <si>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</si>
  <si>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</si>
  <si>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</si>
  <si>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</si>
  <si>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</si>
  <si>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</si>
  <si>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</si>
  <si>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</si>
  <si>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</si>
  <si>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</si>
  <si>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</si>
  <si>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</si>
  <si>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</si>
  <si>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</si>
  <si>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</si>
  <si>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</si>
  <si>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</si>
  <si>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</si>
  <si>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</si>
  <si>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</si>
  <si>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</si>
  <si>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</si>
  <si>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</si>
  <si>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</si>
  <si>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</si>
  <si>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</si>
  <si>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</si>
  <si>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</si>
  <si>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</si>
  <si>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</si>
  <si>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</si>
  <si>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</si>
  <si>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</si>
  <si>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</si>
  <si>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</si>
  <si>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</si>
  <si>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</si>
  <si>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</si>
  <si>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</si>
  <si>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</si>
  <si>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</si>
  <si>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</si>
  <si>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</si>
  <si>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</si>
  <si>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</si>
  <si>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</si>
  <si>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</si>
  <si>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</si>
  <si>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</si>
  <si>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</si>
  <si>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</si>
  <si>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</si>
  <si>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</si>
  <si>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</si>
  <si>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</si>
  <si>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</si>
  <si>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</si>
  <si>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</si>
  <si>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</si>
  <si>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</si>
  <si>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</si>
  <si>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</si>
  <si>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</si>
  <si>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</si>
  <si>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</si>
  <si>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</si>
  <si>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</si>
  <si>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</si>
  <si>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</si>
  <si>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</si>
  <si>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</si>
  <si>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</si>
  <si>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</si>
  <si>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</si>
  <si>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</si>
  <si>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</si>
  <si>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</si>
  <si>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</si>
  <si>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</si>
  <si>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</si>
  <si>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</si>
  <si>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</si>
  <si>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</si>
  <si>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</si>
  <si>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</si>
  <si>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</si>
  <si>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</si>
  <si>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</si>
  <si>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</si>
  <si>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</si>
  <si>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</si>
  <si>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</si>
  <si>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</si>
  <si>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</si>
  <si>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</si>
  <si>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</si>
  <si>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</si>
  <si>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</si>
  <si>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</si>
  <si>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</si>
  <si>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</si>
  <si>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</si>
  <si>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</si>
  <si>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</si>
  <si>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</si>
  <si>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</si>
  <si>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</si>
  <si>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</si>
  <si>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</si>
  <si>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</si>
  <si>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</si>
  <si>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</si>
  <si>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</si>
  <si>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</si>
  <si>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</si>
  <si>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</si>
  <si>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</si>
  <si>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</si>
  <si>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</si>
  <si>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</si>
  <si>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</si>
  <si>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</si>
  <si>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</si>
  <si>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</si>
  <si>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</si>
  <si>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</si>
  <si>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</si>
  <si>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</si>
  <si>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</si>
  <si>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</si>
  <si>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</si>
  <si>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</si>
  <si>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</si>
  <si>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</si>
  <si>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</si>
  <si>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</si>
  <si>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</si>
  <si>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</si>
  <si>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</si>
  <si>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</si>
  <si>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</si>
  <si>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</si>
  <si>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</si>
  <si>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</si>
  <si>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</si>
  <si>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</si>
  <si>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</si>
  <si>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</si>
  <si>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</si>
  <si>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</si>
  <si>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</si>
  <si>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</si>
  <si>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</si>
  <si>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</si>
  <si>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</si>
  <si>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</si>
  <si>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</si>
  <si>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</si>
  <si>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</si>
  <si>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</si>
  <si>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</si>
  <si>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</si>
  <si>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</si>
  <si>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</si>
  <si>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</si>
  <si>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</si>
  <si>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</si>
  <si>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</si>
  <si>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</si>
  <si>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</si>
  <si>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</si>
  <si>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</si>
  <si>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</si>
  <si>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</si>
  <si>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</si>
  <si>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</si>
  <si>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</si>
  <si>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</si>
  <si>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</si>
  <si>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</si>
  <si>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</si>
  <si>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</si>
  <si>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</si>
  <si>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</si>
  <si>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</si>
  <si>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</si>
  <si>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</si>
  <si>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</si>
  <si>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</si>
  <si>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</si>
  <si>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</si>
  <si>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</si>
  <si>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</si>
  <si>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</si>
  <si>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</si>
  <si>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</si>
  <si>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</si>
  <si>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</si>
  <si>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</si>
  <si>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</si>
  <si>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</si>
  <si>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</si>
  <si>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</si>
  <si>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</si>
  <si>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</si>
  <si>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</si>
  <si>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</si>
  <si>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</si>
  <si>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</si>
  <si>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</si>
  <si>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</si>
  <si>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</si>
  <si>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</si>
  <si>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</si>
  <si>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</si>
  <si>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</si>
  <si>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</si>
  <si>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</si>
  <si>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</si>
  <si>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</si>
  <si>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</si>
  <si>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</si>
  <si>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</si>
  <si>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</si>
  <si>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</si>
  <si>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</si>
  <si>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</si>
  <si>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</si>
  <si>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</si>
  <si>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</si>
  <si>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</si>
  <si>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</si>
  <si>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</si>
  <si>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</si>
  <si>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</si>
  <si>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</si>
  <si>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</si>
  <si>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</si>
  <si>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</si>
  <si>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</si>
  <si>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</si>
  <si>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</si>
  <si>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</si>
  <si>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</si>
  <si>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</si>
  <si>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</si>
  <si>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</si>
  <si>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</si>
  <si>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on track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</si>
  <si>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</si>
  <si>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</si>
  <si>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</si>
  <si>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</si>
  <si>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</si>
  <si>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</si>
  <si>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</si>
  <si>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</si>
  <si>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</si>
  <si>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</si>
  <si>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</si>
  <si>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</si>
  <si>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</si>
  <si>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</si>
  <si>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</si>
  <si>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</si>
  <si>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</si>
  <si>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</si>
  <si>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</si>
  <si>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</si>
  <si>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</si>
  <si>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</si>
  <si>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</si>
  <si>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</si>
  <si>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</si>
  <si>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</si>
  <si>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</si>
  <si>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</si>
  <si>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</si>
  <si>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</si>
  <si>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</si>
  <si>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</si>
  <si>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</si>
  <si>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</si>
  <si>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</si>
  <si>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</si>
  <si>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</si>
  <si>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</si>
  <si>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</si>
  <si>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</si>
  <si>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</si>
  <si>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</si>
  <si>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</si>
  <si>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</si>
  <si>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</si>
  <si>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</si>
  <si>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</si>
  <si>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</si>
  <si>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</si>
  <si>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</si>
  <si>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</si>
  <si>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</si>
  <si>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</si>
  <si>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</si>
  <si>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</si>
  <si>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</si>
  <si>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</si>
  <si>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</si>
  <si>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</si>
  <si>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</si>
  <si>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</si>
  <si>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</si>
  <si>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</si>
  <si>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</si>
  <si>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</si>
  <si>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</si>
  <si>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</si>
  <si>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</si>
  <si>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</si>
  <si>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</si>
  <si>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</si>
  <si>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</si>
  <si>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</si>
  <si>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</si>
  <si>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</si>
  <si>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</si>
  <si>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</si>
  <si>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</si>
  <si>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</si>
  <si>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</si>
  <si>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</si>
  <si>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</si>
  <si>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</si>
  <si>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</si>
  <si>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</si>
  <si>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</si>
  <si>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</si>
  <si>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</si>
  <si>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</si>
  <si>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</si>
  <si>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</si>
  <si>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</si>
  <si>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</si>
  <si>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</si>
  <si>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</si>
  <si>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</si>
  <si>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</si>
  <si>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</si>
  <si>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</si>
  <si>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</si>
  <si>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</si>
  <si>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</si>
  <si>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</si>
  <si>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</si>
  <si>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</si>
  <si>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</si>
  <si>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</si>
  <si>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</si>
  <si>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</si>
  <si>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</si>
  <si>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</si>
  <si>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</si>
  <si>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</si>
  <si>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</si>
  <si>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</si>
  <si>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</si>
  <si>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</si>
  <si>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</si>
  <si>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</si>
  <si>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</si>
  <si>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</si>
  <si>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</si>
  <si>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</si>
  <si>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</si>
  <si>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</si>
  <si>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</si>
  <si>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</si>
  <si>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</si>
  <si>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</si>
  <si>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</si>
  <si>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</si>
  <si>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</si>
  <si>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</si>
  <si>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</si>
  <si>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</si>
  <si>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</si>
  <si>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</si>
  <si>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</si>
  <si>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</si>
  <si>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</si>
  <si>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</si>
  <si>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</si>
  <si>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</si>
  <si>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</si>
  <si>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</si>
  <si>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</si>
  <si>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</si>
  <si>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</si>
  <si>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</si>
  <si>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</si>
  <si>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</si>
  <si>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</si>
  <si>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</si>
  <si>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</si>
  <si>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</si>
  <si>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</si>
  <si>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</si>
  <si>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</si>
  <si>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</si>
  <si>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</si>
  <si>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</si>
  <si>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</si>
  <si>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</si>
  <si>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</si>
  <si>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</si>
  <si>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</si>
  <si>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</si>
  <si>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</si>
  <si>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</si>
  <si>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</si>
  <si>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</si>
  <si>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</si>
  <si>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</si>
  <si>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</si>
  <si>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</si>
  <si>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</si>
  <si>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</si>
  <si>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</si>
  <si>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</si>
  <si>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</si>
  <si>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</si>
  <si>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</si>
  <si>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</si>
  <si>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</si>
  <si>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</si>
  <si>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</si>
  <si>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</si>
  <si>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</si>
  <si>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</si>
  <si>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</si>
  <si>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</si>
  <si>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</si>
  <si>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</si>
  <si>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</si>
  <si>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</si>
  <si>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</si>
  <si>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</si>
  <si>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</si>
  <si>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</si>
  <si>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</si>
  <si>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</si>
  <si>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</si>
  <si>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</si>
  <si>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</si>
  <si>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</si>
  <si>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</si>
  <si>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</si>
  <si>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</si>
  <si>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</si>
  <si>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</si>
  <si>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</si>
  <si>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</si>
  <si>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</si>
  <si>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</si>
  <si>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</si>
  <si>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</si>
  <si>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</si>
  <si>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</si>
  <si>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</si>
  <si>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</si>
  <si>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</si>
  <si>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</si>
  <si>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</si>
  <si>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</si>
  <si>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</si>
  <si>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</si>
  <si>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</si>
  <si>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</si>
  <si>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</si>
  <si>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</si>
  <si>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</si>
  <si>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</si>
  <si>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</si>
  <si>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</si>
  <si>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</si>
  <si>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</si>
  <si>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</si>
  <si>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</si>
  <si>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</si>
  <si>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</si>
  <si>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</si>
  <si>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</si>
  <si>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</si>
  <si>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</si>
  <si>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</si>
  <si>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</si>
  <si>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</si>
  <si>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</si>
  <si>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</si>
  <si>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</si>
  <si>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</si>
  <si>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</si>
  <si>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</si>
  <si>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</si>
  <si>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</si>
  <si>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</si>
  <si>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</si>
  <si>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</si>
  <si>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</si>
  <si>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</si>
  <si>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</si>
  <si>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</si>
  <si>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</si>
  <si>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</si>
  <si>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</si>
  <si>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</si>
  <si>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</si>
  <si>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</si>
  <si>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</si>
  <si>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</si>
  <si>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</si>
  <si>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</si>
  <si>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</si>
  <si>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</si>
  <si>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</si>
  <si>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</si>
  <si>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</si>
  <si>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</si>
  <si>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</si>
  <si>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</si>
  <si>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</si>
  <si>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</si>
  <si>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</si>
  <si>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</si>
  <si>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</si>
  <si>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</si>
  <si>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</si>
  <si>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</si>
  <si>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</si>
  <si>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</si>
  <si>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</si>
  <si>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</si>
  <si>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</si>
  <si>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</si>
  <si>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</si>
  <si>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</si>
  <si>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</si>
  <si>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</si>
  <si>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</si>
  <si>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</si>
  <si>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</si>
  <si>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</si>
  <si>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</si>
  <si>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</si>
  <si>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</si>
  <si>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</si>
  <si>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</si>
  <si>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</si>
  <si>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</si>
  <si>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</si>
  <si>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</si>
  <si>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</si>
  <si>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</si>
  <si>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</si>
  <si>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</si>
  <si>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</si>
  <si>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</si>
  <si>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</si>
  <si>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</si>
  <si>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</si>
  <si>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</si>
  <si>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</si>
  <si>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</si>
  <si>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</si>
  <si>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</si>
  <si>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</si>
  <si>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</si>
  <si>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</si>
  <si>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</si>
  <si>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</si>
  <si>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</si>
  <si>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</si>
  <si>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</si>
  <si>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</si>
  <si>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</si>
  <si>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</si>
  <si>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</si>
  <si>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</si>
  <si>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</si>
  <si>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</si>
  <si>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</si>
  <si>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</si>
  <si>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</si>
  <si>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</si>
  <si>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</si>
  <si>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</si>
  <si>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</si>
  <si>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</si>
  <si>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</si>
  <si>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</si>
  <si>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</si>
  <si>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</si>
  <si>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</si>
  <si>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</si>
  <si>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</si>
  <si>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</si>
  <si>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</si>
  <si>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</si>
  <si>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</si>
  <si>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</si>
  <si>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</si>
  <si>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</si>
  <si>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</si>
  <si>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</si>
  <si>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</si>
  <si>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</si>
  <si>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</si>
  <si>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</si>
  <si>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</si>
  <si>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</si>
  <si>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</si>
  <si>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</si>
  <si>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</si>
  <si>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</si>
  <si>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</si>
  <si>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</si>
  <si>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</si>
  <si>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</si>
  <si>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</si>
  <si>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</si>
  <si>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</si>
  <si>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</si>
  <si>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</si>
  <si>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</si>
  <si>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</si>
  <si>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</si>
  <si>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</si>
  <si>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</si>
  <si>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</si>
  <si>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</si>
  <si>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</si>
  <si>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</si>
  <si>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</si>
  <si>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</si>
  <si>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</si>
  <si>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</si>
  <si>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</si>
  <si>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</si>
  <si>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</si>
  <si>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</si>
  <si>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</si>
  <si>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</si>
  <si>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</si>
  <si>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</si>
  <si>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</si>
  <si>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</si>
  <si>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</si>
  <si>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</si>
  <si>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</si>
  <si>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</si>
  <si>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</si>
  <si>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</si>
  <si>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</si>
  <si>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</si>
  <si>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</si>
  <si>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</si>
  <si>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</si>
  <si>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</si>
  <si>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</si>
  <si>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</si>
  <si>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</si>
  <si>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</si>
  <si>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</si>
  <si>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</si>
  <si>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</si>
  <si>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</si>
  <si>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</si>
  <si>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</si>
  <si>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</si>
  <si>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</si>
  <si>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</si>
  <si>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</si>
  <si>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</si>
  <si>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</si>
  <si>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</si>
  <si>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</si>
  <si>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</si>
  <si>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</si>
  <si>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</si>
  <si>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</si>
  <si>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</si>
  <si>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</si>
  <si>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</si>
  <si>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</si>
  <si>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</si>
  <si>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</si>
  <si>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</si>
  <si>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</si>
  <si>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</si>
  <si>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</si>
  <si>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</si>
  <si>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</si>
  <si>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</si>
  <si>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</si>
  <si>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</si>
  <si>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</si>
  <si>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</si>
  <si>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</si>
  <si>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</si>
  <si>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</si>
  <si>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</si>
  <si>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</si>
  <si>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</si>
  <si>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</si>
  <si>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</si>
  <si>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</si>
  <si>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</si>
  <si>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</si>
  <si>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</si>
  <si>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</si>
  <si>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</si>
  <si>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</si>
  <si>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</si>
  <si>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</si>
  <si>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</si>
  <si>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</si>
  <si>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</si>
  <si>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</si>
  <si>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</si>
  <si>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</si>
  <si>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</si>
  <si>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</si>
  <si>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</si>
  <si>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</si>
  <si>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</si>
  <si>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</si>
  <si>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</si>
  <si>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</si>
  <si>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</si>
  <si>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</si>
  <si>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</si>
  <si>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</si>
  <si>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</si>
  <si>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</si>
  <si>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</si>
  <si>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</si>
  <si>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</si>
  <si>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</si>
  <si>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</si>
  <si>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</si>
  <si>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</si>
  <si>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</si>
  <si>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</si>
  <si>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</si>
  <si>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</si>
  <si>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</si>
  <si>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</si>
  <si>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</si>
  <si>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</si>
  <si>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</si>
  <si>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</si>
  <si>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</si>
  <si>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</si>
  <si>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</si>
  <si>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</si>
  <si>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</si>
  <si>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</si>
  <si>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</si>
  <si>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</si>
  <si>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</si>
  <si>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</si>
  <si>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</si>
  <si>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</si>
  <si>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</si>
  <si>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</si>
  <si>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</si>
  <si>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</si>
  <si>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</si>
  <si>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</si>
  <si>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</si>
  <si>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</si>
  <si>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</si>
  <si>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</si>
  <si>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</si>
  <si>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</si>
  <si>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</si>
  <si>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</si>
  <si>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</si>
  <si>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</si>
  <si>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</si>
  <si>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</si>
  <si>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</si>
  <si>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</si>
  <si>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</si>
  <si>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</si>
  <si>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</si>
  <si>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</si>
  <si>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</si>
  <si>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</si>
  <si>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</si>
  <si>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</si>
  <si>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</si>
  <si>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</si>
  <si>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</si>
  <si>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</si>
  <si>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</si>
  <si>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</si>
  <si>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</si>
  <si>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</si>
  <si>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</si>
  <si>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</si>
  <si>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</si>
  <si>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</si>
  <si>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</si>
  <si>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</si>
  <si>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</si>
  <si>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</si>
  <si>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</si>
  <si>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</si>
  <si>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</si>
  <si>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</si>
  <si>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</si>
  <si>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</si>
  <si>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</si>
  <si>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</si>
  <si>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</si>
  <si>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</si>
  <si>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</si>
  <si>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</si>
  <si>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</si>
  <si>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</si>
  <si>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</si>
  <si>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</si>
  <si>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</si>
  <si>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</si>
  <si>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</si>
  <si>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</si>
  <si>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</si>
  <si>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</si>
  <si>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</si>
  <si>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</si>
  <si>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</si>
  <si>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</si>
  <si>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</si>
  <si>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</si>
  <si>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</si>
  <si>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</si>
  <si>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</si>
  <si>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</si>
  <si>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</si>
  <si>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</si>
  <si>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</si>
  <si>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</si>
  <si>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</si>
  <si>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</si>
  <si>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</si>
  <si>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</si>
  <si>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</si>
  <si>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</si>
  <si>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</si>
  <si>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</si>
  <si>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</si>
  <si>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</si>
  <si>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</si>
  <si>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</si>
  <si>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</si>
  <si>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</si>
  <si>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</si>
  <si>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</si>
  <si>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</si>
  <si>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</si>
  <si>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</si>
  <si>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</si>
  <si>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</si>
  <si>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</si>
  <si>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</si>
  <si>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</si>
  <si>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</si>
  <si>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</si>
  <si>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</si>
  <si>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</si>
  <si>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</si>
  <si>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</si>
  <si>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</si>
  <si>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</si>
  <si>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</si>
  <si>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</si>
  <si>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</si>
  <si>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</si>
  <si>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</si>
  <si>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</si>
  <si>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</si>
  <si>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</si>
  <si>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</si>
  <si>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</si>
  <si>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</si>
  <si>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</si>
  <si>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</si>
  <si>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</si>
  <si>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</si>
  <si>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</si>
  <si>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</si>
  <si>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</si>
  <si>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</si>
  <si>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</si>
  <si>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</si>
  <si>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</si>
  <si>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</si>
  <si>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</si>
  <si>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</si>
  <si>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</si>
  <si>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</si>
  <si>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</si>
  <si>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</si>
  <si>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</si>
  <si>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</si>
  <si>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</si>
  <si>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</si>
  <si>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</si>
  <si>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</si>
  <si>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</si>
  <si>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</si>
  <si>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</si>
  <si>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</si>
  <si>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</si>
  <si>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</si>
  <si>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</si>
  <si>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</si>
  <si>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</si>
  <si>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</si>
  <si>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</si>
  <si>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</si>
  <si>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</si>
  <si>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</si>
  <si>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</si>
  <si>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</si>
  <si>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</si>
  <si>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</si>
  <si>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</si>
  <si>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</si>
  <si>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</si>
  <si>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</si>
  <si>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</si>
  <si>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</si>
  <si>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</si>
  <si>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</si>
  <si>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</si>
  <si>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</si>
  <si>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</si>
  <si>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</si>
  <si>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</si>
  <si>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</si>
  <si>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</si>
  <si>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</si>
  <si>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</si>
  <si>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</si>
  <si>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</si>
  <si>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</si>
  <si>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</si>
  <si>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</si>
  <si>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</si>
  <si>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</si>
  <si>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</si>
  <si>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</si>
  <si>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</si>
  <si>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</si>
  <si>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</si>
  <si>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</si>
  <si>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</si>
  <si>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</si>
  <si>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</si>
  <si>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</si>
  <si>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</si>
  <si>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</si>
  <si>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</si>
  <si>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</si>
  <si>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</si>
  <si>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</si>
  <si>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</si>
  <si>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</si>
  <si>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</si>
  <si>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</si>
  <si>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</si>
  <si>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</si>
  <si>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</si>
  <si>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</si>
  <si>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</si>
  <si>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</si>
  <si>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</si>
  <si>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</si>
  <si>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</si>
  <si>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</si>
  <si>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</si>
  <si>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</si>
  <si>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</si>
  <si>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</si>
  <si>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</si>
  <si>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</si>
  <si>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</si>
  <si>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</si>
  <si>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</si>
  <si>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</si>
  <si>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</si>
  <si>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</si>
  <si>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</si>
  <si>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</si>
  <si>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</si>
  <si>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</si>
  <si>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</si>
  <si>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</si>
  <si>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</si>
  <si>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</si>
  <si>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</si>
  <si>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</si>
  <si>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</si>
  <si>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</si>
  <si>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</si>
  <si>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</si>
  <si>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</si>
  <si>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</si>
  <si>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</si>
  <si>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</si>
  <si>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</si>
  <si>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</si>
  <si>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</si>
  <si>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</si>
  <si>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</si>
  <si>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</si>
  <si>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</si>
  <si>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</si>
  <si>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</si>
  <si>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</si>
  <si>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</si>
  <si>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</si>
  <si>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</si>
  <si>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</si>
  <si>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</si>
  <si>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</si>
  <si>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</si>
  <si>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</si>
  <si>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</si>
  <si>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</si>
  <si>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</si>
  <si>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</si>
  <si>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</si>
  <si>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</si>
  <si>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</si>
  <si>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</si>
  <si>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</si>
  <si>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</si>
  <si>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</si>
  <si>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</si>
  <si>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</si>
  <si>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</si>
  <si>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</si>
  <si>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</si>
  <si>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</si>
  <si>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</si>
  <si>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</si>
  <si>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</si>
  <si>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</si>
  <si>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</si>
  <si>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</si>
  <si>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</si>
  <si>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</si>
  <si>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</si>
  <si>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</si>
  <si>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</si>
  <si>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</si>
  <si>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</si>
  <si>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</si>
  <si>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</si>
  <si>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</si>
  <si>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</si>
  <si>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</si>
  <si>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</si>
  <si>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</si>
  <si>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</si>
  <si>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</si>
  <si>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</si>
  <si>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</si>
  <si>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</si>
  <si>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</si>
  <si>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</si>
  <si>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</si>
  <si>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</si>
  <si>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</si>
  <si>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</si>
  <si>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</si>
  <si>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</si>
  <si>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</si>
  <si>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</si>
  <si>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</si>
  <si>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</si>
  <si>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</si>
  <si>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</si>
  <si>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</si>
  <si>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</si>
  <si>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</si>
  <si>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</si>
  <si>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</si>
  <si>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</si>
  <si>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</si>
  <si>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</si>
  <si>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</si>
  <si>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</si>
  <si>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</si>
  <si>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</si>
  <si>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</si>
  <si>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</si>
  <si>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</si>
  <si>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</si>
  <si>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</si>
  <si>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</si>
  <si>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</si>
  <si>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</si>
  <si>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</si>
  <si>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</si>
  <si>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</si>
  <si>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</si>
  <si>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</si>
  <si>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</si>
  <si>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</si>
  <si>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</si>
  <si>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</si>
  <si>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</si>
  <si>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</si>
  <si>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</si>
  <si>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</si>
  <si>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</si>
  <si>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</si>
  <si>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</si>
  <si>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</si>
  <si>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</si>
  <si>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</si>
  <si>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</si>
  <si>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</si>
  <si>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</si>
  <si>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</si>
  <si>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</si>
  <si>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</si>
  <si>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</si>
  <si>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</si>
  <si>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</si>
  <si>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</si>
  <si>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</si>
  <si>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</si>
  <si>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</si>
  <si>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</si>
  <si>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</si>
  <si>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</si>
  <si>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</si>
  <si>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</si>
  <si>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</si>
  <si>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</si>
  <si>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</si>
  <si>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</si>
  <si>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</si>
  <si>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</si>
  <si>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</si>
  <si>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</si>
  <si>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</si>
  <si>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</si>
  <si>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</si>
  <si>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</si>
  <si>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</si>
  <si>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</si>
  <si>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</si>
  <si>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</si>
  <si>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</si>
  <si>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</si>
  <si>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</si>
  <si>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</si>
  <si>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</si>
  <si>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</si>
  <si>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</si>
  <si>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</si>
  <si>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</si>
  <si>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</si>
  <si>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</si>
  <si>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</si>
  <si>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</si>
  <si>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</si>
  <si>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</si>
  <si>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</si>
  <si>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</si>
  <si>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</si>
  <si>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</si>
  <si>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</si>
  <si>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</si>
  <si>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</si>
  <si>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</si>
  <si>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</si>
  <si>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</si>
  <si>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</si>
  <si>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</si>
  <si>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</si>
  <si>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</si>
  <si>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</si>
  <si>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</si>
  <si>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</si>
  <si>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</si>
  <si>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</si>
  <si>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</si>
  <si>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</si>
  <si>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</si>
  <si>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</si>
  <si>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</si>
  <si>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</si>
  <si>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</si>
  <si>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</si>
  <si>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</si>
  <si>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</si>
  <si>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</si>
  <si>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</si>
  <si>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</si>
  <si>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</si>
  <si>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</si>
  <si>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</si>
  <si>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</si>
  <si>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</si>
  <si>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</si>
  <si>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</si>
  <si>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</si>
  <si>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</si>
  <si>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</si>
  <si>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</si>
  <si>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</si>
  <si>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</si>
  <si>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</si>
  <si>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</si>
  <si>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</si>
  <si>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</si>
  <si>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</si>
  <si>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</si>
  <si>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</si>
  <si>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</si>
  <si>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</si>
  <si>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</si>
  <si>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</si>
  <si>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</si>
  <si>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</si>
  <si>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</si>
  <si>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</si>
  <si>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</si>
  <si>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</si>
  <si>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</si>
  <si>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</si>
  <si>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</si>
  <si>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</si>
  <si>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</si>
  <si>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</si>
  <si>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</si>
  <si>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</si>
  <si>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</si>
  <si>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</si>
  <si>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</si>
  <si>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</si>
  <si>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</si>
  <si>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</si>
  <si>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</si>
  <si>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</si>
  <si>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</si>
  <si>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</si>
  <si>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</si>
  <si>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</si>
  <si>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</si>
  <si>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</si>
  <si>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</si>
  <si>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</si>
  <si>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</si>
  <si>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</si>
  <si>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</si>
  <si>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</si>
  <si>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</si>
  <si>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</si>
  <si>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</si>
  <si>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</si>
  <si>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</si>
  <si>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</si>
  <si>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</si>
  <si>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</si>
  <si>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</si>
  <si>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</si>
  <si>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</si>
  <si>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</si>
  <si>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</si>
  <si>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</si>
  <si>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</si>
  <si>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</si>
  <si>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</si>
  <si>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</si>
  <si>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</si>
  <si>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</si>
  <si>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</si>
  <si>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</si>
  <si>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</si>
  <si>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</si>
  <si>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</si>
  <si>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</si>
  <si>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</si>
  <si>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</si>
  <si>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</si>
  <si>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</si>
  <si>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</si>
  <si>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</si>
  <si>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</si>
  <si>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</si>
  <si>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</si>
  <si>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</si>
  <si>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</si>
  <si>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</si>
  <si>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</si>
  <si>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</si>
  <si>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</si>
  <si>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</si>
  <si>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</si>
  <si>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</si>
  <si>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</si>
  <si>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</si>
  <si>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</si>
  <si>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</si>
  <si>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</si>
  <si>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</si>
  <si>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</si>
  <si>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</si>
  <si>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</si>
  <si>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</si>
  <si>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</si>
  <si>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</si>
  <si>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</si>
  <si>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</si>
  <si>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</si>
  <si>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</si>
  <si>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</si>
  <si>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</si>
  <si>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</si>
  <si>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</si>
  <si>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</si>
  <si>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</si>
  <si>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</si>
  <si>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</si>
  <si>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</si>
  <si>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</si>
  <si>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</si>
  <si>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</si>
  <si>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</si>
  <si>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</si>
  <si>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</si>
  <si>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</si>
  <si>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</si>
  <si>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</si>
  <si>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</si>
  <si>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</si>
  <si>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</si>
  <si>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</si>
  <si>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</si>
  <si>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</si>
  <si>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</si>
  <si>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</si>
  <si>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</si>
  <si>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</si>
  <si>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</si>
  <si>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</si>
  <si>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</si>
  <si>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</si>
  <si>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</si>
  <si>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</si>
  <si>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</si>
  <si>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</si>
  <si>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</si>
  <si>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</si>
  <si>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</si>
  <si>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</si>
  <si>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</si>
  <si>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</si>
  <si>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</si>
  <si>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</si>
  <si>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</si>
  <si>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</si>
  <si>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</si>
  <si>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</si>
  <si>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</si>
  <si>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</si>
  <si>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</si>
  <si>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</si>
  <si>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</si>
  <si>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</si>
  <si>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</si>
  <si>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</si>
  <si>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</si>
  <si>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</si>
  <si>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</si>
  <si>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</si>
  <si>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</si>
  <si>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</si>
  <si>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</si>
  <si>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</si>
  <si>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</si>
  <si>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</si>
  <si>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</si>
  <si>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</si>
  <si>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</si>
  <si>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</si>
  <si>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</si>
  <si>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</si>
  <si>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</si>
  <si>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</si>
  <si>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</si>
  <si>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</si>
  <si>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</si>
  <si>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</si>
  <si>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</si>
  <si>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</si>
  <si>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</si>
  <si>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</si>
  <si>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</si>
  <si>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</si>
  <si>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</si>
  <si>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</si>
  <si>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</si>
  <si>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</si>
  <si>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</si>
  <si>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</si>
  <si>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</si>
  <si>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</si>
  <si>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</si>
  <si>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</si>
  <si>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</si>
  <si>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</si>
  <si>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</si>
  <si>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</si>
  <si>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</si>
  <si>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</si>
  <si>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</si>
  <si>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</si>
  <si>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</si>
  <si>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</si>
  <si>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</si>
  <si>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</si>
  <si>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</si>
  <si>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</si>
  <si>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</si>
  <si>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</si>
  <si>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</si>
  <si>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</si>
  <si>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</si>
  <si>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</si>
  <si>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</si>
  <si>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</si>
  <si>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</si>
  <si>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</si>
  <si>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</si>
  <si>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</si>
  <si>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</si>
  <si>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</si>
  <si>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</si>
  <si>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</si>
  <si>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</si>
  <si>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</si>
  <si>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</si>
  <si>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</si>
  <si>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</si>
  <si>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</si>
  <si>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</si>
  <si>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</si>
  <si>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</si>
  <si>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</si>
  <si>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</si>
  <si>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</si>
  <si>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</si>
  <si>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</si>
  <si>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</si>
  <si>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</si>
  <si>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</si>
  <si>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</si>
  <si>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</si>
  <si>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</si>
  <si>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</si>
  <si>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</si>
  <si>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</si>
  <si>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</si>
  <si>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</si>
  <si>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</si>
  <si>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</si>
  <si>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</si>
  <si>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</si>
  <si>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</si>
  <si>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</si>
  <si>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</si>
  <si>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</si>
  <si>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</si>
  <si>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</si>
  <si>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</si>
  <si>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</si>
  <si>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</si>
  <si>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</si>
  <si>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</si>
  <si>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</si>
  <si>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</si>
  <si>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</si>
  <si>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</si>
  <si>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</si>
  <si>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</si>
  <si>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</si>
  <si>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</si>
  <si>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</si>
  <si>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</si>
  <si>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</si>
  <si>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</si>
  <si>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</si>
  <si>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</si>
  <si>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</si>
  <si>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</si>
  <si>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</si>
  <si>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</si>
  <si>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</si>
  <si>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</si>
  <si>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</si>
  <si>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</si>
  <si>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</si>
  <si>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</si>
  <si>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</si>
  <si>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</si>
  <si>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</si>
  <si>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</si>
  <si>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</si>
  <si>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</si>
  <si>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</si>
  <si>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</si>
  <si>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</si>
  <si>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</si>
  <si>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</si>
  <si>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</si>
  <si>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</si>
  <si>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</si>
  <si>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</si>
  <si>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</si>
  <si>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</si>
  <si>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</si>
  <si>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</si>
  <si>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</si>
  <si>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</si>
  <si>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</si>
  <si>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</si>
  <si>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</si>
  <si>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</si>
  <si>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</si>
  <si>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</si>
  <si>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</si>
  <si>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</si>
  <si>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</si>
  <si>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</si>
  <si>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</si>
  <si>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</si>
  <si>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</si>
  <si>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</si>
  <si>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</si>
  <si>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</si>
  <si>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</si>
  <si>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</si>
  <si>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</si>
  <si>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</si>
  <si>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</si>
  <si>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</si>
  <si>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</si>
  <si>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</si>
  <si>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</si>
  <si>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</si>
  <si>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</si>
  <si>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</si>
  <si>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</si>
  <si>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</si>
  <si>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</si>
  <si>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</si>
  <si>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</si>
  <si>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</si>
  <si>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</si>
  <si>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</si>
  <si>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</si>
  <si>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</si>
  <si>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</si>
  <si>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</si>
  <si>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</si>
  <si>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</si>
  <si>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</si>
  <si>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</si>
  <si>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</si>
  <si>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</si>
  <si>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</si>
  <si>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</si>
  <si>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</si>
  <si>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</si>
  <si>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</si>
  <si>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</si>
  <si>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</si>
  <si>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</si>
  <si>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</si>
  <si>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</si>
  <si>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</si>
  <si>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</si>
  <si>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</si>
  <si>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</si>
  <si>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</si>
  <si>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</si>
  <si>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</si>
  <si>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</si>
  <si>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</si>
  <si>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</si>
  <si>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</si>
  <si>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</si>
  <si>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</si>
  <si>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</si>
  <si>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</si>
  <si>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</si>
  <si>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</si>
  <si>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</si>
  <si>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</si>
  <si>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</si>
  <si>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</si>
  <si>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</si>
  <si>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</si>
  <si>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</si>
  <si>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</si>
  <si>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</si>
  <si>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</si>
  <si>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</si>
  <si>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</si>
  <si>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</si>
  <si>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</si>
  <si>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</si>
  <si>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</si>
  <si>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</si>
  <si>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</si>
  <si>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</si>
  <si>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</si>
  <si>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</si>
  <si>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</si>
  <si>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</si>
  <si>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</si>
  <si>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</si>
  <si>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</si>
  <si>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</si>
  <si>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</si>
  <si>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</si>
  <si>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</si>
  <si>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</si>
  <si>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</si>
  <si>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</si>
  <si>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</si>
  <si>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</si>
  <si>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</si>
  <si>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</si>
  <si>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</si>
  <si>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</si>
  <si>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</si>
  <si>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</si>
  <si>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</si>
  <si>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</si>
  <si>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</si>
  <si>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</si>
  <si>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</si>
  <si>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</si>
  <si>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</si>
  <si>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</si>
  <si>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</si>
  <si>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</si>
  <si>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</si>
  <si>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</si>
  <si>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</si>
  <si>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</si>
  <si>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</si>
  <si>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</si>
  <si>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</si>
  <si>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</si>
  <si>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</si>
  <si>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</si>
  <si>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</si>
  <si>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</si>
  <si>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</si>
  <si>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</si>
  <si>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</si>
  <si>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</si>
  <si>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</si>
  <si>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</si>
  <si>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</si>
  <si>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</si>
  <si>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</si>
  <si>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</si>
  <si>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</si>
  <si>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</si>
  <si>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</si>
  <si>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</si>
  <si>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</si>
  <si>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</si>
  <si>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</si>
  <si>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</si>
  <si>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</si>
  <si>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</si>
  <si>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</si>
  <si>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</si>
  <si>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</si>
  <si>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</si>
  <si>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</si>
  <si>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</si>
  <si>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</si>
  <si>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</si>
  <si>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</si>
  <si>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</si>
  <si>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</si>
  <si>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</si>
  <si>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</si>
  <si>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</si>
  <si>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</si>
  <si>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</si>
  <si>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</si>
  <si>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</si>
  <si>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</si>
  <si>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</si>
  <si>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</si>
  <si>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</si>
  <si>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</si>
  <si>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</si>
  <si>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</si>
  <si>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</si>
  <si>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</si>
  <si>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</si>
  <si>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(All)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</si>
  <si>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</si>
  <si>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</si>
  <si>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</si>
  <si>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</si>
  <si>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</si>
  <si>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</si>
  <si>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</si>
  <si>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</si>
  <si>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</si>
  <si>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</si>
  <si>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</si>
  <si>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</si>
  <si>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</si>
  <si>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</si>
  <si>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</si>
  <si>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</si>
  <si>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</si>
  <si>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</si>
  <si>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</si>
  <si>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</si>
  <si>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</si>
  <si>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</si>
  <si>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</si>
  <si>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</si>
  <si>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</si>
  <si>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</si>
  <si>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</si>
  <si>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</si>
  <si>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</si>
  <si>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</si>
  <si>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</si>
  <si>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</si>
  <si>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</si>
  <si>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</si>
  <si>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</si>
  <si>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</si>
  <si>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</si>
  <si>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</si>
  <si>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</si>
  <si>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</si>
  <si>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</si>
  <si>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</si>
  <si>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</si>
  <si>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</si>
  <si>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</si>
  <si>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</si>
  <si>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</si>
  <si>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</si>
  <si>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</si>
  <si>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</si>
  <si>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</si>
  <si>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</si>
  <si>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</si>
  <si>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</si>
  <si>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</si>
  <si>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</si>
  <si>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</si>
  <si>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</si>
  <si>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</si>
  <si>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</si>
  <si>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</si>
  <si>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</si>
  <si>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</si>
  <si>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</si>
  <si>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</si>
  <si>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</si>
  <si>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</si>
  <si>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</si>
  <si>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</si>
  <si>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</si>
  <si>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</si>
  <si>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</si>
  <si>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</si>
  <si>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</si>
  <si>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</si>
  <si>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</si>
  <si>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</si>
  <si>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</si>
  <si>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</si>
  <si>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</si>
  <si>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</si>
  <si>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</si>
  <si>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</si>
  <si>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</si>
  <si>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</si>
  <si>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</si>
  <si>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</si>
  <si>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</si>
  <si>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</si>
  <si>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</si>
  <si>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</si>
  <si>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</si>
  <si>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</si>
  <si>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</si>
  <si>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</si>
  <si>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</si>
  <si>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</si>
  <si>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</si>
  <si>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</si>
  <si>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</si>
  <si>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</si>
  <si>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</si>
  <si>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</si>
  <si>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</si>
  <si>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</si>
  <si>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</si>
  <si>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</si>
  <si>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</si>
  <si>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</si>
  <si>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</si>
  <si>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</si>
  <si>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</si>
  <si>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</si>
  <si>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</si>
  <si>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</si>
  <si>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</si>
  <si>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</si>
  <si>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</si>
  <si>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</si>
  <si>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</si>
  <si>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</si>
  <si>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</si>
  <si>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</si>
  <si>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</si>
  <si>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</si>
  <si>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</si>
  <si>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</si>
  <si>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</si>
  <si>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</si>
  <si>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</si>
  <si>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</si>
  <si>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</si>
  <si>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</si>
  <si>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</si>
  <si>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</si>
  <si>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</si>
  <si>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</si>
  <si>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</si>
  <si>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</si>
  <si>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</si>
  <si>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</si>
  <si>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</si>
  <si>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</si>
  <si>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</si>
  <si>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</si>
  <si>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</si>
  <si>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</si>
  <si>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</si>
  <si>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</si>
  <si>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</si>
  <si>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</si>
  <si>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</si>
  <si>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</si>
  <si>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</si>
  <si>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</si>
  <si>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</si>
  <si>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</si>
  <si>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</si>
  <si>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</si>
  <si>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</si>
  <si>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</si>
  <si>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</si>
  <si>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</si>
  <si>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</si>
  <si>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</si>
  <si>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</si>
  <si>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</si>
  <si>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</si>
  <si>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</si>
  <si>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</si>
  <si>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</si>
  <si>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</si>
  <si>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</si>
  <si>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</si>
  <si>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</si>
  <si>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</si>
  <si>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</si>
  <si>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</si>
  <si>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</si>
  <si>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</si>
  <si>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</si>
  <si>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</si>
  <si>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</si>
  <si>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</si>
  <si>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</si>
  <si>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</si>
  <si>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</si>
  <si>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</si>
  <si>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</si>
  <si>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</si>
  <si>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</si>
  <si>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</si>
  <si>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</si>
  <si>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</si>
  <si>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</si>
  <si>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</si>
  <si>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</si>
  <si>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</si>
  <si>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</si>
  <si>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</si>
  <si>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</si>
  <si>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</si>
  <si>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</si>
  <si>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</si>
  <si>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</si>
  <si>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</si>
  <si>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</si>
  <si>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</si>
  <si>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</si>
  <si>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</si>
  <si>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</si>
  <si>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</si>
  <si>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</si>
  <si>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</si>
  <si>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</si>
  <si>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</si>
  <si>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</si>
  <si>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</si>
  <si>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</si>
  <si>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</si>
  <si>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</si>
  <si>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</si>
  <si>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</si>
  <si>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</si>
  <si>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</si>
  <si>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</si>
  <si>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</si>
  <si>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</si>
  <si>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</si>
  <si>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</si>
  <si>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</si>
  <si>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</si>
  <si>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</si>
  <si>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</si>
  <si>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</si>
  <si>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</si>
  <si>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</si>
  <si>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</si>
  <si>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</si>
  <si>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</si>
  <si>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</si>
  <si>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</si>
  <si>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</si>
  <si>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</si>
  <si>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</si>
  <si>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</si>
  <si>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</si>
  <si>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</si>
  <si>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</si>
  <si>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</si>
  <si>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</si>
  <si>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</si>
  <si>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</si>
  <si>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</si>
  <si>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</si>
  <si>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</si>
  <si>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</si>
  <si>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</si>
  <si>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</si>
  <si>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</si>
  <si>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</si>
  <si>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</si>
  <si>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</si>
  <si>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</si>
  <si>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</si>
  <si>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</si>
  <si>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</si>
  <si>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</si>
  <si>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</si>
  <si>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</si>
  <si>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</si>
  <si>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</si>
  <si>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</si>
  <si>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</si>
  <si>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</si>
  <si>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</si>
  <si>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</si>
  <si>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</si>
  <si>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</si>
  <si>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</si>
  <si>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</si>
  <si>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</si>
  <si>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</si>
  <si>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</si>
  <si>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</si>
  <si>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</si>
  <si>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</si>
  <si>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</si>
  <si>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</si>
  <si>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</si>
  <si>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</si>
  <si>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</si>
  <si>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</si>
  <si>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</si>
  <si>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</si>
  <si>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</si>
  <si>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</si>
  <si>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</si>
  <si>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</si>
  <si>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</si>
  <si>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</si>
  <si>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</si>
  <si>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</si>
  <si>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</si>
  <si>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</si>
  <si>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</si>
  <si>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</si>
  <si>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</si>
  <si>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</si>
  <si>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</si>
  <si>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</si>
  <si>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</si>
  <si>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</si>
  <si>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</si>
  <si>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</si>
  <si>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</si>
  <si>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</si>
  <si>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</si>
  <si>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</si>
  <si>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</si>
  <si>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</si>
  <si>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</si>
  <si>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</si>
  <si>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</si>
  <si>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</si>
  <si>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</si>
  <si>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</si>
  <si>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</si>
  <si>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</si>
  <si>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</si>
  <si>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</si>
  <si>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</si>
  <si>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</si>
  <si>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</si>
  <si>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</si>
  <si>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</si>
  <si>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</si>
  <si>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</si>
  <si>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</si>
  <si>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</si>
  <si>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</si>
  <si>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</si>
  <si>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</si>
  <si>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</si>
  <si>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</si>
  <si>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</si>
  <si>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</si>
  <si>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</si>
  <si>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</si>
  <si>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</si>
  <si>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</si>
  <si>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</si>
  <si>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</si>
  <si>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</si>
  <si>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</si>
  <si>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</si>
  <si>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</si>
  <si>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</si>
  <si>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</si>
  <si>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</si>
  <si>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</si>
  <si>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</si>
  <si>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</si>
  <si>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</si>
  <si>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</si>
  <si>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</si>
  <si>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</si>
  <si>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</si>
  <si>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</si>
  <si>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</si>
  <si>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</si>
  <si>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</si>
  <si>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</si>
  <si>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</si>
  <si>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</si>
  <si>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</si>
  <si>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</si>
  <si>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</si>
  <si>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</si>
  <si>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</si>
  <si>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</si>
  <si>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</si>
  <si>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</si>
  <si>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</si>
  <si>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</si>
  <si>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</si>
  <si>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</si>
  <si>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</si>
  <si>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</si>
  <si>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</si>
  <si>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</si>
  <si>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</si>
  <si>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</si>
  <si>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</si>
  <si>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</si>
  <si>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</si>
  <si>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</si>
  <si>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</si>
  <si>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</si>
  <si>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</si>
  <si>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</si>
  <si>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</si>
  <si>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</si>
  <si>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</si>
  <si>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</si>
  <si>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</si>
  <si>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</si>
  <si>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</si>
  <si>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</si>
  <si>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</si>
  <si>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</si>
  <si>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</si>
  <si>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</si>
  <si>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</si>
  <si>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</si>
  <si>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</si>
  <si>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</si>
  <si>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</si>
  <si>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</si>
  <si>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</si>
  <si>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</si>
  <si>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</si>
  <si>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</si>
  <si>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</si>
  <si>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</si>
  <si>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</si>
  <si>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</si>
  <si>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</si>
  <si>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</si>
  <si>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</si>
  <si>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</si>
  <si>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</si>
  <si>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</si>
  <si>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</si>
  <si>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</si>
  <si>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</si>
  <si>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</si>
  <si>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</si>
  <si>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</si>
  <si>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</si>
  <si>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</si>
  <si>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</si>
  <si>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</si>
  <si>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</si>
  <si>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</si>
  <si>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</si>
  <si>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</si>
  <si>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</si>
  <si>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</si>
  <si>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</si>
  <si>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</si>
  <si>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</si>
  <si>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</si>
  <si>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</si>
  <si>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</si>
  <si>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</si>
  <si>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</si>
  <si>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</si>
  <si>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</si>
  <si>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</si>
  <si>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</si>
  <si>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</si>
  <si>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</si>
  <si>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</si>
  <si>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</si>
  <si>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</si>
  <si>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</si>
  <si>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</si>
  <si>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</si>
  <si>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</si>
  <si>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</si>
  <si>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</si>
  <si>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</si>
  <si>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</si>
  <si>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</si>
  <si>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</si>
  <si>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</si>
  <si>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</si>
  <si>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</si>
  <si>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</si>
  <si>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</si>
  <si>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</si>
  <si>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</si>
  <si>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</si>
  <si>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</si>
  <si>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</si>
  <si>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</si>
  <si>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</si>
  <si>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</si>
  <si>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</si>
  <si>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</si>
  <si>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</si>
  <si>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</si>
  <si>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</si>
  <si>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</si>
  <si>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</si>
  <si>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</si>
  <si>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</si>
  <si>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</si>
  <si>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</si>
  <si>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</si>
  <si>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</si>
  <si>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</si>
  <si>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</si>
  <si>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</si>
  <si>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</si>
  <si>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</si>
  <si>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</si>
  <si>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</si>
  <si>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</si>
  <si>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</si>
  <si>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</si>
  <si>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</si>
  <si>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</si>
  <si>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</si>
  <si>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</si>
  <si>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</si>
  <si>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</si>
  <si>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</si>
  <si>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</si>
  <si>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</si>
  <si>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</si>
  <si>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</si>
  <si>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</si>
  <si>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</si>
  <si>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</si>
  <si>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</si>
  <si>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</si>
  <si>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</si>
  <si>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</si>
  <si>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</si>
  <si>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</si>
  <si>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</si>
  <si>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</si>
  <si>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</si>
  <si>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</si>
  <si>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</si>
  <si>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</si>
  <si>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</si>
  <si>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</si>
  <si>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</si>
  <si>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</si>
  <si>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</si>
  <si>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</si>
  <si>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</si>
  <si>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</si>
  <si>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</si>
  <si>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</si>
  <si>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</si>
  <si>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</si>
  <si>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</si>
  <si>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</si>
  <si>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</si>
  <si>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</si>
  <si>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</si>
  <si>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</si>
  <si>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</si>
  <si>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</si>
  <si>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</si>
  <si>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</si>
  <si>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</si>
  <si>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</si>
  <si>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</si>
  <si>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</si>
  <si>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</si>
  <si>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</si>
  <si>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</si>
  <si>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</si>
  <si>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</si>
  <si>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</si>
  <si>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</si>
  <si>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</si>
  <si>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</si>
  <si>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</si>
  <si>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</si>
  <si>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</si>
  <si>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</si>
  <si>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</si>
  <si>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</si>
  <si>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</si>
  <si>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</si>
  <si>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</si>
  <si>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</si>
  <si>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</si>
  <si>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</si>
  <si>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</si>
  <si>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</si>
  <si>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</si>
  <si>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</si>
  <si>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</si>
  <si>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</si>
  <si>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</si>
  <si>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</si>
  <si>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</si>
  <si>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</si>
  <si>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</si>
  <si>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</si>
  <si>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</si>
  <si>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</si>
  <si>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</si>
  <si>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</si>
  <si>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</si>
  <si>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</si>
  <si>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</si>
  <si>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</si>
  <si>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</si>
  <si>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</si>
  <si>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</si>
  <si>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</si>
  <si>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</si>
  <si>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</si>
  <si>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</si>
  <si>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</si>
  <si>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</si>
  <si>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</si>
  <si>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</si>
  <si>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</si>
  <si>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</si>
  <si>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</si>
  <si>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</si>
  <si>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</si>
  <si>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</si>
  <si>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</si>
  <si>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</si>
  <si>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</si>
  <si>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</si>
  <si>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</si>
  <si>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</si>
  <si>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</si>
  <si>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</si>
  <si>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</si>
  <si>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</si>
  <si>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</si>
  <si>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</si>
  <si>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</si>
  <si>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</si>
  <si>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</si>
  <si>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</si>
  <si>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</si>
  <si>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</si>
  <si>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</si>
  <si>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</si>
  <si>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</si>
  <si>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</si>
  <si>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</si>
  <si>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</si>
  <si>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</si>
  <si>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</si>
  <si>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</si>
  <si>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</si>
  <si>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</si>
  <si>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</si>
  <si>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</si>
  <si>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</si>
  <si>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</si>
  <si>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</si>
  <si>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</si>
  <si>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</si>
  <si>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</si>
  <si>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</si>
  <si>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</si>
  <si>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</si>
  <si>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</si>
  <si>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</si>
  <si>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</si>
  <si>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</si>
  <si>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</si>
  <si>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</si>
  <si>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</si>
  <si>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</si>
  <si>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</si>
  <si>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</si>
  <si>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</si>
  <si>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</si>
  <si>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</si>
  <si>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</si>
  <si>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</si>
  <si>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</si>
  <si>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</si>
  <si>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</si>
  <si>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</si>
  <si>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</si>
  <si>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</si>
  <si>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</si>
  <si>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</si>
  <si>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</si>
  <si>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</si>
  <si>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</si>
  <si>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</si>
  <si>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</si>
  <si>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</si>
  <si>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</si>
  <si>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</si>
  <si>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</si>
  <si>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</si>
  <si>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</si>
  <si>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</si>
  <si>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</si>
  <si>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</si>
  <si>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</si>
  <si>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</si>
  <si>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</si>
  <si>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</si>
  <si>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</si>
  <si>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</si>
  <si>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</si>
  <si>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</si>
  <si>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</si>
  <si>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</si>
  <si>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</si>
  <si>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</si>
  <si>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</si>
  <si>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</si>
  <si>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</si>
  <si>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</si>
  <si>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</si>
  <si>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</si>
  <si>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</si>
  <si>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</si>
  <si>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</si>
  <si>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</si>
  <si>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</si>
  <si>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</si>
  <si>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</si>
  <si>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</si>
  <si>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</si>
  <si>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</si>
  <si>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</si>
  <si>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</si>
  <si>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</si>
  <si>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</si>
  <si>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</si>
  <si>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</si>
  <si>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</si>
  <si>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</si>
  <si>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</si>
  <si>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</si>
  <si>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</si>
  <si>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</si>
  <si>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</si>
  <si>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</si>
  <si>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</si>
  <si>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</si>
  <si>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</si>
  <si>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</si>
  <si>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</si>
  <si>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</si>
  <si>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</si>
  <si>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</si>
  <si>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</si>
  <si>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</si>
  <si>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</si>
  <si>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</si>
  <si>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</si>
  <si>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</si>
  <si>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</si>
  <si>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</si>
  <si>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</si>
  <si>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</si>
  <si>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</si>
  <si>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</si>
  <si>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</si>
  <si>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</si>
  <si>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</si>
  <si>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</si>
  <si>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</si>
  <si>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</si>
  <si>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</si>
  <si>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</si>
  <si>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</si>
  <si>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</si>
  <si>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</si>
  <si>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</si>
  <si>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</si>
  <si>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</si>
  <si>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</si>
  <si>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</si>
  <si>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</si>
  <si>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</si>
  <si>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</si>
  <si>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</si>
  <si>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</si>
  <si>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</si>
  <si>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</si>
  <si>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</si>
  <si>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</si>
  <si>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</si>
  <si>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</si>
  <si>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</si>
  <si>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</si>
  <si>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</si>
  <si>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</si>
  <si>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</si>
  <si>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</si>
  <si>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</si>
  <si>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</si>
  <si>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</si>
  <si>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</si>
  <si>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</si>
  <si>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</si>
  <si>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</si>
  <si>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</si>
  <si>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</si>
  <si>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</si>
  <si>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</si>
  <si>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</si>
  <si>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</si>
  <si>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</si>
  <si>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</si>
  <si>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</si>
  <si>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</si>
  <si>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</si>
  <si>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</si>
  <si>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</si>
  <si>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</si>
  <si>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</si>
  <si>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</si>
  <si>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</si>
  <si>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</si>
  <si>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</si>
  <si>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</si>
  <si>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</si>
  <si>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</si>
  <si>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</si>
  <si>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</si>
  <si>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</si>
  <si>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</si>
  <si>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</si>
  <si>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</si>
  <si>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</si>
  <si>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</si>
  <si>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</si>
  <si>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</si>
  <si>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</si>
  <si>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</si>
  <si>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</si>
  <si>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</si>
  <si>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</si>
  <si>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</si>
  <si>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</si>
  <si>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</si>
  <si>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</si>
  <si>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</si>
  <si>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</si>
  <si>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</si>
  <si>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</si>
  <si>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</si>
  <si>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</si>
  <si>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</si>
  <si>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</si>
  <si>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</si>
  <si>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</si>
  <si>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</si>
  <si>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</si>
  <si>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</si>
  <si>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</si>
  <si>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</si>
  <si>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</si>
  <si>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</si>
  <si>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</si>
  <si>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</si>
  <si>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</si>
  <si>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</si>
  <si>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</si>
  <si>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</si>
  <si>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</si>
  <si>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</si>
  <si>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</si>
  <si>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</si>
  <si>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</si>
  <si>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</si>
  <si>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</si>
  <si>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</si>
  <si>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</si>
  <si>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</si>
  <si>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</si>
  <si>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</si>
  <si>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</si>
  <si>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</si>
  <si>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</si>
  <si>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</si>
  <si>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</si>
  <si>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</si>
  <si>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</si>
  <si>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</si>
  <si>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</si>
  <si>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</si>
  <si>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</si>
  <si>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</si>
  <si>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</si>
  <si>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</si>
  <si>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</si>
  <si>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</si>
  <si>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</si>
  <si>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</si>
  <si>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</si>
  <si>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</si>
  <si>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</si>
  <si>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</si>
  <si>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</si>
  <si>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</si>
  <si>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</si>
  <si>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</si>
  <si>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</si>
  <si>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</si>
  <si>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</si>
  <si>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</si>
  <si>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</si>
  <si>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</si>
  <si>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</si>
  <si>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</si>
  <si>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</si>
  <si>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</si>
  <si>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</si>
  <si>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</si>
  <si>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</si>
  <si>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</si>
  <si>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</si>
  <si>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</si>
  <si>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</si>
  <si>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</si>
  <si>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</si>
  <si>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</si>
  <si>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</si>
  <si>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</si>
  <si>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</si>
  <si>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</si>
  <si>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</si>
  <si>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</si>
  <si>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</si>
  <si>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</si>
  <si>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</si>
  <si>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</si>
  <si>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</si>
  <si>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</si>
  <si>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</si>
  <si>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</si>
  <si>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</si>
  <si>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</si>
  <si>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</si>
  <si>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</si>
  <si>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</si>
  <si>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</si>
  <si>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</si>
  <si>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</si>
  <si>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</si>
  <si>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</si>
  <si>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</si>
  <si>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</si>
  <si>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</si>
  <si>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</si>
  <si>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</si>
  <si>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</si>
  <si>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</si>
  <si>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</si>
  <si>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</si>
  <si>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</si>
  <si>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</si>
  <si>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</si>
  <si>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</si>
  <si>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</si>
  <si>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</si>
  <si>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</si>
  <si>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</si>
  <si>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</si>
  <si>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</si>
  <si>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</si>
  <si>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</si>
  <si>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</si>
  <si>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</si>
  <si>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</si>
  <si>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</si>
  <si>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</si>
  <si>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</si>
  <si>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</si>
  <si>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</si>
  <si>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</si>
  <si>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</si>
  <si>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</si>
  <si>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</si>
  <si>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</si>
  <si>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</si>
  <si>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</si>
  <si>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</si>
  <si>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</si>
  <si>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</si>
  <si>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</si>
  <si>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</si>
  <si>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</si>
  <si>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</si>
  <si>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</si>
  <si>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</si>
  <si>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</si>
  <si>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</si>
  <si>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</si>
  <si>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</si>
  <si>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</si>
  <si>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</si>
  <si>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</si>
  <si>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</si>
  <si>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</si>
  <si>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</si>
  <si>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</si>
  <si>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</si>
  <si>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</si>
  <si>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</si>
  <si>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</si>
  <si>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</si>
  <si>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</si>
  <si>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</si>
  <si>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</si>
  <si>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</si>
  <si>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</si>
  <si>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</si>
  <si>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</si>
  <si>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</si>
  <si>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</si>
  <si>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</si>
  <si>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</si>
  <si>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</si>
  <si>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</si>
  <si>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</si>
  <si>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</si>
  <si>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</si>
  <si>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</si>
  <si>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</si>
  <si>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</si>
  <si>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</si>
  <si>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</si>
  <si>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</si>
  <si>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</si>
  <si>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</si>
  <si>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</si>
  <si>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</si>
  <si>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</si>
  <si>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</si>
  <si>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</si>
  <si>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</si>
  <si>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</si>
  <si>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</si>
  <si>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</si>
  <si>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</si>
  <si>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</si>
  <si>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</si>
  <si>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</si>
  <si>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</si>
  <si>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</si>
  <si>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</si>
  <si>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</si>
  <si>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</si>
  <si>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</si>
  <si>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</si>
  <si>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</si>
  <si>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</si>
  <si>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</si>
  <si>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</si>
  <si>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</si>
  <si>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</si>
  <si>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</si>
  <si>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</si>
  <si>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</si>
  <si>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</si>
  <si>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</si>
  <si>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</si>
  <si>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</si>
  <si>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</si>
  <si>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</si>
  <si>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</si>
  <si>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</si>
  <si>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</si>
  <si>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</si>
  <si>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</si>
  <si>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</si>
  <si>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</si>
  <si>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</si>
  <si>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</si>
  <si>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</si>
  <si>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</si>
  <si>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</si>
  <si>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</si>
  <si>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</si>
  <si>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</si>
  <si>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</si>
  <si>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</si>
  <si>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</si>
  <si>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</si>
  <si>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</si>
  <si>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</si>
  <si>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</si>
  <si>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</si>
  <si>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</si>
  <si>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</si>
  <si>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</si>
  <si>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</si>
  <si>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</si>
  <si>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</si>
  <si>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</si>
  <si>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</si>
  <si>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</si>
  <si>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</si>
  <si>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</si>
  <si>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</si>
  <si>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</si>
  <si>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</si>
  <si>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</si>
  <si>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</si>
  <si>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</si>
  <si>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</si>
  <si>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</si>
  <si>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</si>
  <si>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</si>
  <si>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</si>
  <si>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</si>
  <si>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</si>
  <si>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</si>
  <si>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</si>
  <si>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</si>
  <si>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</si>
  <si>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</si>
  <si>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</si>
  <si>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</si>
  <si>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</si>
  <si>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</si>
  <si>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</si>
  <si>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</si>
  <si>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</si>
  <si>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</si>
  <si>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</si>
  <si>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</si>
  <si>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</si>
  <si>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</si>
  <si>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</si>
  <si>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</si>
  <si>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</si>
  <si>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</si>
  <si>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</si>
  <si>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</si>
  <si>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</si>
  <si>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</si>
  <si>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</si>
  <si>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</si>
  <si>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</si>
  <si>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</si>
  <si>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</si>
  <si>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</si>
  <si>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</si>
  <si>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</si>
  <si>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</si>
  <si>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</si>
  <si>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</si>
  <si>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</si>
  <si>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</si>
  <si>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</si>
  <si>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</si>
  <si>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</si>
  <si>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</si>
  <si>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</si>
  <si>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</si>
  <si>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</si>
  <si>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</si>
  <si>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</si>
  <si>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</si>
  <si>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</si>
  <si>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</si>
  <si>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</si>
  <si>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</si>
  <si>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</si>
  <si>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</si>
  <si>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</si>
  <si>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</si>
  <si>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</si>
  <si>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</si>
  <si>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</si>
  <si>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</si>
  <si>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</si>
  <si>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</si>
  <si>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</si>
  <si>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</si>
  <si>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</si>
  <si>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</si>
  <si>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</si>
  <si>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</si>
  <si>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</si>
  <si>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</si>
  <si>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</si>
  <si>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</si>
  <si>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</si>
  <si>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</si>
  <si>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</si>
  <si>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</si>
  <si>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</si>
  <si>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</si>
  <si>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</si>
  <si>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</si>
  <si>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</si>
  <si>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</si>
  <si>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</si>
  <si>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</si>
  <si>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</si>
  <si>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</si>
  <si>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</si>
  <si>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</si>
  <si>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</si>
  <si>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</si>
  <si>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</si>
  <si>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</si>
  <si>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</si>
  <si>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</si>
  <si>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</si>
  <si>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</si>
  <si>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</si>
  <si>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</si>
  <si>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</si>
  <si>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</si>
  <si>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</si>
  <si>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</si>
  <si>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</si>
  <si>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</si>
  <si>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</si>
  <si>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</si>
  <si>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</si>
  <si>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</si>
  <si>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</si>
  <si>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</si>
  <si>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</si>
  <si>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</si>
  <si>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</si>
  <si>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</si>
  <si>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</si>
  <si>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</si>
  <si>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</si>
  <si>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</si>
  <si>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</si>
  <si>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</si>
  <si>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</si>
  <si>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</si>
  <si>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</si>
  <si>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</si>
  <si>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</si>
  <si>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</si>
  <si>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</si>
  <si>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</si>
  <si>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</si>
  <si>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</si>
  <si>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</si>
  <si>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</si>
  <si>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</si>
  <si>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</si>
  <si>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</si>
  <si>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</si>
  <si>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</si>
  <si>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</si>
  <si>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</si>
  <si>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</si>
  <si>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</si>
  <si>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</si>
  <si>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</si>
  <si>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</si>
  <si>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</si>
  <si>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</si>
  <si>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</si>
  <si>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</si>
  <si>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</si>
  <si>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</si>
  <si>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</si>
  <si>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</si>
  <si>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</si>
  <si>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</si>
  <si>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</si>
  <si>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</si>
  <si>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</si>
  <si>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</si>
  <si>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</si>
  <si>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</si>
  <si>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</si>
  <si>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P000001319</t>
  </si>
  <si>
    <t>L000011664</t>
  </si>
  <si>
    <t>FR7589717</t>
  </si>
  <si>
    <t>CLFF_1000$$$DK50GEQ010</t>
  </si>
  <si>
    <t>CFLTFLE_22450000002741</t>
  </si>
  <si>
    <t xml:space="preserve">G000000103 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</si>
  <si>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</si>
  <si>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</si>
  <si>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</si>
  <si>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</si>
  <si>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</si>
  <si>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</si>
  <si>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</si>
  <si>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</si>
  <si>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</si>
  <si>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</si>
  <si>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</si>
  <si>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</si>
  <si>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</si>
  <si>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</si>
  <si>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</si>
  <si>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</si>
  <si>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</si>
  <si>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</si>
  <si>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</si>
  <si>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</si>
  <si>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</si>
  <si>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</si>
  <si>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</si>
  <si>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</si>
  <si>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</si>
  <si>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</si>
  <si>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</si>
  <si>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</si>
  <si>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</si>
  <si>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</si>
  <si>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</si>
  <si>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</si>
  <si>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</si>
  <si>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</si>
  <si>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</si>
  <si>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</si>
  <si>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</si>
  <si>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</si>
  <si>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</si>
  <si>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</si>
  <si>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</si>
  <si>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</si>
  <si>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</si>
  <si>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</si>
  <si>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</si>
  <si>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</si>
  <si>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</si>
  <si>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</si>
  <si>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</si>
  <si>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CLFF_VMCA$$$TW91GPO013 PO - Sourcing Region APAC/PO - Sourcing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</si>
  <si>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</si>
  <si>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</si>
  <si>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</si>
  <si>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</si>
  <si>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</si>
  <si>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</si>
  <si>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</si>
  <si>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</si>
  <si>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</si>
  <si>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</si>
  <si>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</si>
  <si>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</si>
  <si>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</si>
  <si>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</si>
  <si>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</si>
  <si>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</si>
  <si>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</si>
  <si>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</si>
  <si>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</si>
  <si>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</si>
  <si>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</si>
  <si>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</si>
  <si>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</si>
  <si>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</si>
  <si>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</si>
  <si>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</si>
  <si>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</si>
  <si>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</si>
  <si>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</si>
  <si>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</si>
  <si>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</si>
  <si>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</si>
  <si>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</si>
  <si>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</si>
  <si>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</si>
  <si>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</si>
  <si>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</si>
  <si>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</si>
  <si>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</si>
  <si>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</si>
  <si>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</si>
  <si>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</si>
  <si>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</si>
  <si>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</si>
  <si>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</si>
  <si>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 xml:space="preserve">G000001130 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</si>
  <si>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</si>
  <si>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</si>
  <si>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</si>
  <si>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</si>
  <si>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</si>
  <si>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</si>
  <si>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</si>
  <si>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</si>
  <si>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</si>
  <si>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</si>
  <si>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</si>
  <si>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</si>
  <si>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</si>
  <si>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</si>
  <si>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</si>
  <si>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</si>
  <si>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</si>
  <si>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</si>
  <si>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</si>
  <si>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</si>
  <si>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</si>
  <si>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</si>
  <si>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</si>
  <si>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</si>
  <si>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</si>
  <si>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</si>
  <si>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</si>
  <si>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</si>
  <si>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</si>
  <si>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</si>
  <si>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</si>
  <si>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</si>
  <si>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G000000055</t>
  </si>
  <si>
    <t>DFLTPGCOH_001618</t>
  </si>
  <si>
    <t>H000001318</t>
  </si>
  <si>
    <t>LEAN_X310172VN5020000</t>
  </si>
  <si>
    <t>LEAN_X310172VN5022000</t>
  </si>
  <si>
    <t>LEAN_X310172VN5023000</t>
  </si>
  <si>
    <t>LEAN_X310511VN5010000</t>
  </si>
  <si>
    <t>LEAN_X310171VN5013000</t>
  </si>
  <si>
    <t>DFLTPGCOH_BF-V9_001042</t>
  </si>
  <si>
    <t>DFLTPGCOH_BF-TT_001042</t>
  </si>
  <si>
    <t>DFLTPGCOH_BF-A4_001042</t>
  </si>
  <si>
    <t>DFLTPGCOH_BF-B5_001042</t>
  </si>
  <si>
    <t>DFLTPGCOH_BF-77_001042</t>
  </si>
  <si>
    <t>DFLTPGCOH_BF-52_001243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</si>
</sst>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0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</fills>
  <borders count="15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</borders>
  <cellStyleXfs count="105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44" fontId="20" fillId="0" borderId="0" applyFont="0" applyFill="0" applyBorder="0" applyAlignment="0" applyProtection="0"/>
    <xf numFmtId="42" fontId="20" fillId="0" borderId="0" applyFont="0" applyFill="0" applyBorder="0" applyAlignment="0" applyProtection="0"/>
    <xf numFmtId="43" fontId="20" fillId="0" borderId="0" applyFont="0" applyFill="0" applyBorder="0" applyAlignment="0" applyProtection="0"/>
  </cellStyleXfs>
  <cellXfs count="131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</cellXfs>
  <cellStyles count="105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2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68" formatCode="dd/mm/yyyy"/>
    </dxf>
    <dxf>
      <numFmt numFmtId="168" formatCode="dd/mm/yyyy"/>
    </dxf>
    <dxf>
      <numFmt numFmtId="168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883.960652199072" createdVersion="7" refreshedVersion="7" minRefreshableVersion="3" recordCount="3581" xr:uid="{11839AE3-6158-4318-87AD-2C711D0BF451}">
  <cacheSource type="worksheet">
    <worksheetSource name="Proc"/>
  </cacheSource>
  <cacheFields count="19">
    <cacheField name="App" numFmtId="0">
      <sharedItems containsBlank="1" count="1512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Healthcare" u="1"/>
        <s v="Life Science" u="1"/>
        <s v="Electronics" u="1"/>
        <e v="#N/A" u="1"/>
        <s v="No known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0">
      <sharedItems containsSemiMixedTypes="0" containsNonDate="0" containsDate="1" containsString="0" minDate="2023-09-01T00:00:00" maxDate="2025-08-15T00:00:00"/>
    </cacheField>
    <cacheField name="DateMapped" numFmtId="0">
      <sharedItems containsNonDate="0" containsDate="1" containsString="0" containsBlank="1" minDate="2023-09-01T00:00:00" maxDate="2025-07-04T00:00:00"/>
    </cacheField>
    <cacheField name="DateClosed" numFmtId="0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169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581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169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144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144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144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144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144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144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144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144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144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144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144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140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137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137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137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137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137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137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137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137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137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137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137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137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137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137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137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137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137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137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137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137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137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137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137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137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137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137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137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137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137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137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137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137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137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137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137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137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137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137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137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137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137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136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136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136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135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135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135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135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135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134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134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132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132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131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128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128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128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128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128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128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128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128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128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128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128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128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128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128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128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128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128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128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128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128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128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127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127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127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127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127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122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122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122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117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117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117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17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17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17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17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17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117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117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117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117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117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117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117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117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117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117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13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13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13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08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07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107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107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107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107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107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107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107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107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107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107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107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93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93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92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92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92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82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67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67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67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67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67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67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67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67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67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67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67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67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67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67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67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67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67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67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67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67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64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64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64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64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63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63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62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62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62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62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62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62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62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62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62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62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62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62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62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62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62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62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62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62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58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58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58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58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58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52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52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47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47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42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42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42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42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42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42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42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42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42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42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42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42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42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42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42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42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42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42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42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42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42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42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42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42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42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42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42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42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42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42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42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42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42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42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42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42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42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42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42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42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42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42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42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42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42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42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42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42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42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39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39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39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39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40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37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37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1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32"/>
    <s v="Jay-R Lizardo"/>
    <m/>
  </r>
  <r>
    <x v="272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32"/>
    <s v="Jay-R Lizardo"/>
    <m/>
  </r>
  <r>
    <x v="272"/>
    <x v="1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32"/>
    <s v="Jay-R Lizardo"/>
    <m/>
  </r>
  <r>
    <x v="272"/>
    <x v="1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32"/>
    <s v="Jay-R Lizardo"/>
    <m/>
  </r>
  <r>
    <x v="272"/>
    <x v="1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32"/>
    <s v="Jay-R Lizardo"/>
    <m/>
  </r>
  <r>
    <x v="272"/>
    <x v="1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32"/>
    <s v="Jay-R Lizardo"/>
    <m/>
  </r>
  <r>
    <x v="272"/>
    <x v="1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32"/>
    <s v="Jay-R Lizardo"/>
    <m/>
  </r>
  <r>
    <x v="272"/>
    <x v="1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32"/>
    <s v="Jay-R Lizardo"/>
    <m/>
  </r>
  <r>
    <x v="272"/>
    <x v="1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32"/>
    <s v="Jay-R Lizardo"/>
    <m/>
  </r>
  <r>
    <x v="272"/>
    <x v="1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32"/>
    <s v="Jay-R Lizardo"/>
    <m/>
  </r>
  <r>
    <x v="272"/>
    <x v="1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32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30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30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30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30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30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30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30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30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30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30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30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30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30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30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30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30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30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30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30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30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30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30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30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30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30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28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28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28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28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28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28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28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28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28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28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27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27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27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26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26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26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26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26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26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25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25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23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22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22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22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21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21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21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19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19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19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19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19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19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19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16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16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16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16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16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16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16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16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16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16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16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16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16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16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16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16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16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16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16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16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16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16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16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16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16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16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16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16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16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15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15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13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13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13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13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13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13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13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13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13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13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11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11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11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11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11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11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11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11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10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10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10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10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10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10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10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10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10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10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10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10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10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10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10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10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10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8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8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7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7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7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7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7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7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7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7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7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7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7"/>
    <s v="Ruby Grace Garcia"/>
    <m/>
  </r>
  <r>
    <x v="315"/>
    <x v="1"/>
    <x v="2"/>
    <s v="CITR_1000$$$HU161025"/>
    <s v="G000000726"/>
    <s v="G000000726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7"/>
    <s v="Jay-R Lizardo"/>
    <m/>
  </r>
  <r>
    <x v="315"/>
    <x v="1"/>
    <x v="2"/>
    <s v="CEMERAL_70007001993006"/>
    <s v="G000000726"/>
    <s v="G000000726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7"/>
    <s v="Jay-R Lizardo"/>
    <m/>
  </r>
  <r>
    <x v="315"/>
    <x v="1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7"/>
    <s v="Jay-R Lizardo"/>
    <m/>
  </r>
  <r>
    <x v="315"/>
    <x v="1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7"/>
    <s v="Jay-R Lizardo"/>
    <m/>
  </r>
  <r>
    <x v="315"/>
    <x v="1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7"/>
    <s v="Jay-R Lizardo"/>
    <m/>
  </r>
  <r>
    <x v="315"/>
    <x v="1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7"/>
    <s v="Jay-R Lizardo"/>
    <m/>
  </r>
  <r>
    <x v="315"/>
    <x v="1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7"/>
    <s v="Jay-R Lizardo"/>
    <m/>
  </r>
  <r>
    <x v="315"/>
    <x v="1"/>
    <x v="2"/>
    <s v="CTEMPEU_1000GB10GMP070"/>
    <s v="G000001381"/>
    <s v="G000001381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EU_1000GB10005657"/>
    <s v="G000001400"/>
    <s v="G000001400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EU_1000GB10005920"/>
    <s v="G000001118"/>
    <s v="G000001118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EU_1000GB10005645"/>
    <s v="G000001398"/>
    <s v="G000001398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7"/>
    <s v="Jay-R Lizardo"/>
    <m/>
  </r>
  <r>
    <x v="315"/>
    <x v="1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7"/>
    <s v="Jay-R Lizardo"/>
    <m/>
  </r>
  <r>
    <x v="315"/>
    <x v="1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7"/>
    <s v="Jay-R Lizardo"/>
    <m/>
  </r>
  <r>
    <x v="315"/>
    <x v="1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7"/>
    <s v="Jay-R Lizardo"/>
    <m/>
  </r>
  <r>
    <x v="315"/>
    <x v="1"/>
    <x v="2"/>
    <s v="CTEMPLA_1000BR10501160"/>
    <s v="L000013393"/>
    <s v="L000013393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LA_1000BR10501150"/>
    <s v="L000013393"/>
    <s v="L000013393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EU_1000PL80GBTL13"/>
    <s v="G000001398"/>
    <s v="G000001398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EU_1000PL80GHR227"/>
    <s v="G000001387"/>
    <s v="G000001387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EU_1000PL80GFO045"/>
    <s v="G000001420"/>
    <s v="G000001420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EU_1000PL80GFO025"/>
    <s v="G000001387"/>
    <s v="G000001387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EU_1000PL80GFO023"/>
    <s v="G000001421"/>
    <s v="G000001421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EU_1000PL80GHR221"/>
    <s v="G000001420"/>
    <s v="G000001420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EU_1000PL80GBTE05"/>
    <s v="P000000765"/>
    <s v="P000000765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EU_1000PL80GMS040"/>
    <s v="G000001420"/>
    <s v="G000001420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EU_1000PL80GHR233"/>
    <s v="G000001388"/>
    <s v="G000001388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EU_1000PL80GHR232"/>
    <s v="G000001395"/>
    <s v="G000001395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NA_1000PH80GFO12A"/>
    <s v="G000001393"/>
    <s v="G000001393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NA_1000PH80GFO047"/>
    <s v="G000001421"/>
    <s v="G000001421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NA_1000PH80YIT002"/>
    <s v="G000001395"/>
    <s v="G000001395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NA_1000PH80GFO025"/>
    <s v="G000001420"/>
    <s v="G000001420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NA_1000PH80PH80YI"/>
    <s v="G000001394"/>
    <s v="G000001394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NA_1000PH80GBTL55"/>
    <s v="G000000243"/>
    <s v="G000000243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NA_1000PH80GFO120"/>
    <s v="G000001420"/>
    <s v="G000001420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NA_1000PH80GFO043"/>
    <s v="G000001387"/>
    <s v="G000001387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NA_1000PH80GFO123"/>
    <s v="G000001387"/>
    <s v="G000001387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LA_1000CO10100136"/>
    <s v="G000001410"/>
    <s v="G000001410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LA_1000CO10100187"/>
    <s v="G000001395"/>
    <s v="G000001395"/>
    <s v="Non-LFF"/>
    <s v=""/>
    <m/>
    <b v="1"/>
    <x v="0"/>
    <x v="3"/>
    <d v="2025-08-05T00:00:00"/>
    <m/>
    <m/>
    <x v="1"/>
    <n v="7"/>
    <s v="Jay-R Lizardo"/>
    <m/>
  </r>
  <r>
    <x v="315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7"/>
    <s v="Jay-R Lizardo"/>
    <m/>
  </r>
  <r>
    <x v="315"/>
    <x v="1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7"/>
    <s v="Jay-R Lizardo"/>
    <m/>
  </r>
  <r>
    <x v="315"/>
    <x v="1"/>
    <x v="2"/>
    <s v="CEMERAL_70006502ID6502"/>
    <s v="G000001387"/>
    <s v="G000001387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7"/>
    <s v="Jay-R Lizardo"/>
    <m/>
  </r>
  <r>
    <x v="315"/>
    <x v="1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7"/>
    <s v="Jay-R Lizardo"/>
    <m/>
  </r>
  <r>
    <x v="315"/>
    <x v="1"/>
    <x v="2"/>
    <s v="CEMERAL_70007102318366"/>
    <s v="G000001398"/>
    <s v="G000001398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7"/>
    <s v="Jay-R Lizardo"/>
    <m/>
  </r>
  <r>
    <x v="315"/>
    <x v="1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7"/>
    <s v="Jay-R Lizardo"/>
    <m/>
  </r>
  <r>
    <x v="315"/>
    <x v="1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7"/>
    <s v="Jay-R Lizardo"/>
    <m/>
  </r>
  <r>
    <x v="315"/>
    <x v="1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7"/>
    <s v="Jay-R Lizardo"/>
    <m/>
  </r>
  <r>
    <x v="315"/>
    <x v="1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7"/>
    <s v="Jay-R Lizardo"/>
    <m/>
  </r>
  <r>
    <x v="315"/>
    <x v="1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7"/>
    <s v="Jay-R Lizardo"/>
    <m/>
  </r>
  <r>
    <x v="315"/>
    <x v="1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7"/>
    <s v="Jay-R Lizardo"/>
    <m/>
  </r>
  <r>
    <x v="315"/>
    <x v="1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7"/>
    <s v="Jay-R Lizardo"/>
    <m/>
  </r>
  <r>
    <x v="315"/>
    <x v="1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7"/>
    <s v="Jay-R Lizardo"/>
    <m/>
  </r>
  <r>
    <x v="315"/>
    <x v="1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7"/>
    <s v="Jay-R Lizardo"/>
    <m/>
  </r>
  <r>
    <x v="315"/>
    <x v="1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7"/>
    <s v="Jay-R Lizardo"/>
    <m/>
  </r>
  <r>
    <x v="315"/>
    <x v="1"/>
    <x v="3"/>
    <s v="CLFF_1000$$$DE10685700"/>
    <s v="P000000765"/>
    <s v="P000001319"/>
    <s v="LFF (MDG-F)"/>
    <s v="DE10685700"/>
    <s v="Unavailable; to do later"/>
    <b v="0"/>
    <x v="0"/>
    <x v="3"/>
    <d v="2025-08-05T00:00:00"/>
    <m/>
    <m/>
    <x v="1"/>
    <n v="7"/>
    <s v="Jay-R Lizardo"/>
    <m/>
  </r>
  <r>
    <x v="315"/>
    <x v="1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7"/>
    <s v="Jay-R Lizardo"/>
    <m/>
  </r>
  <r>
    <x v="315"/>
    <x v="1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7"/>
    <s v="Jay-R Lizardo"/>
    <m/>
  </r>
  <r>
    <x v="315"/>
    <x v="1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7"/>
    <s v="Jay-R Lizardo"/>
    <m/>
  </r>
  <r>
    <x v="315"/>
    <x v="1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7"/>
    <s v="Jay-R Lizardo"/>
    <m/>
  </r>
  <r>
    <x v="315"/>
    <x v="1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7"/>
    <s v="Jay-R Lizardo"/>
    <m/>
  </r>
  <r>
    <x v="315"/>
    <x v="1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7"/>
    <s v="Jay-R Lizardo"/>
    <m/>
  </r>
  <r>
    <x v="315"/>
    <x v="1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7"/>
    <s v="Jay-R Lizardo"/>
    <m/>
  </r>
  <r>
    <x v="315"/>
    <x v="1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7"/>
    <s v="Jay-R Lizardo"/>
    <m/>
  </r>
  <r>
    <x v="315"/>
    <x v="1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7"/>
    <s v="Jay-R Lizardo"/>
    <m/>
  </r>
  <r>
    <x v="315"/>
    <x v="1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7"/>
    <s v="Jay-R Lizardo"/>
    <m/>
  </r>
  <r>
    <x v="315"/>
    <x v="1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7"/>
    <s v="Jay-R Lizardo"/>
    <m/>
  </r>
  <r>
    <x v="315"/>
    <x v="1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7"/>
    <s v="Jay-R Lizardo"/>
    <m/>
  </r>
  <r>
    <x v="315"/>
    <x v="1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7"/>
    <s v="Jay-R Lizardo"/>
    <m/>
  </r>
  <r>
    <x v="315"/>
    <x v="1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7"/>
    <s v="Jay-R Lizardo"/>
    <m/>
  </r>
  <r>
    <x v="315"/>
    <x v="1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7"/>
    <s v="Jay-R Lizardo"/>
    <m/>
  </r>
  <r>
    <x v="315"/>
    <x v="1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7"/>
    <s v="Jay-R Lizardo"/>
    <m/>
  </r>
  <r>
    <x v="315"/>
    <x v="1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7"/>
    <s v="Jay-R Lizardo"/>
    <m/>
  </r>
  <r>
    <x v="315"/>
    <x v="1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7"/>
    <s v="Jay-R Lizardo"/>
    <m/>
  </r>
  <r>
    <x v="315"/>
    <x v="1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7"/>
    <s v="Jay-R Lizardo"/>
    <m/>
  </r>
  <r>
    <x v="315"/>
    <x v="1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7"/>
    <s v="Jay-R Lizardo"/>
    <m/>
  </r>
  <r>
    <x v="315"/>
    <x v="1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7"/>
    <s v="Jay-R Lizardo"/>
    <m/>
  </r>
  <r>
    <x v="315"/>
    <x v="1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7"/>
    <s v="Jay-R Lizardo"/>
    <m/>
  </r>
  <r>
    <x v="315"/>
    <x v="1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7"/>
    <s v="Jay-R Lizardo"/>
    <m/>
  </r>
  <r>
    <x v="315"/>
    <x v="1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7"/>
    <s v="Jay-R Lizardo"/>
    <m/>
  </r>
  <r>
    <x v="315"/>
    <x v="1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7"/>
    <s v="Jay-R Lizardo"/>
    <m/>
  </r>
  <r>
    <x v="315"/>
    <x v="1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7"/>
    <s v="Jay-R Lizardo"/>
    <m/>
  </r>
  <r>
    <x v="315"/>
    <x v="1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7"/>
    <s v="Jay-R Lizardo"/>
    <m/>
  </r>
  <r>
    <x v="315"/>
    <x v="1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7"/>
    <s v="Jay-R Lizardo"/>
    <m/>
  </r>
  <r>
    <x v="315"/>
    <x v="1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7"/>
    <s v="Jay-R Lizardo"/>
    <m/>
  </r>
  <r>
    <x v="315"/>
    <x v="1"/>
    <x v="2"/>
    <s v="CEMERAL_70006101AD1L16"/>
    <s v="G000000253"/>
    <s v="G000000253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7"/>
    <s v="Jay-R Lizardo"/>
    <m/>
  </r>
  <r>
    <x v="315"/>
    <x v="1"/>
    <x v="2"/>
    <s v="CITR_1000$$$IT17711152"/>
    <s v="G000001118"/>
    <s v="G000001118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7"/>
    <s v="Jay-R Lizardo"/>
    <m/>
  </r>
  <r>
    <x v="315"/>
    <x v="1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7"/>
    <s v="Jay-R Lizardo"/>
    <m/>
  </r>
  <r>
    <x v="315"/>
    <x v="1"/>
    <x v="2"/>
    <s v="CTEMPLA_1000UY10120022"/>
    <s v="L000013397"/>
    <s v="L000013397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LA_1000UY10100040"/>
    <s v="G000001420"/>
    <s v="G000001420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LA_1000UY10100037"/>
    <s v="G000001420"/>
    <s v="G000001420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LA_1000UY10100021"/>
    <s v="G000001421"/>
    <s v="G000001421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NA_1000US20CA8325"/>
    <s v="G000000253"/>
    <s v="G000000253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NA_1000US20CA8340"/>
    <s v="G000001397"/>
    <s v="G000001397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NA_1000US20CA8407"/>
    <s v="G000001387"/>
    <s v="G000001387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NA_1000US20F87G7C"/>
    <s v="G000001118"/>
    <s v="G000001118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7"/>
    <s v="Jay-R Lizardo"/>
    <m/>
  </r>
  <r>
    <x v="315"/>
    <x v="1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7"/>
    <s v="Jay-R Lizardo"/>
    <m/>
  </r>
  <r>
    <x v="315"/>
    <x v="1"/>
    <x v="2"/>
    <s v="CTEMPEU_1000NL40AD0095"/>
    <s v="L000013397"/>
    <s v="L000013397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ORAERP_MMOR1945.9571"/>
    <s v="G000000253"/>
    <s v="G000000253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7"/>
    <s v="Jay-R Lizardo"/>
    <m/>
  </r>
  <r>
    <x v="315"/>
    <x v="1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7"/>
    <s v="Jay-R Lizardo"/>
    <m/>
  </r>
  <r>
    <x v="315"/>
    <x v="1"/>
    <x v="2"/>
    <s v="CORAERP_MMOR1975.9579"/>
    <s v="G000000253"/>
    <s v="G000000253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ORAERP_MMOR1975.9855"/>
    <s v="L000013397"/>
    <s v="L000013397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ORAERP_MMOR1975.9810"/>
    <s v="G000001405"/>
    <s v="G000001405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ORAERP_MMOR1975.9833"/>
    <s v="G000000726"/>
    <s v="G000000726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ORAERP_MMOR1975.9852"/>
    <s v="G000001396"/>
    <s v="G000001396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ORAERP_MMOR1975.9491"/>
    <s v="G000000253"/>
    <s v="G000000253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NOW_7210$$$0000015061"/>
    <s v="L000013393"/>
    <s v="L000013393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NOW_7210$$$0000051763"/>
    <s v="L000013397"/>
    <s v="L000013397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NOW_7210$$$0000051757"/>
    <s v="G000001398"/>
    <s v="G000001398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NOW_7210$$$0000051793"/>
    <s v="L000013389"/>
    <s v="L000013389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7"/>
    <s v="Jay-R Lizardo"/>
    <m/>
  </r>
  <r>
    <x v="315"/>
    <x v="1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7"/>
    <s v="Jay-R Lizardo"/>
    <m/>
  </r>
  <r>
    <x v="315"/>
    <x v="1"/>
    <x v="2"/>
    <s v="CNOW_7210$$$0000057801"/>
    <s v="G000001235"/>
    <s v="G000001235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NOW_7210$$$0000057184"/>
    <s v="L000013397"/>
    <s v="L000013397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NOW_7210$$$0000056669"/>
    <s v="G000001409"/>
    <s v="G000001409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NOW_7210$$$0000052182"/>
    <s v="G000001407"/>
    <s v="G000001407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NOW_7210$$$0000265219"/>
    <s v="G000001398"/>
    <s v="G000001398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NOW_7210$$$0000265223"/>
    <s v="G000000253"/>
    <s v="G000000253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NOW_7210$$$0000265222"/>
    <s v="L000013393"/>
    <s v="L000013393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NOW_7210$$$0000010249"/>
    <s v="G000001398"/>
    <s v="G000001398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NOW_7210$$$0000010268"/>
    <s v="L000013397"/>
    <s v="L000013397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NOW_7210$$$0000010266"/>
    <s v="G000001118"/>
    <s v="G000001118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NOW_7210$$$0000010251"/>
    <s v="G000000253"/>
    <s v="G000000253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NOW_7210$$$0000010212"/>
    <s v="L000013397"/>
    <s v="L000013397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NOW_7210$$$0000010209"/>
    <s v="L000013397"/>
    <s v="L000013397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NOW_7210$$$0000010172"/>
    <s v="L000013389"/>
    <s v="L000013389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NOW_7210$$$0000031698"/>
    <s v="L000013389"/>
    <s v="L000013389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7"/>
    <s v="Jay-R Lizardo"/>
    <m/>
  </r>
  <r>
    <x v="315"/>
    <x v="1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7"/>
    <s v="Jay-R Lizardo"/>
    <m/>
  </r>
  <r>
    <x v="315"/>
    <x v="1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7"/>
    <s v="Jay-R Lizardo"/>
    <m/>
  </r>
  <r>
    <x v="315"/>
    <x v="1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7"/>
    <s v="Jay-R Lizardo"/>
    <m/>
  </r>
  <r>
    <x v="315"/>
    <x v="1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7"/>
    <s v="Jay-R Lizardo"/>
    <m/>
  </r>
  <r>
    <x v="315"/>
    <x v="1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7"/>
    <s v="Jay-R Lizardo"/>
    <m/>
  </r>
  <r>
    <x v="315"/>
    <x v="1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7"/>
    <s v="Jay-R Lizardo"/>
    <m/>
  </r>
  <r>
    <x v="315"/>
    <x v="1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7"/>
    <s v="Jay-R Lizardo"/>
    <m/>
  </r>
  <r>
    <x v="315"/>
    <x v="1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7"/>
    <s v="Jay-R Lizardo"/>
    <m/>
  </r>
  <r>
    <x v="315"/>
    <x v="1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7"/>
    <s v="Jay-R Lizardo"/>
    <m/>
  </r>
  <r>
    <x v="315"/>
    <x v="1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7"/>
    <s v="Jay-R Lizardo"/>
    <m/>
  </r>
  <r>
    <x v="315"/>
    <x v="1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7"/>
    <s v="Jay-R Lizardo"/>
    <m/>
  </r>
  <r>
    <x v="315"/>
    <x v="1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7"/>
    <s v="Jay-R Lizardo"/>
    <m/>
  </r>
  <r>
    <x v="315"/>
    <x v="1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7"/>
    <s v="Jay-R Lizardo"/>
    <m/>
  </r>
  <r>
    <x v="315"/>
    <x v="1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7"/>
    <s v="Jay-R Lizardo"/>
    <m/>
  </r>
  <r>
    <x v="315"/>
    <x v="1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7"/>
    <s v="Jay-R Lizardo"/>
    <m/>
  </r>
  <r>
    <x v="315"/>
    <x v="1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7"/>
    <s v="Jay-R Lizardo"/>
    <m/>
  </r>
  <r>
    <x v="315"/>
    <x v="1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7"/>
    <s v="Jay-R Lizardo"/>
    <m/>
  </r>
  <r>
    <x v="315"/>
    <x v="1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7"/>
    <s v="Jay-R Lizardo"/>
    <m/>
  </r>
  <r>
    <x v="315"/>
    <x v="1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7"/>
    <s v="Jay-R Lizardo"/>
    <m/>
  </r>
  <r>
    <x v="315"/>
    <x v="1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7"/>
    <s v="Jay-R Lizardo"/>
    <m/>
  </r>
  <r>
    <x v="315"/>
    <x v="1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7"/>
    <s v="Jay-R Lizardo"/>
    <m/>
  </r>
  <r>
    <x v="315"/>
    <x v="1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7"/>
    <s v="Jay-R Lizardo"/>
    <m/>
  </r>
  <r>
    <x v="315"/>
    <x v="1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7"/>
    <s v="Jay-R Lizardo"/>
    <m/>
  </r>
  <r>
    <x v="315"/>
    <x v="1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7"/>
    <s v="Jay-R Lizardo"/>
    <m/>
  </r>
  <r>
    <x v="315"/>
    <x v="1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7"/>
    <s v="Jay-R Lizardo"/>
    <m/>
  </r>
  <r>
    <x v="315"/>
    <x v="1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7"/>
    <s v="Jay-R Lizardo"/>
    <m/>
  </r>
  <r>
    <x v="315"/>
    <x v="1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7"/>
    <s v="Jay-R Lizardo"/>
    <m/>
  </r>
  <r>
    <x v="315"/>
    <x v="1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7"/>
    <s v="Jay-R Lizardo"/>
    <m/>
  </r>
  <r>
    <x v="315"/>
    <x v="1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7"/>
    <s v="Jay-R Lizardo"/>
    <m/>
  </r>
  <r>
    <x v="315"/>
    <x v="1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7"/>
    <s v="Jay-R Lizardo"/>
    <m/>
  </r>
  <r>
    <x v="315"/>
    <x v="1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7"/>
    <s v="Jay-R Lizardo"/>
    <m/>
  </r>
  <r>
    <x v="315"/>
    <x v="1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7"/>
    <s v="Jay-R Lizardo"/>
    <m/>
  </r>
  <r>
    <x v="315"/>
    <x v="1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7"/>
    <s v="Jay-R Lizardo"/>
    <m/>
  </r>
  <r>
    <x v="315"/>
    <x v="1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7"/>
    <s v="Jay-R Lizardo"/>
    <m/>
  </r>
  <r>
    <x v="315"/>
    <x v="1"/>
    <x v="2"/>
    <s v="CNOW_AUS0$$$0000092051"/>
    <s v="G000000279"/>
    <s v="G000000279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FLTFLE_22450000002721"/>
    <s v="G000000253"/>
    <s v="G000000253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7"/>
    <s v="Jay-R Lizardo"/>
    <m/>
  </r>
  <r>
    <x v="315"/>
    <x v="1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7"/>
    <s v="Jay-R Lizardo"/>
    <m/>
  </r>
  <r>
    <x v="315"/>
    <x v="1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7"/>
    <s v="Jay-R Lizardo"/>
    <m/>
  </r>
  <r>
    <x v="315"/>
    <x v="1"/>
    <x v="2"/>
    <s v="CTEMPNA_1000PH80GFO003"/>
    <s v="G000001416"/>
    <s v="G000001416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NA_1000PH80GFO026"/>
    <s v="G000001416"/>
    <s v="G000001416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EU_1000PL80GFO016"/>
    <s v="G000001416"/>
    <s v="G000001416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7"/>
    <s v="Jay-R Lizardo"/>
    <m/>
  </r>
  <r>
    <x v="315"/>
    <x v="1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7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7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7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7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7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7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7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7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7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7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7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7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7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7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0"/>
    <n v="4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0"/>
    <n v="4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0"/>
    <n v="4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0"/>
    <n v="4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0"/>
    <n v="4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0"/>
    <n v="4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0"/>
    <n v="4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0"/>
    <n v="4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0"/>
    <n v="4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0"/>
    <n v="4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0"/>
    <n v="4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0"/>
    <n v="4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0"/>
    <n v="4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0"/>
    <n v="4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0"/>
    <n v="4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0"/>
    <n v="4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0"/>
    <n v="4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0"/>
    <n v="4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0"/>
    <n v="4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0"/>
    <n v="4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0"/>
    <n v="4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0"/>
    <n v="4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0"/>
    <n v="4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0"/>
    <n v="4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0"/>
    <n v="4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0"/>
    <n v="4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0"/>
    <n v="4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0"/>
    <n v="4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0"/>
    <n v="4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0"/>
    <n v="4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0"/>
    <n v="4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0"/>
    <n v="4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0"/>
    <n v="4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0"/>
    <n v="4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0"/>
    <n v="4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0"/>
    <n v="4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0"/>
    <n v="4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0"/>
    <n v="4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0"/>
    <n v="4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0"/>
    <n v="4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0"/>
    <n v="4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0"/>
    <n v="4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0"/>
    <n v="4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0"/>
    <n v="3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0"/>
    <n v="3"/>
    <s v="Jojeff Tagnong"/>
    <m/>
  </r>
  <r>
    <x v="326"/>
    <x v="1"/>
    <x v="2"/>
    <s v="CLFF_1000$$$CN70R03104"/>
    <s v="H000000643"/>
    <s v="H000000643"/>
    <s v="LFF (MDG-F)"/>
    <s v="CN70R03104"/>
    <m/>
    <b v="1"/>
    <x v="1"/>
    <x v="3"/>
    <d v="2025-08-12T00:00:00"/>
    <m/>
    <m/>
    <x v="0"/>
    <n v="2"/>
    <s v="Henry Ifurung Jr."/>
    <m/>
  </r>
  <r>
    <x v="326"/>
    <x v="1"/>
    <x v="2"/>
    <s v="CLFF_1000$$$DE50TMDA06"/>
    <s v="H000000643"/>
    <s v="H000000643"/>
    <s v="LFF (MDG-F)"/>
    <s v="DE50TMDA06"/>
    <m/>
    <b v="1"/>
    <x v="1"/>
    <x v="3"/>
    <d v="2025-08-12T00:00:00"/>
    <m/>
    <m/>
    <x v="0"/>
    <n v="2"/>
    <s v="Henry Ifurung Jr."/>
    <m/>
  </r>
  <r>
    <x v="326"/>
    <x v="1"/>
    <x v="2"/>
    <s v="CLFF_1000$$$CH65R00046"/>
    <s v="H000004380"/>
    <s v="H000004380"/>
    <s v="LFF (MDG-F)"/>
    <s v="CH65R00046"/>
    <m/>
    <b v="1"/>
    <x v="1"/>
    <x v="3"/>
    <d v="2025-08-12T00:00:00"/>
    <m/>
    <m/>
    <x v="0"/>
    <n v="2"/>
    <s v="Henry Ifurung Jr."/>
    <m/>
  </r>
  <r>
    <x v="326"/>
    <x v="1"/>
    <x v="2"/>
    <s v="CLFF_1000$$$CH65R00045"/>
    <s v="H000004380"/>
    <s v="H000004380"/>
    <s v="LFF (MDG-F)"/>
    <s v="CH65R00045"/>
    <m/>
    <b v="1"/>
    <x v="1"/>
    <x v="3"/>
    <d v="2025-08-12T00:00:00"/>
    <m/>
    <m/>
    <x v="0"/>
    <n v="2"/>
    <s v="Henry Ifurung Jr."/>
    <m/>
  </r>
  <r>
    <x v="326"/>
    <x v="1"/>
    <x v="2"/>
    <s v="CLFF_1000$$$CH65R00044"/>
    <s v="H000004380"/>
    <s v="H000004380"/>
    <s v="LFF (MDG-F)"/>
    <s v="CH65R00044"/>
    <m/>
    <b v="1"/>
    <x v="1"/>
    <x v="3"/>
    <d v="2025-08-12T00:00:00"/>
    <m/>
    <m/>
    <x v="0"/>
    <n v="2"/>
    <s v="Henry Ifurung Jr."/>
    <m/>
  </r>
  <r>
    <x v="326"/>
    <x v="1"/>
    <x v="2"/>
    <s v="CLFF_1000$$$IT50R02001"/>
    <s v="H000000617"/>
    <s v="H000000617"/>
    <s v="LFF (MDG-F)"/>
    <s v="IT50R02001"/>
    <m/>
    <b v="1"/>
    <x v="1"/>
    <x v="3"/>
    <d v="2025-08-12T00:00:00"/>
    <m/>
    <m/>
    <x v="0"/>
    <n v="2"/>
    <s v="Henry Ifurung Jr."/>
    <m/>
  </r>
  <r>
    <x v="326"/>
    <x v="1"/>
    <x v="2"/>
    <s v="CLFF_1000$$$IT50R02002"/>
    <s v="H000000617"/>
    <s v="H000000617"/>
    <s v="LFF (MDG-F)"/>
    <s v="IT50R02002"/>
    <m/>
    <b v="1"/>
    <x v="1"/>
    <x v="3"/>
    <d v="2025-08-12T00:00:00"/>
    <m/>
    <m/>
    <x v="0"/>
    <n v="2"/>
    <s v="Henry Ifurung Jr."/>
    <m/>
  </r>
  <r>
    <x v="327"/>
    <x v="1"/>
    <x v="2"/>
    <s v="CEMERAL_70007102171436"/>
    <s v="L000011664"/>
    <s v="L000011664"/>
    <s v="Non-LFF"/>
    <s v=""/>
    <m/>
    <b v="1"/>
    <x v="2"/>
    <x v="3"/>
    <d v="2025-08-13T00:00:00"/>
    <m/>
    <m/>
    <x v="0"/>
    <n v="1"/>
    <s v="Lakshmi Shree"/>
    <m/>
  </r>
  <r>
    <x v="328"/>
    <x v="1"/>
    <x v="6"/>
    <s v="CLFF_1000$$$DK50GEQ010"/>
    <s v="G000000103 "/>
    <s v="G000000768"/>
    <s v="LFF (MDG-F)"/>
    <s v="DK50GEQ010"/>
    <m/>
    <b v="0"/>
    <x v="0"/>
    <x v="3"/>
    <d v="2025-08-13T00:00:00"/>
    <m/>
    <m/>
    <x v="0"/>
    <n v="1"/>
    <s v="Jojeff Tagnong"/>
    <m/>
  </r>
  <r>
    <x v="328"/>
    <x v="1"/>
    <x v="2"/>
    <s v="CFLTFLE_22450000002741"/>
    <s v="G000000103"/>
    <s v="G000000103"/>
    <s v="Non-LFF"/>
    <s v=""/>
    <m/>
    <b v="1"/>
    <x v="0"/>
    <x v="3"/>
    <d v="2025-08-13T00:00:00"/>
    <m/>
    <m/>
    <x v="0"/>
    <n v="1"/>
    <s v="Jojeff Tagnong"/>
    <m/>
  </r>
  <r>
    <x v="329"/>
    <x v="1"/>
    <x v="5"/>
    <s v="CEMERAL_64010010991390 Admin/Sourcing APAC"/>
    <s v="G000001130 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EMERAL_70006203990110 Procurement APAC"/>
    <s v="G000001130 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EMERAL_70006203990116 PO - Src. Corporate Services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EMERAL_70006301995401 XXXPO-APAC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EMERAL_70006302995401 XXXGroup Procurement-Purchasing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EMERAL_7000640399GA65 Procurement APAC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EMERAL_70007001993007 XXXMESI MGF-PROCUREMENT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EMERAL_70007102308299 Jade Park expense cross charge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FLTFLE_10550000003914 MGF Procurement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FLTFLE_12350000005017 MGF Procurement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FLTFLE_17710000170000 XXXProcurement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FLTFLE_17710000170020 XXXProcurement restructuring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FLTFLE_1787HQ50GPO1F0 MGF_Procurement NWA_NORTH WEST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FLTFLE_1798A08 Procurement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6"/>
    <s v="CLFF_1000$$$CH50GPO004 PO Americas - MRO FR &amp; French-Speak. CH"/>
    <s v="G000001130"/>
    <m/>
    <s v="LFF (MDG-F)"/>
    <s v="CH50GPO004"/>
    <m/>
    <b v="0"/>
    <x v="0"/>
    <x v="3"/>
    <d v="2025-08-14T00:00:00"/>
    <m/>
    <m/>
    <x v="0"/>
    <n v="0"/>
    <s v="Jojeff Tagnong"/>
    <m/>
  </r>
  <r>
    <x v="329"/>
    <x v="1"/>
    <x v="6"/>
    <s v="CLFF_1000$$$CH50GPO101 Sourcing Healthcare 2"/>
    <s v="G000001130"/>
    <m/>
    <s v="LFF (MDG-F)"/>
    <s v="CH50GPO101"/>
    <m/>
    <b v="0"/>
    <x v="0"/>
    <x v="3"/>
    <d v="2025-08-14T00:00:00"/>
    <m/>
    <m/>
    <x v="0"/>
    <n v="0"/>
    <s v="Jojeff Tagnong"/>
    <m/>
  </r>
  <r>
    <x v="329"/>
    <x v="1"/>
    <x v="6"/>
    <s v="CLFF_1000$$$CH50GPO204 Sourcing BT"/>
    <s v="G000001130"/>
    <m/>
    <s v="LFF (MDG-F)"/>
    <s v="CH50GPO204"/>
    <m/>
    <b v="0"/>
    <x v="0"/>
    <x v="3"/>
    <d v="2025-08-14T00:00:00"/>
    <m/>
    <m/>
    <x v="0"/>
    <n v="0"/>
    <s v="Jojeff Tagnong"/>
    <m/>
  </r>
  <r>
    <x v="329"/>
    <x v="1"/>
    <x v="6"/>
    <s v="CLFF_1000$$$CH65GPO001 MRO Sourcing"/>
    <s v="G000001130"/>
    <m/>
    <s v="LFF (MDG-F)"/>
    <s v="CH65GPO001"/>
    <m/>
    <b v="0"/>
    <x v="0"/>
    <x v="3"/>
    <d v="2025-08-14T00:00:00"/>
    <m/>
    <m/>
    <x v="0"/>
    <n v="0"/>
    <s v="Jojeff Tagnong"/>
    <m/>
  </r>
  <r>
    <x v="329"/>
    <x v="1"/>
    <x v="6"/>
    <s v="CLFF_1000$$$CN90GPO005 Procurement APAC"/>
    <s v="G000001130"/>
    <m/>
    <s v="LFF (MDG-F)"/>
    <s v="CN90GPO005"/>
    <m/>
    <b v="0"/>
    <x v="0"/>
    <x v="3"/>
    <d v="2025-08-14T00:00:00"/>
    <m/>
    <m/>
    <x v="0"/>
    <n v="0"/>
    <s v="Jojeff Tagnong"/>
    <m/>
  </r>
  <r>
    <x v="329"/>
    <x v="1"/>
    <x v="6"/>
    <s v="CLFF_1000$$$DE10560000 Sourcing Office Intercomp"/>
    <s v="G000001130"/>
    <m/>
    <s v="LFF (MDG-F)"/>
    <s v="DE10560000"/>
    <m/>
    <b v="0"/>
    <x v="0"/>
    <x v="3"/>
    <d v="2025-08-14T00:00:00"/>
    <m/>
    <m/>
    <x v="0"/>
    <n v="0"/>
    <s v="Jojeff Tagnong"/>
    <m/>
  </r>
  <r>
    <x v="329"/>
    <x v="1"/>
    <x v="6"/>
    <s v="CLFF_1000$$$DE10661200 PO Src. Plant Serv."/>
    <s v="G000001130"/>
    <m/>
    <s v="LFF (MDG-F)"/>
    <s v="DE10661200"/>
    <m/>
    <b v="0"/>
    <x v="0"/>
    <x v="3"/>
    <d v="2025-08-14T00:00:00"/>
    <m/>
    <m/>
    <x v="0"/>
    <n v="0"/>
    <s v="Jojeff Tagnong"/>
    <m/>
  </r>
  <r>
    <x v="329"/>
    <x v="1"/>
    <x v="6"/>
    <s v="CLFF_1000$$$DE10667900 PO - Src. Corp. Services"/>
    <s v="G000001130"/>
    <m/>
    <s v="LFF (MDG-F)"/>
    <s v="DE10667900"/>
    <m/>
    <b v="0"/>
    <x v="0"/>
    <x v="3"/>
    <d v="2025-08-14T00:00:00"/>
    <m/>
    <m/>
    <x v="0"/>
    <n v="0"/>
    <s v="Jojeff Tagnong"/>
    <m/>
  </r>
  <r>
    <x v="329"/>
    <x v="1"/>
    <x v="6"/>
    <s v="CLFF_1000$$$DE10672010 PO IT Sourcing"/>
    <s v="G000001130"/>
    <m/>
    <s v="LFF (MDG-F)"/>
    <s v="DE10672010"/>
    <m/>
    <b v="0"/>
    <x v="0"/>
    <x v="3"/>
    <d v="2025-08-14T00:00:00"/>
    <m/>
    <m/>
    <x v="0"/>
    <n v="0"/>
    <s v="Jojeff Tagnong"/>
    <m/>
  </r>
  <r>
    <x v="329"/>
    <x v="1"/>
    <x v="6"/>
    <s v="CLFF_1000$$$DE65GPO001 Sourcing Corp. Serv. &amp; Region EMEA"/>
    <s v="G000001130"/>
    <m/>
    <s v="LFF (MDG-F)"/>
    <s v="DE65GPO001"/>
    <m/>
    <b v="0"/>
    <x v="0"/>
    <x v="3"/>
    <d v="2025-08-14T00:00:00"/>
    <m/>
    <m/>
    <x v="0"/>
    <n v="0"/>
    <s v="Jojeff Tagnong"/>
    <m/>
  </r>
  <r>
    <x v="329"/>
    <x v="1"/>
    <x v="6"/>
    <s v="CLFF_1000$$$DK50GPO004 Group Procurement - Real Estate F81"/>
    <s v="G000001130"/>
    <m/>
    <s v="LFF (MDG-F)"/>
    <s v="DK50GPO004"/>
    <m/>
    <b v="0"/>
    <x v="0"/>
    <x v="3"/>
    <d v="2025-08-14T00:00:00"/>
    <m/>
    <m/>
    <x v="0"/>
    <n v="0"/>
    <s v="Jojeff Tagnong"/>
    <m/>
  </r>
  <r>
    <x v="329"/>
    <x v="1"/>
    <x v="6"/>
    <s v="CLFF_1000$$$ES50GPO792 PO Global &amp; Local Sourcing EMEA"/>
    <s v="G000001130"/>
    <m/>
    <s v="LFF (MDG-F)"/>
    <s v="ES50GPO792"/>
    <m/>
    <b v="0"/>
    <x v="0"/>
    <x v="3"/>
    <d v="2025-08-14T00:00:00"/>
    <m/>
    <m/>
    <x v="0"/>
    <n v="0"/>
    <s v="Jojeff Tagnong"/>
    <m/>
  </r>
  <r>
    <x v="329"/>
    <x v="1"/>
    <x v="6"/>
    <s v="CLFF_1000$$$FR01GPO004 France Procurement"/>
    <s v="G000001130"/>
    <m/>
    <s v="LFF (MDG-F)"/>
    <s v="FR01GPO004"/>
    <m/>
    <b v="0"/>
    <x v="0"/>
    <x v="3"/>
    <d v="2025-08-14T00:00:00"/>
    <m/>
    <m/>
    <x v="0"/>
    <n v="0"/>
    <s v="Jojeff Tagnong"/>
    <m/>
  </r>
  <r>
    <x v="329"/>
    <x v="1"/>
    <x v="6"/>
    <s v="CLFF_1000$$$IT50GPO004 Procurement IT"/>
    <s v="G000001130"/>
    <m/>
    <s v="LFF (MDG-F)"/>
    <s v="IT50GPO004"/>
    <m/>
    <b v="0"/>
    <x v="0"/>
    <x v="3"/>
    <d v="2025-08-14T00:00:00"/>
    <m/>
    <m/>
    <x v="0"/>
    <n v="0"/>
    <s v="Jojeff Tagnong"/>
    <m/>
  </r>
  <r>
    <x v="329"/>
    <x v="1"/>
    <x v="6"/>
    <s v="CLFF_1000$$$IT50GPO0C3 G1F PO-Sourcing Plant Serv &amp; Region Amer"/>
    <s v="G000001130"/>
    <m/>
    <s v="LFF (MDG-F)"/>
    <s v="IT50GPO0C3"/>
    <m/>
    <b v="0"/>
    <x v="0"/>
    <x v="3"/>
    <d v="2025-08-14T00:00:00"/>
    <m/>
    <m/>
    <x v="0"/>
    <n v="0"/>
    <s v="Jojeff Tagnong"/>
    <m/>
  </r>
  <r>
    <x v="329"/>
    <x v="1"/>
    <x v="6"/>
    <s v="CLFF_1000$$$JP01GPO302 PO APAC"/>
    <s v="G000001130"/>
    <m/>
    <s v="LFF (MDG-F)"/>
    <s v="JP01GPO302"/>
    <m/>
    <b v="0"/>
    <x v="0"/>
    <x v="3"/>
    <d v="2025-08-14T00:00:00"/>
    <m/>
    <m/>
    <x v="0"/>
    <n v="0"/>
    <s v="Jojeff Tagnong"/>
    <m/>
  </r>
  <r>
    <x v="329"/>
    <x v="1"/>
    <x v="6"/>
    <s v="CLFF_1000$$$JP02GPO302 PO APAC"/>
    <s v="G000001130"/>
    <m/>
    <s v="LFF (MDG-F)"/>
    <s v="JP02GPO302"/>
    <m/>
    <b v="0"/>
    <x v="0"/>
    <x v="3"/>
    <d v="2025-08-14T00:00:00"/>
    <m/>
    <m/>
    <x v="0"/>
    <n v="0"/>
    <s v="Jojeff Tagnong"/>
    <m/>
  </r>
  <r>
    <x v="329"/>
    <x v="1"/>
    <x v="6"/>
    <s v="CLFF_1000$$$KE50GPO004 MGF Procurement"/>
    <s v="G000001130"/>
    <m/>
    <s v="LFF (MDG-F)"/>
    <s v="KE50GPO004"/>
    <m/>
    <b v="0"/>
    <x v="0"/>
    <x v="3"/>
    <d v="2025-08-14T00:00:00"/>
    <m/>
    <m/>
    <x v="0"/>
    <n v="0"/>
    <s v="Jojeff Tagnong"/>
    <m/>
  </r>
  <r>
    <x v="329"/>
    <x v="1"/>
    <x v="6"/>
    <s v="CLFF_1000$$$KR02GPO001 Procurement APAC"/>
    <s v="G000001130"/>
    <m/>
    <s v="LFF (MDG-F)"/>
    <s v="KR02GPO001"/>
    <m/>
    <b v="0"/>
    <x v="0"/>
    <x v="3"/>
    <d v="2025-08-14T00:00:00"/>
    <m/>
    <m/>
    <x v="0"/>
    <n v="0"/>
    <s v="Jojeff Tagnong"/>
    <m/>
  </r>
  <r>
    <x v="329"/>
    <x v="1"/>
    <x v="6"/>
    <s v="CLFF_1000$$$TW02GPO004 PO-Purchasing APAC"/>
    <s v="G000001130"/>
    <m/>
    <s v="LFF (MDG-F)"/>
    <s v="TW02GPO004"/>
    <m/>
    <b v="0"/>
    <x v="0"/>
    <x v="3"/>
    <d v="2025-08-14T00:00:00"/>
    <m/>
    <m/>
    <x v="0"/>
    <n v="0"/>
    <s v="Jojeff Tagnong"/>
    <m/>
  </r>
  <r>
    <x v="329"/>
    <x v="1"/>
    <x v="6"/>
    <s v="CLFF_1000$$$TW03GPO005 PO-Purchasing APAC"/>
    <s v="G000001130"/>
    <m/>
    <s v="LFF (MDG-F)"/>
    <s v="TW03GPO005"/>
    <m/>
    <b v="0"/>
    <x v="0"/>
    <x v="3"/>
    <d v="2025-08-14T00:00:00"/>
    <m/>
    <m/>
    <x v="0"/>
    <n v="0"/>
    <s v="Jojeff Tagnong"/>
    <m/>
  </r>
  <r>
    <x v="329"/>
    <x v="1"/>
    <x v="6"/>
    <s v="CLFF_1000$$$US01GPO004 Procurement EMEA"/>
    <s v="G000001130"/>
    <m/>
    <s v="LFF (MDG-F)"/>
    <s v="US01GPO004"/>
    <m/>
    <b v="0"/>
    <x v="0"/>
    <x v="3"/>
    <d v="2025-08-14T00:00:00"/>
    <m/>
    <m/>
    <x v="0"/>
    <n v="0"/>
    <s v="Jojeff Tagnong"/>
    <m/>
  </r>
  <r>
    <x v="329"/>
    <x v="1"/>
    <x v="6"/>
    <s v="CLFF_1000$$$US01GPO101 MPM MRO Region America"/>
    <s v="G000001130"/>
    <m/>
    <s v="LFF (MDG-F)"/>
    <s v="US01GPO101"/>
    <m/>
    <b v="0"/>
    <x v="0"/>
    <x v="3"/>
    <d v="2025-08-14T00:00:00"/>
    <m/>
    <m/>
    <x v="0"/>
    <n v="0"/>
    <s v="Jojeff Tagnong"/>
    <m/>
  </r>
  <r>
    <x v="329"/>
    <x v="1"/>
    <x v="6"/>
    <s v="CLFF_1000$$$US01GPO401 XXXGroup Procurement"/>
    <s v="G000001130"/>
    <m/>
    <s v="LFF (MDG-F)"/>
    <s v="US01GPO401"/>
    <m/>
    <b v="0"/>
    <x v="0"/>
    <x v="3"/>
    <d v="2025-08-14T00:00:00"/>
    <m/>
    <m/>
    <x v="0"/>
    <n v="0"/>
    <s v="Jojeff Tagnong"/>
    <m/>
  </r>
  <r>
    <x v="329"/>
    <x v="1"/>
    <x v="6"/>
    <s v="CLFF_1000$$$VN50GPO005 XX_Procurement - Service"/>
    <s v="G000001130"/>
    <m/>
    <s v="LFF (MDG-F)"/>
    <s v="VN50GPO005"/>
    <m/>
    <b v="0"/>
    <x v="0"/>
    <x v="3"/>
    <d v="2025-08-14T00:00:00"/>
    <m/>
    <m/>
    <x v="0"/>
    <n v="0"/>
    <s v="Jojeff Tagnong"/>
    <m/>
  </r>
  <r>
    <x v="329"/>
    <x v="1"/>
    <x v="6"/>
    <s v="CLFF_1000$$$ZA50GPO004 MGF Procurement"/>
    <s v="G000001130"/>
    <m/>
    <s v="LFF (MDG-F)"/>
    <s v="ZA50GPO004"/>
    <m/>
    <b v="0"/>
    <x v="0"/>
    <x v="3"/>
    <d v="2025-08-14T00:00:00"/>
    <m/>
    <m/>
    <x v="0"/>
    <n v="0"/>
    <s v="Jojeff Tagnong"/>
    <m/>
  </r>
  <r>
    <x v="329"/>
    <x v="1"/>
    <x v="6"/>
    <s v="CLFF_7210$$$2031GPO004 Purchasing"/>
    <s v="G000001130"/>
    <m/>
    <s v="LFF (MDG-F)"/>
    <s v="2031GPO004"/>
    <m/>
    <b v="0"/>
    <x v="0"/>
    <x v="3"/>
    <d v="2025-08-14T00:00:00"/>
    <m/>
    <m/>
    <x v="0"/>
    <n v="0"/>
    <s v="Jojeff Tagnong"/>
    <m/>
  </r>
  <r>
    <x v="329"/>
    <x v="1"/>
    <x v="6"/>
    <s v="CLFF_7210$$$2057GPO008 XX_Procurement CS&amp;EMEA"/>
    <s v="G000001130"/>
    <m/>
    <s v="LFF (MDG-F)"/>
    <s v="2057GPO008"/>
    <m/>
    <b v="0"/>
    <x v="0"/>
    <x v="3"/>
    <d v="2025-08-14T00:00:00"/>
    <m/>
    <m/>
    <x v="0"/>
    <n v="0"/>
    <s v="Jojeff Tagnong"/>
    <m/>
  </r>
  <r>
    <x v="329"/>
    <x v="1"/>
    <x v="6"/>
    <s v="CLFF_7210$$$2102GPO003 PO-Americas"/>
    <s v="G000001130"/>
    <m/>
    <s v="LFF (MDG-F)"/>
    <s v="2102GPO003"/>
    <m/>
    <b v="0"/>
    <x v="0"/>
    <x v="3"/>
    <d v="2025-08-14T00:00:00"/>
    <m/>
    <m/>
    <x v="0"/>
    <n v="0"/>
    <s v="Jojeff Tagnong"/>
    <m/>
  </r>
  <r>
    <x v="329"/>
    <x v="1"/>
    <x v="6"/>
    <s v="CLFF_7210$$$2123GPO001 PO Sourcing IT"/>
    <s v="G000001130"/>
    <m/>
    <s v="LFF (MDG-F)"/>
    <s v="2123GPO001"/>
    <m/>
    <b v="0"/>
    <x v="0"/>
    <x v="3"/>
    <d v="2025-08-14T00:00:00"/>
    <m/>
    <m/>
    <x v="0"/>
    <n v="0"/>
    <s v="Jojeff Tagnong"/>
    <m/>
  </r>
  <r>
    <x v="329"/>
    <x v="1"/>
    <x v="6"/>
    <s v="CLFF_7210$$$2128L40014 2128 General Expenses"/>
    <s v="G000001130"/>
    <m/>
    <s v="LFF (MDG-F)"/>
    <s v="2128L40014"/>
    <m/>
    <b v="0"/>
    <x v="0"/>
    <x v="3"/>
    <d v="2025-08-14T00:00:00"/>
    <m/>
    <m/>
    <x v="0"/>
    <n v="0"/>
    <s v="Jojeff Tagnong"/>
    <m/>
  </r>
  <r>
    <x v="329"/>
    <x v="1"/>
    <x v="6"/>
    <s v="CLFF_7210$$$2131GPO821 Procurement APAC"/>
    <s v="G000001130"/>
    <m/>
    <s v="LFF (MDG-F)"/>
    <s v="2131GPO821"/>
    <m/>
    <b v="0"/>
    <x v="0"/>
    <x v="3"/>
    <d v="2025-08-14T00:00:00"/>
    <m/>
    <m/>
    <x v="0"/>
    <n v="0"/>
    <s v="Jojeff Tagnong"/>
    <m/>
  </r>
  <r>
    <x v="329"/>
    <x v="1"/>
    <x v="6"/>
    <s v="CLFF_KR00$$$KR03GPO001 Procurement APAC"/>
    <s v="G000001130"/>
    <m/>
    <s v="LFF (MDG-F)"/>
    <s v="KR03GPO001"/>
    <m/>
    <b v="0"/>
    <x v="0"/>
    <x v="3"/>
    <d v="2025-08-14T00:00:00"/>
    <m/>
    <m/>
    <x v="0"/>
    <n v="0"/>
    <s v="Jojeff Tagnong"/>
    <m/>
  </r>
  <r>
    <x v="329"/>
    <x v="1"/>
    <x v="6"/>
    <s v="CLFF_VMCA$$$TW91GPO013 PO - Sourcing Region APAC/PO - Sourcing"/>
    <s v="G000001130"/>
    <m/>
    <s v="LFF (MDG-F)"/>
    <s v="TW91GPO013"/>
    <m/>
    <b v="0"/>
    <x v="0"/>
    <x v="3"/>
    <d v="2025-08-14T00:00:00"/>
    <m/>
    <m/>
    <x v="0"/>
    <n v="0"/>
    <s v="Jojeff Tagnong"/>
    <m/>
  </r>
  <r>
    <x v="329"/>
    <x v="1"/>
    <x v="6"/>
    <s v="CLFF_VMCA$$$US10GPO022 Procurement Plant Serv. Amer."/>
    <s v="G000001130"/>
    <m/>
    <s v="LFF (MDG-F)"/>
    <s v="US10GPO022"/>
    <m/>
    <b v="0"/>
    <x v="0"/>
    <x v="3"/>
    <d v="2025-08-14T00:00:00"/>
    <m/>
    <m/>
    <x v="0"/>
    <n v="0"/>
    <s v="Jojeff Tagnong"/>
    <m/>
  </r>
  <r>
    <x v="329"/>
    <x v="1"/>
    <x v="6"/>
    <s v="CLFF_VMCA$$$US10GPO024 Procurement Corp Serv. Amer."/>
    <s v="G000001130"/>
    <m/>
    <s v="LFF (MDG-F)"/>
    <s v="US10GPO024"/>
    <m/>
    <b v="0"/>
    <x v="0"/>
    <x v="3"/>
    <d v="2025-08-14T00:00:00"/>
    <m/>
    <m/>
    <x v="0"/>
    <n v="0"/>
    <s v="Jojeff Tagnong"/>
    <m/>
  </r>
  <r>
    <x v="329"/>
    <x v="1"/>
    <x v="5"/>
    <s v="CNOW_7210$$$0000010415 PO - EMEA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NOW_7210$$$0000010428 PO-IT Sourcing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NOW_7210$$$0000021133 PO-Procurement-Americas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NOW_7210$$$0000051807 PO-Plant Srv&amp;America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NOW_7210$$$0000057192 PO Sourcing Corporate Services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NOW_7210$$$0000057211 PO - Src. Plant Services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NOW_ROW$$$$0000006106 Sourcing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ORAERP_MMOR1945.9866 Procurement Americas FR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ORAERP_MMOR1945.9868 Procurement EMEA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ORAERP_MMOR1975.2654 PO-P Site Services &amp; Utilities Sourcing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ORAERP_MMOR1975.2707 PO-MLF-M Flexible Sourcing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ORAERP_MMOR1975.2708 PO-C Sourcing Travel, Fleet &amp; Events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ORAERP_MMOR1975.2712 PO-E Global IT Procurement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ORAERP_MMOR1975.2720 PO EGM Glbl IT Transformation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ORAERP_MMOR1975.2983 PO Americas - Cross Charge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ORAERP_MMOR1975.2990 PO-P MRO Sourcing US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SCALA_1042$PURC Procurement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SCALA_1050$B33 Procurement Src. APAC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SCALA_1923$B33 Procurement Src. APAC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TEMPEU_1000FR10700800 PO-Plant Srv&amp;America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TEMPEU_1000FR40700803 PO-Plant Srv&amp;America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TEMPEU_1000FR40700839 PO-PlantSrv&amp;Ame Refa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TEMPEU_1000FR60715000 PO-Plant Srv&amp;America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TEMPEU_1000FR90700803 PO-Plant Srv&amp;America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TEMPEU_1000NL40AD0079 XXXProcurement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TEMPEU_1000PL10C04000 Purchasing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TEMPEU_1000PL10C04500 Procurement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TEMPEU_1000PL80000020 PO Digital IT Sourcing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TEMPEU_1000TR10ADP200 XXXPO - Corp. Serv. / EMEA - Tier 2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TEMPLA_1000AR10310006 XXXProcurement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TEMPLA_1000BR10302210 Procurement Americas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TEMPLA_1000CO10100510 XXXPROCUREMENT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TEMPLA_1000GT10ZZ0A30 XXXADM - CP- Sourcing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TEMPLA_1000GT10ZZ1A30 ADM - PO - Procurement EMEA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TEMPLA_1000MX10501006 PO-Procurement-Americas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TEMPLA_1000PE10760000 XXXXXXPROCUREMENT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TEMPLA_1000UY10050029 XXXPO Src Plant Srvc-Am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TEMPLA_1000UY10GPO004 Site Operations Sourcing Americas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TEMPNA_1000US20CA8801 PO Americas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TEMPNA_1000US20CA8804 PO EMEA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TEMPNA_1000US30CA8800 PO America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TEMPNA_1000US30CA8804 PO EMEA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TEMPNA_1000US30CA8805 PO IT"/>
    <s v="G000001130"/>
    <m/>
    <s v="Non-LFF"/>
    <s v=""/>
    <m/>
    <b v="0"/>
    <x v="0"/>
    <x v="3"/>
    <d v="2025-08-14T00:00:00"/>
    <m/>
    <m/>
    <x v="0"/>
    <n v="0"/>
    <s v="Jojeff Tagnong"/>
    <m/>
  </r>
  <r>
    <x v="330"/>
    <x v="1"/>
    <x v="7"/>
    <s v="6101MS310A"/>
    <s v="L000013589"/>
    <m/>
    <s v="Non-LFF"/>
    <s v=""/>
    <m/>
    <b v="0"/>
    <x v="2"/>
    <x v="3"/>
    <d v="2025-08-14T00:00:00"/>
    <m/>
    <m/>
    <x v="0"/>
    <n v="0"/>
    <s v="Lakshmi Shree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6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6"/>
        <item sd="0" m="1" x="4"/>
        <item sd="0" m="1" x="5"/>
        <item x="0"/>
        <item m="1" x="7"/>
        <item sd="0" m="1" x="8"/>
        <item x="2"/>
        <item x="1"/>
        <item x="3"/>
        <item t="default" sd="0"/>
      </items>
    </pivotField>
    <pivotField axis="axisPage" multipleItemSelectionAllowed="1" showAll="0">
      <items count="6">
        <item x="0"/>
        <item x="1"/>
        <item m="1" x="4"/>
        <item x="2"/>
        <item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3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7"/>
    </i>
    <i r="1">
      <x v="10"/>
    </i>
    <i r="1">
      <x v="12"/>
    </i>
    <i>
      <x v="7"/>
    </i>
    <i r="1">
      <x/>
    </i>
    <i r="1">
      <x v="7"/>
    </i>
    <i r="1">
      <x v="10"/>
    </i>
    <i>
      <x v="8"/>
    </i>
    <i r="1">
      <x/>
    </i>
    <i r="1">
      <x v="10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26" firstHeaderRow="1" firstDataRow="1" firstDataCol="1" rowPageCount="1" colPageCount="1"/>
  <pivotFields count="19">
    <pivotField axis="axisRow" showAll="0" sortType="ascending">
      <items count="1513">
        <item m="1" x="897"/>
        <item x="0"/>
        <item m="1" x="967"/>
        <item m="1" x="1388"/>
        <item m="1" x="550"/>
        <item m="1" x="1405"/>
        <item m="1" x="927"/>
        <item m="1" x="1017"/>
        <item m="1" x="1438"/>
        <item m="1" x="1232"/>
        <item m="1" x="920"/>
        <item m="1" x="1504"/>
        <item m="1" x="1250"/>
        <item m="1" x="1494"/>
        <item m="1" x="868"/>
        <item m="1" x="769"/>
        <item m="1" x="473"/>
        <item m="1" x="734"/>
        <item m="1" x="1458"/>
        <item m="1" x="526"/>
        <item m="1" x="834"/>
        <item m="1" x="1202"/>
        <item m="1" x="917"/>
        <item m="1" x="1010"/>
        <item m="1" x="1306"/>
        <item m="1" x="1491"/>
        <item m="1" x="952"/>
        <item m="1" x="974"/>
        <item m="1" x="739"/>
        <item m="1" x="1140"/>
        <item m="1" x="899"/>
        <item m="1" x="1445"/>
        <item m="1" x="1102"/>
        <item m="1" x="535"/>
        <item m="1" x="643"/>
        <item m="1" x="1430"/>
        <item m="1" x="1194"/>
        <item m="1" x="448"/>
        <item m="1" x="1280"/>
        <item m="1" x="946"/>
        <item m="1" x="1241"/>
        <item m="1" x="827"/>
        <item m="1" x="1179"/>
        <item m="1" x="438"/>
        <item m="1" x="468"/>
        <item m="1" x="1507"/>
        <item m="1" x="1186"/>
        <item m="1" x="1254"/>
        <item m="1" x="1361"/>
        <item m="1" x="1130"/>
        <item m="1" x="1228"/>
        <item m="1" x="1067"/>
        <item m="1" x="522"/>
        <item m="1" x="713"/>
        <item m="1" x="1489"/>
        <item m="1" x="1057"/>
        <item m="1" x="1197"/>
        <item m="1" x="725"/>
        <item m="1" x="686"/>
        <item m="1" x="978"/>
        <item m="1" x="870"/>
        <item m="1" x="903"/>
        <item m="1" x="462"/>
        <item m="1" x="601"/>
        <item m="1" x="1263"/>
        <item m="1" x="1480"/>
        <item m="1" x="666"/>
        <item m="1" x="1071"/>
        <item m="1" x="1081"/>
        <item m="1" x="1258"/>
        <item m="1" x="1368"/>
        <item m="1" x="1246"/>
        <item m="1" x="541"/>
        <item m="1" x="1389"/>
        <item m="1" x="1119"/>
        <item m="1" x="1106"/>
        <item m="1" x="641"/>
        <item m="1" x="994"/>
        <item m="1" x="1341"/>
        <item m="1" x="459"/>
        <item m="1" x="1038"/>
        <item m="1" x="1391"/>
        <item m="1" x="1229"/>
        <item m="1" x="964"/>
        <item m="1" x="1006"/>
        <item m="1" x="887"/>
        <item m="1" x="1122"/>
        <item m="1" x="934"/>
        <item m="1" x="1166"/>
        <item m="1" x="650"/>
        <item m="1" x="1479"/>
        <item m="1" x="1004"/>
        <item m="1" x="1290"/>
        <item m="1" x="367"/>
        <item m="1" x="1495"/>
        <item m="1" x="1031"/>
        <item m="1" x="1320"/>
        <item m="1" x="1233"/>
        <item m="1" x="1011"/>
        <item m="1" x="521"/>
        <item m="1" x="528"/>
        <item m="1" x="568"/>
        <item m="1" x="750"/>
        <item m="1" x="1174"/>
        <item m="1" x="935"/>
        <item m="1" x="1051"/>
        <item m="1" x="1114"/>
        <item m="1" x="1261"/>
        <item m="1" x="1344"/>
        <item m="1" x="906"/>
        <item m="1" x="627"/>
        <item m="1" x="470"/>
        <item m="1" x="613"/>
        <item m="1" x="1488"/>
        <item m="1" x="645"/>
        <item m="1" x="1326"/>
        <item m="1" x="1255"/>
        <item m="1" x="873"/>
        <item m="1" x="945"/>
        <item m="1" x="811"/>
        <item m="1" x="1068"/>
        <item m="1" x="1443"/>
        <item m="1" x="619"/>
        <item m="1" x="567"/>
        <item m="1" x="502"/>
        <item m="1" x="1168"/>
        <item m="1" x="1428"/>
        <item m="1" x="1356"/>
        <item m="1" x="1013"/>
        <item m="1" x="537"/>
        <item m="1" x="1262"/>
        <item m="1" x="714"/>
        <item m="1" x="968"/>
        <item m="1" x="1143"/>
        <item m="1" x="1251"/>
        <item m="1" x="371"/>
        <item m="1" x="1200"/>
        <item m="1" x="1163"/>
        <item m="1" x="604"/>
        <item m="1" x="1052"/>
        <item m="1" x="940"/>
        <item m="1" x="893"/>
        <item m="1" x="626"/>
        <item m="1" x="562"/>
        <item m="1" x="802"/>
        <item m="1" x="989"/>
        <item m="1" x="396"/>
        <item m="1" x="735"/>
        <item m="1" x="594"/>
        <item m="1" x="336"/>
        <item m="1" x="846"/>
        <item m="1" x="1047"/>
        <item m="1" x="929"/>
        <item m="1" x="975"/>
        <item m="1" x="1294"/>
        <item m="1" x="876"/>
        <item m="1" x="1402"/>
        <item m="1" x="1126"/>
        <item m="1" x="1065"/>
        <item m="1" x="579"/>
        <item m="1" x="1212"/>
        <item m="1" x="1490"/>
        <item m="1" x="1178"/>
        <item m="1" x="1162"/>
        <item m="1" x="449"/>
        <item m="1" x="497"/>
        <item m="1" x="1032"/>
        <item m="1" x="538"/>
        <item m="1" x="1475"/>
        <item m="1" x="1141"/>
        <item m="1" x="1066"/>
        <item m="1" x="1018"/>
        <item m="1" x="819"/>
        <item m="1" x="447"/>
        <item m="1" x="547"/>
        <item m="1" x="653"/>
        <item m="1" x="1386"/>
        <item m="1" x="1418"/>
        <item m="1" x="1117"/>
        <item m="1" x="844"/>
        <item m="1" x="932"/>
        <item m="1" x="442"/>
        <item m="1" x="482"/>
        <item m="1" x="821"/>
        <item m="1" x="1046"/>
        <item m="1" x="959"/>
        <item m="1" x="617"/>
        <item m="1" x="850"/>
        <item m="1" x="564"/>
        <item m="1" x="759"/>
        <item m="1" x="681"/>
        <item m="1" x="516"/>
        <item m="1" x="652"/>
        <item m="1" x="1022"/>
        <item m="1" x="432"/>
        <item m="1" x="671"/>
        <item m="1" x="463"/>
        <item m="1" x="1156"/>
        <item m="1" x="1345"/>
        <item m="1" x="955"/>
        <item m="1" x="599"/>
        <item m="1" x="1249"/>
        <item m="1" x="1094"/>
        <item m="1" x="611"/>
        <item m="1" x="612"/>
        <item m="1" x="797"/>
        <item m="1" x="487"/>
        <item m="1" x="676"/>
        <item m="1" x="471"/>
        <item m="1" x="657"/>
        <item m="1" x="1225"/>
        <item m="1" x="736"/>
        <item m="1" x="1103"/>
        <item m="1" x="1153"/>
        <item m="1" x="1287"/>
        <item m="1" x="1291"/>
        <item m="1" x="1008"/>
        <item m="1" x="849"/>
        <item m="1" x="888"/>
        <item m="1" x="1455"/>
        <item m="1" x="748"/>
        <item m="1" x="560"/>
        <item m="1" x="938"/>
        <item m="1" x="395"/>
        <item m="1" x="1459"/>
        <item m="1" x="922"/>
        <item m="1" x="356"/>
        <item m="1" x="1377"/>
        <item m="1" x="1420"/>
        <item m="1" x="1257"/>
        <item m="1" x="634"/>
        <item m="1" x="373"/>
        <item m="1" x="1307"/>
        <item m="1" x="698"/>
        <item m="1" x="334"/>
        <item m="1" x="1478"/>
        <item m="1" x="722"/>
        <item m="1" x="877"/>
        <item m="1" x="1322"/>
        <item m="1" x="409"/>
        <item m="1" x="1234"/>
        <item m="1" x="1042"/>
        <item m="1" x="907"/>
        <item m="1" x="777"/>
        <item m="1" x="524"/>
        <item m="1" x="1025"/>
        <item m="1" x="727"/>
        <item m="1" x="1265"/>
        <item m="1" x="587"/>
        <item m="1" x="1335"/>
        <item m="1" x="1342"/>
        <item m="1" x="1026"/>
        <item m="1" x="1216"/>
        <item m="1" x="633"/>
        <item m="1" x="930"/>
        <item m="1" x="1219"/>
        <item m="1" x="803"/>
        <item m="1" x="1093"/>
        <item m="1" x="732"/>
        <item m="1" x="517"/>
        <item m="1" x="721"/>
        <item m="1" x="1487"/>
        <item m="1" x="1429"/>
        <item m="1" x="574"/>
        <item m="1" x="1375"/>
        <item m="1" x="381"/>
        <item m="1" x="1397"/>
        <item m="1" x="416"/>
        <item m="1" x="718"/>
        <item m="1" x="816"/>
        <item m="1" x="763"/>
        <item m="1" x="1370"/>
        <item m="1" x="1273"/>
        <item m="1" x="514"/>
        <item m="1" x="1084"/>
        <item m="1" x="1292"/>
        <item m="1" x="1426"/>
        <item m="1" x="1333"/>
        <item m="1" x="419"/>
        <item m="1" x="1499"/>
        <item m="1" x="570"/>
        <item m="1" x="851"/>
        <item m="1" x="1295"/>
        <item m="1" x="418"/>
        <item m="1" x="1354"/>
        <item m="1" x="583"/>
        <item m="1" x="1227"/>
        <item m="1" x="1091"/>
        <item m="1" x="1069"/>
        <item m="1" x="648"/>
        <item m="1" x="610"/>
        <item m="1" x="1422"/>
        <item m="1" x="363"/>
        <item m="1" x="545"/>
        <item m="1" x="1204"/>
        <item m="1" x="1315"/>
        <item m="1" x="1242"/>
        <item m="1" x="1446"/>
        <item m="1" x="950"/>
        <item m="1" x="577"/>
        <item m="1" x="697"/>
        <item m="1" x="1016"/>
        <item m="1" x="758"/>
        <item m="1" x="1086"/>
        <item m="1" x="699"/>
        <item m="1" x="501"/>
        <item m="1" x="1154"/>
        <item m="1" x="556"/>
        <item m="1" x="436"/>
        <item m="1" x="1288"/>
        <item m="1" x="1435"/>
        <item m="1" x="1136"/>
        <item m="1" x="401"/>
        <item m="1" x="1327"/>
        <item m="1" x="1125"/>
        <item m="1" x="1235"/>
        <item m="1" x="1374"/>
        <item m="1" x="602"/>
        <item m="1" x="794"/>
        <item m="1" x="632"/>
        <item m="1" x="900"/>
        <item m="1" x="824"/>
        <item m="1" x="854"/>
        <item m="1" x="1390"/>
        <item m="1" x="836"/>
        <item m="1" x="1039"/>
        <item m="1" x="571"/>
        <item m="1" x="770"/>
        <item m="1" x="744"/>
        <item m="1" x="1087"/>
        <item m="1" x="990"/>
        <item m="1" x="1218"/>
        <item m="1" x="740"/>
        <item m="1" x="1376"/>
        <item m="1" x="578"/>
        <item m="1" x="504"/>
        <item m="1" x="760"/>
        <item m="1" x="1301"/>
        <item m="1" x="411"/>
        <item m="1" x="412"/>
        <item m="1" x="708"/>
        <item m="1" x="1381"/>
        <item m="1" x="775"/>
        <item m="1" x="420"/>
        <item m="1" x="580"/>
        <item m="1" x="822"/>
        <item m="1" x="1133"/>
        <item m="1" x="1105"/>
        <item m="1" x="776"/>
        <item m="1" x="357"/>
        <item m="1" x="495"/>
        <item m="1" x="707"/>
        <item m="1" x="595"/>
        <item m="1" x="352"/>
        <item m="1" x="1305"/>
        <item m="1" x="1434"/>
        <item m="1" x="904"/>
        <item m="1" x="1334"/>
        <item m="1" x="1394"/>
        <item m="1" x="417"/>
        <item m="1" x="1432"/>
        <item m="1" x="1170"/>
        <item m="1" x="593"/>
        <item m="1" x="779"/>
        <item m="1" x="683"/>
        <item m="1" x="1045"/>
        <item m="1" x="616"/>
        <item m="1" x="832"/>
        <item m="1" x="1127"/>
        <item m="1" x="1252"/>
        <item m="1" x="755"/>
        <item m="1" x="883"/>
        <item m="1" x="695"/>
        <item m="1" x="621"/>
        <item m="1" x="1132"/>
        <item m="1" x="1247"/>
        <item m="1" x="1409"/>
        <item m="1" x="451"/>
        <item m="1" x="655"/>
        <item m="1" x="1095"/>
        <item m="1" x="496"/>
        <item m="1" x="783"/>
        <item m="1" x="1164"/>
        <item m="1" x="429"/>
        <item m="1" x="639"/>
        <item m="1" x="749"/>
        <item m="1" x="1355"/>
        <item m="1" x="588"/>
        <item m="1" x="858"/>
        <item m="1" x="1411"/>
        <item m="1" x="539"/>
        <item m="1" x="728"/>
        <item m="1" x="916"/>
        <item m="1" x="1253"/>
        <item m="1" x="551"/>
        <item m="1" x="807"/>
        <item m="1" x="649"/>
        <item m="1" x="1145"/>
        <item m="1" x="1331"/>
        <item m="1" x="457"/>
        <item m="1" x="677"/>
        <item m="1" x="1413"/>
        <item m="1" x="1378"/>
        <item m="1" x="478"/>
        <item m="1" x="795"/>
        <item m="1" x="1319"/>
        <item m="1" x="1450"/>
        <item m="1" x="1321"/>
        <item m="1" x="1296"/>
        <item m="1" x="427"/>
        <item m="1" x="603"/>
        <item m="1" x="685"/>
        <item m="1" x="674"/>
        <item m="1" x="901"/>
        <item m="1" x="389"/>
        <item m="1" x="1088"/>
        <item m="1" x="1159"/>
        <item m="1" x="341"/>
        <item m="1" x="1419"/>
        <item m="1" x="1281"/>
        <item m="1" x="1410"/>
        <item m="1" x="1440"/>
        <item m="1" x="1476"/>
        <item m="1" x="1414"/>
        <item m="1" x="778"/>
        <item m="1" x="1138"/>
        <item m="1" x="745"/>
        <item m="1" x="1151"/>
        <item m="1" x="1116"/>
        <item m="1" x="554"/>
        <item m="1" x="592"/>
        <item m="1" x="730"/>
        <item m="1" x="1195"/>
        <item m="1" x="715"/>
        <item m="1" x="461"/>
        <item m="1" x="1460"/>
        <item m="1" x="1210"/>
        <item m="1" x="1043"/>
        <item m="1" x="1075"/>
        <item m="1" x="1124"/>
        <item m="1" x="549"/>
        <item m="1" x="891"/>
        <item m="1" x="1236"/>
        <item m="1" x="387"/>
        <item m="1" x="630"/>
        <item m="1" x="530"/>
        <item m="1" x="527"/>
        <item m="1" x="531"/>
        <item m="1" x="332"/>
        <item m="1" x="553"/>
        <item m="1" x="1350"/>
        <item m="1" x="354"/>
        <item m="1" x="1000"/>
        <item m="1" x="1437"/>
        <item m="1" x="1248"/>
        <item m="1" x="508"/>
        <item m="1" x="1508"/>
        <item m="1" x="437"/>
        <item m="1" x="804"/>
        <item m="1" x="1027"/>
        <item m="1" x="483"/>
        <item m="1" x="936"/>
        <item m="1" x="1096"/>
        <item m="1" x="1364"/>
        <item m="1" x="1266"/>
        <item m="1" x="345"/>
        <item m="1" x="1028"/>
        <item m="1" x="428"/>
        <item m="1" x="664"/>
        <item m="1" x="636"/>
        <item m="1" x="398"/>
        <item m="1" x="991"/>
        <item m="1" x="998"/>
        <item m="1" x="1098"/>
        <item m="1" x="847"/>
        <item m="1" x="1347"/>
        <item m="1" x="756"/>
        <item m="1" x="1466"/>
        <item m="1" x="1101"/>
        <item m="1" x="992"/>
        <item m="1" x="656"/>
        <item m="1" x="1064"/>
        <item m="1" x="1362"/>
        <item m="1" x="1427"/>
        <item m="1" x="1406"/>
        <item m="1" x="1336"/>
        <item m="1" x="1085"/>
        <item m="1" x="1198"/>
        <item m="1" x="711"/>
        <item m="1" x="1160"/>
        <item m="1" x="985"/>
        <item m="1" x="944"/>
        <item m="1" x="942"/>
        <item m="1" x="943"/>
        <item m="1" x="640"/>
        <item m="1" x="684"/>
        <item m="1" x="1297"/>
        <item m="1" x="862"/>
        <item m="1" x="704"/>
        <item m="1" x="746"/>
        <item m="1" x="792"/>
        <item m="1" x="1044"/>
        <item m="1" x="1382"/>
        <item m="1" x="1471"/>
        <item m="1" x="589"/>
        <item m="1" x="540"/>
        <item m="1" x="377"/>
        <item m="1" x="399"/>
        <item m="1" x="696"/>
        <item m="1" x="484"/>
        <item m="1" x="812"/>
        <item m="1" x="1348"/>
        <item m="1" x="689"/>
        <item m="1" x="481"/>
        <item m="1" x="1240"/>
        <item m="1" x="358"/>
        <item m="1" x="1366"/>
        <item m="1" x="1441"/>
        <item m="1" x="1505"/>
        <item m="1" x="1380"/>
        <item m="1" x="623"/>
        <item m="1" x="400"/>
        <item m="1" x="864"/>
        <item m="1" x="948"/>
        <item m="1" x="1144"/>
        <item m="1" x="1112"/>
        <item m="1" x="1148"/>
        <item m="1" x="925"/>
        <item m="1" x="963"/>
        <item m="1" x="1404"/>
        <item m="1" x="1167"/>
        <item m="1" x="1137"/>
        <item m="1" x="1076"/>
        <item m="1" x="1149"/>
        <item m="1" x="350"/>
        <item m="1" x="355"/>
        <item m="1" x="958"/>
        <item m="1" x="1343"/>
        <item m="1" x="913"/>
        <item m="1" x="1483"/>
        <item m="1" x="882"/>
        <item m="1" x="1058"/>
        <item m="1" x="1129"/>
        <item m="1" x="743"/>
        <item m="1" x="575"/>
        <item m="1" x="951"/>
        <item m="1" x="637"/>
        <item m="1" x="1492"/>
        <item m="1" x="1407"/>
        <item m="1" x="1220"/>
        <item m="1" x="477"/>
        <item m="1" x="404"/>
        <item m="1" x="977"/>
        <item m="1" x="1221"/>
        <item m="1" x="1510"/>
        <item m="1" x="856"/>
        <item m="1" x="1457"/>
        <item m="1" x="391"/>
        <item m="1" x="505"/>
        <item m="1" x="817"/>
        <item m="1" x="908"/>
        <item m="1" x="1337"/>
        <item m="1" x="661"/>
        <item m="1" x="1340"/>
        <item m="1" x="757"/>
        <item m="1" x="1329"/>
        <item m="1" x="1493"/>
        <item m="1" x="421"/>
        <item m="1" x="1477"/>
        <item m="1" x="368"/>
        <item m="1" x="1230"/>
        <item m="1" x="848"/>
        <item m="1" x="679"/>
        <item m="1" x="642"/>
        <item m="1" x="786"/>
        <item m="1" x="385"/>
        <item m="1" x="1470"/>
        <item m="1" x="469"/>
        <item m="1" x="490"/>
        <item m="1" x="1363"/>
        <item m="1" x="1442"/>
        <item m="1" x="956"/>
        <item m="1" x="1097"/>
        <item m="1" x="798"/>
        <item m="1" x="911"/>
        <item m="1" x="1060"/>
        <item m="1" x="1177"/>
        <item m="1" x="764"/>
        <item m="1" x="1040"/>
        <item m="1" x="859"/>
        <item m="1" x="1496"/>
        <item m="1" x="349"/>
        <item m="1" x="788"/>
        <item m="1" x="729"/>
        <item m="1" x="690"/>
        <item m="1" x="1484"/>
        <item m="1" x="1302"/>
        <item m="1" x="1433"/>
        <item m="1" x="446"/>
        <item m="1" x="1444"/>
        <item m="1" x="1431"/>
        <item m="1" x="1308"/>
        <item m="1" x="543"/>
        <item m="1" x="912"/>
        <item m="1" x="1005"/>
        <item m="1" x="751"/>
        <item m="1" x="1349"/>
        <item m="1" x="1135"/>
        <item m="1" x="1155"/>
        <item m="1" x="1049"/>
        <item m="1" x="392"/>
        <item m="1" x="1222"/>
        <item m="1" x="1384"/>
        <item m="1" x="789"/>
        <item m="1" x="1503"/>
        <item m="1" x="997"/>
        <item m="1" x="584"/>
        <item m="1" x="717"/>
        <item m="1" x="753"/>
        <item m="1" x="1412"/>
        <item m="1" x="1396"/>
        <item m="1" x="456"/>
        <item m="1" x="458"/>
        <item m="1" x="372"/>
        <item m="1" x="1332"/>
        <item m="1" x="374"/>
        <item m="1" x="791"/>
        <item m="1" x="691"/>
        <item m="1" x="1147"/>
        <item m="1" x="1090"/>
        <item m="1" x="1439"/>
        <item m="1" x="1371"/>
        <item m="1" x="863"/>
        <item m="1" x="1077"/>
        <item m="1" x="1312"/>
        <item m="1" x="425"/>
        <item m="1" x="857"/>
        <item m="1" x="787"/>
        <item m="1" x="1481"/>
        <item m="1" x="1448"/>
        <item m="1" x="879"/>
        <item m="1" x="485"/>
        <item m="1" x="780"/>
        <item m="1" x="953"/>
        <item m="1" x="407"/>
        <item m="1" x="1243"/>
        <item m="1" x="837"/>
        <item m="1" x="647"/>
        <item m="1" x="741"/>
        <item m="1" x="1187"/>
        <item m="1" x="1486"/>
        <item m="1" x="565"/>
        <item m="1" x="1338"/>
        <item m="1" x="559"/>
        <item m="1" x="1123"/>
        <item m="1" x="895"/>
        <item m="1" x="826"/>
        <item m="1" x="548"/>
        <item m="1" x="615"/>
        <item m="1" x="403"/>
        <item m="1" x="1203"/>
        <item m="1" x="716"/>
        <item m="1" x="440"/>
        <item m="1" x="1054"/>
        <item m="1" x="1369"/>
        <item m="1" x="909"/>
        <item m="1" x="867"/>
        <item m="1" x="338"/>
        <item m="1" x="1474"/>
        <item m="1" x="724"/>
        <item m="1" x="784"/>
        <item m="1" x="1191"/>
        <item m="1" x="1468"/>
        <item m="1" x="1393"/>
        <item m="1" x="1244"/>
        <item m="1" x="1359"/>
        <item m="1" x="520"/>
        <item m="1" x="719"/>
        <item m="1" x="552"/>
        <item m="1" x="344"/>
        <item m="1" x="957"/>
        <item m="1" x="406"/>
        <item m="1" x="628"/>
        <item m="1" x="572"/>
        <item m="1" x="518"/>
        <item m="1" x="1473"/>
        <item m="1" x="569"/>
        <item m="1" x="1171"/>
        <item m="1" x="1383"/>
        <item m="1" x="509"/>
        <item m="1" x="413"/>
        <item m="1" x="1206"/>
        <item m="1" x="1182"/>
        <item m="1" x="1223"/>
        <item m="1" x="1142"/>
        <item m="1" x="486"/>
        <item m="1" x="842"/>
        <item m="1" x="1110"/>
        <item m="1" x="1360"/>
        <item m="1" x="954"/>
        <item m="1" x="1072"/>
        <item m="1" x="1416"/>
        <item m="1" x="828"/>
        <item m="1" x="672"/>
        <item m="1" x="905"/>
        <item m="1" x="852"/>
        <item m="1" x="782"/>
        <item m="1" x="1299"/>
        <item m="1" x="986"/>
        <item m="1" x="1082"/>
        <item m="1" x="333"/>
        <item m="1" x="878"/>
        <item m="1" x="480"/>
        <item m="1" x="747"/>
        <item m="1" x="885"/>
        <item m="1" x="415"/>
        <item m="1" x="532"/>
        <item m="1" x="987"/>
        <item m="1" x="1184"/>
        <item m="1" x="1454"/>
        <item m="1" x="1497"/>
        <item m="1" x="1107"/>
        <item m="1" x="455"/>
        <item m="1" x="383"/>
        <item m="1" x="969"/>
        <item m="1" x="591"/>
        <item m="1" x="865"/>
        <item m="1" x="493"/>
        <item m="1" x="596"/>
        <item m="1" x="1023"/>
        <item m="1" x="1379"/>
        <item m="1" x="1310"/>
        <item m="1" x="726"/>
        <item m="1" x="761"/>
        <item m="1" x="1037"/>
        <item m="1" x="1467"/>
        <item m="1" x="1193"/>
        <item m="1" x="359"/>
        <item m="1" x="1421"/>
        <item m="1" x="467"/>
        <item m="1" x="1113"/>
        <item m="1" x="1158"/>
        <item m="1" x="1161"/>
        <item m="1" x="1501"/>
        <item m="1" x="394"/>
        <item m="1" x="1172"/>
        <item m="1" x="1269"/>
        <item m="1" x="1041"/>
        <item m="1" x="1211"/>
        <item m="1" x="453"/>
        <item m="1" x="845"/>
        <item m="1" x="692"/>
        <item m="1" x="1304"/>
        <item m="1" x="1399"/>
        <item m="1" x="928"/>
        <item m="1" x="1367"/>
        <item m="1" x="1415"/>
        <item m="1" x="768"/>
        <item m="1" x="1271"/>
        <item m="1" x="1134"/>
        <item m="1" x="1417"/>
        <item m="1" x="1461"/>
        <item m="1" x="1199"/>
        <item m="1" x="809"/>
        <item m="1" x="614"/>
        <item m="1" x="1449"/>
        <item m="1" x="996"/>
        <item m="1" x="970"/>
        <item m="1" x="979"/>
        <item m="1" x="1500"/>
        <item m="1" x="1224"/>
        <item m="1" x="919"/>
        <item m="1" x="1188"/>
        <item m="1" x="1165"/>
        <item m="1" x="781"/>
        <item m="1" x="682"/>
        <item m="1" x="1181"/>
        <item m="1" x="576"/>
        <item m="1" x="533"/>
        <item m="1" x="475"/>
        <item m="1" x="1462"/>
        <item m="1" x="1078"/>
        <item m="1" x="813"/>
        <item m="1" x="894"/>
        <item m="1" x="375"/>
        <item m="1" x="1451"/>
        <item m="1" x="1002"/>
        <item m="1" x="1150"/>
        <item m="1" x="598"/>
        <item m="1" x="1282"/>
        <item m="1" x="785"/>
        <item m="1" x="678"/>
        <item m="1" x="1506"/>
        <item m="1" x="808"/>
        <item m="1" x="1447"/>
        <item m="1" x="1033"/>
        <item m="1" x="709"/>
        <item m="1" x="500"/>
        <item m="1" x="443"/>
        <item m="1" x="737"/>
        <item m="1" x="434"/>
        <item m="1" x="405"/>
        <item m="1" x="422"/>
        <item m="1" x="701"/>
        <item m="1" x="546"/>
        <item m="1" x="853"/>
        <item m="1" x="910"/>
        <item m="1" x="1009"/>
        <item m="1" x="880"/>
        <item m="1" x="1213"/>
        <item m="1" x="1277"/>
        <item m="1" x="489"/>
        <item m="1" x="499"/>
        <item m="1" x="688"/>
        <item m="1" x="830"/>
        <item m="1" x="620"/>
        <item m="1" x="1173"/>
        <item m="1" x="923"/>
        <item m="1" x="840"/>
        <item m="1" x="973"/>
        <item m="1" x="1279"/>
        <item m="1" x="1217"/>
        <item m="1" x="1303"/>
        <item m="1" x="1059"/>
        <item m="1" x="479"/>
        <item m="1" x="1485"/>
        <item m="1" x="898"/>
        <item m="1" x="513"/>
        <item m="1" x="337"/>
        <item m="1" x="1482"/>
        <item m="1" x="966"/>
        <item m="1" x="933"/>
        <item m="1" x="705"/>
        <item m="1" x="585"/>
        <item m="1" x="669"/>
        <item m="1" x="823"/>
        <item m="1" x="1398"/>
        <item m="1" x="1317"/>
        <item m="1" x="693"/>
        <item m="1" x="766"/>
        <item m="1" x="773"/>
        <item m="1" x="1311"/>
        <item m="1" x="914"/>
        <item m="1" x="386"/>
        <item m="1" x="947"/>
        <item m="1" x="1226"/>
        <item m="1" x="1352"/>
        <item m="1" x="1245"/>
        <item m="1" x="1053"/>
        <item m="1" x="1351"/>
        <item m="1" x="365"/>
        <item m="1" x="1268"/>
        <item m="1" x="347"/>
        <item m="1" x="687"/>
        <item m="1" x="351"/>
        <item m="1" x="510"/>
        <item m="1" x="600"/>
        <item m="1" x="606"/>
        <item m="1" x="1024"/>
        <item m="1" x="1278"/>
        <item m="1" x="805"/>
        <item m="1" x="376"/>
        <item m="1" x="582"/>
        <item m="1" x="370"/>
        <item m="1" x="1365"/>
        <item m="1" x="590"/>
        <item m="1" x="926"/>
        <item m="1" x="1385"/>
        <item m="1" x="712"/>
        <item m="1" x="654"/>
        <item m="1" x="1050"/>
        <item m="1" x="607"/>
        <item m="1" x="915"/>
        <item m="1" x="1209"/>
        <item m="1" x="348"/>
        <item m="1" x="861"/>
        <item m="1" x="980"/>
        <item m="1" x="472"/>
        <item m="1" x="814"/>
        <item m="1" x="949"/>
        <item m="1" x="700"/>
        <item m="1" x="738"/>
        <item m="1" x="465"/>
        <item m="1" x="871"/>
        <item m="1" x="335"/>
        <item m="1" x="1007"/>
        <item m="1" x="1400"/>
        <item m="1" x="1121"/>
        <item m="1" x="1115"/>
        <item m="1" x="1014"/>
        <item m="1" x="340"/>
        <item m="1" x="1146"/>
        <item m="1" x="1189"/>
        <item m="1" x="995"/>
        <item m="1" x="339"/>
        <item m="1" x="1346"/>
        <item m="1" x="1313"/>
        <item m="1" x="343"/>
        <item m="1" x="622"/>
        <item m="1" x="1012"/>
        <item m="1" x="1267"/>
        <item m="1" x="464"/>
        <item m="1" x="360"/>
        <item m="1" x="519"/>
        <item m="1" x="410"/>
        <item m="1" x="818"/>
        <item m="1" x="631"/>
        <item m="1" x="629"/>
        <item m="1" x="800"/>
        <item m="1" x="902"/>
        <item m="1" x="806"/>
        <item m="1" x="1003"/>
        <item m="1" x="855"/>
        <item m="1" x="720"/>
        <item m="1" x="835"/>
        <item m="1" x="1328"/>
        <item m="1" x="1423"/>
        <item m="1" x="680"/>
        <item m="1" x="1403"/>
        <item m="1" x="445"/>
        <item m="1" x="1392"/>
        <item m="1" x="1089"/>
        <item m="1" x="1260"/>
        <item m="1" x="1339"/>
        <item m="1" x="1019"/>
        <item m="1" x="1231"/>
        <item m="1" x="523"/>
        <item m="1" x="506"/>
        <item m="1" x="1128"/>
        <item m="1" x="1100"/>
        <item m="1" x="662"/>
        <item m="1" x="1498"/>
        <item m="1" x="1070"/>
        <item m="1" x="810"/>
        <item m="1" x="884"/>
        <item m="1" x="843"/>
        <item m="1" x="1353"/>
        <item m="1" x="1357"/>
        <item m="1" x="353"/>
        <item m="1" x="1237"/>
        <item m="1" x="1283"/>
        <item m="1" x="402"/>
        <item m="1" x="774"/>
        <item m="1" x="765"/>
        <item m="1" x="1272"/>
        <item m="1" x="971"/>
        <item m="1" x="1175"/>
        <item m="1" x="841"/>
        <item m="1" x="1192"/>
        <item m="1" x="380"/>
        <item m="1" x="503"/>
        <item m="1" x="1472"/>
        <item m="1" x="1092"/>
        <item m="1" x="1464"/>
        <item m="1" x="384"/>
        <item m="1" x="644"/>
        <item m="1" x="460"/>
        <item m="1" x="393"/>
        <item m="1" x="408"/>
        <item m="1" x="960"/>
        <item m="1" x="993"/>
        <item m="1" x="665"/>
        <item m="1" x="1083"/>
        <item m="1" x="1401"/>
        <item m="1" x="752"/>
        <item m="1" x="831"/>
        <item m="1" x="981"/>
        <item m="1" x="1469"/>
        <item m="1" x="646"/>
        <item m="1" x="658"/>
        <item m="1" x="668"/>
        <item m="1" x="1289"/>
        <item m="1" x="1425"/>
        <item m="1" x="342"/>
        <item m="1" x="1169"/>
        <item m="1" x="1465"/>
        <item m="1" x="566"/>
        <item m="1" x="881"/>
        <item m="1" x="1502"/>
        <item m="1" x="1408"/>
        <item m="1" x="555"/>
        <item m="1" x="667"/>
        <item m="1" x="754"/>
        <item m="1" x="1079"/>
        <item m="1" x="1276"/>
        <item m="1" x="511"/>
        <item m="1" x="982"/>
        <item m="1" x="507"/>
        <item m="1" x="476"/>
        <item m="1" x="424"/>
        <item m="1" x="1395"/>
        <item m="1" x="988"/>
        <item m="1" x="1436"/>
        <item m="1" x="829"/>
        <item m="1" x="1453"/>
        <item m="1" x="1205"/>
        <item m="1" x="494"/>
        <item m="1" x="1309"/>
        <item m="1" x="1323"/>
        <item m="1" x="983"/>
        <item m="1" x="1358"/>
        <item m="1" x="1196"/>
        <item m="1" x="1061"/>
        <item m="1" x="378"/>
        <item m="1" x="1207"/>
        <item m="1" x="939"/>
        <item m="1" x="872"/>
        <item m="1" x="1215"/>
        <item m="1" x="799"/>
        <item m="1" x="433"/>
        <item m="1" x="605"/>
        <item m="1" x="382"/>
        <item m="1" x="731"/>
        <item m="1" x="1109"/>
        <item m="1" x="694"/>
        <item m="1" x="557"/>
        <item m="1" x="772"/>
        <item m="1" x="450"/>
        <item m="1" x="702"/>
        <item m="1" x="573"/>
        <item m="1" x="924"/>
        <item m="1" x="1511"/>
        <item m="1" x="965"/>
        <item m="1" x="561"/>
        <item m="1" x="838"/>
        <item m="1" x="544"/>
        <item m="1" x="597"/>
        <item m="1" x="889"/>
        <item m="1" x="1157"/>
        <item m="1" x="874"/>
        <item m="1" x="1324"/>
        <item m="1" x="886"/>
        <item m="1" x="1120"/>
        <item m="1" x="435"/>
        <item m="1" x="918"/>
        <item m="1" x="558"/>
        <item m="1" x="488"/>
        <item m="1" x="1214"/>
        <item m="1" x="529"/>
        <item m="1" x="1238"/>
        <item m="1" x="430"/>
        <item m="1" x="1055"/>
        <item m="1" x="1062"/>
        <item m="1" x="466"/>
        <item m="1" x="984"/>
        <item m="1" x="362"/>
        <item m="1" x="1185"/>
        <item m="1" x="890"/>
        <item m="1" x="1111"/>
        <item m="1" x="1080"/>
        <item m="1" x="1300"/>
        <item m="1" x="1073"/>
        <item m="1" x="651"/>
        <item m="1" x="1152"/>
        <item m="1" x="1286"/>
        <item m="1" x="976"/>
        <item m="1" x="1108"/>
        <item m="1" x="441"/>
        <item m="1" x="1274"/>
        <item m="1" x="931"/>
        <item m="1" x="796"/>
        <item m="1" x="1180"/>
        <item m="1" x="706"/>
        <item m="1" x="1029"/>
        <item m="1" x="563"/>
        <item m="1" x="659"/>
        <item m="1" x="1056"/>
        <item m="1" x="825"/>
        <item m="1" x="369"/>
        <item m="1" x="703"/>
        <item m="1" x="1183"/>
        <item m="1" x="1285"/>
        <item m="1" x="388"/>
        <item m="1" x="673"/>
        <item m="1" x="608"/>
        <item m="1" x="941"/>
        <item m="1" x="1034"/>
        <item m="1" x="474"/>
        <item m="1" x="1456"/>
        <item m="1" x="439"/>
        <item m="1" x="512"/>
        <item m="1" x="1293"/>
        <item m="1" x="801"/>
        <item m="1" x="815"/>
        <item m="1" x="869"/>
        <item m="1" x="444"/>
        <item m="1" x="723"/>
        <item m="1" x="1118"/>
        <item m="1" x="1030"/>
        <item m="1" x="820"/>
        <item m="1" x="767"/>
        <item m="1" x="397"/>
        <item m="1" x="635"/>
        <item m="1" x="1099"/>
        <item m="1" x="733"/>
        <item m="1" x="896"/>
        <item m="1" x="833"/>
        <item m="1" x="1015"/>
        <item m="1" x="379"/>
        <item m="1" x="860"/>
        <item m="1" x="534"/>
        <item m="1" x="937"/>
        <item m="1" x="1063"/>
        <item m="1" x="1139"/>
        <item m="1" x="1074"/>
        <item m="1" x="1035"/>
        <item m="1" x="961"/>
        <item m="1" x="1372"/>
        <item m="1" x="1264"/>
        <item m="1" x="515"/>
        <item m="1" x="1256"/>
        <item m="1" x="710"/>
        <item m="1" x="1020"/>
        <item m="1" x="426"/>
        <item m="1" x="999"/>
        <item m="1" x="866"/>
        <item m="1" x="1298"/>
        <item m="1" x="452"/>
        <item m="1" x="1509"/>
        <item m="1" x="491"/>
        <item m="1" x="431"/>
        <item m="1" x="1001"/>
        <item m="1" x="1201"/>
        <item m="1" x="1104"/>
        <item m="1" x="390"/>
        <item m="1" x="542"/>
        <item m="1" x="1330"/>
        <item m="1" x="1270"/>
        <item m="1" x="525"/>
        <item m="1" x="498"/>
        <item m="1" x="793"/>
        <item m="1" x="414"/>
        <item m="1" x="1021"/>
        <item m="1" x="454"/>
        <item m="1" x="624"/>
        <item m="1" x="921"/>
        <item m="1" x="1452"/>
        <item m="1" x="492"/>
        <item m="1" x="762"/>
        <item m="1" x="609"/>
        <item m="1" x="771"/>
        <item m="1" x="1325"/>
        <item m="1" x="1208"/>
        <item m="1" x="670"/>
        <item m="1" x="423"/>
        <item m="1" x="1373"/>
        <item m="1" x="536"/>
        <item m="1" x="1318"/>
        <item m="1" x="875"/>
        <item m="1" x="1259"/>
        <item m="1" x="618"/>
        <item m="1" x="790"/>
        <item m="1" x="1275"/>
        <item m="1" x="1463"/>
        <item m="1" x="1239"/>
        <item m="1" x="638"/>
        <item m="1" x="581"/>
        <item m="1" x="1284"/>
        <item m="1" x="1048"/>
        <item m="1" x="892"/>
        <item m="1" x="1316"/>
        <item m="1" x="364"/>
        <item m="1" x="361"/>
        <item m="1" x="1036"/>
        <item m="1" x="1176"/>
        <item m="1" x="1131"/>
        <item m="1" x="1314"/>
        <item m="1" x="839"/>
        <item m="1" x="586"/>
        <item m="1" x="660"/>
        <item m="1" x="1190"/>
        <item m="1" x="742"/>
        <item m="1" x="972"/>
        <item m="1" x="1387"/>
        <item m="1" x="625"/>
        <item m="1" x="962"/>
        <item m="1" x="346"/>
        <item m="1" x="675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m="1" x="663"/>
        <item m="1" x="1424"/>
        <item m="1" x="366"/>
        <item m="1" x="331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22">
    <i>
      <x/>
    </i>
    <i r="1">
      <x v="1503"/>
    </i>
    <i r="2">
      <x v="3"/>
    </i>
    <i r="1">
      <x v="1504"/>
    </i>
    <i r="2">
      <x v="3"/>
    </i>
    <i r="1">
      <x v="1505"/>
    </i>
    <i r="2">
      <x v="3"/>
    </i>
    <i r="2">
      <x v="11"/>
    </i>
    <i r="1">
      <x v="1506"/>
    </i>
    <i r="2">
      <x v="8"/>
    </i>
    <i r="2">
      <x v="11"/>
    </i>
    <i r="1">
      <x v="1507"/>
    </i>
    <i r="2">
      <x v="12"/>
    </i>
    <i>
      <x v="1"/>
    </i>
    <i r="1">
      <x v="1450"/>
    </i>
    <i r="2">
      <x v="3"/>
    </i>
    <i r="2">
      <x v="13"/>
    </i>
    <i r="1">
      <x v="1492"/>
    </i>
    <i r="2">
      <x v="3"/>
    </i>
    <i r="2">
      <x v="4"/>
    </i>
    <i r="2">
      <x v="13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6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5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250" totalsRowShown="0" totalsRowDxfId="23">
  <autoFilter ref="A1:C1250" xr:uid="{43456A03-EFD4-416A-B021-C441A7C21E4E}"/>
  <tableColumns count="3">
    <tableColumn id="1" xr3:uid="{96F9219D-1D74-4611-A7AA-8AB4E044352A}" name="Ticket" totalsRowDxfId="22"/>
    <tableColumn id="2" xr3:uid="{D6F02EDE-42BA-4EF9-A278-EA070340E315}" name="Number" totalsRowDxfId="21"/>
    <tableColumn id="3" xr3:uid="{F6A90E5F-0E5C-41D7-A40C-1CC9A86DC194}" name="Status" totalsRow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3601" totalsRowShown="0">
  <autoFilter ref="A1:S3601" xr:uid="{678037D6-A574-4B81-B392-ED766472D9FE}">
    <filterColumn colId="1">
      <filters>
        <filter val="open"/>
      </filters>
    </filterColumn>
    <filterColumn colId="2">
      <filters>
        <filter val="New"/>
        <filter val="Waiting for Tm1 Replication"/>
      </filters>
    </filterColumn>
  </autoFilter>
  <tableColumns count="19">
    <tableColumn id="1" xr3:uid="{5BF112CC-BAD1-48FD-B930-E0EF8CA67570}" name="App"/>
    <tableColumn id="2" xr3:uid="{F44F7455-95E4-448C-84F7-0BD5E8515FF2}" name="Filter" dataDxfId="17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6"/>
    <tableColumn id="7" xr3:uid="{D69C8A00-2CB4-4F31-920A-C1D332375D40}" name="type"/>
    <tableColumn id="9" xr3:uid="{3D246B09-CC89-411A-9E7E-B79496797F29}" name="LFF_ID" dataDxfId="15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4">
      <calculatedColumnFormula>Proc[[#This Row],[Requested]]=Proc[[#This Row],[CurrentParent]]</calculatedColumnFormula>
    </tableColumn>
    <tableColumn id="24" xr3:uid="{9DAA192A-7AAB-4460-A9EA-787D5AF7E069}" name="Sector" dataDxfId="13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2"/>
    <tableColumn id="15" xr3:uid="{F0BFEDC5-AB85-4752-8DBE-1E2D2A86C38C}" name="DateOpened" dataDxfId="11"/>
    <tableColumn id="17" xr3:uid="{78B7D816-31FE-4F8F-8018-91CE8D5DE9A2}" name="DateMapped" dataDxfId="10"/>
    <tableColumn id="16" xr3:uid="{37F76675-DAA7-497A-B0C3-D5ADC87396FC}" name="DateClosed" dataDxfId="9"/>
    <tableColumn id="23" xr3:uid="{77371810-6F86-4EEF-85D0-5FCFC20B88DC}" name="Delayed?" dataDxfId="8">
      <calculatedColumnFormula>IF(Proc[[#This Row],[DaysAgeing]]&gt;5,"yep","on track")</calculatedColumnFormula>
    </tableColumn>
    <tableColumn id="18" xr3:uid="{6AC4A96E-CE6C-49CA-A4F1-794160BB5940}" name="DaysAgeing" dataDxfId="7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6"/>
    <tableColumn id="22" xr3:uid="{87389AE1-9ECE-4C7F-80F9-48A35BE78A62}" name="Prognosis" dataDxfId="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33" totalsRowShown="0">
  <autoFilter ref="A1:B133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4"/>
    <tableColumn id="6" xr3:uid="{73647D57-303F-4AF5-983C-1CCB32EBD08D}" name="Forecast Period" dataDxfId="3"/>
    <tableColumn id="4" xr3:uid="{FA11B267-B5E3-452C-A4E3-1668B4A12A28}" name="Number of Tickets Raised" dataDxfId="2"/>
    <tableColumn id="1" xr3:uid="{441BC59C-A1EA-4CA8-B944-D602CD57D89D}" name="Delayed Tickets"/>
    <tableColumn id="5" xr3:uid="{29680677-3B0F-4EC4-81FF-46A6FDD4C5F7}" name="Number of Total Objects" dataDxfId="1"/>
    <tableColumn id="2" xr3:uid="{3D96D299-AEA2-4D9C-9BE6-F98ADF0CDB84}" name="Commentary for delayed tickets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6"/>
  <sheetViews>
    <sheetView workbookViewId="0">
      <selection activeCell="A22" sqref="A22"/>
    </sheetView>
  </sheetViews>
  <sheetFormatPr defaultColWidth="0" defaultRowHeight="15"/>
  <cols>
    <col min="1" max="1" width="37.7109375" bestFit="1" customWidth="1"/>
    <col min="2" max="2" width="12.1406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28" t="s">
        <v>4296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29">
        <v>1292</v>
      </c>
    </row>
    <row r="5" spans="1:2">
      <c r="A5" s="111" t="s">
        <v>369</v>
      </c>
      <c r="B5" s="129">
        <v>1158</v>
      </c>
    </row>
    <row r="6" spans="1:2">
      <c r="A6" s="111" t="s">
        <v>404</v>
      </c>
      <c r="B6" s="129">
        <v>1</v>
      </c>
    </row>
    <row r="7" spans="1:2">
      <c r="A7" s="111" t="s">
        <v>370</v>
      </c>
      <c r="B7" s="129">
        <v>57</v>
      </c>
    </row>
    <row r="8" spans="1:2">
      <c r="A8" s="111" t="s">
        <v>403</v>
      </c>
      <c r="B8" s="129"/>
    </row>
    <row r="9" spans="1:2">
      <c r="A9" s="111" t="s">
        <v>398</v>
      </c>
      <c r="B9" s="129"/>
    </row>
    <row r="10" spans="1:2">
      <c r="A10" s="111" t="s">
        <v>377</v>
      </c>
      <c r="B10" s="129">
        <v>37</v>
      </c>
    </row>
    <row r="11" spans="1:2">
      <c r="A11" s="111" t="s">
        <v>375</v>
      </c>
      <c r="B11" s="129">
        <v>37</v>
      </c>
    </row>
    <row r="12" spans="1:2">
      <c r="A12" s="111" t="s">
        <v>405</v>
      </c>
      <c r="B12" s="129"/>
    </row>
    <row r="13" spans="1:2">
      <c r="A13" s="111" t="s">
        <v>692</v>
      </c>
      <c r="B13" s="129">
        <v>2</v>
      </c>
    </row>
    <row r="14" spans="1:2">
      <c r="A14" s="17" t="s">
        <v>568</v>
      </c>
      <c r="B14" s="129">
        <v>875</v>
      </c>
    </row>
    <row r="15" spans="1:2">
      <c r="A15" s="111" t="s">
        <v>369</v>
      </c>
      <c r="B15" s="129">
        <v>852</v>
      </c>
    </row>
    <row r="16" spans="1:2">
      <c r="A16" s="111" t="s">
        <v>398</v>
      </c>
      <c r="B16" s="129">
        <v>13</v>
      </c>
    </row>
    <row r="17" spans="1:2">
      <c r="A17" s="111" t="s">
        <v>377</v>
      </c>
      <c r="B17" s="129">
        <v>9</v>
      </c>
    </row>
    <row r="18" spans="1:2">
      <c r="A18" s="111" t="s">
        <v>405</v>
      </c>
      <c r="B18" s="129">
        <v>1</v>
      </c>
    </row>
    <row r="19" spans="1:2">
      <c r="A19" s="17" t="s">
        <v>569</v>
      </c>
      <c r="B19" s="129">
        <v>1265</v>
      </c>
    </row>
    <row r="20" spans="1:2">
      <c r="A20" s="111" t="s">
        <v>369</v>
      </c>
      <c r="B20" s="129">
        <v>1250</v>
      </c>
    </row>
    <row r="21" spans="1:2">
      <c r="A21" s="111" t="s">
        <v>398</v>
      </c>
      <c r="B21" s="129">
        <v>8</v>
      </c>
    </row>
    <row r="22" spans="1:2">
      <c r="A22" s="111" t="s">
        <v>377</v>
      </c>
      <c r="B22" s="129">
        <v>7</v>
      </c>
    </row>
    <row r="23" spans="1:2">
      <c r="A23" s="17" t="s">
        <v>570</v>
      </c>
      <c r="B23" s="129">
        <v>140</v>
      </c>
    </row>
    <row r="24" spans="1:2">
      <c r="A24" s="111" t="s">
        <v>369</v>
      </c>
      <c r="B24" s="129">
        <v>138</v>
      </c>
    </row>
    <row r="25" spans="1:2">
      <c r="A25" s="111" t="s">
        <v>377</v>
      </c>
      <c r="B25" s="129">
        <v>2</v>
      </c>
    </row>
    <row r="26" spans="1:2">
      <c r="A26" s="17" t="s">
        <v>381</v>
      </c>
      <c r="B26" s="129">
        <v>3572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zoomScale="115" zoomScaleNormal="115" workbookViewId="0">
      <selection activeCell="A8" activeCellId="1" sqref="A6:B6 A8:B8"/>
    </sheetView>
  </sheetViews>
  <sheetFormatPr defaultColWidth="0" defaultRowHeight="15"/>
  <cols>
    <col min="1" max="1" width="39.570312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128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2818</v>
      </c>
      <c r="B5" s="129">
        <v>104</v>
      </c>
      <c r="C5"/>
      <c r="D5"/>
      <c r="E5"/>
    </row>
    <row r="6" spans="1:6">
      <c r="A6" s="111" t="s">
        <v>5556</v>
      </c>
      <c r="B6" s="129">
        <v>7</v>
      </c>
      <c r="C6" s="126"/>
      <c r="D6" s="124"/>
      <c r="E6" s="124"/>
    </row>
    <row r="7" spans="1:6">
      <c r="A7" s="112" t="s">
        <v>369</v>
      </c>
      <c r="B7" s="129">
        <v>7</v>
      </c>
      <c r="C7"/>
      <c r="D7"/>
      <c r="E7"/>
    </row>
    <row r="8" spans="1:6">
      <c r="A8" s="111" t="s">
        <v>5574</v>
      </c>
      <c r="B8" s="129">
        <v>1</v>
      </c>
      <c r="C8" s="56"/>
      <c r="D8" s="124"/>
      <c r="E8" s="124"/>
    </row>
    <row r="9" spans="1:6">
      <c r="A9" s="112" t="s">
        <v>369</v>
      </c>
      <c r="B9" s="129">
        <v>1</v>
      </c>
      <c r="C9"/>
      <c r="D9"/>
    </row>
    <row r="10" spans="1:6">
      <c r="A10" s="111" t="s">
        <v>5578</v>
      </c>
      <c r="B10" s="129">
        <v>2</v>
      </c>
      <c r="C10" s="53"/>
      <c r="D10" s="124"/>
      <c r="E10" s="124"/>
    </row>
    <row r="11" spans="1:6">
      <c r="A11" s="112" t="s">
        <v>369</v>
      </c>
      <c r="B11" s="129">
        <v>1</v>
      </c>
      <c r="C11"/>
      <c r="D11"/>
    </row>
    <row r="12" spans="1:6">
      <c r="A12" s="112" t="s">
        <v>375</v>
      </c>
      <c r="B12" s="129">
        <v>1</v>
      </c>
      <c r="C12" s="126"/>
      <c r="D12"/>
    </row>
    <row r="13" spans="1:6">
      <c r="A13" s="111" t="s">
        <v>5675</v>
      </c>
      <c r="B13" s="129">
        <v>93</v>
      </c>
      <c r="C13"/>
      <c r="D13"/>
    </row>
    <row r="14" spans="1:6">
      <c r="A14" s="112" t="s">
        <v>370</v>
      </c>
      <c r="B14" s="129">
        <v>57</v>
      </c>
      <c r="C14" s="126"/>
      <c r="D14"/>
    </row>
    <row r="15" spans="1:6">
      <c r="A15" s="112" t="s">
        <v>375</v>
      </c>
      <c r="B15" s="129">
        <v>36</v>
      </c>
      <c r="C15"/>
      <c r="D15" s="124"/>
      <c r="E15" s="124"/>
    </row>
    <row r="16" spans="1:6">
      <c r="A16" s="111" t="s">
        <v>5676</v>
      </c>
      <c r="B16" s="129">
        <v>1</v>
      </c>
      <c r="C16"/>
      <c r="D16"/>
    </row>
    <row r="17" spans="1:5">
      <c r="A17" s="112" t="s">
        <v>405</v>
      </c>
      <c r="B17" s="129">
        <v>1</v>
      </c>
      <c r="C17"/>
      <c r="D17" s="124"/>
      <c r="E17" s="124"/>
    </row>
    <row r="18" spans="1:5">
      <c r="A18" s="17" t="s">
        <v>4328</v>
      </c>
      <c r="B18" s="129">
        <v>189</v>
      </c>
      <c r="C18" s="126"/>
      <c r="D18"/>
    </row>
    <row r="19" spans="1:5">
      <c r="A19" s="111" t="s">
        <v>4414</v>
      </c>
      <c r="B19" s="129">
        <v>11</v>
      </c>
      <c r="C19" s="47"/>
      <c r="D19"/>
    </row>
    <row r="20" spans="1:5">
      <c r="A20" s="112" t="s">
        <v>369</v>
      </c>
      <c r="B20" s="129">
        <v>10</v>
      </c>
      <c r="C20" s="126"/>
    </row>
    <row r="21" spans="1:5" ht="17.25" customHeight="1">
      <c r="A21" s="112" t="s">
        <v>692</v>
      </c>
      <c r="B21" s="129">
        <v>1</v>
      </c>
    </row>
    <row r="22" spans="1:5">
      <c r="A22" s="111" t="s">
        <v>5480</v>
      </c>
      <c r="B22" s="129">
        <v>178</v>
      </c>
    </row>
    <row r="23" spans="1:5">
      <c r="A23" s="112" t="s">
        <v>369</v>
      </c>
      <c r="B23" s="129">
        <v>176</v>
      </c>
    </row>
    <row r="24" spans="1:5">
      <c r="A24" s="112" t="s">
        <v>404</v>
      </c>
      <c r="B24" s="129">
        <v>1</v>
      </c>
    </row>
    <row r="25" spans="1:5">
      <c r="A25" s="112" t="s">
        <v>692</v>
      </c>
      <c r="B25" s="129">
        <v>1</v>
      </c>
      <c r="D25" s="124"/>
      <c r="E25" s="124"/>
    </row>
    <row r="26" spans="1:5">
      <c r="A26" s="17" t="s">
        <v>381</v>
      </c>
      <c r="B26" s="129">
        <v>293</v>
      </c>
      <c r="C26" s="126"/>
    </row>
    <row r="31" spans="1:5">
      <c r="C31" s="30"/>
    </row>
    <row r="32" spans="1:5">
      <c r="B32" s="126"/>
      <c r="C32" s="30"/>
    </row>
    <row r="33" spans="2:3">
      <c r="B33" s="126"/>
      <c r="C33" s="30"/>
    </row>
    <row r="34" spans="2:3">
      <c r="B34" s="126"/>
      <c r="C34" s="30"/>
    </row>
    <row r="35" spans="2:3">
      <c r="B35" s="126"/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250"/>
  <sheetViews>
    <sheetView topLeftCell="A1235" workbookViewId="0">
      <selection activeCell="C1248" sqref="C1248:C1250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2820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2830</v>
      </c>
      <c r="B1103">
        <v>3</v>
      </c>
      <c r="C1103" s="72" t="s">
        <v>4</v>
      </c>
    </row>
    <row r="1104" spans="1:3">
      <c r="A1104" t="s">
        <v>2827</v>
      </c>
      <c r="B1104">
        <v>4</v>
      </c>
      <c r="C1104" s="72" t="s">
        <v>4</v>
      </c>
    </row>
    <row r="1105" spans="1:3">
      <c r="A1105" t="s">
        <v>2852</v>
      </c>
      <c r="B1105">
        <v>1</v>
      </c>
      <c r="C1105" s="72" t="s">
        <v>4</v>
      </c>
    </row>
    <row r="1106" spans="1:3">
      <c r="A1106" t="s">
        <v>2844</v>
      </c>
      <c r="B1106">
        <v>1</v>
      </c>
      <c r="C1106" s="72" t="s">
        <v>4</v>
      </c>
    </row>
    <row r="1107" spans="1:3">
      <c r="A1107" t="s">
        <v>2832</v>
      </c>
      <c r="B1107">
        <v>7</v>
      </c>
      <c r="C1107" s="72" t="s">
        <v>4</v>
      </c>
    </row>
    <row r="1108" spans="1:3">
      <c r="A1108" t="s">
        <v>2847</v>
      </c>
      <c r="B1108">
        <v>4</v>
      </c>
      <c r="C1108" s="72" t="s">
        <v>4</v>
      </c>
    </row>
    <row r="1109" spans="1:3">
      <c r="A1109" t="s">
        <v>2856</v>
      </c>
      <c r="B1109">
        <v>1</v>
      </c>
      <c r="C1109" t="s">
        <v>4</v>
      </c>
    </row>
    <row r="1110" spans="1:3">
      <c r="A1110" t="s">
        <v>2858</v>
      </c>
      <c r="B1110">
        <v>5</v>
      </c>
      <c r="C1110" s="72" t="s">
        <v>4</v>
      </c>
    </row>
    <row r="1111" spans="1:3">
      <c r="A1111" t="s">
        <v>2867</v>
      </c>
      <c r="B1111">
        <v>1</v>
      </c>
      <c r="C1111" s="72" t="s">
        <v>4</v>
      </c>
    </row>
    <row r="1112" spans="1:3">
      <c r="A1112" t="s">
        <v>2869</v>
      </c>
      <c r="B1112">
        <v>1</v>
      </c>
      <c r="C1112" s="72" t="s">
        <v>4</v>
      </c>
    </row>
    <row r="1113" spans="1:3">
      <c r="A1113" t="s">
        <v>2885</v>
      </c>
      <c r="B1113">
        <v>8</v>
      </c>
      <c r="C1113" s="72" t="s">
        <v>4</v>
      </c>
    </row>
    <row r="1114" spans="1:3">
      <c r="A1114" t="s">
        <v>2872</v>
      </c>
      <c r="B1114">
        <v>1</v>
      </c>
      <c r="C1114" s="72" t="s">
        <v>4</v>
      </c>
    </row>
    <row r="1115" spans="1:3">
      <c r="A1115" t="s">
        <v>3014</v>
      </c>
      <c r="B1115">
        <v>1</v>
      </c>
      <c r="C1115" s="72" t="s">
        <v>4</v>
      </c>
    </row>
    <row r="1116" spans="1:3">
      <c r="A1116" t="s">
        <v>3022</v>
      </c>
      <c r="B1116">
        <v>1</v>
      </c>
      <c r="C1116" s="72" t="s">
        <v>4</v>
      </c>
    </row>
    <row r="1117" spans="1:3">
      <c r="A1117" t="s">
        <v>3019</v>
      </c>
      <c r="B1117">
        <v>1</v>
      </c>
      <c r="C1117" s="72" t="s">
        <v>4</v>
      </c>
    </row>
    <row r="1118" spans="1:3">
      <c r="A1118" t="s">
        <v>3016</v>
      </c>
      <c r="B1118">
        <v>2</v>
      </c>
      <c r="C1118" s="72" t="s">
        <v>4</v>
      </c>
    </row>
    <row r="1119" spans="1:3">
      <c r="A1119" t="s">
        <v>2888</v>
      </c>
      <c r="B1119">
        <v>1</v>
      </c>
      <c r="C1119" s="72" t="s">
        <v>4</v>
      </c>
    </row>
    <row r="1120" spans="1:3">
      <c r="A1120" t="s">
        <v>2896</v>
      </c>
      <c r="B1120">
        <v>4</v>
      </c>
      <c r="C1120" s="72" t="s">
        <v>4</v>
      </c>
    </row>
    <row r="1121" spans="1:3">
      <c r="A1121" t="s">
        <v>2897</v>
      </c>
      <c r="B1121">
        <v>2</v>
      </c>
      <c r="C1121" s="72" t="s">
        <v>4</v>
      </c>
    </row>
    <row r="1122" spans="1:3">
      <c r="A1122" t="s">
        <v>2899</v>
      </c>
      <c r="B1122">
        <v>1</v>
      </c>
      <c r="C1122" s="72" t="s">
        <v>4</v>
      </c>
    </row>
    <row r="1123" spans="1:3">
      <c r="A1123" t="s">
        <v>2901</v>
      </c>
      <c r="B1123">
        <v>101</v>
      </c>
      <c r="C1123" s="72" t="s">
        <v>4</v>
      </c>
    </row>
    <row r="1124" spans="1:3">
      <c r="A1124" t="s">
        <v>3084</v>
      </c>
      <c r="B1124">
        <v>17</v>
      </c>
      <c r="C1124" s="72" t="s">
        <v>4</v>
      </c>
    </row>
    <row r="1125" spans="1:3">
      <c r="A1125" t="s">
        <v>3085</v>
      </c>
      <c r="B1125">
        <v>1</v>
      </c>
      <c r="C1125" s="72" t="s">
        <v>4</v>
      </c>
    </row>
    <row r="1126" spans="1:3">
      <c r="A1126" t="s">
        <v>3066</v>
      </c>
      <c r="B1126">
        <v>36</v>
      </c>
      <c r="C1126" s="84" t="s">
        <v>4</v>
      </c>
    </row>
    <row r="1127" spans="1:3">
      <c r="A1127" t="s">
        <v>3086</v>
      </c>
      <c r="B1127">
        <v>78</v>
      </c>
      <c r="C1127" s="84" t="s">
        <v>4</v>
      </c>
    </row>
    <row r="1128" spans="1:3">
      <c r="A1128" t="s">
        <v>3183</v>
      </c>
      <c r="B1128">
        <v>2</v>
      </c>
      <c r="C1128" s="84" t="s">
        <v>4</v>
      </c>
    </row>
    <row r="1129" spans="1:3">
      <c r="A1129" t="s">
        <v>3189</v>
      </c>
      <c r="B1129">
        <v>1</v>
      </c>
      <c r="C1129" s="84" t="s">
        <v>4</v>
      </c>
    </row>
    <row r="1130" spans="1:3">
      <c r="A1130" t="s">
        <v>3192</v>
      </c>
      <c r="B1130">
        <v>20</v>
      </c>
      <c r="C1130" s="84" t="s">
        <v>4</v>
      </c>
    </row>
    <row r="1131" spans="1:3">
      <c r="A1131" t="s">
        <v>3256</v>
      </c>
      <c r="B1131">
        <v>2</v>
      </c>
      <c r="C1131" s="84" t="s">
        <v>4</v>
      </c>
    </row>
    <row r="1132" spans="1:3">
      <c r="A1132" t="s">
        <v>3229</v>
      </c>
      <c r="B1132">
        <v>19</v>
      </c>
      <c r="C1132" s="84" t="s">
        <v>4</v>
      </c>
    </row>
    <row r="1133" spans="1:3">
      <c r="A1133" t="s">
        <v>3202</v>
      </c>
      <c r="B1133">
        <v>23</v>
      </c>
      <c r="C1133" s="84" t="s">
        <v>4</v>
      </c>
    </row>
    <row r="1134" spans="1:3">
      <c r="A1134" t="s">
        <v>3268</v>
      </c>
      <c r="B1134">
        <v>11</v>
      </c>
      <c r="C1134" s="84" t="s">
        <v>4</v>
      </c>
    </row>
    <row r="1135" spans="1:3">
      <c r="A1135" t="s">
        <v>3261</v>
      </c>
      <c r="B1135">
        <v>3</v>
      </c>
      <c r="C1135" s="84" t="s">
        <v>4</v>
      </c>
    </row>
    <row r="1136" spans="1:3">
      <c r="A1136" t="s">
        <v>3290</v>
      </c>
      <c r="B1136">
        <v>1</v>
      </c>
      <c r="C1136" s="84" t="s">
        <v>4</v>
      </c>
    </row>
    <row r="1137" spans="1:3">
      <c r="A1137" t="s">
        <v>3293</v>
      </c>
      <c r="B1137">
        <v>1</v>
      </c>
      <c r="C1137" s="84" t="s">
        <v>4</v>
      </c>
    </row>
    <row r="1138" spans="1:3">
      <c r="A1138" t="s">
        <v>3327</v>
      </c>
      <c r="B1138">
        <v>28</v>
      </c>
      <c r="C1138" s="84" t="s">
        <v>4</v>
      </c>
    </row>
    <row r="1139" spans="1:3">
      <c r="A1139" t="s">
        <v>3328</v>
      </c>
      <c r="B1139">
        <v>1</v>
      </c>
      <c r="C1139" s="84" t="s">
        <v>4</v>
      </c>
    </row>
    <row r="1140" spans="1:3">
      <c r="A1140" t="s">
        <v>3298</v>
      </c>
      <c r="B1140">
        <v>1</v>
      </c>
      <c r="C1140" s="89" t="s">
        <v>4</v>
      </c>
    </row>
    <row r="1141" spans="1:3">
      <c r="A1141" t="s">
        <v>3346</v>
      </c>
      <c r="B1141">
        <v>3</v>
      </c>
      <c r="C1141" s="89" t="s">
        <v>4</v>
      </c>
    </row>
    <row r="1142" spans="1:3">
      <c r="A1142" t="s">
        <v>3356</v>
      </c>
      <c r="B1142">
        <v>1</v>
      </c>
      <c r="C1142" s="89" t="s">
        <v>4</v>
      </c>
    </row>
    <row r="1143" spans="1:3">
      <c r="A1143" t="s">
        <v>3358</v>
      </c>
      <c r="B1143">
        <v>4</v>
      </c>
      <c r="C1143" s="89" t="s">
        <v>4</v>
      </c>
    </row>
    <row r="1144" spans="1:3">
      <c r="A1144" t="s">
        <v>3332</v>
      </c>
      <c r="B1144">
        <v>1</v>
      </c>
      <c r="C1144" s="89" t="s">
        <v>4</v>
      </c>
    </row>
    <row r="1145" spans="1:3">
      <c r="A1145" t="s">
        <v>3333</v>
      </c>
      <c r="B1145">
        <v>10</v>
      </c>
      <c r="C1145" s="89" t="s">
        <v>4</v>
      </c>
    </row>
    <row r="1146" spans="1:3">
      <c r="A1146" t="s">
        <v>3369</v>
      </c>
      <c r="B1146">
        <v>2</v>
      </c>
      <c r="C1146" s="89" t="s">
        <v>4</v>
      </c>
    </row>
    <row r="1147" spans="1:3">
      <c r="A1147" t="s">
        <v>3375</v>
      </c>
      <c r="B1147">
        <v>1</v>
      </c>
      <c r="C1147" s="89" t="s">
        <v>4</v>
      </c>
    </row>
    <row r="1148" spans="1:3">
      <c r="A1148" t="s">
        <v>3385</v>
      </c>
      <c r="B1148">
        <v>9</v>
      </c>
      <c r="C1148" s="89" t="s">
        <v>4</v>
      </c>
    </row>
    <row r="1149" spans="1:3">
      <c r="A1149" t="s">
        <v>3396</v>
      </c>
      <c r="B1149">
        <v>55</v>
      </c>
      <c r="C1149" s="89" t="s">
        <v>4</v>
      </c>
    </row>
    <row r="1150" spans="1:3">
      <c r="A1150" t="s">
        <v>3404</v>
      </c>
      <c r="B1150">
        <v>1</v>
      </c>
      <c r="C1150" s="89" t="s">
        <v>4</v>
      </c>
    </row>
    <row r="1151" spans="1:3">
      <c r="A1151" t="s">
        <v>3381</v>
      </c>
      <c r="B1151">
        <v>2</v>
      </c>
      <c r="C1151" s="89" t="s">
        <v>4</v>
      </c>
    </row>
    <row r="1152" spans="1:3">
      <c r="A1152" t="s">
        <v>3376</v>
      </c>
      <c r="B1152">
        <v>1</v>
      </c>
      <c r="C1152" s="89" t="s">
        <v>4</v>
      </c>
    </row>
    <row r="1153" spans="1:3">
      <c r="A1153" t="s">
        <v>3405</v>
      </c>
      <c r="B1153">
        <v>112</v>
      </c>
      <c r="C1153" s="89" t="s">
        <v>4</v>
      </c>
    </row>
    <row r="1154" spans="1:3">
      <c r="A1154" t="s">
        <v>3548</v>
      </c>
      <c r="B1154">
        <v>7</v>
      </c>
      <c r="C1154" s="89" t="s">
        <v>4</v>
      </c>
    </row>
    <row r="1155" spans="1:3">
      <c r="A1155" t="s">
        <v>3560</v>
      </c>
      <c r="B1155">
        <v>8</v>
      </c>
      <c r="C1155" s="89" t="s">
        <v>4</v>
      </c>
    </row>
    <row r="1156" spans="1:3">
      <c r="A1156" t="s">
        <v>3569</v>
      </c>
      <c r="B1156">
        <v>5</v>
      </c>
      <c r="C1156" s="89" t="s">
        <v>4</v>
      </c>
    </row>
    <row r="1157" spans="1:3">
      <c r="A1157" t="s">
        <v>3576</v>
      </c>
      <c r="B1157">
        <v>14</v>
      </c>
      <c r="C1157" s="89" t="s">
        <v>4</v>
      </c>
    </row>
    <row r="1158" spans="1:3">
      <c r="A1158" t="s">
        <v>3600</v>
      </c>
      <c r="B1158">
        <v>3</v>
      </c>
      <c r="C1158" s="89" t="s">
        <v>4</v>
      </c>
    </row>
    <row r="1159" spans="1:3">
      <c r="A1159" t="s">
        <v>3348</v>
      </c>
      <c r="B1159">
        <v>6</v>
      </c>
      <c r="C1159" s="89" t="s">
        <v>4</v>
      </c>
    </row>
    <row r="1160" spans="1:3">
      <c r="A1160" t="s">
        <v>3621</v>
      </c>
      <c r="B1160">
        <v>1</v>
      </c>
      <c r="C1160" s="93" t="s">
        <v>4</v>
      </c>
    </row>
    <row r="1161" spans="1:3">
      <c r="A1161" t="s">
        <v>3601</v>
      </c>
      <c r="B1161">
        <v>6</v>
      </c>
      <c r="C1161" s="93" t="s">
        <v>4</v>
      </c>
    </row>
    <row r="1162" spans="1:3">
      <c r="A1162" t="s">
        <v>3625</v>
      </c>
      <c r="B1162">
        <v>2</v>
      </c>
      <c r="C1162" s="93" t="s">
        <v>4</v>
      </c>
    </row>
    <row r="1163" spans="1:3">
      <c r="A1163" t="s">
        <v>3609</v>
      </c>
      <c r="B1163">
        <v>5</v>
      </c>
      <c r="C1163" s="93" t="s">
        <v>4</v>
      </c>
    </row>
    <row r="1164" spans="1:3">
      <c r="A1164" t="s">
        <v>3620</v>
      </c>
      <c r="B1164">
        <v>1</v>
      </c>
      <c r="C1164" s="93" t="s">
        <v>4</v>
      </c>
    </row>
    <row r="1165" spans="1:3">
      <c r="A1165" t="s">
        <v>3628</v>
      </c>
      <c r="B1165">
        <v>6</v>
      </c>
      <c r="C1165" s="93" t="s">
        <v>4</v>
      </c>
    </row>
    <row r="1166" spans="1:3">
      <c r="A1166" t="s">
        <v>3639</v>
      </c>
      <c r="B1166">
        <v>1</v>
      </c>
      <c r="C1166" s="93" t="s">
        <v>4</v>
      </c>
    </row>
    <row r="1167" spans="1:3">
      <c r="A1167" t="s">
        <v>3641</v>
      </c>
      <c r="B1167">
        <v>98</v>
      </c>
      <c r="C1167" s="93" t="s">
        <v>4</v>
      </c>
    </row>
    <row r="1168" spans="1:3">
      <c r="A1168" t="s">
        <v>3748</v>
      </c>
      <c r="B1168">
        <v>319</v>
      </c>
      <c r="C1168" s="93" t="s">
        <v>4</v>
      </c>
    </row>
    <row r="1169" spans="1:3">
      <c r="A1169" t="s">
        <v>4075</v>
      </c>
      <c r="B1169">
        <v>1</v>
      </c>
      <c r="C1169" s="93" t="s">
        <v>4</v>
      </c>
    </row>
    <row r="1170" spans="1:3">
      <c r="A1170" t="s">
        <v>4077</v>
      </c>
      <c r="B1170">
        <v>5</v>
      </c>
      <c r="C1170" s="93" t="s">
        <v>4</v>
      </c>
    </row>
    <row r="1171" spans="1:3">
      <c r="A1171" t="s">
        <v>4084</v>
      </c>
      <c r="B1171">
        <v>7</v>
      </c>
      <c r="C1171" s="93" t="s">
        <v>4</v>
      </c>
    </row>
    <row r="1172" spans="1:3">
      <c r="A1172" t="s">
        <v>4093</v>
      </c>
      <c r="B1172">
        <v>1</v>
      </c>
      <c r="C1172" s="97" t="s">
        <v>4</v>
      </c>
    </row>
    <row r="1173" spans="1:3">
      <c r="A1173" t="s">
        <v>4098</v>
      </c>
      <c r="B1173">
        <v>1</v>
      </c>
      <c r="C1173" s="97" t="s">
        <v>4</v>
      </c>
    </row>
    <row r="1174" spans="1:3">
      <c r="A1174" t="s">
        <v>4116</v>
      </c>
      <c r="B1174">
        <v>8</v>
      </c>
      <c r="C1174" s="103" t="s">
        <v>4</v>
      </c>
    </row>
    <row r="1175" spans="1:3">
      <c r="A1175" t="s">
        <v>4119</v>
      </c>
      <c r="B1175">
        <v>1</v>
      </c>
      <c r="C1175" s="103" t="s">
        <v>4</v>
      </c>
    </row>
    <row r="1176" spans="1:3">
      <c r="A1176" t="s">
        <v>4124</v>
      </c>
      <c r="B1176">
        <v>1</v>
      </c>
      <c r="C1176" s="103" t="s">
        <v>4</v>
      </c>
    </row>
    <row r="1177" spans="1:3">
      <c r="A1177" t="s">
        <v>4099</v>
      </c>
      <c r="B1177">
        <v>1</v>
      </c>
      <c r="C1177" s="103" t="s">
        <v>4</v>
      </c>
    </row>
    <row r="1178" spans="1:3">
      <c r="A1178" t="s">
        <v>4104</v>
      </c>
      <c r="B1178">
        <v>2</v>
      </c>
      <c r="C1178" s="103" t="s">
        <v>4</v>
      </c>
    </row>
    <row r="1179" spans="1:3">
      <c r="A1179" t="s">
        <v>4120</v>
      </c>
      <c r="B1179">
        <v>2</v>
      </c>
      <c r="C1179" s="103" t="s">
        <v>4</v>
      </c>
    </row>
    <row r="1180" spans="1:3">
      <c r="A1180" t="s">
        <v>4134</v>
      </c>
      <c r="B1180">
        <v>7</v>
      </c>
      <c r="C1180" s="103" t="s">
        <v>4</v>
      </c>
    </row>
    <row r="1181" spans="1:3">
      <c r="A1181" t="s">
        <v>3292</v>
      </c>
      <c r="B1181">
        <v>4</v>
      </c>
      <c r="C1181" s="103" t="s">
        <v>4</v>
      </c>
    </row>
    <row r="1182" spans="1:3">
      <c r="A1182" t="s">
        <v>4140</v>
      </c>
      <c r="B1182">
        <v>35</v>
      </c>
      <c r="C1182" s="103" t="s">
        <v>4</v>
      </c>
    </row>
    <row r="1183" spans="1:3">
      <c r="A1183" t="s">
        <v>4181</v>
      </c>
      <c r="B1183">
        <v>1</v>
      </c>
      <c r="C1183" s="103" t="s">
        <v>4</v>
      </c>
    </row>
    <row r="1184" spans="1:3">
      <c r="A1184" t="s">
        <v>4188</v>
      </c>
      <c r="B1184">
        <v>5</v>
      </c>
      <c r="C1184" s="103" t="s">
        <v>4</v>
      </c>
    </row>
    <row r="1185" spans="1:3">
      <c r="A1185" t="s">
        <v>4189</v>
      </c>
      <c r="B1185">
        <v>82</v>
      </c>
      <c r="C1185" s="103" t="s">
        <v>4</v>
      </c>
    </row>
    <row r="1186" spans="1:3">
      <c r="A1186" t="s">
        <v>4288</v>
      </c>
      <c r="B1186">
        <v>14</v>
      </c>
      <c r="C1186" s="103" t="s">
        <v>4</v>
      </c>
    </row>
    <row r="1187" spans="1:3">
      <c r="A1187" t="s">
        <v>4291</v>
      </c>
      <c r="B1187">
        <v>1</v>
      </c>
      <c r="C1187" s="103" t="s">
        <v>4</v>
      </c>
    </row>
    <row r="1188" spans="1:3">
      <c r="A1188" t="s">
        <v>4294</v>
      </c>
      <c r="B1188">
        <v>1</v>
      </c>
      <c r="C1188" s="103" t="s">
        <v>4</v>
      </c>
    </row>
    <row r="1189" spans="1:3">
      <c r="A1189" t="s">
        <v>4295</v>
      </c>
      <c r="B1189">
        <v>1</v>
      </c>
      <c r="C1189" s="103" t="s">
        <v>4</v>
      </c>
    </row>
    <row r="1190" spans="1:3">
      <c r="A1190" t="s">
        <v>4306</v>
      </c>
      <c r="B1190">
        <v>2</v>
      </c>
      <c r="C1190" s="103" t="s">
        <v>4</v>
      </c>
    </row>
    <row r="1191" spans="1:3">
      <c r="A1191" t="s">
        <v>4330</v>
      </c>
      <c r="B1191">
        <v>2</v>
      </c>
      <c r="C1191" s="103" t="s">
        <v>4</v>
      </c>
    </row>
    <row r="1192" spans="1:3">
      <c r="A1192" t="s">
        <v>4314</v>
      </c>
      <c r="B1192">
        <v>9</v>
      </c>
      <c r="C1192" s="103" t="s">
        <v>4</v>
      </c>
    </row>
    <row r="1193" spans="1:3">
      <c r="A1193" t="s">
        <v>4337</v>
      </c>
      <c r="B1193">
        <v>58</v>
      </c>
      <c r="C1193" s="103" t="s">
        <v>4</v>
      </c>
    </row>
    <row r="1194" spans="1:3">
      <c r="A1194" t="s">
        <v>4336</v>
      </c>
      <c r="B1194">
        <v>1</v>
      </c>
      <c r="C1194" s="103" t="s">
        <v>4</v>
      </c>
    </row>
    <row r="1195" spans="1:3">
      <c r="A1195" t="s">
        <v>4417</v>
      </c>
      <c r="B1195">
        <v>1</v>
      </c>
      <c r="C1195" s="103" t="s">
        <v>4</v>
      </c>
    </row>
    <row r="1196" spans="1:3">
      <c r="A1196" t="s">
        <v>4303</v>
      </c>
      <c r="B1196">
        <v>4</v>
      </c>
      <c r="C1196" s="117" t="s">
        <v>4</v>
      </c>
    </row>
    <row r="1197" spans="1:3">
      <c r="A1197" t="s">
        <v>4784</v>
      </c>
      <c r="B1197">
        <v>2</v>
      </c>
      <c r="C1197" s="117" t="s">
        <v>4</v>
      </c>
    </row>
    <row r="1198" spans="1:3">
      <c r="A1198" t="s">
        <v>4767</v>
      </c>
      <c r="B1198">
        <v>12</v>
      </c>
      <c r="C1198" s="117" t="s">
        <v>4</v>
      </c>
    </row>
    <row r="1199" spans="1:3">
      <c r="A1199" t="s">
        <v>4757</v>
      </c>
      <c r="B1199">
        <v>8</v>
      </c>
      <c r="C1199" s="117" t="s">
        <v>4</v>
      </c>
    </row>
    <row r="1200" spans="1:3">
      <c r="A1200" t="s">
        <v>4422</v>
      </c>
      <c r="B1200">
        <v>1</v>
      </c>
      <c r="C1200" s="117" t="s">
        <v>4</v>
      </c>
    </row>
    <row r="1201" spans="1:3">
      <c r="A1201" t="s">
        <v>4424</v>
      </c>
      <c r="B1201">
        <v>311</v>
      </c>
      <c r="C1201" s="117" t="s">
        <v>4</v>
      </c>
    </row>
    <row r="1202" spans="1:3">
      <c r="A1202" t="s">
        <v>4420</v>
      </c>
      <c r="B1202">
        <v>1</v>
      </c>
      <c r="C1202" s="117" t="s">
        <v>4</v>
      </c>
    </row>
    <row r="1203" spans="1:3">
      <c r="A1203" t="s">
        <v>4788</v>
      </c>
      <c r="B1203">
        <v>1</v>
      </c>
      <c r="C1203" s="117" t="s">
        <v>4</v>
      </c>
    </row>
    <row r="1204" spans="1:3">
      <c r="A1204" t="s">
        <v>4790</v>
      </c>
      <c r="B1204">
        <v>7</v>
      </c>
      <c r="C1204" s="117" t="s">
        <v>4</v>
      </c>
    </row>
    <row r="1205" spans="1:3">
      <c r="A1205" t="s">
        <v>4798</v>
      </c>
      <c r="B1205">
        <v>1</v>
      </c>
      <c r="C1205" s="117" t="s">
        <v>4</v>
      </c>
    </row>
    <row r="1206" spans="1:3">
      <c r="A1206" t="s">
        <v>4801</v>
      </c>
      <c r="B1206">
        <v>1</v>
      </c>
      <c r="C1206" s="117" t="s">
        <v>4</v>
      </c>
    </row>
    <row r="1207" spans="1:3">
      <c r="A1207" t="s">
        <v>4810</v>
      </c>
      <c r="B1207">
        <v>3</v>
      </c>
      <c r="C1207" s="117" t="s">
        <v>4</v>
      </c>
    </row>
    <row r="1208" spans="1:3">
      <c r="A1208" t="s">
        <v>4814</v>
      </c>
      <c r="B1208">
        <v>1</v>
      </c>
      <c r="C1208" s="117" t="s">
        <v>4</v>
      </c>
    </row>
    <row r="1209" spans="1:3">
      <c r="A1209" t="s">
        <v>4816</v>
      </c>
      <c r="B1209">
        <v>3</v>
      </c>
      <c r="C1209" s="117" t="s">
        <v>4</v>
      </c>
    </row>
    <row r="1210" spans="1:3">
      <c r="A1210" t="s">
        <v>4818</v>
      </c>
      <c r="B1210">
        <v>2</v>
      </c>
      <c r="C1210" s="117" t="s">
        <v>4</v>
      </c>
    </row>
    <row r="1211" spans="1:3">
      <c r="A1211" t="s">
        <v>4310</v>
      </c>
      <c r="B1211">
        <v>2</v>
      </c>
      <c r="C1211" s="117" t="s">
        <v>4</v>
      </c>
    </row>
    <row r="1212" spans="1:3">
      <c r="A1212" t="s">
        <v>4825</v>
      </c>
      <c r="B1212">
        <v>1</v>
      </c>
      <c r="C1212" s="117" t="s">
        <v>4</v>
      </c>
    </row>
    <row r="1213" spans="1:3">
      <c r="A1213" t="s">
        <v>4827</v>
      </c>
      <c r="B1213">
        <v>1</v>
      </c>
      <c r="C1213" s="117" t="s">
        <v>4</v>
      </c>
    </row>
    <row r="1214" spans="1:3">
      <c r="A1214" t="s">
        <v>4832</v>
      </c>
      <c r="B1214">
        <v>1</v>
      </c>
      <c r="C1214" s="121" t="s">
        <v>4</v>
      </c>
    </row>
    <row r="1215" spans="1:3">
      <c r="A1215" t="s">
        <v>4836</v>
      </c>
      <c r="B1215">
        <v>1</v>
      </c>
      <c r="C1215" s="121" t="s">
        <v>4</v>
      </c>
    </row>
    <row r="1216" spans="1:3">
      <c r="A1216" t="s">
        <v>4840</v>
      </c>
      <c r="B1216">
        <v>2</v>
      </c>
      <c r="C1216" s="121" t="s">
        <v>4</v>
      </c>
    </row>
    <row r="1217" spans="1:3">
      <c r="A1217" t="s">
        <v>4844</v>
      </c>
      <c r="B1217">
        <v>1</v>
      </c>
      <c r="C1217" s="124" t="s">
        <v>4</v>
      </c>
    </row>
    <row r="1218" spans="1:3">
      <c r="A1218" t="s">
        <v>4846</v>
      </c>
      <c r="B1218">
        <v>1</v>
      </c>
      <c r="C1218" s="124" t="s">
        <v>4</v>
      </c>
    </row>
    <row r="1219" spans="1:3">
      <c r="A1219" t="s">
        <v>4848</v>
      </c>
      <c r="B1219">
        <v>1</v>
      </c>
      <c r="C1219" s="124" t="s">
        <v>4</v>
      </c>
    </row>
    <row r="1220" spans="1:3">
      <c r="A1220" t="s">
        <v>4856</v>
      </c>
      <c r="B1220">
        <v>1</v>
      </c>
      <c r="C1220" s="124" t="s">
        <v>4</v>
      </c>
    </row>
    <row r="1221" spans="1:3">
      <c r="A1221" t="s">
        <v>4859</v>
      </c>
      <c r="B1221">
        <v>1</v>
      </c>
      <c r="C1221" s="124" t="s">
        <v>4</v>
      </c>
    </row>
    <row r="1222" spans="1:3">
      <c r="A1222" t="s">
        <v>4860</v>
      </c>
      <c r="B1222">
        <v>1</v>
      </c>
      <c r="C1222" s="124" t="s">
        <v>4</v>
      </c>
    </row>
    <row r="1223" spans="1:3">
      <c r="A1223" t="s">
        <v>4850</v>
      </c>
      <c r="B1223">
        <v>1</v>
      </c>
      <c r="C1223" s="124" t="s">
        <v>4</v>
      </c>
    </row>
    <row r="1224" spans="1:3">
      <c r="A1224" t="s">
        <v>4855</v>
      </c>
      <c r="B1224">
        <v>4</v>
      </c>
      <c r="C1224" s="124" t="s">
        <v>4</v>
      </c>
    </row>
    <row r="1225" spans="1:3">
      <c r="A1225" t="s">
        <v>4864</v>
      </c>
      <c r="B1225">
        <v>1</v>
      </c>
      <c r="C1225" s="124" t="s">
        <v>4</v>
      </c>
    </row>
    <row r="1226" spans="1:3">
      <c r="A1226" t="s">
        <v>4868</v>
      </c>
      <c r="B1226">
        <v>18</v>
      </c>
      <c r="C1226" s="124" t="s">
        <v>4</v>
      </c>
    </row>
    <row r="1227" spans="1:3">
      <c r="A1227" t="s">
        <v>4894</v>
      </c>
      <c r="B1227">
        <v>7</v>
      </c>
      <c r="C1227" s="124" t="s">
        <v>4</v>
      </c>
    </row>
    <row r="1228" spans="1:3">
      <c r="A1228" t="s">
        <v>4897</v>
      </c>
      <c r="B1228">
        <v>3</v>
      </c>
      <c r="C1228" s="124" t="s">
        <v>4</v>
      </c>
    </row>
    <row r="1229" spans="1:3">
      <c r="A1229" t="s">
        <v>4904</v>
      </c>
      <c r="B1229">
        <v>2</v>
      </c>
      <c r="C1229" s="124" t="s">
        <v>4</v>
      </c>
    </row>
    <row r="1230" spans="1:3">
      <c r="A1230" t="s">
        <v>4905</v>
      </c>
      <c r="B1230">
        <v>3</v>
      </c>
      <c r="C1230" s="124" t="s">
        <v>4</v>
      </c>
    </row>
    <row r="1231" spans="1:3">
      <c r="A1231" t="s">
        <v>4908</v>
      </c>
      <c r="B1231">
        <v>2</v>
      </c>
      <c r="C1231" s="124" t="s">
        <v>4</v>
      </c>
    </row>
    <row r="1232" spans="1:3">
      <c r="A1232" t="s">
        <v>4909</v>
      </c>
      <c r="B1232">
        <v>1</v>
      </c>
      <c r="C1232" s="124" t="s">
        <v>4</v>
      </c>
    </row>
    <row r="1233" spans="1:3">
      <c r="A1233" s="126" t="s">
        <v>4919</v>
      </c>
      <c r="B1233" s="30">
        <v>3</v>
      </c>
      <c r="C1233" s="124" t="s">
        <v>4</v>
      </c>
    </row>
    <row r="1234" spans="1:3">
      <c r="A1234" s="126" t="s">
        <v>4921</v>
      </c>
      <c r="B1234" s="30">
        <v>1</v>
      </c>
      <c r="C1234" s="124" t="s">
        <v>4</v>
      </c>
    </row>
    <row r="1235" spans="1:3">
      <c r="A1235" s="126" t="s">
        <v>4935</v>
      </c>
      <c r="B1235" s="30">
        <v>7</v>
      </c>
      <c r="C1235" s="124" t="s">
        <v>4</v>
      </c>
    </row>
    <row r="1236" spans="1:3">
      <c r="A1236" s="126" t="s">
        <v>4936</v>
      </c>
      <c r="B1236" s="30">
        <v>18</v>
      </c>
      <c r="C1236" s="124" t="s">
        <v>4</v>
      </c>
    </row>
    <row r="1237" spans="1:3">
      <c r="A1237" s="126" t="s">
        <v>5260</v>
      </c>
      <c r="B1237" s="30">
        <v>295</v>
      </c>
      <c r="C1237" s="124" t="s">
        <v>4</v>
      </c>
    </row>
    <row r="1238" spans="1:3">
      <c r="A1238" t="s">
        <v>5273</v>
      </c>
      <c r="B1238">
        <v>11</v>
      </c>
      <c r="C1238" s="124" t="s">
        <v>4</v>
      </c>
    </row>
    <row r="1239" spans="1:3">
      <c r="A1239" t="s">
        <v>5495</v>
      </c>
      <c r="B1239">
        <v>13</v>
      </c>
      <c r="C1239" s="124" t="s">
        <v>4</v>
      </c>
    </row>
    <row r="1240" spans="1:3">
      <c r="A1240" t="s">
        <v>5501</v>
      </c>
      <c r="B1240">
        <v>2</v>
      </c>
      <c r="C1240" s="124" t="s">
        <v>4</v>
      </c>
    </row>
    <row r="1241" spans="1:3">
      <c r="A1241" t="s">
        <v>5504</v>
      </c>
      <c r="B1241">
        <v>19</v>
      </c>
      <c r="C1241" s="124" t="s">
        <v>4</v>
      </c>
    </row>
    <row r="1242" spans="1:3">
      <c r="A1242" t="s">
        <v>5526</v>
      </c>
      <c r="B1242">
        <v>2</v>
      </c>
      <c r="C1242" s="124" t="s">
        <v>4</v>
      </c>
    </row>
    <row r="1243" spans="1:3">
      <c r="A1243" t="s">
        <v>5535</v>
      </c>
      <c r="B1243">
        <v>10</v>
      </c>
      <c r="C1243" s="124" t="s">
        <v>4</v>
      </c>
    </row>
    <row r="1244" spans="1:3">
      <c r="A1244" t="s">
        <v>5524</v>
      </c>
      <c r="B1244">
        <v>1</v>
      </c>
      <c r="C1244" s="124" t="s">
        <v>4</v>
      </c>
    </row>
    <row r="1245" spans="1:3">
      <c r="A1245" t="s">
        <v>5531</v>
      </c>
      <c r="B1245">
        <v>1</v>
      </c>
      <c r="C1245" s="124" t="s">
        <v>4</v>
      </c>
    </row>
    <row r="1246" spans="1:3">
      <c r="A1246" t="s">
        <v>5532</v>
      </c>
      <c r="B1246">
        <v>8</v>
      </c>
      <c r="C1246" s="124" t="s">
        <v>4</v>
      </c>
    </row>
    <row r="1247" spans="1:3">
      <c r="A1247" t="s">
        <v>5548</v>
      </c>
      <c r="B1247">
        <v>1</v>
      </c>
      <c r="C1247" s="124" t="s">
        <v>4</v>
      </c>
    </row>
    <row r="1248" spans="1:3">
      <c r="A1248" t="s">
        <v>5551</v>
      </c>
      <c r="B1248">
        <v>1</v>
      </c>
      <c r="C1248" s="124" t="s">
        <v>4</v>
      </c>
    </row>
    <row r="1249" spans="1:3">
      <c r="A1249" t="s">
        <v>5556</v>
      </c>
      <c r="B1249">
        <v>7</v>
      </c>
      <c r="C1249" s="128" t="s">
        <v>4</v>
      </c>
    </row>
    <row r="1250" spans="1:3">
      <c r="A1250" t="s">
        <v>5574</v>
      </c>
      <c r="B1250">
        <v>1</v>
      </c>
      <c r="C1250" s="128" t="s">
        <v>4</v>
      </c>
    </row>
  </sheetData>
  <conditionalFormatting sqref="A2:A545 A548:A568 A570:A1036 A1038:A1232 A1238:A1048576">
    <cfRule type="duplicateValues" dxfId="24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3601"/>
  <sheetViews>
    <sheetView tabSelected="1" topLeftCell="A3490" zoomScale="85" zoomScaleNormal="85" workbookViewId="0">
      <selection activeCell="D3591" sqref="D3591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1" customWidth="1" outlineLevel="1"/>
    <col min="14" max="14" width="14.85546875" style="71" customWidth="1" outlineLevel="1"/>
    <col min="15" max="15" width="13.42578125" style="71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38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38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38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38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38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38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38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38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22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60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60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60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60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60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60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60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60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60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60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60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60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60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60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60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60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60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60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60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60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60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60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60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60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60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60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60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60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60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60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60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60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60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60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60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60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60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60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60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60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60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60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60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60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60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60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60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60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60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60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60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60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60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60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60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60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60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60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60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60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60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60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60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60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60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60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60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60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60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60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60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60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60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60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60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60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60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60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60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60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60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60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60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60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60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60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60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60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60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60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60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60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60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60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60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60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60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60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60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60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60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60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60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60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60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60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60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60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60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60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60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60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60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60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60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60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60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60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60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60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60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60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60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60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60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60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60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60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60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60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60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60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60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60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60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60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60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60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60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60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60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60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60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60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60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60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60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60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60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60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60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60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60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60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170</v>
      </c>
      <c r="R87" s="64" t="s">
        <v>1076</v>
      </c>
      <c r="S87" s="60"/>
    </row>
    <row r="88" spans="1:19" hidden="1">
      <c r="A88" s="62" t="s">
        <v>1389</v>
      </c>
      <c r="B88" s="60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60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60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60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60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60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60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60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60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60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60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60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60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60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60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60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60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60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60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60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60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60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60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60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60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60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60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60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60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60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60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60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60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60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60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60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60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60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60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60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60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60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60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60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60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60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60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60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60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60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60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60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60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60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60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60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60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60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60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60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60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60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60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60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60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60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60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60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60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60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60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60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60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60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60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60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60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60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60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60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60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60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60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60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60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60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60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60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60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60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60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60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60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60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60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60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60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60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60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60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60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60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60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60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60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60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60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60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60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60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60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60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60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60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60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60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60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60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60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60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60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60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60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60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60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60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60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60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60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60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60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60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60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60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60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60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60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60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60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60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60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60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60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60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60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60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60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60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60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60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60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60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60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60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60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60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60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60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60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60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60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60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60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60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60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60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60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60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60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60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60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60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60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60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60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60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60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60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60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60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60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60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60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60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60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60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60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60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60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60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60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60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60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60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60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60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60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60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60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60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60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60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60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60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60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60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60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60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60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60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60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60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60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60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60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60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60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60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60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60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60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60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60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60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60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60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60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60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60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60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60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60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60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60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60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60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60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60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60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60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60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60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60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60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60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60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60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60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60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60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60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60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60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60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 hidden="1">
      <c r="A215" s="62" t="s">
        <v>1547</v>
      </c>
      <c r="B215" s="60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60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60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60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 hidden="1">
      <c r="A217" s="62" t="s">
        <v>1547</v>
      </c>
      <c r="B217" s="60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60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60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60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60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60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60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60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 hidden="1">
      <c r="A221" s="62" t="s">
        <v>1547</v>
      </c>
      <c r="B221" s="60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60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60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60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60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60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60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60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60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60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60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60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60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60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60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60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 hidden="1">
      <c r="A229" s="62" t="s">
        <v>1547</v>
      </c>
      <c r="B229" s="60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60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60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60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 hidden="1">
      <c r="A231" s="62" t="s">
        <v>1547</v>
      </c>
      <c r="B231" s="60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60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60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60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60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60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60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60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 hidden="1">
      <c r="A235" t="s">
        <v>1558</v>
      </c>
      <c r="B235" s="60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60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60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60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60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60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60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60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60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60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60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60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60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60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60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60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60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60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60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60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60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60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60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60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60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60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60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60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60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60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60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60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60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60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60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60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60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60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60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60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60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60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60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60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60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60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60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60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60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60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60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60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60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60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60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60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60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60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60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60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60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60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60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60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60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60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60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60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60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60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60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60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60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60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60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60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60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60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60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60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60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60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60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60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60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60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60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60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60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60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60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60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60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60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60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60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60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60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60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60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 hidden="1">
      <c r="A285" s="62" t="s">
        <v>1614</v>
      </c>
      <c r="B285" s="60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60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60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60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60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60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60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60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60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60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60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60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60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60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60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60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60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60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60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60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60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60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32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60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145</v>
      </c>
      <c r="R296" s="64" t="s">
        <v>1076</v>
      </c>
      <c r="S296" s="60"/>
    </row>
    <row r="297" spans="1:19" hidden="1">
      <c r="A297" s="62" t="s">
        <v>1627</v>
      </c>
      <c r="B297" s="60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60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145</v>
      </c>
      <c r="R297" s="64" t="s">
        <v>1076</v>
      </c>
      <c r="S297" s="60"/>
    </row>
    <row r="298" spans="1:19" hidden="1">
      <c r="A298" s="62" t="s">
        <v>1627</v>
      </c>
      <c r="B298" s="60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60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145</v>
      </c>
      <c r="R298" s="64" t="s">
        <v>1076</v>
      </c>
      <c r="S298" s="60"/>
    </row>
    <row r="299" spans="1:19" hidden="1">
      <c r="A299" s="62" t="s">
        <v>1627</v>
      </c>
      <c r="B299" s="60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60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145</v>
      </c>
      <c r="R299" s="64" t="s">
        <v>1076</v>
      </c>
      <c r="S299" s="60"/>
    </row>
    <row r="300" spans="1:19" hidden="1">
      <c r="A300" s="62" t="s">
        <v>1627</v>
      </c>
      <c r="B300" s="60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60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145</v>
      </c>
      <c r="R300" s="64" t="s">
        <v>1076</v>
      </c>
      <c r="S300" s="60"/>
    </row>
    <row r="301" spans="1:19" hidden="1">
      <c r="A301" s="62" t="s">
        <v>1627</v>
      </c>
      <c r="B301" s="60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60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145</v>
      </c>
      <c r="R301" s="64" t="s">
        <v>1076</v>
      </c>
      <c r="S301" s="60"/>
    </row>
    <row r="302" spans="1:19" hidden="1">
      <c r="A302" s="62" t="s">
        <v>1627</v>
      </c>
      <c r="B302" s="60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60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145</v>
      </c>
      <c r="R302" s="64" t="s">
        <v>1076</v>
      </c>
      <c r="S302" s="60"/>
    </row>
    <row r="303" spans="1:19" hidden="1">
      <c r="A303" s="62" t="s">
        <v>1627</v>
      </c>
      <c r="B303" s="60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60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145</v>
      </c>
      <c r="R303" s="64" t="s">
        <v>1076</v>
      </c>
      <c r="S303" s="60"/>
    </row>
    <row r="304" spans="1:19" hidden="1">
      <c r="A304" s="62" t="s">
        <v>1627</v>
      </c>
      <c r="B304" s="60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60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145</v>
      </c>
      <c r="R304" s="64" t="s">
        <v>1076</v>
      </c>
      <c r="S304" s="60"/>
    </row>
    <row r="305" spans="1:19" hidden="1">
      <c r="A305" s="62" t="s">
        <v>1627</v>
      </c>
      <c r="B305" s="60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60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145</v>
      </c>
      <c r="R305" s="64" t="s">
        <v>1076</v>
      </c>
      <c r="S305" s="60"/>
    </row>
    <row r="306" spans="1:19" hidden="1">
      <c r="A306" s="62" t="s">
        <v>1627</v>
      </c>
      <c r="B306" s="60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60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145</v>
      </c>
      <c r="R306" s="64" t="s">
        <v>1076</v>
      </c>
      <c r="S306" s="60"/>
    </row>
    <row r="307" spans="1:19" hidden="1">
      <c r="A307" t="s">
        <v>1641</v>
      </c>
      <c r="B307" s="60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60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60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60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60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60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60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60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60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60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60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60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60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60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60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60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60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60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141</v>
      </c>
      <c r="R315" s="64" t="s">
        <v>1666</v>
      </c>
      <c r="S315" s="60"/>
    </row>
    <row r="316" spans="1:19" hidden="1">
      <c r="A316" t="s">
        <v>1657</v>
      </c>
      <c r="B316" s="60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60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60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60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60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60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60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60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60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60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60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60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60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60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60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60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60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60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60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60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60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60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60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60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60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60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60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60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60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60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60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60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60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60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60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60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60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60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60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60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60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60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60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60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60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60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60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60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60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60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60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60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60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60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60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60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60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60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60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60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60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60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60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60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60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60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60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60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60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60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60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60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60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60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60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60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60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60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60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60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60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60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60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60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 hidden="1">
      <c r="A358" s="62" t="s">
        <v>1707</v>
      </c>
      <c r="B358" s="60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60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60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60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60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60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60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60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60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60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60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60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60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60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60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60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60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60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60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60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60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60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60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60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60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60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60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60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60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60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60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60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60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60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60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60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60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60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60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60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60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60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60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60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60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60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60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60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60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60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 hidden="1">
      <c r="A383" t="s">
        <v>1746</v>
      </c>
      <c r="B383" s="60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60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 hidden="1">
      <c r="A384" s="62" t="s">
        <v>1746</v>
      </c>
      <c r="B384" s="60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60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60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60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60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60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60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60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60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60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138</v>
      </c>
      <c r="R388" s="67" t="s">
        <v>549</v>
      </c>
      <c r="S388" s="94" t="e">
        <f>VLOOKUP(Proc[[#This Row],[Obj]],#REF!,2,0)</f>
        <v>#REF!</v>
      </c>
    </row>
    <row r="389" spans="1:19" hidden="1">
      <c r="A389" s="62" t="s">
        <v>1743</v>
      </c>
      <c r="B389" s="60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60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138</v>
      </c>
      <c r="R389" s="67" t="s">
        <v>549</v>
      </c>
      <c r="S389" s="60"/>
    </row>
    <row r="390" spans="1:19" hidden="1">
      <c r="A390" s="62" t="s">
        <v>1743</v>
      </c>
      <c r="B390" s="60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60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138</v>
      </c>
      <c r="R390" s="67" t="s">
        <v>549</v>
      </c>
      <c r="S390" s="60"/>
    </row>
    <row r="391" spans="1:19" hidden="1">
      <c r="A391" s="62" t="s">
        <v>1743</v>
      </c>
      <c r="B391" s="60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60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138</v>
      </c>
      <c r="R391" s="67" t="s">
        <v>549</v>
      </c>
      <c r="S391" s="60"/>
    </row>
    <row r="392" spans="1:19" hidden="1">
      <c r="A392" s="62" t="s">
        <v>1743</v>
      </c>
      <c r="B392" s="60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60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138</v>
      </c>
      <c r="R392" s="67" t="s">
        <v>549</v>
      </c>
      <c r="S392" s="60"/>
    </row>
    <row r="393" spans="1:19" hidden="1">
      <c r="A393" s="62" t="s">
        <v>1743</v>
      </c>
      <c r="B393" s="60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60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138</v>
      </c>
      <c r="R393" s="67" t="s">
        <v>549</v>
      </c>
      <c r="S393" s="60"/>
    </row>
    <row r="394" spans="1:19" hidden="1">
      <c r="A394" s="62" t="s">
        <v>1743</v>
      </c>
      <c r="B394" s="60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60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138</v>
      </c>
      <c r="R394" s="67" t="s">
        <v>549</v>
      </c>
      <c r="S394" s="60"/>
    </row>
    <row r="395" spans="1:19" hidden="1">
      <c r="A395" s="62" t="s">
        <v>1743</v>
      </c>
      <c r="B395" s="60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60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138</v>
      </c>
      <c r="R395" s="67" t="s">
        <v>549</v>
      </c>
      <c r="S395" s="60"/>
    </row>
    <row r="396" spans="1:19" hidden="1">
      <c r="A396" s="62" t="s">
        <v>1743</v>
      </c>
      <c r="B396" s="60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60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138</v>
      </c>
      <c r="R396" s="67" t="s">
        <v>549</v>
      </c>
      <c r="S396" s="60"/>
    </row>
    <row r="397" spans="1:19" hidden="1">
      <c r="A397" s="62" t="s">
        <v>1743</v>
      </c>
      <c r="B397" s="60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60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138</v>
      </c>
      <c r="R397" s="67" t="s">
        <v>549</v>
      </c>
      <c r="S397" s="60"/>
    </row>
    <row r="398" spans="1:19" hidden="1">
      <c r="A398" s="62" t="s">
        <v>1743</v>
      </c>
      <c r="B398" s="60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60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138</v>
      </c>
      <c r="R398" s="67" t="s">
        <v>549</v>
      </c>
      <c r="S398" s="60"/>
    </row>
    <row r="399" spans="1:19" hidden="1">
      <c r="A399" s="62" t="s">
        <v>1743</v>
      </c>
      <c r="B399" s="60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60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138</v>
      </c>
      <c r="R399" s="67" t="s">
        <v>549</v>
      </c>
      <c r="S399" s="94" t="e">
        <f>VLOOKUP(Proc[[#This Row],[Obj]],#REF!,2,0)</f>
        <v>#REF!</v>
      </c>
    </row>
    <row r="400" spans="1:19" hidden="1">
      <c r="A400" s="62" t="s">
        <v>1743</v>
      </c>
      <c r="B400" s="60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60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138</v>
      </c>
      <c r="R400" s="67" t="s">
        <v>549</v>
      </c>
      <c r="S400" s="60"/>
    </row>
    <row r="401" spans="1:19" hidden="1">
      <c r="A401" s="62" t="s">
        <v>1743</v>
      </c>
      <c r="B401" s="60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60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138</v>
      </c>
      <c r="R401" s="67" t="s">
        <v>549</v>
      </c>
      <c r="S401" s="60"/>
    </row>
    <row r="402" spans="1:19" hidden="1">
      <c r="A402" s="62" t="s">
        <v>1743</v>
      </c>
      <c r="B402" s="60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60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138</v>
      </c>
      <c r="R402" s="67" t="s">
        <v>549</v>
      </c>
      <c r="S402" s="60"/>
    </row>
    <row r="403" spans="1:19" hidden="1">
      <c r="A403" s="62" t="s">
        <v>1743</v>
      </c>
      <c r="B403" s="60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60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138</v>
      </c>
      <c r="R403" s="67" t="s">
        <v>549</v>
      </c>
      <c r="S403" s="60"/>
    </row>
    <row r="404" spans="1:19" hidden="1">
      <c r="A404" s="62" t="s">
        <v>1743</v>
      </c>
      <c r="B404" s="60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60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138</v>
      </c>
      <c r="R404" s="67" t="s">
        <v>549</v>
      </c>
      <c r="S404" s="60"/>
    </row>
    <row r="405" spans="1:19" hidden="1">
      <c r="A405" s="62" t="s">
        <v>1743</v>
      </c>
      <c r="B405" s="60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60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138</v>
      </c>
      <c r="R405" s="67" t="s">
        <v>549</v>
      </c>
      <c r="S405" s="94" t="e">
        <f>VLOOKUP(Proc[[#This Row],[Obj]],#REF!,2,0)</f>
        <v>#REF!</v>
      </c>
    </row>
    <row r="406" spans="1:19" hidden="1">
      <c r="A406" s="62" t="s">
        <v>1743</v>
      </c>
      <c r="B406" s="60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60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138</v>
      </c>
      <c r="R406" s="67" t="s">
        <v>549</v>
      </c>
      <c r="S406" s="60"/>
    </row>
    <row r="407" spans="1:19" hidden="1">
      <c r="A407" s="62" t="s">
        <v>1743</v>
      </c>
      <c r="B407" s="60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60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138</v>
      </c>
      <c r="R407" s="67" t="s">
        <v>549</v>
      </c>
      <c r="S407" s="60"/>
    </row>
    <row r="408" spans="1:19" hidden="1">
      <c r="A408" s="62" t="s">
        <v>1743</v>
      </c>
      <c r="B408" s="60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60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138</v>
      </c>
      <c r="R408" s="67" t="s">
        <v>549</v>
      </c>
      <c r="S408" s="60"/>
    </row>
    <row r="409" spans="1:19" hidden="1">
      <c r="A409" s="62" t="s">
        <v>1743</v>
      </c>
      <c r="B409" s="60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60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138</v>
      </c>
      <c r="R409" s="67" t="s">
        <v>549</v>
      </c>
      <c r="S409" s="60"/>
    </row>
    <row r="410" spans="1:19" hidden="1">
      <c r="A410" s="62" t="s">
        <v>1743</v>
      </c>
      <c r="B410" s="60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60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138</v>
      </c>
      <c r="R410" s="67" t="s">
        <v>549</v>
      </c>
      <c r="S410" s="60"/>
    </row>
    <row r="411" spans="1:19" hidden="1">
      <c r="A411" s="62" t="s">
        <v>1743</v>
      </c>
      <c r="B411" s="60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60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138</v>
      </c>
      <c r="R411" s="67" t="s">
        <v>549</v>
      </c>
      <c r="S411" s="60"/>
    </row>
    <row r="412" spans="1:19" hidden="1">
      <c r="A412" s="62" t="s">
        <v>1743</v>
      </c>
      <c r="B412" s="60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60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138</v>
      </c>
      <c r="R412" s="67" t="s">
        <v>549</v>
      </c>
      <c r="S412" s="60"/>
    </row>
    <row r="413" spans="1:19" hidden="1">
      <c r="A413" s="62" t="s">
        <v>1743</v>
      </c>
      <c r="B413" s="60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60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138</v>
      </c>
      <c r="R413" s="67" t="s">
        <v>549</v>
      </c>
      <c r="S413" s="94" t="e">
        <f>VLOOKUP(Proc[[#This Row],[Obj]],#REF!,2,0)</f>
        <v>#REF!</v>
      </c>
    </row>
    <row r="414" spans="1:19" hidden="1">
      <c r="A414" s="62" t="s">
        <v>1743</v>
      </c>
      <c r="B414" s="60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60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138</v>
      </c>
      <c r="R414" s="67" t="s">
        <v>549</v>
      </c>
      <c r="S414" s="94" t="e">
        <f>VLOOKUP(Proc[[#This Row],[Obj]],#REF!,2,0)</f>
        <v>#REF!</v>
      </c>
    </row>
    <row r="415" spans="1:19" hidden="1">
      <c r="A415" s="62" t="s">
        <v>1743</v>
      </c>
      <c r="B415" s="60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60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138</v>
      </c>
      <c r="R415" s="67" t="s">
        <v>549</v>
      </c>
      <c r="S415" s="60"/>
    </row>
    <row r="416" spans="1:19" hidden="1">
      <c r="A416" s="62" t="s">
        <v>1743</v>
      </c>
      <c r="B416" s="60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60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138</v>
      </c>
      <c r="R416" s="67" t="s">
        <v>549</v>
      </c>
      <c r="S416" s="60"/>
    </row>
    <row r="417" spans="1:19" hidden="1">
      <c r="A417" s="62" t="s">
        <v>1743</v>
      </c>
      <c r="B417" s="60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60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138</v>
      </c>
      <c r="R417" s="67" t="s">
        <v>549</v>
      </c>
      <c r="S417" s="60"/>
    </row>
    <row r="418" spans="1:19" hidden="1">
      <c r="A418" s="62" t="s">
        <v>1743</v>
      </c>
      <c r="B418" s="60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60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138</v>
      </c>
      <c r="R418" s="67" t="s">
        <v>549</v>
      </c>
      <c r="S418" s="60"/>
    </row>
    <row r="419" spans="1:19" hidden="1">
      <c r="A419" s="62" t="s">
        <v>1743</v>
      </c>
      <c r="B419" s="60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60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138</v>
      </c>
      <c r="R419" s="67" t="s">
        <v>549</v>
      </c>
      <c r="S419" s="60"/>
    </row>
    <row r="420" spans="1:19" hidden="1">
      <c r="A420" s="62" t="s">
        <v>1743</v>
      </c>
      <c r="B420" s="60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60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138</v>
      </c>
      <c r="R420" s="67" t="s">
        <v>549</v>
      </c>
      <c r="S420" s="60"/>
    </row>
    <row r="421" spans="1:19" hidden="1">
      <c r="A421" s="62" t="s">
        <v>1743</v>
      </c>
      <c r="B421" s="60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60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138</v>
      </c>
      <c r="R421" s="67" t="s">
        <v>549</v>
      </c>
      <c r="S421" s="94" t="e">
        <f>VLOOKUP(Proc[[#This Row],[Obj]],#REF!,2,0)</f>
        <v>#REF!</v>
      </c>
    </row>
    <row r="422" spans="1:19" hidden="1">
      <c r="A422" s="62" t="s">
        <v>1743</v>
      </c>
      <c r="B422" s="60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60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138</v>
      </c>
      <c r="R422" s="67" t="s">
        <v>549</v>
      </c>
      <c r="S422" s="60"/>
    </row>
    <row r="423" spans="1:19" hidden="1">
      <c r="A423" s="62" t="s">
        <v>1743</v>
      </c>
      <c r="B423" s="60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60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138</v>
      </c>
      <c r="R423" s="67" t="s">
        <v>549</v>
      </c>
      <c r="S423" s="60"/>
    </row>
    <row r="424" spans="1:19" hidden="1">
      <c r="A424" t="s">
        <v>1743</v>
      </c>
      <c r="B424" s="60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60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138</v>
      </c>
      <c r="R424" s="67" t="s">
        <v>549</v>
      </c>
      <c r="S424" s="60"/>
    </row>
    <row r="425" spans="1:19" hidden="1">
      <c r="A425" t="s">
        <v>1743</v>
      </c>
      <c r="B425" s="60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60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138</v>
      </c>
      <c r="R425" s="67" t="s">
        <v>549</v>
      </c>
      <c r="S425" s="60"/>
    </row>
    <row r="426" spans="1:19" hidden="1">
      <c r="A426" s="62" t="s">
        <v>1743</v>
      </c>
      <c r="B426" s="60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60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138</v>
      </c>
      <c r="R426" s="67" t="s">
        <v>549</v>
      </c>
      <c r="S426" s="60"/>
    </row>
    <row r="427" spans="1:19" hidden="1">
      <c r="A427" s="62" t="s">
        <v>1743</v>
      </c>
      <c r="B427" s="60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60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138</v>
      </c>
      <c r="R427" s="67" t="s">
        <v>549</v>
      </c>
      <c r="S427" s="60"/>
    </row>
    <row r="428" spans="1:19" hidden="1">
      <c r="A428" s="62" t="s">
        <v>1743</v>
      </c>
      <c r="B428" s="60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60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138</v>
      </c>
      <c r="R428" s="67" t="s">
        <v>549</v>
      </c>
      <c r="S428" s="60"/>
    </row>
    <row r="429" spans="1:19" hidden="1">
      <c r="A429" t="s">
        <v>1809</v>
      </c>
      <c r="B429" s="60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60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137</v>
      </c>
      <c r="R429" s="67" t="s">
        <v>515</v>
      </c>
      <c r="S429" s="60"/>
    </row>
    <row r="430" spans="1:19" hidden="1">
      <c r="A430" s="62" t="s">
        <v>1809</v>
      </c>
      <c r="B430" s="60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60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137</v>
      </c>
      <c r="R430" s="67" t="s">
        <v>515</v>
      </c>
      <c r="S430" s="60"/>
    </row>
    <row r="431" spans="1:19" hidden="1">
      <c r="A431" s="62" t="s">
        <v>1809</v>
      </c>
      <c r="B431" s="60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60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137</v>
      </c>
      <c r="R431" s="67" t="s">
        <v>515</v>
      </c>
      <c r="S431" s="60"/>
    </row>
    <row r="432" spans="1:19" hidden="1">
      <c r="A432" s="62" t="s">
        <v>1751</v>
      </c>
      <c r="B432" s="60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60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137</v>
      </c>
      <c r="R432" s="67" t="s">
        <v>830</v>
      </c>
      <c r="S432" s="60"/>
    </row>
    <row r="433" spans="1:19" hidden="1">
      <c r="A433" s="62" t="s">
        <v>1751</v>
      </c>
      <c r="B433" s="60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60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137</v>
      </c>
      <c r="R433" s="67" t="s">
        <v>830</v>
      </c>
      <c r="S433" s="60"/>
    </row>
    <row r="434" spans="1:19" hidden="1">
      <c r="A434" s="62" t="s">
        <v>1751</v>
      </c>
      <c r="B434" s="60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60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137</v>
      </c>
      <c r="R434" s="67" t="s">
        <v>830</v>
      </c>
      <c r="S434" s="60"/>
    </row>
    <row r="435" spans="1:19" hidden="1">
      <c r="A435" s="62" t="s">
        <v>1751</v>
      </c>
      <c r="B435" s="60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60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137</v>
      </c>
      <c r="R435" s="67" t="s">
        <v>830</v>
      </c>
      <c r="S435" s="60"/>
    </row>
    <row r="436" spans="1:19" hidden="1">
      <c r="A436" s="62" t="s">
        <v>1751</v>
      </c>
      <c r="B436" s="60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60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137</v>
      </c>
      <c r="R436" s="67" t="s">
        <v>830</v>
      </c>
      <c r="S436" s="60"/>
    </row>
    <row r="437" spans="1:19" hidden="1">
      <c r="A437" s="62" t="s">
        <v>1751</v>
      </c>
      <c r="B437" s="60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60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137</v>
      </c>
      <c r="R437" s="67" t="s">
        <v>830</v>
      </c>
      <c r="S437" s="60"/>
    </row>
    <row r="438" spans="1:19" hidden="1">
      <c r="A438" s="62" t="s">
        <v>1751</v>
      </c>
      <c r="B438" s="60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60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137</v>
      </c>
      <c r="R438" s="67" t="s">
        <v>830</v>
      </c>
      <c r="S438" s="60"/>
    </row>
    <row r="439" spans="1:19" hidden="1">
      <c r="A439" s="62" t="s">
        <v>1751</v>
      </c>
      <c r="B439" s="60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60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137</v>
      </c>
      <c r="R439" s="67" t="s">
        <v>830</v>
      </c>
      <c r="S439" s="60"/>
    </row>
    <row r="440" spans="1:19" hidden="1">
      <c r="A440" s="62" t="s">
        <v>1751</v>
      </c>
      <c r="B440" s="60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60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137</v>
      </c>
      <c r="R440" s="67" t="s">
        <v>830</v>
      </c>
      <c r="S440" s="60"/>
    </row>
    <row r="441" spans="1:19" hidden="1">
      <c r="A441" s="62" t="s">
        <v>1751</v>
      </c>
      <c r="B441" s="60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60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137</v>
      </c>
      <c r="R441" s="67" t="s">
        <v>830</v>
      </c>
      <c r="S441" s="60"/>
    </row>
    <row r="442" spans="1:19" hidden="1">
      <c r="A442" s="62" t="s">
        <v>1751</v>
      </c>
      <c r="B442" s="60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60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137</v>
      </c>
      <c r="R442" s="67" t="s">
        <v>830</v>
      </c>
      <c r="S442" s="60"/>
    </row>
    <row r="443" spans="1:19" hidden="1">
      <c r="A443" s="62" t="s">
        <v>1751</v>
      </c>
      <c r="B443" s="60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60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137</v>
      </c>
      <c r="R443" s="67" t="s">
        <v>830</v>
      </c>
      <c r="S443" s="60"/>
    </row>
    <row r="444" spans="1:19" hidden="1">
      <c r="A444" s="62" t="s">
        <v>1751</v>
      </c>
      <c r="B444" s="60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60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137</v>
      </c>
      <c r="R444" s="67" t="s">
        <v>830</v>
      </c>
      <c r="S444" s="60"/>
    </row>
    <row r="445" spans="1:19" hidden="1">
      <c r="A445" s="62" t="s">
        <v>1751</v>
      </c>
      <c r="B445" s="60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60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137</v>
      </c>
      <c r="R445" s="67" t="s">
        <v>830</v>
      </c>
      <c r="S445" s="60"/>
    </row>
    <row r="446" spans="1:19" hidden="1">
      <c r="A446" s="62" t="s">
        <v>1751</v>
      </c>
      <c r="B446" s="60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60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137</v>
      </c>
      <c r="R446" s="67" t="s">
        <v>830</v>
      </c>
      <c r="S446" s="60"/>
    </row>
    <row r="447" spans="1:19" hidden="1">
      <c r="A447" s="62" t="s">
        <v>1751</v>
      </c>
      <c r="B447" s="60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60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137</v>
      </c>
      <c r="R447" s="67" t="s">
        <v>830</v>
      </c>
      <c r="S447" s="60"/>
    </row>
    <row r="448" spans="1:19" hidden="1">
      <c r="A448" s="62" t="s">
        <v>1751</v>
      </c>
      <c r="B448" s="60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60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137</v>
      </c>
      <c r="R448" s="67" t="s">
        <v>830</v>
      </c>
      <c r="S448" s="60"/>
    </row>
    <row r="449" spans="1:19" hidden="1">
      <c r="A449" s="62" t="s">
        <v>1751</v>
      </c>
      <c r="B449" s="60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60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137</v>
      </c>
      <c r="R449" s="67" t="s">
        <v>830</v>
      </c>
      <c r="S449" s="60"/>
    </row>
    <row r="450" spans="1:19" hidden="1">
      <c r="A450" s="62" t="s">
        <v>1751</v>
      </c>
      <c r="B450" s="60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60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137</v>
      </c>
      <c r="R450" s="67" t="s">
        <v>830</v>
      </c>
      <c r="S450" s="60"/>
    </row>
    <row r="451" spans="1:19" hidden="1">
      <c r="A451" s="62" t="s">
        <v>1751</v>
      </c>
      <c r="B451" s="60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60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137</v>
      </c>
      <c r="R451" s="67" t="s">
        <v>830</v>
      </c>
      <c r="S451" s="60"/>
    </row>
    <row r="452" spans="1:19" hidden="1">
      <c r="A452" s="62" t="s">
        <v>1751</v>
      </c>
      <c r="B452" s="60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60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137</v>
      </c>
      <c r="R452" s="67" t="s">
        <v>830</v>
      </c>
      <c r="S452" s="60"/>
    </row>
    <row r="453" spans="1:19" hidden="1">
      <c r="A453" s="62" t="s">
        <v>1751</v>
      </c>
      <c r="B453" s="60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60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137</v>
      </c>
      <c r="R453" s="67" t="s">
        <v>830</v>
      </c>
      <c r="S453" s="60"/>
    </row>
    <row r="454" spans="1:19" hidden="1">
      <c r="A454" s="62" t="s">
        <v>1751</v>
      </c>
      <c r="B454" s="60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60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137</v>
      </c>
      <c r="R454" s="67" t="s">
        <v>830</v>
      </c>
      <c r="S454" s="60"/>
    </row>
    <row r="455" spans="1:19" hidden="1">
      <c r="A455" s="62" t="s">
        <v>1751</v>
      </c>
      <c r="B455" s="60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60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137</v>
      </c>
      <c r="R455" s="67" t="s">
        <v>830</v>
      </c>
      <c r="S455" s="60"/>
    </row>
    <row r="456" spans="1:19" hidden="1">
      <c r="A456" s="62" t="s">
        <v>1751</v>
      </c>
      <c r="B456" s="60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60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137</v>
      </c>
      <c r="R456" s="67" t="s">
        <v>830</v>
      </c>
      <c r="S456" s="60"/>
    </row>
    <row r="457" spans="1:19" hidden="1">
      <c r="A457" s="62" t="s">
        <v>1751</v>
      </c>
      <c r="B457" s="60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60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137</v>
      </c>
      <c r="R457" s="67" t="s">
        <v>830</v>
      </c>
      <c r="S457" s="60"/>
    </row>
    <row r="458" spans="1:19" hidden="1">
      <c r="A458" s="62" t="s">
        <v>1751</v>
      </c>
      <c r="B458" s="60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60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137</v>
      </c>
      <c r="R458" s="67" t="s">
        <v>830</v>
      </c>
      <c r="S458" s="60"/>
    </row>
    <row r="459" spans="1:19" hidden="1">
      <c r="A459" s="62" t="s">
        <v>1751</v>
      </c>
      <c r="B459" s="60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60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137</v>
      </c>
      <c r="R459" s="67" t="s">
        <v>830</v>
      </c>
      <c r="S459" s="60"/>
    </row>
    <row r="460" spans="1:19" hidden="1">
      <c r="A460" s="62" t="s">
        <v>1751</v>
      </c>
      <c r="B460" s="60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60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137</v>
      </c>
      <c r="R460" s="67" t="s">
        <v>830</v>
      </c>
      <c r="S460" s="60"/>
    </row>
    <row r="461" spans="1:19" hidden="1">
      <c r="A461" s="62" t="s">
        <v>1751</v>
      </c>
      <c r="B461" s="60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60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137</v>
      </c>
      <c r="R461" s="67" t="s">
        <v>830</v>
      </c>
      <c r="S461" s="60"/>
    </row>
    <row r="462" spans="1:19" hidden="1">
      <c r="A462" s="62" t="s">
        <v>1751</v>
      </c>
      <c r="B462" s="60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60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137</v>
      </c>
      <c r="R462" s="67" t="s">
        <v>830</v>
      </c>
      <c r="S462" s="60"/>
    </row>
    <row r="463" spans="1:19" hidden="1">
      <c r="A463" s="62" t="s">
        <v>1751</v>
      </c>
      <c r="B463" s="60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60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137</v>
      </c>
      <c r="R463" s="67" t="s">
        <v>830</v>
      </c>
      <c r="S463" s="60"/>
    </row>
    <row r="464" spans="1:19" hidden="1">
      <c r="A464" s="62" t="s">
        <v>1751</v>
      </c>
      <c r="B464" s="60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60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137</v>
      </c>
      <c r="R464" s="67" t="s">
        <v>830</v>
      </c>
      <c r="S464" s="60"/>
    </row>
    <row r="465" spans="1:19" hidden="1">
      <c r="A465" s="62" t="s">
        <v>1751</v>
      </c>
      <c r="B465" s="60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60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137</v>
      </c>
      <c r="R465" s="67" t="s">
        <v>830</v>
      </c>
      <c r="S465" s="60"/>
    </row>
    <row r="466" spans="1:19" hidden="1">
      <c r="A466" s="62" t="s">
        <v>1751</v>
      </c>
      <c r="B466" s="60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60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137</v>
      </c>
      <c r="R466" s="67" t="s">
        <v>830</v>
      </c>
      <c r="S466" s="60"/>
    </row>
    <row r="467" spans="1:19" hidden="1">
      <c r="A467" s="62" t="s">
        <v>1751</v>
      </c>
      <c r="B467" s="60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60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137</v>
      </c>
      <c r="R467" s="67" t="s">
        <v>830</v>
      </c>
      <c r="S467" s="60"/>
    </row>
    <row r="468" spans="1:19" hidden="1">
      <c r="A468" s="62" t="s">
        <v>1751</v>
      </c>
      <c r="B468" s="60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60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137</v>
      </c>
      <c r="R468" s="67" t="s">
        <v>830</v>
      </c>
      <c r="S468" s="60"/>
    </row>
    <row r="469" spans="1:19" hidden="1">
      <c r="A469" s="62" t="s">
        <v>1751</v>
      </c>
      <c r="B469" s="60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60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137</v>
      </c>
      <c r="R469" s="67" t="s">
        <v>830</v>
      </c>
      <c r="S469" s="60"/>
    </row>
    <row r="470" spans="1:19" hidden="1">
      <c r="A470" s="62" t="s">
        <v>1751</v>
      </c>
      <c r="B470" s="60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60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137</v>
      </c>
      <c r="R470" s="67" t="s">
        <v>830</v>
      </c>
      <c r="S470" s="60"/>
    </row>
    <row r="471" spans="1:19" hidden="1">
      <c r="A471" s="62" t="s">
        <v>1751</v>
      </c>
      <c r="B471" s="60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60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137</v>
      </c>
      <c r="R471" s="67" t="s">
        <v>830</v>
      </c>
      <c r="S471" s="60"/>
    </row>
    <row r="472" spans="1:19" hidden="1">
      <c r="A472" s="62" t="s">
        <v>1751</v>
      </c>
      <c r="B472" s="60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60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137</v>
      </c>
      <c r="R472" s="67" t="s">
        <v>830</v>
      </c>
      <c r="S472" s="60"/>
    </row>
    <row r="473" spans="1:19" hidden="1">
      <c r="A473" s="62" t="s">
        <v>1751</v>
      </c>
      <c r="B473" s="60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60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137</v>
      </c>
      <c r="R473" s="67" t="s">
        <v>830</v>
      </c>
      <c r="S473" s="60"/>
    </row>
    <row r="474" spans="1:19" hidden="1">
      <c r="A474" s="62" t="s">
        <v>1751</v>
      </c>
      <c r="B474" s="60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60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137</v>
      </c>
      <c r="R474" s="67" t="s">
        <v>830</v>
      </c>
      <c r="S474" s="60"/>
    </row>
    <row r="475" spans="1:19" hidden="1">
      <c r="A475" s="62" t="s">
        <v>1751</v>
      </c>
      <c r="B475" s="60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60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137</v>
      </c>
      <c r="R475" s="67" t="s">
        <v>830</v>
      </c>
      <c r="S475" s="60"/>
    </row>
    <row r="476" spans="1:19" hidden="1">
      <c r="A476" s="62" t="s">
        <v>1751</v>
      </c>
      <c r="B476" s="60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60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137</v>
      </c>
      <c r="R476" s="67" t="s">
        <v>830</v>
      </c>
      <c r="S476" s="60"/>
    </row>
    <row r="477" spans="1:19" hidden="1">
      <c r="A477" s="62" t="s">
        <v>1751</v>
      </c>
      <c r="B477" s="60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60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137</v>
      </c>
      <c r="R477" s="67" t="s">
        <v>830</v>
      </c>
      <c r="S477" s="60"/>
    </row>
    <row r="478" spans="1:19" hidden="1">
      <c r="A478" s="62" t="s">
        <v>1751</v>
      </c>
      <c r="B478" s="60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60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137</v>
      </c>
      <c r="R478" s="67" t="s">
        <v>830</v>
      </c>
      <c r="S478" s="60"/>
    </row>
    <row r="479" spans="1:19" hidden="1">
      <c r="A479" s="62" t="s">
        <v>1751</v>
      </c>
      <c r="B479" s="60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60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137</v>
      </c>
      <c r="R479" s="67" t="s">
        <v>830</v>
      </c>
      <c r="S479" s="60"/>
    </row>
    <row r="480" spans="1:19" hidden="1">
      <c r="A480" s="62" t="s">
        <v>1751</v>
      </c>
      <c r="B480" s="60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60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137</v>
      </c>
      <c r="R480" s="67" t="s">
        <v>830</v>
      </c>
      <c r="S480" s="60"/>
    </row>
    <row r="481" spans="1:19" hidden="1">
      <c r="A481" s="62" t="s">
        <v>1751</v>
      </c>
      <c r="B481" s="60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60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137</v>
      </c>
      <c r="R481" s="67" t="s">
        <v>830</v>
      </c>
      <c r="S481" s="60"/>
    </row>
    <row r="482" spans="1:19" hidden="1">
      <c r="A482" s="62" t="s">
        <v>1751</v>
      </c>
      <c r="B482" s="60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60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137</v>
      </c>
      <c r="R482" s="67" t="s">
        <v>830</v>
      </c>
      <c r="S482" s="60"/>
    </row>
    <row r="483" spans="1:19" hidden="1">
      <c r="A483" s="62" t="s">
        <v>1751</v>
      </c>
      <c r="B483" s="60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60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137</v>
      </c>
      <c r="R483" s="67" t="s">
        <v>830</v>
      </c>
      <c r="S483" s="60"/>
    </row>
    <row r="484" spans="1:19" hidden="1">
      <c r="A484" s="62" t="s">
        <v>1751</v>
      </c>
      <c r="B484" s="60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60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137</v>
      </c>
      <c r="R484" s="67" t="s">
        <v>830</v>
      </c>
      <c r="S484" s="60"/>
    </row>
    <row r="485" spans="1:19" hidden="1">
      <c r="A485" t="s">
        <v>1751</v>
      </c>
      <c r="B485" s="60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60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137</v>
      </c>
      <c r="R485" s="67" t="s">
        <v>830</v>
      </c>
      <c r="S485" s="60"/>
    </row>
    <row r="486" spans="1:19" hidden="1">
      <c r="A486" s="62" t="s">
        <v>1751</v>
      </c>
      <c r="B486" s="60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60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137</v>
      </c>
      <c r="R486" s="67" t="s">
        <v>830</v>
      </c>
      <c r="S486" s="60"/>
    </row>
    <row r="487" spans="1:19" hidden="1">
      <c r="A487" s="62" t="s">
        <v>1751</v>
      </c>
      <c r="B487" s="60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60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137</v>
      </c>
      <c r="R487" s="67" t="s">
        <v>830</v>
      </c>
      <c r="S487" s="60"/>
    </row>
    <row r="488" spans="1:19" hidden="1">
      <c r="A488" t="s">
        <v>1818</v>
      </c>
      <c r="B488" s="60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60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136</v>
      </c>
      <c r="R488" s="67" t="s">
        <v>1459</v>
      </c>
      <c r="S488" s="60"/>
    </row>
    <row r="489" spans="1:19" hidden="1">
      <c r="A489" s="62" t="s">
        <v>1818</v>
      </c>
      <c r="B489" s="60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60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136</v>
      </c>
      <c r="R489" s="67" t="s">
        <v>1459</v>
      </c>
      <c r="S489" s="60"/>
    </row>
    <row r="490" spans="1:19" hidden="1">
      <c r="A490" s="62" t="s">
        <v>1818</v>
      </c>
      <c r="B490" s="60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60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136</v>
      </c>
      <c r="R490" s="67" t="s">
        <v>1459</v>
      </c>
      <c r="S490" s="60"/>
    </row>
    <row r="491" spans="1:19" hidden="1">
      <c r="A491" s="62" t="s">
        <v>1818</v>
      </c>
      <c r="B491" s="60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60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136</v>
      </c>
      <c r="R491" s="67" t="s">
        <v>1459</v>
      </c>
      <c r="S491" s="60"/>
    </row>
    <row r="492" spans="1:19" hidden="1">
      <c r="A492" s="62" t="s">
        <v>1818</v>
      </c>
      <c r="B492" s="60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60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136</v>
      </c>
      <c r="R492" s="67" t="s">
        <v>1459</v>
      </c>
      <c r="S492" s="60"/>
    </row>
    <row r="493" spans="1:19" hidden="1">
      <c r="A493" t="s">
        <v>1819</v>
      </c>
      <c r="B493" s="60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60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135</v>
      </c>
      <c r="R493" s="67" t="s">
        <v>515</v>
      </c>
      <c r="S493" s="60"/>
    </row>
    <row r="494" spans="1:19" hidden="1">
      <c r="A494" s="62" t="s">
        <v>1819</v>
      </c>
      <c r="B494" s="60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60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135</v>
      </c>
      <c r="R494" s="67" t="s">
        <v>515</v>
      </c>
      <c r="S494" s="94" t="e">
        <f>VLOOKUP(Proc[[#This Row],[Obj]],#REF!,2,0)</f>
        <v>#REF!</v>
      </c>
    </row>
    <row r="495" spans="1:19" hidden="1">
      <c r="A495" t="s">
        <v>1822</v>
      </c>
      <c r="B495" s="60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60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60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60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133</v>
      </c>
      <c r="R496" s="67" t="s">
        <v>515</v>
      </c>
      <c r="S496" s="60"/>
    </row>
    <row r="497" spans="1:19" hidden="1">
      <c r="A497" s="62" t="s">
        <v>1824</v>
      </c>
      <c r="B497" s="60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60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133</v>
      </c>
      <c r="R497" s="67" t="s">
        <v>515</v>
      </c>
      <c r="S497" s="60"/>
    </row>
    <row r="498" spans="1:19" hidden="1">
      <c r="A498" t="s">
        <v>1826</v>
      </c>
      <c r="B498" s="60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60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132</v>
      </c>
      <c r="R498" s="67" t="s">
        <v>1459</v>
      </c>
      <c r="S498" s="60"/>
    </row>
    <row r="499" spans="1:19" hidden="1">
      <c r="A499" t="s">
        <v>1831</v>
      </c>
      <c r="B499" s="6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69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6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69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6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69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6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69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6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69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6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69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6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69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6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69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6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69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6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69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6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69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6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69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6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69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6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69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6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69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6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69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6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69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6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69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6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69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6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69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6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69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6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69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6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69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6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69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6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69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6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69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6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69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6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69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6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69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6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69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6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69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6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69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6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69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6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69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6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69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6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69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6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69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6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69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6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69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6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69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6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69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6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69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 hidden="1">
      <c r="A541" s="68" t="s">
        <v>1843</v>
      </c>
      <c r="B541" s="6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69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6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69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6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69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6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69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6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69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6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69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6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69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6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69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6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69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6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69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6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69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6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69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6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69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6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69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6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69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6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69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6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69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6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69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6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69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6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69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6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69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6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69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6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69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6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69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6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69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6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69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6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69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6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69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6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69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6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69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6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69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6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69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6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69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6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69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6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69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6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69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6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69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6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69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 hidden="1">
      <c r="A579" s="68" t="s">
        <v>1843</v>
      </c>
      <c r="B579" s="6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69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6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69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6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69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6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69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6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69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6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69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6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69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6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69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6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69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6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69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6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69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6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69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6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69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6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69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6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69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6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69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6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69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6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69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6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69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6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69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6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69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6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69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6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69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6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69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6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69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6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69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6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69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6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69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6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69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6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69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6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69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6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69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6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69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6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69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129</v>
      </c>
      <c r="R612" s="70" t="s">
        <v>1076</v>
      </c>
      <c r="S612" s="94" t="e">
        <f>VLOOKUP(Proc[[#This Row],[Obj]],#REF!,2,0)</f>
        <v>#REF!</v>
      </c>
    </row>
    <row r="613" spans="1:19" hidden="1">
      <c r="A613" s="68" t="s">
        <v>1998</v>
      </c>
      <c r="B613" s="6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69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129</v>
      </c>
      <c r="R613" s="70" t="s">
        <v>1076</v>
      </c>
      <c r="S613" s="94" t="e">
        <f>VLOOKUP(Proc[[#This Row],[Obj]],#REF!,2,0)</f>
        <v>#REF!</v>
      </c>
    </row>
    <row r="614" spans="1:19" hidden="1">
      <c r="A614" s="68" t="s">
        <v>1998</v>
      </c>
      <c r="B614" s="6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69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129</v>
      </c>
      <c r="R614" s="70" t="s">
        <v>1076</v>
      </c>
      <c r="S614" s="94" t="e">
        <f>VLOOKUP(Proc[[#This Row],[Obj]],#REF!,2,0)</f>
        <v>#REF!</v>
      </c>
    </row>
    <row r="615" spans="1:19" hidden="1">
      <c r="A615" s="68" t="s">
        <v>1998</v>
      </c>
      <c r="B615" s="6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69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129</v>
      </c>
      <c r="R615" s="70" t="s">
        <v>1076</v>
      </c>
      <c r="S615" s="94" t="e">
        <f>VLOOKUP(Proc[[#This Row],[Obj]],#REF!,2,0)</f>
        <v>#REF!</v>
      </c>
    </row>
    <row r="616" spans="1:19" hidden="1">
      <c r="A616" s="68" t="s">
        <v>1998</v>
      </c>
      <c r="B616" s="6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69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129</v>
      </c>
      <c r="R616" s="70" t="s">
        <v>1076</v>
      </c>
      <c r="S616" s="94" t="e">
        <f>VLOOKUP(Proc[[#This Row],[Obj]],#REF!,2,0)</f>
        <v>#REF!</v>
      </c>
    </row>
    <row r="617" spans="1:19" hidden="1">
      <c r="A617" s="68" t="s">
        <v>1998</v>
      </c>
      <c r="B617" s="6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69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129</v>
      </c>
      <c r="R617" s="70" t="s">
        <v>1076</v>
      </c>
      <c r="S617" s="94" t="e">
        <f>VLOOKUP(Proc[[#This Row],[Obj]],#REF!,2,0)</f>
        <v>#REF!</v>
      </c>
    </row>
    <row r="618" spans="1:19" hidden="1">
      <c r="A618" s="68" t="s">
        <v>1998</v>
      </c>
      <c r="B618" s="6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69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129</v>
      </c>
      <c r="R618" s="70" t="s">
        <v>1076</v>
      </c>
      <c r="S618" s="94" t="e">
        <f>VLOOKUP(Proc[[#This Row],[Obj]],#REF!,2,0)</f>
        <v>#REF!</v>
      </c>
    </row>
    <row r="619" spans="1:19" hidden="1">
      <c r="A619" s="68" t="s">
        <v>1998</v>
      </c>
      <c r="B619" s="6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69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129</v>
      </c>
      <c r="R619" s="70" t="s">
        <v>1076</v>
      </c>
      <c r="S619" s="69"/>
    </row>
    <row r="620" spans="1:19" hidden="1">
      <c r="A620" s="68" t="s">
        <v>1998</v>
      </c>
      <c r="B620" s="6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69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129</v>
      </c>
      <c r="R620" s="70" t="s">
        <v>1076</v>
      </c>
      <c r="S620" s="69"/>
    </row>
    <row r="621" spans="1:19" hidden="1">
      <c r="A621" s="68" t="s">
        <v>1998</v>
      </c>
      <c r="B621" s="6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69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129</v>
      </c>
      <c r="R621" s="70" t="s">
        <v>1076</v>
      </c>
      <c r="S621" s="69"/>
    </row>
    <row r="622" spans="1:19" hidden="1">
      <c r="A622" s="68" t="s">
        <v>1998</v>
      </c>
      <c r="B622" s="6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69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129</v>
      </c>
      <c r="R622" s="70" t="s">
        <v>1076</v>
      </c>
      <c r="S622" s="69"/>
    </row>
    <row r="623" spans="1:19" hidden="1">
      <c r="A623" t="s">
        <v>2009</v>
      </c>
      <c r="B623" s="6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69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129</v>
      </c>
      <c r="R623" s="70" t="s">
        <v>1001</v>
      </c>
      <c r="S623" s="69"/>
    </row>
    <row r="624" spans="1:19" hidden="1">
      <c r="A624" s="68" t="s">
        <v>2009</v>
      </c>
      <c r="B624" s="6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69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129</v>
      </c>
      <c r="R624" s="70" t="s">
        <v>1001</v>
      </c>
      <c r="S624" s="69"/>
    </row>
    <row r="625" spans="1:19" hidden="1">
      <c r="A625" s="68" t="s">
        <v>2009</v>
      </c>
      <c r="B625" s="6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69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129</v>
      </c>
      <c r="R625" s="70" t="s">
        <v>1001</v>
      </c>
      <c r="S625" s="69"/>
    </row>
    <row r="626" spans="1:19" hidden="1">
      <c r="A626" s="68" t="s">
        <v>2009</v>
      </c>
      <c r="B626" s="6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69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129</v>
      </c>
      <c r="R626" s="70" t="s">
        <v>1001</v>
      </c>
      <c r="S626" s="69"/>
    </row>
    <row r="627" spans="1:19" hidden="1">
      <c r="A627" s="68" t="s">
        <v>2009</v>
      </c>
      <c r="B627" s="6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69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129</v>
      </c>
      <c r="R627" s="70" t="s">
        <v>1001</v>
      </c>
      <c r="S627" s="69"/>
    </row>
    <row r="628" spans="1:19" hidden="1">
      <c r="A628" t="s">
        <v>2009</v>
      </c>
      <c r="B628" s="6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69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129</v>
      </c>
      <c r="R628" s="70" t="s">
        <v>1001</v>
      </c>
      <c r="S628" s="69"/>
    </row>
    <row r="629" spans="1:19" hidden="1">
      <c r="A629" s="68" t="s">
        <v>2009</v>
      </c>
      <c r="B629" s="6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69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129</v>
      </c>
      <c r="R629" s="70" t="s">
        <v>1001</v>
      </c>
      <c r="S629" s="69"/>
    </row>
    <row r="630" spans="1:19" hidden="1">
      <c r="A630" s="68" t="s">
        <v>2009</v>
      </c>
      <c r="B630" s="6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69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129</v>
      </c>
      <c r="R630" s="70" t="s">
        <v>1001</v>
      </c>
      <c r="S630" s="69"/>
    </row>
    <row r="631" spans="1:19" hidden="1">
      <c r="A631" s="68" t="s">
        <v>2009</v>
      </c>
      <c r="B631" s="6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69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129</v>
      </c>
      <c r="R631" s="70" t="s">
        <v>1001</v>
      </c>
      <c r="S631" s="69"/>
    </row>
    <row r="632" spans="1:19" hidden="1">
      <c r="A632" s="68" t="s">
        <v>2009</v>
      </c>
      <c r="B632" s="6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69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129</v>
      </c>
      <c r="R632" s="70" t="s">
        <v>1001</v>
      </c>
      <c r="S632" s="69"/>
    </row>
    <row r="633" spans="1:19" hidden="1">
      <c r="A633" s="68" t="s">
        <v>2025</v>
      </c>
      <c r="B633" s="6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69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6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69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6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69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128</v>
      </c>
      <c r="R635" s="70" t="s">
        <v>830</v>
      </c>
      <c r="S635" s="69"/>
    </row>
    <row r="636" spans="1:19" hidden="1">
      <c r="A636" s="68" t="s">
        <v>2003</v>
      </c>
      <c r="B636" s="6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69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128</v>
      </c>
      <c r="R636" s="70" t="s">
        <v>830</v>
      </c>
      <c r="S636" s="69"/>
    </row>
    <row r="637" spans="1:19" hidden="1">
      <c r="A637" s="68" t="s">
        <v>2003</v>
      </c>
      <c r="B637" s="6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69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128</v>
      </c>
      <c r="R637" s="70" t="s">
        <v>830</v>
      </c>
      <c r="S637" s="69"/>
    </row>
    <row r="638" spans="1:19" hidden="1">
      <c r="A638" t="s">
        <v>2003</v>
      </c>
      <c r="B638" s="6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69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128</v>
      </c>
      <c r="R638" s="70" t="s">
        <v>830</v>
      </c>
      <c r="S638" s="69"/>
    </row>
    <row r="639" spans="1:19" hidden="1">
      <c r="A639" t="s">
        <v>2003</v>
      </c>
      <c r="B639" s="6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69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128</v>
      </c>
      <c r="R639" s="70" t="s">
        <v>830</v>
      </c>
      <c r="S639" s="69"/>
    </row>
    <row r="640" spans="1:19" hidden="1">
      <c r="A640" t="s">
        <v>2026</v>
      </c>
      <c r="B640" s="6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69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6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69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6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69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6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69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6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69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6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69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6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69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6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69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6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69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6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69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6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69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6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69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6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69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6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69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6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69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6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69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6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69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6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69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6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69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6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69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6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69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6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69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6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69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6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69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6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69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6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69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6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69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6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69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6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69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6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69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6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69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6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69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6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69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6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69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6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69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6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69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6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69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6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69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6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69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6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69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6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69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6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69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6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69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6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69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6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69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6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69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6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69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6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69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6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69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6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69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6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69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6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69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6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69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6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69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6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69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6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69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6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69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6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69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6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69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6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69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6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69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6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69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6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69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6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69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6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69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6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69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6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69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6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69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6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69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6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69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6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69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6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69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6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69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6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69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6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69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6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69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6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69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6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69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6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69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6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69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6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69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6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69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6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69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6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69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6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69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6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69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6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69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6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69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6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69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6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69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6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69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6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69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6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69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6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69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6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69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6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69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6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69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123</v>
      </c>
      <c r="R736" s="70" t="s">
        <v>484</v>
      </c>
      <c r="S736" s="69"/>
    </row>
    <row r="737" spans="1:19" hidden="1">
      <c r="A737" s="68" t="s">
        <v>2088</v>
      </c>
      <c r="B737" s="6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69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123</v>
      </c>
      <c r="R737" s="70" t="s">
        <v>484</v>
      </c>
      <c r="S737" s="69"/>
    </row>
    <row r="738" spans="1:19" hidden="1">
      <c r="A738" s="68" t="s">
        <v>2088</v>
      </c>
      <c r="B738" s="6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69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123</v>
      </c>
      <c r="R738" s="70" t="s">
        <v>484</v>
      </c>
      <c r="S738" s="69"/>
    </row>
    <row r="739" spans="1:19" hidden="1">
      <c r="A739" t="s">
        <v>2197</v>
      </c>
      <c r="B739" s="6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69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6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69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6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69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6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69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6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69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6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69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6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69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6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69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6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69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6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69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6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69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6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69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6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69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6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69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6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69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6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69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6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69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6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69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6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69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6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69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6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69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6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69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6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69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6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69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6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69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6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69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6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69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6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69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6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69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6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69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6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69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6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69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6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69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6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69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6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69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6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69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6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69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6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69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6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69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6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69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6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69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6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69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6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69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6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69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6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69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6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69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6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69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6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69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6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69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6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69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6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69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6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69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6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69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6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69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6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69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6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69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6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69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6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69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6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69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6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69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6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69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6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69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6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69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6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69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6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69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6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69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6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69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6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69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6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69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6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69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6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69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6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69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6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69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6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69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6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69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6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69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 hidden="1">
      <c r="A815" s="68" t="s">
        <v>2281</v>
      </c>
      <c r="B815" s="6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69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 hidden="1">
      <c r="A816" s="68" t="s">
        <v>2281</v>
      </c>
      <c r="B816" s="6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69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 hidden="1">
      <c r="A817" s="68" t="s">
        <v>2281</v>
      </c>
      <c r="B817" s="6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69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6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69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6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69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6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69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6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69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6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69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6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69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6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69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6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69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6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69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6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69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 hidden="1">
      <c r="A828" s="68" t="s">
        <v>2281</v>
      </c>
      <c r="B828" s="6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69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 hidden="1">
      <c r="A829" s="68" t="s">
        <v>2281</v>
      </c>
      <c r="B829" s="6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69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 hidden="1">
      <c r="A830" s="68" t="s">
        <v>2281</v>
      </c>
      <c r="B830" s="6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69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 hidden="1">
      <c r="A831" t="s">
        <v>2311</v>
      </c>
      <c r="B831" s="6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69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6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69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6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69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6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69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6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69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6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69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6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69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6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69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6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69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6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69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6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69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6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69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6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69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6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69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6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69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6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69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6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69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6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69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6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69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6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69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6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69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6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69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6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69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 hidden="1">
      <c r="A854" s="68" t="s">
        <v>2348</v>
      </c>
      <c r="B854" s="6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69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 hidden="1">
      <c r="A855" s="68" t="s">
        <v>2344</v>
      </c>
      <c r="B855" s="6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69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 hidden="1">
      <c r="A856" s="68" t="s">
        <v>2344</v>
      </c>
      <c r="B856" s="6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69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 hidden="1">
      <c r="A857" s="68" t="s">
        <v>2344</v>
      </c>
      <c r="B857" s="6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69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 hidden="1">
      <c r="A858" s="68" t="s">
        <v>2344</v>
      </c>
      <c r="B858" s="6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69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6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69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6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69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6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69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118</v>
      </c>
      <c r="R861" s="70" t="s">
        <v>1459</v>
      </c>
      <c r="S861" s="69"/>
    </row>
    <row r="862" spans="1:19" hidden="1">
      <c r="A862" t="s">
        <v>2333</v>
      </c>
      <c r="B862" s="6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69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118</v>
      </c>
      <c r="R862" s="70" t="s">
        <v>1459</v>
      </c>
      <c r="S862" s="69"/>
    </row>
    <row r="863" spans="1:19" hidden="1">
      <c r="A863" s="68" t="s">
        <v>2333</v>
      </c>
      <c r="B863" s="6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69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118</v>
      </c>
      <c r="R863" s="70" t="s">
        <v>1459</v>
      </c>
      <c r="S863" s="69"/>
    </row>
    <row r="864" spans="1:19" hidden="1">
      <c r="A864" s="68" t="s">
        <v>2333</v>
      </c>
      <c r="B864" s="6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69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118</v>
      </c>
      <c r="R864" s="70" t="s">
        <v>1459</v>
      </c>
      <c r="S864" s="69"/>
    </row>
    <row r="865" spans="1:19" hidden="1">
      <c r="A865" s="68" t="s">
        <v>2333</v>
      </c>
      <c r="B865" s="6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69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118</v>
      </c>
      <c r="R865" s="70" t="s">
        <v>1459</v>
      </c>
      <c r="S865" s="69"/>
    </row>
    <row r="866" spans="1:19" hidden="1">
      <c r="A866" s="68" t="s">
        <v>2333</v>
      </c>
      <c r="B866" s="6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69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6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69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118</v>
      </c>
      <c r="R867" s="70" t="s">
        <v>1459</v>
      </c>
      <c r="S867" s="69"/>
    </row>
    <row r="868" spans="1:19" hidden="1">
      <c r="A868" s="68" t="s">
        <v>2333</v>
      </c>
      <c r="B868" s="6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69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118</v>
      </c>
      <c r="R868" s="70" t="s">
        <v>1459</v>
      </c>
      <c r="S868" s="69"/>
    </row>
    <row r="869" spans="1:19" hidden="1">
      <c r="A869" s="68" t="s">
        <v>2333</v>
      </c>
      <c r="B869" s="6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69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118</v>
      </c>
      <c r="R869" s="70" t="s">
        <v>1459</v>
      </c>
      <c r="S869" s="69"/>
    </row>
    <row r="870" spans="1:19" hidden="1">
      <c r="A870" s="68" t="s">
        <v>2333</v>
      </c>
      <c r="B870" s="6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69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118</v>
      </c>
      <c r="R870" s="70" t="s">
        <v>1459</v>
      </c>
      <c r="S870" s="69"/>
    </row>
    <row r="871" spans="1:19" hidden="1">
      <c r="A871" s="68" t="s">
        <v>2333</v>
      </c>
      <c r="B871" s="6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69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118</v>
      </c>
      <c r="R871" s="70" t="s">
        <v>1459</v>
      </c>
      <c r="S871" s="69"/>
    </row>
    <row r="872" spans="1:19" hidden="1">
      <c r="A872" s="68" t="s">
        <v>2333</v>
      </c>
      <c r="B872" s="6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69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118</v>
      </c>
      <c r="R872" s="70" t="s">
        <v>1459</v>
      </c>
      <c r="S872" s="69"/>
    </row>
    <row r="873" spans="1:19" hidden="1">
      <c r="A873" s="68" t="s">
        <v>2333</v>
      </c>
      <c r="B873" s="6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69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118</v>
      </c>
      <c r="R873" s="70" t="s">
        <v>1459</v>
      </c>
      <c r="S873" s="69"/>
    </row>
    <row r="874" spans="1:19" hidden="1">
      <c r="A874" s="68" t="s">
        <v>2333</v>
      </c>
      <c r="B874" s="6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69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118</v>
      </c>
      <c r="R874" s="70" t="s">
        <v>1459</v>
      </c>
      <c r="S874" s="69"/>
    </row>
    <row r="875" spans="1:19" hidden="1">
      <c r="A875" s="68" t="s">
        <v>2333</v>
      </c>
      <c r="B875" s="6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69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118</v>
      </c>
      <c r="R875" s="70" t="s">
        <v>1459</v>
      </c>
      <c r="S875" s="69"/>
    </row>
    <row r="876" spans="1:19" hidden="1">
      <c r="A876" s="68" t="s">
        <v>2333</v>
      </c>
      <c r="B876" s="6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69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118</v>
      </c>
      <c r="R876" s="70" t="s">
        <v>1459</v>
      </c>
      <c r="S876" s="69"/>
    </row>
    <row r="877" spans="1:19" hidden="1">
      <c r="A877" s="68" t="s">
        <v>2333</v>
      </c>
      <c r="B877" s="6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69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118</v>
      </c>
      <c r="R877" s="70" t="s">
        <v>1459</v>
      </c>
      <c r="S877" s="69"/>
    </row>
    <row r="878" spans="1:19" hidden="1">
      <c r="A878" s="68" t="s">
        <v>2333</v>
      </c>
      <c r="B878" s="6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69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118</v>
      </c>
      <c r="R878" s="70" t="s">
        <v>1459</v>
      </c>
      <c r="S878" s="69"/>
    </row>
    <row r="879" spans="1:19" hidden="1">
      <c r="A879" s="68" t="s">
        <v>2333</v>
      </c>
      <c r="B879" s="6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69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118</v>
      </c>
      <c r="R879" s="70" t="s">
        <v>1459</v>
      </c>
      <c r="S879" s="69"/>
    </row>
    <row r="880" spans="1:19" hidden="1">
      <c r="A880" t="s">
        <v>2313</v>
      </c>
      <c r="B880" s="6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69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6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69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6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69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6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69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 hidden="1">
      <c r="A884" t="s">
        <v>2384</v>
      </c>
      <c r="B884" s="6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69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 hidden="1">
      <c r="A885" t="s">
        <v>2384</v>
      </c>
      <c r="B885" s="6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69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6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69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114</v>
      </c>
      <c r="R886" s="70" t="s">
        <v>2400</v>
      </c>
      <c r="S886" s="69"/>
    </row>
    <row r="887" spans="1:19" hidden="1">
      <c r="A887" s="68" t="s">
        <v>2396</v>
      </c>
      <c r="B887" s="6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69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114</v>
      </c>
      <c r="R887" s="70" t="s">
        <v>2400</v>
      </c>
      <c r="S887" s="69"/>
    </row>
    <row r="888" spans="1:19" hidden="1">
      <c r="A888" s="68" t="s">
        <v>2396</v>
      </c>
      <c r="B888" s="6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69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114</v>
      </c>
      <c r="R888" s="70" t="s">
        <v>2400</v>
      </c>
      <c r="S888" s="69"/>
    </row>
    <row r="889" spans="1:19" hidden="1">
      <c r="A889" s="68" t="s">
        <v>2396</v>
      </c>
      <c r="B889" s="6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69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6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69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6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69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6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69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6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69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6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69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6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69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6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69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6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69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6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69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6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69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6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69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6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69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6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69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6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69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6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69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6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69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6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69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6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69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109</v>
      </c>
      <c r="R907" s="70" t="s">
        <v>515</v>
      </c>
      <c r="S907" s="69"/>
    </row>
    <row r="908" spans="1:19" hidden="1">
      <c r="A908" t="s">
        <v>2439</v>
      </c>
      <c r="B908" s="6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69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108</v>
      </c>
      <c r="R908" s="70" t="s">
        <v>2440</v>
      </c>
      <c r="S908" s="69"/>
    </row>
    <row r="909" spans="1:19" hidden="1">
      <c r="A909" t="s">
        <v>2459</v>
      </c>
      <c r="B909" s="6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69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108</v>
      </c>
      <c r="R909" s="70" t="s">
        <v>830</v>
      </c>
      <c r="S909" s="94" t="e">
        <f>VLOOKUP(Proc[[#This Row],[Obj]],#REF!,2,0)</f>
        <v>#REF!</v>
      </c>
    </row>
    <row r="910" spans="1:19" hidden="1">
      <c r="A910" s="72" t="s">
        <v>2459</v>
      </c>
      <c r="B910" s="6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69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108</v>
      </c>
      <c r="R910" s="70" t="s">
        <v>830</v>
      </c>
      <c r="S910" s="94" t="e">
        <f>VLOOKUP(Proc[[#This Row],[Obj]],#REF!,2,0)</f>
        <v>#REF!</v>
      </c>
    </row>
    <row r="911" spans="1:19" hidden="1">
      <c r="A911" s="72" t="s">
        <v>2459</v>
      </c>
      <c r="B911" s="6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69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108</v>
      </c>
      <c r="R911" s="70" t="s">
        <v>830</v>
      </c>
      <c r="S911" s="94" t="e">
        <f>VLOOKUP(Proc[[#This Row],[Obj]],#REF!,2,0)</f>
        <v>#REF!</v>
      </c>
    </row>
    <row r="912" spans="1:19" hidden="1">
      <c r="A912" s="72" t="s">
        <v>2459</v>
      </c>
      <c r="B912" s="6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69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108</v>
      </c>
      <c r="R912" s="70" t="s">
        <v>830</v>
      </c>
      <c r="S912" s="94" t="e">
        <f>VLOOKUP(Proc[[#This Row],[Obj]],#REF!,2,0)</f>
        <v>#REF!</v>
      </c>
    </row>
    <row r="913" spans="1:19" hidden="1">
      <c r="A913" s="72" t="s">
        <v>2459</v>
      </c>
      <c r="B913" s="6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69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108</v>
      </c>
      <c r="R913" s="70" t="s">
        <v>830</v>
      </c>
      <c r="S913" s="94" t="e">
        <f>VLOOKUP(Proc[[#This Row],[Obj]],#REF!,2,0)</f>
        <v>#REF!</v>
      </c>
    </row>
    <row r="914" spans="1:19" hidden="1">
      <c r="A914" s="72" t="s">
        <v>2459</v>
      </c>
      <c r="B914" s="6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69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108</v>
      </c>
      <c r="R914" s="70" t="s">
        <v>830</v>
      </c>
      <c r="S914" s="94" t="e">
        <f>VLOOKUP(Proc[[#This Row],[Obj]],#REF!,2,0)</f>
        <v>#REF!</v>
      </c>
    </row>
    <row r="915" spans="1:19" hidden="1">
      <c r="A915" s="72" t="s">
        <v>2459</v>
      </c>
      <c r="B915" s="6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69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108</v>
      </c>
      <c r="R915" s="70" t="s">
        <v>830</v>
      </c>
      <c r="S915" s="94" t="e">
        <f>VLOOKUP(Proc[[#This Row],[Obj]],#REF!,2,0)</f>
        <v>#REF!</v>
      </c>
    </row>
    <row r="916" spans="1:19" hidden="1">
      <c r="A916" s="72" t="s">
        <v>2459</v>
      </c>
      <c r="B916" s="6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69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108</v>
      </c>
      <c r="R916" s="70" t="s">
        <v>830</v>
      </c>
      <c r="S916" s="94" t="e">
        <f>VLOOKUP(Proc[[#This Row],[Obj]],#REF!,2,0)</f>
        <v>#REF!</v>
      </c>
    </row>
    <row r="917" spans="1:19" hidden="1">
      <c r="A917" s="72" t="s">
        <v>2459</v>
      </c>
      <c r="B917" s="6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69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108</v>
      </c>
      <c r="R917" s="70" t="s">
        <v>830</v>
      </c>
      <c r="S917" s="94" t="e">
        <f>VLOOKUP(Proc[[#This Row],[Obj]],#REF!,2,0)</f>
        <v>#REF!</v>
      </c>
    </row>
    <row r="918" spans="1:19" hidden="1">
      <c r="A918" s="72" t="s">
        <v>2459</v>
      </c>
      <c r="B918" s="6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69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108</v>
      </c>
      <c r="R918" s="70" t="s">
        <v>830</v>
      </c>
      <c r="S918" s="94" t="e">
        <f>VLOOKUP(Proc[[#This Row],[Obj]],#REF!,2,0)</f>
        <v>#REF!</v>
      </c>
    </row>
    <row r="919" spans="1:19" hidden="1">
      <c r="A919" s="72" t="s">
        <v>2459</v>
      </c>
      <c r="B919" s="6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69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108</v>
      </c>
      <c r="R919" s="70" t="s">
        <v>830</v>
      </c>
      <c r="S919" s="94" t="e">
        <f>VLOOKUP(Proc[[#This Row],[Obj]],#REF!,2,0)</f>
        <v>#REF!</v>
      </c>
    </row>
    <row r="920" spans="1:19" hidden="1">
      <c r="A920" t="s">
        <v>2460</v>
      </c>
      <c r="B920" s="6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69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6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69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6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69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6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69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6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69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6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69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6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69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6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69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6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69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6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69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6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69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6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69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6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69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6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69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6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69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6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69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6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69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6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69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6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69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6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69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6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69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6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69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6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69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6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69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6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69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6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69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6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69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6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69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6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69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6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69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6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69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6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69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6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69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6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69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6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69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6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69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6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69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6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69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6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69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6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69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6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69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6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69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6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69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6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69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6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69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6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69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6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69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6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69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6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69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6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69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6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69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6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69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6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69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6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69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6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69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6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69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6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69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6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69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6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69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6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69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6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69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6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69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6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69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6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69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6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69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6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69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6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69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6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69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6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69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6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69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6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69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6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69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6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69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6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69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6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69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6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69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6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69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6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69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6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69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6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69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6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69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6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69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6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69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6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69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6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69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6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69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6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69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6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69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6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69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94</v>
      </c>
      <c r="R1008" s="74" t="s">
        <v>972</v>
      </c>
      <c r="S1008" s="69"/>
    </row>
    <row r="1009" spans="1:19" hidden="1">
      <c r="A1009" s="72" t="s">
        <v>2626</v>
      </c>
      <c r="B1009" s="6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69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94</v>
      </c>
      <c r="R1009" s="74" t="s">
        <v>972</v>
      </c>
      <c r="S1009" s="69"/>
    </row>
    <row r="1010" spans="1:19" hidden="1">
      <c r="A1010" t="s">
        <v>2622</v>
      </c>
      <c r="B1010" s="6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69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6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69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6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69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6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69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6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69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 hidden="1">
      <c r="A1015" s="72" t="s">
        <v>2674</v>
      </c>
      <c r="B1015" s="6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69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 hidden="1">
      <c r="A1016" s="72" t="s">
        <v>2673</v>
      </c>
      <c r="B1016" s="6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69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93</v>
      </c>
      <c r="R1016" s="74" t="s">
        <v>489</v>
      </c>
      <c r="S1016" s="69"/>
    </row>
    <row r="1017" spans="1:19" hidden="1">
      <c r="A1017" s="72" t="s">
        <v>2673</v>
      </c>
      <c r="B1017" s="6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69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93</v>
      </c>
      <c r="R1017" s="74" t="s">
        <v>489</v>
      </c>
      <c r="S1017" s="69"/>
    </row>
    <row r="1018" spans="1:19" hidden="1">
      <c r="A1018" s="72" t="s">
        <v>2673</v>
      </c>
      <c r="B1018" s="6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69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93</v>
      </c>
      <c r="R1018" s="74" t="s">
        <v>489</v>
      </c>
      <c r="S1018" s="69"/>
    </row>
    <row r="1019" spans="1:19" hidden="1">
      <c r="A1019" s="72" t="s">
        <v>2667</v>
      </c>
      <c r="B1019" s="6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69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6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69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6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69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6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69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6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69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6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69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6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69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6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69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6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69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6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69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6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69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6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69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6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69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6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69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6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69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6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69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6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69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6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69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6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69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6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69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6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69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6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69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6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69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6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69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6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69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6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69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6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69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6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69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6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69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6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69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6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69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6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69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6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69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6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69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6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69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6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69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6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69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6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69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6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69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6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69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6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69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6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69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6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69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6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69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6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69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6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69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6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69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6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69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6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69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6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69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6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69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6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69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6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69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6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69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6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69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6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69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6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69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6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69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6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69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6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69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6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69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6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69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6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69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6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69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6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69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6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69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6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69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6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69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6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69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6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69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6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69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6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69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6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69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6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69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6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69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6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69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6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69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6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69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6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69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6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69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6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69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6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69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6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69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6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69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6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69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6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69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6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69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6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69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6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69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6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69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6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69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6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69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6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69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6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69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6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69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6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69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6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69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6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69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6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69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6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69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6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69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6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69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6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69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6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69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6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69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6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69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6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69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6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69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6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69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6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69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 hidden="1">
      <c r="A1129" s="72" t="s">
        <v>2780</v>
      </c>
      <c r="B1129" s="6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69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 hidden="1">
      <c r="A1130" s="72" t="s">
        <v>2780</v>
      </c>
      <c r="B1130" s="6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69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 hidden="1">
      <c r="A1131" s="72" t="s">
        <v>2780</v>
      </c>
      <c r="B1131" s="6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69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 hidden="1">
      <c r="A1132" t="s">
        <v>2789</v>
      </c>
      <c r="B1132" s="6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69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6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69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6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69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6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69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6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69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6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69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 hidden="1">
      <c r="A1138" s="72" t="s">
        <v>2801</v>
      </c>
      <c r="B1138" s="6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69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 hidden="1">
      <c r="A1139" s="72" t="s">
        <v>2801</v>
      </c>
      <c r="B1139" s="6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69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6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69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6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69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6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69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6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69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6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69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6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69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6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69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2820</v>
      </c>
      <c r="B1147" s="69" t="str">
        <f>IFERROR(VLOOKUP(Proc[[#This Row],[App]],Table2[],3,0),"open")</f>
        <v>ok</v>
      </c>
      <c r="C1147" s="72" t="s">
        <v>369</v>
      </c>
      <c r="D1147" t="s">
        <v>2819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69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2827</v>
      </c>
      <c r="B1148" s="69" t="str">
        <f>IFERROR(VLOOKUP(Proc[[#This Row],[App]],Table2[],3,0),"open")</f>
        <v>ok</v>
      </c>
      <c r="C1148" t="s">
        <v>369</v>
      </c>
      <c r="D1148" t="s">
        <v>2821</v>
      </c>
      <c r="E1148" t="s">
        <v>2825</v>
      </c>
      <c r="F1148" s="117" t="s">
        <v>2825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2831</v>
      </c>
      <c r="J1148" s="69" t="b">
        <f>Proc[[#This Row],[Requested]]=Proc[[#This Row],[CurrentParent]]</f>
        <v>1</v>
      </c>
      <c r="K1148" s="69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2827</v>
      </c>
      <c r="B1149" s="69" t="str">
        <f>IFERROR(VLOOKUP(Proc[[#This Row],[App]],Table2[],3,0),"open")</f>
        <v>ok</v>
      </c>
      <c r="C1149" s="72" t="s">
        <v>369</v>
      </c>
      <c r="D1149" t="s">
        <v>2822</v>
      </c>
      <c r="E1149" t="s">
        <v>2826</v>
      </c>
      <c r="F1149" s="117" t="s">
        <v>2826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69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2827</v>
      </c>
      <c r="B1150" s="69" t="str">
        <f>IFERROR(VLOOKUP(Proc[[#This Row],[App]],Table2[],3,0),"open")</f>
        <v>ok</v>
      </c>
      <c r="C1150" s="72" t="s">
        <v>369</v>
      </c>
      <c r="D1150" t="s">
        <v>2823</v>
      </c>
      <c r="E1150" t="s">
        <v>2826</v>
      </c>
      <c r="F1150" s="117" t="s">
        <v>2826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69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2827</v>
      </c>
      <c r="B1151" s="69" t="str">
        <f>IFERROR(VLOOKUP(Proc[[#This Row],[App]],Table2[],3,0),"open")</f>
        <v>ok</v>
      </c>
      <c r="C1151" s="72" t="s">
        <v>369</v>
      </c>
      <c r="D1151" t="s">
        <v>2824</v>
      </c>
      <c r="E1151" t="s">
        <v>2826</v>
      </c>
      <c r="F1151" s="117" t="s">
        <v>2826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69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2830</v>
      </c>
      <c r="B1152" s="6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69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83</v>
      </c>
      <c r="R1152" s="80" t="s">
        <v>515</v>
      </c>
      <c r="S1152" s="69"/>
    </row>
    <row r="1153" spans="1:19" hidden="1">
      <c r="A1153" s="72" t="s">
        <v>2830</v>
      </c>
      <c r="B1153" s="69" t="str">
        <f>IFERROR(VLOOKUP(Proc[[#This Row],[App]],Table2[],3,0),"open")</f>
        <v>ok</v>
      </c>
      <c r="C1153" s="72" t="s">
        <v>369</v>
      </c>
      <c r="D1153" t="s">
        <v>2828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69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2830</v>
      </c>
      <c r="B1154" s="69" t="str">
        <f>IFERROR(VLOOKUP(Proc[[#This Row],[App]],Table2[],3,0),"open")</f>
        <v>ok</v>
      </c>
      <c r="C1154" s="72" t="s">
        <v>369</v>
      </c>
      <c r="D1154" t="s">
        <v>2829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69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2832</v>
      </c>
      <c r="B1155" s="69" t="str">
        <f>IFERROR(VLOOKUP(Proc[[#This Row],[App]],Table2[],3,0),"open")</f>
        <v>ok</v>
      </c>
      <c r="C1155" s="72" t="s">
        <v>369</v>
      </c>
      <c r="D1155" t="s">
        <v>2833</v>
      </c>
      <c r="E1155" t="s">
        <v>2840</v>
      </c>
      <c r="F1155" s="117" t="s">
        <v>2840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69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2832</v>
      </c>
      <c r="B1156" s="69" t="str">
        <f>IFERROR(VLOOKUP(Proc[[#This Row],[App]],Table2[],3,0),"open")</f>
        <v>ok</v>
      </c>
      <c r="C1156" s="72" t="s">
        <v>369</v>
      </c>
      <c r="D1156" t="s">
        <v>2834</v>
      </c>
      <c r="E1156" t="s">
        <v>2841</v>
      </c>
      <c r="F1156" s="117" t="s">
        <v>2841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69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2832</v>
      </c>
      <c r="B1157" s="69" t="str">
        <f>IFERROR(VLOOKUP(Proc[[#This Row],[App]],Table2[],3,0),"open")</f>
        <v>ok</v>
      </c>
      <c r="C1157" s="72" t="s">
        <v>369</v>
      </c>
      <c r="D1157" t="s">
        <v>2835</v>
      </c>
      <c r="E1157" t="s">
        <v>2842</v>
      </c>
      <c r="F1157" s="117" t="s">
        <v>2842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69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2832</v>
      </c>
      <c r="B1158" s="69" t="str">
        <f>IFERROR(VLOOKUP(Proc[[#This Row],[App]],Table2[],3,0),"open")</f>
        <v>ok</v>
      </c>
      <c r="C1158" s="72" t="s">
        <v>369</v>
      </c>
      <c r="D1158" t="s">
        <v>2836</v>
      </c>
      <c r="E1158" t="s">
        <v>2843</v>
      </c>
      <c r="F1158" s="117" t="s">
        <v>2843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69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2832</v>
      </c>
      <c r="B1159" s="69" t="str">
        <f>IFERROR(VLOOKUP(Proc[[#This Row],[App]],Table2[],3,0),"open")</f>
        <v>ok</v>
      </c>
      <c r="C1159" s="72" t="s">
        <v>369</v>
      </c>
      <c r="D1159" t="s">
        <v>2837</v>
      </c>
      <c r="E1159" t="s">
        <v>2841</v>
      </c>
      <c r="F1159" s="117" t="s">
        <v>2841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69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2832</v>
      </c>
      <c r="B1160" s="69" t="str">
        <f>IFERROR(VLOOKUP(Proc[[#This Row],[App]],Table2[],3,0),"open")</f>
        <v>ok</v>
      </c>
      <c r="C1160" s="72" t="s">
        <v>369</v>
      </c>
      <c r="D1160" t="s">
        <v>2838</v>
      </c>
      <c r="E1160" t="s">
        <v>2842</v>
      </c>
      <c r="F1160" s="117" t="s">
        <v>2842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69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2832</v>
      </c>
      <c r="B1161" s="69" t="str">
        <f>IFERROR(VLOOKUP(Proc[[#This Row],[App]],Table2[],3,0),"open")</f>
        <v>ok</v>
      </c>
      <c r="C1161" s="72" t="s">
        <v>369</v>
      </c>
      <c r="D1161" t="s">
        <v>2839</v>
      </c>
      <c r="E1161" t="s">
        <v>2843</v>
      </c>
      <c r="F1161" s="117" t="s">
        <v>2843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69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2844</v>
      </c>
      <c r="B1162" s="69" t="str">
        <f>IFERROR(VLOOKUP(Proc[[#This Row],[App]],Table2[],3,0),"open")</f>
        <v>ok</v>
      </c>
      <c r="C1162" s="72" t="s">
        <v>369</v>
      </c>
      <c r="D1162" t="s">
        <v>2845</v>
      </c>
      <c r="E1162" t="s">
        <v>2846</v>
      </c>
      <c r="F1162" s="117" t="s">
        <v>2846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69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2847</v>
      </c>
      <c r="B1163" s="69" t="str">
        <f>IFERROR(VLOOKUP(Proc[[#This Row],[App]],Table2[],3,0),"open")</f>
        <v>ok</v>
      </c>
      <c r="C1163" s="72" t="s">
        <v>369</v>
      </c>
      <c r="D1163" t="s">
        <v>2848</v>
      </c>
      <c r="E1163" t="s">
        <v>2854</v>
      </c>
      <c r="F1163" s="117" t="s">
        <v>2854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2855</v>
      </c>
      <c r="J1163" s="69" t="b">
        <f>Proc[[#This Row],[Requested]]=Proc[[#This Row],[CurrentParent]]</f>
        <v>1</v>
      </c>
      <c r="K1163" s="69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2847</v>
      </c>
      <c r="B1164" s="69" t="str">
        <f>IFERROR(VLOOKUP(Proc[[#This Row],[App]],Table2[],3,0),"open")</f>
        <v>ok</v>
      </c>
      <c r="C1164" s="72" t="s">
        <v>369</v>
      </c>
      <c r="D1164" t="s">
        <v>2849</v>
      </c>
      <c r="E1164" t="s">
        <v>2854</v>
      </c>
      <c r="F1164" s="117" t="s">
        <v>2854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2855</v>
      </c>
      <c r="J1164" s="69" t="b">
        <f>Proc[[#This Row],[Requested]]=Proc[[#This Row],[CurrentParent]]</f>
        <v>1</v>
      </c>
      <c r="K1164" s="69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2847</v>
      </c>
      <c r="B1165" s="69" t="str">
        <f>IFERROR(VLOOKUP(Proc[[#This Row],[App]],Table2[],3,0),"open")</f>
        <v>ok</v>
      </c>
      <c r="C1165" s="72" t="s">
        <v>369</v>
      </c>
      <c r="D1165" t="s">
        <v>2850</v>
      </c>
      <c r="E1165" t="s">
        <v>2854</v>
      </c>
      <c r="F1165" s="117" t="s">
        <v>2854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2855</v>
      </c>
      <c r="J1165" s="69" t="b">
        <f>Proc[[#This Row],[Requested]]=Proc[[#This Row],[CurrentParent]]</f>
        <v>1</v>
      </c>
      <c r="K1165" s="69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2847</v>
      </c>
      <c r="B1166" s="69" t="str">
        <f>IFERROR(VLOOKUP(Proc[[#This Row],[App]],Table2[],3,0),"open")</f>
        <v>ok</v>
      </c>
      <c r="C1166" s="72" t="s">
        <v>369</v>
      </c>
      <c r="D1166" t="s">
        <v>2851</v>
      </c>
      <c r="E1166" t="s">
        <v>2854</v>
      </c>
      <c r="F1166" s="117" t="s">
        <v>2854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2855</v>
      </c>
      <c r="J1166" s="69" t="b">
        <f>Proc[[#This Row],[Requested]]=Proc[[#This Row],[CurrentParent]]</f>
        <v>1</v>
      </c>
      <c r="K1166" s="69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2852</v>
      </c>
      <c r="B1167" s="69" t="str">
        <f>IFERROR(VLOOKUP(Proc[[#This Row],[App]],Table2[],3,0),"open")</f>
        <v>ok</v>
      </c>
      <c r="C1167" s="72" t="s">
        <v>369</v>
      </c>
      <c r="D1167" t="s">
        <v>2853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69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2856</v>
      </c>
      <c r="B1168" s="69" t="str">
        <f>IFERROR(VLOOKUP(Proc[[#This Row],[App]],Table2[],3,0),"open")</f>
        <v>ok</v>
      </c>
      <c r="C1168" t="s">
        <v>369</v>
      </c>
      <c r="D1168" t="s">
        <v>2857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69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2858</v>
      </c>
      <c r="B1169" s="69" t="str">
        <f>IFERROR(VLOOKUP(Proc[[#This Row],[App]],Table2[],3,0),"open")</f>
        <v>ok</v>
      </c>
      <c r="C1169" s="72" t="s">
        <v>369</v>
      </c>
      <c r="D1169" t="s">
        <v>2866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69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2858</v>
      </c>
      <c r="B1170" s="69" t="str">
        <f>IFERROR(VLOOKUP(Proc[[#This Row],[App]],Table2[],3,0),"open")</f>
        <v>ok</v>
      </c>
      <c r="C1170" s="72" t="s">
        <v>369</v>
      </c>
      <c r="D1170" t="s">
        <v>2859</v>
      </c>
      <c r="E1170" t="s">
        <v>2863</v>
      </c>
      <c r="F1170" s="117" t="s">
        <v>2863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69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2858</v>
      </c>
      <c r="B1171" s="69" t="str">
        <f>IFERROR(VLOOKUP(Proc[[#This Row],[App]],Table2[],3,0),"open")</f>
        <v>ok</v>
      </c>
      <c r="C1171" s="72" t="s">
        <v>369</v>
      </c>
      <c r="D1171" t="s">
        <v>2860</v>
      </c>
      <c r="E1171" t="s">
        <v>2864</v>
      </c>
      <c r="F1171" s="117" t="s">
        <v>2864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69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2858</v>
      </c>
      <c r="B1172" s="69" t="str">
        <f>IFERROR(VLOOKUP(Proc[[#This Row],[App]],Table2[],3,0),"open")</f>
        <v>ok</v>
      </c>
      <c r="C1172" s="72" t="s">
        <v>369</v>
      </c>
      <c r="D1172" t="s">
        <v>2861</v>
      </c>
      <c r="E1172" t="s">
        <v>2865</v>
      </c>
      <c r="F1172" s="117" t="s">
        <v>2865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69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2858</v>
      </c>
      <c r="B1173" s="69" t="str">
        <f>IFERROR(VLOOKUP(Proc[[#This Row],[App]],Table2[],3,0),"open")</f>
        <v>ok</v>
      </c>
      <c r="C1173" s="72" t="s">
        <v>369</v>
      </c>
      <c r="D1173" t="s">
        <v>2862</v>
      </c>
      <c r="E1173" t="s">
        <v>2865</v>
      </c>
      <c r="F1173" s="117" t="s">
        <v>2865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69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2867</v>
      </c>
      <c r="B1174" s="69" t="str">
        <f>IFERROR(VLOOKUP(Proc[[#This Row],[App]],Table2[],3,0),"open")</f>
        <v>ok</v>
      </c>
      <c r="C1174" s="72" t="s">
        <v>369</v>
      </c>
      <c r="D1174" t="s">
        <v>2295</v>
      </c>
      <c r="E1174" t="s">
        <v>2870</v>
      </c>
      <c r="F1174" s="117" t="s">
        <v>2870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2871</v>
      </c>
      <c r="J1174" s="69" t="b">
        <f>Proc[[#This Row],[Requested]]=Proc[[#This Row],[CurrentParent]]</f>
        <v>1</v>
      </c>
      <c r="K1174" s="69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2869</v>
      </c>
      <c r="B1175" s="69" t="str">
        <f>IFERROR(VLOOKUP(Proc[[#This Row],[App]],Table2[],3,0),"open")</f>
        <v>ok</v>
      </c>
      <c r="C1175" s="72" t="s">
        <v>369</v>
      </c>
      <c r="D1175" t="s">
        <v>2868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69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2872</v>
      </c>
      <c r="B1176" s="69" t="str">
        <f>IFERROR(VLOOKUP(Proc[[#This Row],[App]],Table2[],3,0),"open")</f>
        <v>ok</v>
      </c>
      <c r="C1176" t="s">
        <v>369</v>
      </c>
      <c r="D1176" t="s">
        <v>2873</v>
      </c>
      <c r="E1176" t="s">
        <v>2874</v>
      </c>
      <c r="F1176" s="117" t="s">
        <v>2874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2886</v>
      </c>
      <c r="J1176" s="69" t="b">
        <f>Proc[[#This Row],[Requested]]=Proc[[#This Row],[CurrentParent]]</f>
        <v>1</v>
      </c>
      <c r="K1176" s="69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2885</v>
      </c>
      <c r="B1177" s="69" t="str">
        <f>IFERROR(VLOOKUP(Proc[[#This Row],[App]],Table2[],3,0),"open")</f>
        <v>ok</v>
      </c>
      <c r="C1177" s="72" t="s">
        <v>398</v>
      </c>
      <c r="D1177" t="s">
        <v>2875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2887</v>
      </c>
      <c r="J1177" s="69" t="b">
        <f>Proc[[#This Row],[Requested]]=Proc[[#This Row],[CurrentParent]]</f>
        <v>1</v>
      </c>
      <c r="K1177" s="69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 hidden="1">
      <c r="A1178" s="72" t="s">
        <v>2885</v>
      </c>
      <c r="B1178" s="69" t="str">
        <f>IFERROR(VLOOKUP(Proc[[#This Row],[App]],Table2[],3,0),"open")</f>
        <v>ok</v>
      </c>
      <c r="C1178" s="72" t="s">
        <v>398</v>
      </c>
      <c r="D1178" t="s">
        <v>2876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2887</v>
      </c>
      <c r="J1178" s="69" t="b">
        <f>Proc[[#This Row],[Requested]]=Proc[[#This Row],[CurrentParent]]</f>
        <v>1</v>
      </c>
      <c r="K1178" s="69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 hidden="1">
      <c r="A1179" s="72" t="s">
        <v>2885</v>
      </c>
      <c r="B1179" s="69" t="str">
        <f>IFERROR(VLOOKUP(Proc[[#This Row],[App]],Table2[],3,0),"open")</f>
        <v>ok</v>
      </c>
      <c r="C1179" s="72" t="s">
        <v>398</v>
      </c>
      <c r="D1179" t="s">
        <v>2877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2887</v>
      </c>
      <c r="J1179" s="69" t="b">
        <f>Proc[[#This Row],[Requested]]=Proc[[#This Row],[CurrentParent]]</f>
        <v>1</v>
      </c>
      <c r="K1179" s="69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 hidden="1">
      <c r="A1180" s="72" t="s">
        <v>2885</v>
      </c>
      <c r="B1180" s="69" t="str">
        <f>IFERROR(VLOOKUP(Proc[[#This Row],[App]],Table2[],3,0),"open")</f>
        <v>ok</v>
      </c>
      <c r="C1180" s="72" t="s">
        <v>398</v>
      </c>
      <c r="D1180" t="s">
        <v>2878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2887</v>
      </c>
      <c r="J1180" s="69" t="b">
        <f>Proc[[#This Row],[Requested]]=Proc[[#This Row],[CurrentParent]]</f>
        <v>1</v>
      </c>
      <c r="K1180" s="69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 hidden="1">
      <c r="A1181" s="72" t="s">
        <v>2885</v>
      </c>
      <c r="B1181" s="69" t="str">
        <f>IFERROR(VLOOKUP(Proc[[#This Row],[App]],Table2[],3,0),"open")</f>
        <v>ok</v>
      </c>
      <c r="C1181" s="72" t="s">
        <v>398</v>
      </c>
      <c r="D1181" t="s">
        <v>2879</v>
      </c>
      <c r="E1181" t="s">
        <v>2883</v>
      </c>
      <c r="F1181" s="103" t="s">
        <v>2883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2887</v>
      </c>
      <c r="J1181" s="69" t="b">
        <f>Proc[[#This Row],[Requested]]=Proc[[#This Row],[CurrentParent]]</f>
        <v>1</v>
      </c>
      <c r="K1181" s="69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 hidden="1">
      <c r="A1182" s="72" t="s">
        <v>2885</v>
      </c>
      <c r="B1182" s="69" t="str">
        <f>IFERROR(VLOOKUP(Proc[[#This Row],[App]],Table2[],3,0),"open")</f>
        <v>ok</v>
      </c>
      <c r="C1182" s="72" t="s">
        <v>398</v>
      </c>
      <c r="D1182" t="s">
        <v>2880</v>
      </c>
      <c r="E1182" t="s">
        <v>2883</v>
      </c>
      <c r="F1182" s="103" t="s">
        <v>2883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2887</v>
      </c>
      <c r="J1182" s="69" t="b">
        <f>Proc[[#This Row],[Requested]]=Proc[[#This Row],[CurrentParent]]</f>
        <v>1</v>
      </c>
      <c r="K1182" s="69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 hidden="1">
      <c r="A1183" s="72" t="s">
        <v>2885</v>
      </c>
      <c r="B1183" s="69" t="str">
        <f>IFERROR(VLOOKUP(Proc[[#This Row],[App]],Table2[],3,0),"open")</f>
        <v>ok</v>
      </c>
      <c r="C1183" s="72" t="s">
        <v>398</v>
      </c>
      <c r="D1183" t="s">
        <v>2881</v>
      </c>
      <c r="E1183" t="s">
        <v>2884</v>
      </c>
      <c r="F1183" s="103" t="s">
        <v>2884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2887</v>
      </c>
      <c r="J1183" s="69" t="b">
        <f>Proc[[#This Row],[Requested]]=Proc[[#This Row],[CurrentParent]]</f>
        <v>1</v>
      </c>
      <c r="K1183" s="69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 hidden="1">
      <c r="A1184" s="72" t="s">
        <v>2885</v>
      </c>
      <c r="B1184" s="69" t="str">
        <f>IFERROR(VLOOKUP(Proc[[#This Row],[App]],Table2[],3,0),"open")</f>
        <v>ok</v>
      </c>
      <c r="C1184" s="72" t="s">
        <v>398</v>
      </c>
      <c r="D1184" t="s">
        <v>2882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2887</v>
      </c>
      <c r="J1184" s="69" t="b">
        <f>Proc[[#This Row],[Requested]]=Proc[[#This Row],[CurrentParent]]</f>
        <v>1</v>
      </c>
      <c r="K1184" s="69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 hidden="1">
      <c r="A1185" t="s">
        <v>2888</v>
      </c>
      <c r="B1185" s="69" t="str">
        <f>IFERROR(VLOOKUP(Proc[[#This Row],[App]],Table2[],3,0),"open")</f>
        <v>ok</v>
      </c>
      <c r="C1185" t="s">
        <v>369</v>
      </c>
      <c r="D1185" t="s">
        <v>2889</v>
      </c>
      <c r="E1185" t="s">
        <v>2890</v>
      </c>
      <c r="F1185" s="117" t="s">
        <v>2890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69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2891</v>
      </c>
      <c r="S1185" s="69"/>
    </row>
    <row r="1186" spans="1:19" hidden="1">
      <c r="A1186" t="s">
        <v>2896</v>
      </c>
      <c r="B1186" s="69" t="str">
        <f>IFERROR(VLOOKUP(Proc[[#This Row],[App]],Table2[],3,0),"open")</f>
        <v>ok</v>
      </c>
      <c r="C1186" s="72" t="s">
        <v>369</v>
      </c>
      <c r="D1186" t="s">
        <v>2892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69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2896</v>
      </c>
      <c r="B1187" s="69" t="str">
        <f>IFERROR(VLOOKUP(Proc[[#This Row],[App]],Table2[],3,0),"open")</f>
        <v>ok</v>
      </c>
      <c r="C1187" s="72" t="s">
        <v>369</v>
      </c>
      <c r="D1187" t="s">
        <v>2893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3015</v>
      </c>
      <c r="J1187" s="69" t="b">
        <f>Proc[[#This Row],[Requested]]=Proc[[#This Row],[CurrentParent]]</f>
        <v>1</v>
      </c>
      <c r="K1187" s="69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2896</v>
      </c>
      <c r="B1188" s="69" t="str">
        <f>IFERROR(VLOOKUP(Proc[[#This Row],[App]],Table2[],3,0),"open")</f>
        <v>ok</v>
      </c>
      <c r="C1188" s="72" t="s">
        <v>369</v>
      </c>
      <c r="D1188" t="s">
        <v>2894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3015</v>
      </c>
      <c r="J1188" s="69" t="b">
        <f>Proc[[#This Row],[Requested]]=Proc[[#This Row],[CurrentParent]]</f>
        <v>1</v>
      </c>
      <c r="K1188" s="69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2896</v>
      </c>
      <c r="B1189" s="69" t="str">
        <f>IFERROR(VLOOKUP(Proc[[#This Row],[App]],Table2[],3,0),"open")</f>
        <v>ok</v>
      </c>
      <c r="C1189" s="72" t="s">
        <v>369</v>
      </c>
      <c r="D1189" t="s">
        <v>2895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3015</v>
      </c>
      <c r="J1189" s="69" t="b">
        <f>Proc[[#This Row],[Requested]]=Proc[[#This Row],[CurrentParent]]</f>
        <v>1</v>
      </c>
      <c r="K1189" s="69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2897</v>
      </c>
      <c r="B1190" s="69" t="str">
        <f>IFERROR(VLOOKUP(Proc[[#This Row],[App]],Table2[],3,0),"open")</f>
        <v>ok</v>
      </c>
      <c r="C1190" s="72" t="s">
        <v>369</v>
      </c>
      <c r="D1190" t="s">
        <v>1410</v>
      </c>
      <c r="E1190" t="s">
        <v>2898</v>
      </c>
      <c r="F1190" s="117" t="s">
        <v>2898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69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2897</v>
      </c>
      <c r="B1191" s="69" t="str">
        <f>IFERROR(VLOOKUP(Proc[[#This Row],[App]],Table2[],3,0),"open")</f>
        <v>ok</v>
      </c>
      <c r="C1191" s="72" t="s">
        <v>369</v>
      </c>
      <c r="D1191" t="s">
        <v>1412</v>
      </c>
      <c r="E1191" t="s">
        <v>2898</v>
      </c>
      <c r="F1191" s="117" t="s">
        <v>2898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69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2899</v>
      </c>
      <c r="B1192" s="69" t="str">
        <f>IFERROR(VLOOKUP(Proc[[#This Row],[App]],Table2[],3,0),"open")</f>
        <v>ok</v>
      </c>
      <c r="C1192" s="72" t="s">
        <v>369</v>
      </c>
      <c r="D1192" t="s">
        <v>2833</v>
      </c>
      <c r="E1192" t="s">
        <v>2900</v>
      </c>
      <c r="F1192" s="117" t="s">
        <v>2900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69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2901</v>
      </c>
      <c r="B1193" s="69" t="str">
        <f>IFERROR(VLOOKUP(Proc[[#This Row],[App]],Table2[],3,0),"open")</f>
        <v>ok</v>
      </c>
      <c r="C1193" s="72" t="s">
        <v>369</v>
      </c>
      <c r="D1193" t="s">
        <v>2902</v>
      </c>
      <c r="E1193" t="s">
        <v>3003</v>
      </c>
      <c r="F1193" s="117" t="s">
        <v>3003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69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2901</v>
      </c>
      <c r="B1194" s="69" t="str">
        <f>IFERROR(VLOOKUP(Proc[[#This Row],[App]],Table2[],3,0),"open")</f>
        <v>ok</v>
      </c>
      <c r="C1194" s="72" t="s">
        <v>369</v>
      </c>
      <c r="D1194" t="s">
        <v>2903</v>
      </c>
      <c r="E1194" t="s">
        <v>3003</v>
      </c>
      <c r="F1194" s="117" t="s">
        <v>3003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69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2901</v>
      </c>
      <c r="B1195" s="69" t="str">
        <f>IFERROR(VLOOKUP(Proc[[#This Row],[App]],Table2[],3,0),"open")</f>
        <v>ok</v>
      </c>
      <c r="C1195" s="72" t="s">
        <v>369</v>
      </c>
      <c r="D1195" t="s">
        <v>2904</v>
      </c>
      <c r="E1195" t="s">
        <v>3003</v>
      </c>
      <c r="F1195" s="117" t="s">
        <v>3003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69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2901</v>
      </c>
      <c r="B1196" s="69" t="str">
        <f>IFERROR(VLOOKUP(Proc[[#This Row],[App]],Table2[],3,0),"open")</f>
        <v>ok</v>
      </c>
      <c r="C1196" s="72" t="s">
        <v>369</v>
      </c>
      <c r="D1196" t="s">
        <v>2905</v>
      </c>
      <c r="E1196" t="s">
        <v>3003</v>
      </c>
      <c r="F1196" s="117" t="s">
        <v>3003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69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2901</v>
      </c>
      <c r="B1197" s="69" t="str">
        <f>IFERROR(VLOOKUP(Proc[[#This Row],[App]],Table2[],3,0),"open")</f>
        <v>ok</v>
      </c>
      <c r="C1197" s="72" t="s">
        <v>369</v>
      </c>
      <c r="D1197" t="s">
        <v>2906</v>
      </c>
      <c r="E1197" t="s">
        <v>3003</v>
      </c>
      <c r="F1197" s="117" t="s">
        <v>3003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69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2901</v>
      </c>
      <c r="B1198" s="69" t="str">
        <f>IFERROR(VLOOKUP(Proc[[#This Row],[App]],Table2[],3,0),"open")</f>
        <v>ok</v>
      </c>
      <c r="C1198" s="72" t="s">
        <v>369</v>
      </c>
      <c r="D1198" t="s">
        <v>2907</v>
      </c>
      <c r="E1198" t="s">
        <v>3003</v>
      </c>
      <c r="F1198" s="117" t="s">
        <v>3003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69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2901</v>
      </c>
      <c r="B1199" s="69" t="str">
        <f>IFERROR(VLOOKUP(Proc[[#This Row],[App]],Table2[],3,0),"open")</f>
        <v>ok</v>
      </c>
      <c r="C1199" s="72" t="s">
        <v>369</v>
      </c>
      <c r="D1199" t="s">
        <v>2908</v>
      </c>
      <c r="E1199" t="s">
        <v>3003</v>
      </c>
      <c r="F1199" s="117" t="s">
        <v>3003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69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2901</v>
      </c>
      <c r="B1200" s="69" t="str">
        <f>IFERROR(VLOOKUP(Proc[[#This Row],[App]],Table2[],3,0),"open")</f>
        <v>ok</v>
      </c>
      <c r="C1200" s="72" t="s">
        <v>369</v>
      </c>
      <c r="D1200" t="s">
        <v>2909</v>
      </c>
      <c r="E1200" t="s">
        <v>3003</v>
      </c>
      <c r="F1200" s="117" t="s">
        <v>3003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69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2901</v>
      </c>
      <c r="B1201" s="69" t="str">
        <f>IFERROR(VLOOKUP(Proc[[#This Row],[App]],Table2[],3,0),"open")</f>
        <v>ok</v>
      </c>
      <c r="C1201" s="72" t="s">
        <v>369</v>
      </c>
      <c r="D1201" t="s">
        <v>2910</v>
      </c>
      <c r="E1201" t="s">
        <v>3003</v>
      </c>
      <c r="F1201" s="117" t="s">
        <v>3003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69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2901</v>
      </c>
      <c r="B1202" s="69" t="str">
        <f>IFERROR(VLOOKUP(Proc[[#This Row],[App]],Table2[],3,0),"open")</f>
        <v>ok</v>
      </c>
      <c r="C1202" s="72" t="s">
        <v>369</v>
      </c>
      <c r="D1202" t="s">
        <v>2911</v>
      </c>
      <c r="E1202" t="s">
        <v>3004</v>
      </c>
      <c r="F1202" s="117" t="s">
        <v>3004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69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2901</v>
      </c>
      <c r="B1203" s="69" t="str">
        <f>IFERROR(VLOOKUP(Proc[[#This Row],[App]],Table2[],3,0),"open")</f>
        <v>ok</v>
      </c>
      <c r="C1203" s="72" t="s">
        <v>369</v>
      </c>
      <c r="D1203" t="s">
        <v>2912</v>
      </c>
      <c r="E1203" t="s">
        <v>3004</v>
      </c>
      <c r="F1203" s="117" t="s">
        <v>3004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69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2901</v>
      </c>
      <c r="B1204" s="69" t="str">
        <f>IFERROR(VLOOKUP(Proc[[#This Row],[App]],Table2[],3,0),"open")</f>
        <v>ok</v>
      </c>
      <c r="C1204" s="72" t="s">
        <v>369</v>
      </c>
      <c r="D1204" t="s">
        <v>2913</v>
      </c>
      <c r="E1204" t="s">
        <v>3004</v>
      </c>
      <c r="F1204" s="117" t="s">
        <v>3004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69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2901</v>
      </c>
      <c r="B1205" s="69" t="str">
        <f>IFERROR(VLOOKUP(Proc[[#This Row],[App]],Table2[],3,0),"open")</f>
        <v>ok</v>
      </c>
      <c r="C1205" s="72" t="s">
        <v>369</v>
      </c>
      <c r="D1205" t="s">
        <v>2914</v>
      </c>
      <c r="E1205" t="s">
        <v>3004</v>
      </c>
      <c r="F1205" s="117" t="s">
        <v>3004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69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2901</v>
      </c>
      <c r="B1206" s="69" t="str">
        <f>IFERROR(VLOOKUP(Proc[[#This Row],[App]],Table2[],3,0),"open")</f>
        <v>ok</v>
      </c>
      <c r="C1206" s="72" t="s">
        <v>369</v>
      </c>
      <c r="D1206" t="s">
        <v>2915</v>
      </c>
      <c r="E1206" t="s">
        <v>3004</v>
      </c>
      <c r="F1206" s="117" t="s">
        <v>3004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69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2901</v>
      </c>
      <c r="B1207" s="69" t="str">
        <f>IFERROR(VLOOKUP(Proc[[#This Row],[App]],Table2[],3,0),"open")</f>
        <v>ok</v>
      </c>
      <c r="C1207" s="72" t="s">
        <v>369</v>
      </c>
      <c r="D1207" t="s">
        <v>2916</v>
      </c>
      <c r="E1207" t="s">
        <v>3004</v>
      </c>
      <c r="F1207" s="117" t="s">
        <v>3004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69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2901</v>
      </c>
      <c r="B1208" s="69" t="str">
        <f>IFERROR(VLOOKUP(Proc[[#This Row],[App]],Table2[],3,0),"open")</f>
        <v>ok</v>
      </c>
      <c r="C1208" s="72" t="s">
        <v>369</v>
      </c>
      <c r="D1208" t="s">
        <v>2917</v>
      </c>
      <c r="E1208" t="s">
        <v>3004</v>
      </c>
      <c r="F1208" s="117" t="s">
        <v>3004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69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2901</v>
      </c>
      <c r="B1209" s="69" t="str">
        <f>IFERROR(VLOOKUP(Proc[[#This Row],[App]],Table2[],3,0),"open")</f>
        <v>ok</v>
      </c>
      <c r="C1209" s="72" t="s">
        <v>369</v>
      </c>
      <c r="D1209" t="s">
        <v>2918</v>
      </c>
      <c r="E1209" t="s">
        <v>3004</v>
      </c>
      <c r="F1209" s="117" t="s">
        <v>3004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69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2901</v>
      </c>
      <c r="B1210" s="69" t="str">
        <f>IFERROR(VLOOKUP(Proc[[#This Row],[App]],Table2[],3,0),"open")</f>
        <v>ok</v>
      </c>
      <c r="C1210" s="72" t="s">
        <v>369</v>
      </c>
      <c r="D1210" t="s">
        <v>2919</v>
      </c>
      <c r="E1210" t="s">
        <v>3004</v>
      </c>
      <c r="F1210" s="117" t="s">
        <v>3004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69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2901</v>
      </c>
      <c r="B1211" s="69" t="str">
        <f>IFERROR(VLOOKUP(Proc[[#This Row],[App]],Table2[],3,0),"open")</f>
        <v>ok</v>
      </c>
      <c r="C1211" s="72" t="s">
        <v>369</v>
      </c>
      <c r="D1211" t="s">
        <v>2920</v>
      </c>
      <c r="E1211" t="s">
        <v>3004</v>
      </c>
      <c r="F1211" s="117" t="s">
        <v>3004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69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2901</v>
      </c>
      <c r="B1212" s="69" t="str">
        <f>IFERROR(VLOOKUP(Proc[[#This Row],[App]],Table2[],3,0),"open")</f>
        <v>ok</v>
      </c>
      <c r="C1212" s="72" t="s">
        <v>369</v>
      </c>
      <c r="D1212" t="s">
        <v>2921</v>
      </c>
      <c r="E1212" t="s">
        <v>3004</v>
      </c>
      <c r="F1212" s="117" t="s">
        <v>3004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69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2901</v>
      </c>
      <c r="B1213" s="69" t="str">
        <f>IFERROR(VLOOKUP(Proc[[#This Row],[App]],Table2[],3,0),"open")</f>
        <v>ok</v>
      </c>
      <c r="C1213" s="72" t="s">
        <v>369</v>
      </c>
      <c r="D1213" t="s">
        <v>2922</v>
      </c>
      <c r="E1213" t="s">
        <v>3004</v>
      </c>
      <c r="F1213" s="117" t="s">
        <v>3004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69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2901</v>
      </c>
      <c r="B1214" s="69" t="str">
        <f>IFERROR(VLOOKUP(Proc[[#This Row],[App]],Table2[],3,0),"open")</f>
        <v>ok</v>
      </c>
      <c r="C1214" s="72" t="s">
        <v>369</v>
      </c>
      <c r="D1214" t="s">
        <v>2923</v>
      </c>
      <c r="E1214" t="s">
        <v>3004</v>
      </c>
      <c r="F1214" s="117" t="s">
        <v>3004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69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2901</v>
      </c>
      <c r="B1215" s="69" t="str">
        <f>IFERROR(VLOOKUP(Proc[[#This Row],[App]],Table2[],3,0),"open")</f>
        <v>ok</v>
      </c>
      <c r="C1215" s="72" t="s">
        <v>369</v>
      </c>
      <c r="D1215" t="s">
        <v>2924</v>
      </c>
      <c r="E1215" t="s">
        <v>3005</v>
      </c>
      <c r="F1215" s="117" t="s">
        <v>3005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69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2901</v>
      </c>
      <c r="B1216" s="69" t="str">
        <f>IFERROR(VLOOKUP(Proc[[#This Row],[App]],Table2[],3,0),"open")</f>
        <v>ok</v>
      </c>
      <c r="C1216" s="72" t="s">
        <v>369</v>
      </c>
      <c r="D1216" t="s">
        <v>2925</v>
      </c>
      <c r="E1216" t="s">
        <v>3005</v>
      </c>
      <c r="F1216" s="117" t="s">
        <v>3005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69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2901</v>
      </c>
      <c r="B1217" s="69" t="str">
        <f>IFERROR(VLOOKUP(Proc[[#This Row],[App]],Table2[],3,0),"open")</f>
        <v>ok</v>
      </c>
      <c r="C1217" s="72" t="s">
        <v>369</v>
      </c>
      <c r="D1217" t="s">
        <v>2926</v>
      </c>
      <c r="E1217" t="s">
        <v>3005</v>
      </c>
      <c r="F1217" s="117" t="s">
        <v>3005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69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2901</v>
      </c>
      <c r="B1218" s="69" t="str">
        <f>IFERROR(VLOOKUP(Proc[[#This Row],[App]],Table2[],3,0),"open")</f>
        <v>ok</v>
      </c>
      <c r="C1218" s="72" t="s">
        <v>369</v>
      </c>
      <c r="D1218" t="s">
        <v>2927</v>
      </c>
      <c r="E1218" t="s">
        <v>3005</v>
      </c>
      <c r="F1218" s="117" t="s">
        <v>3005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69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2901</v>
      </c>
      <c r="B1219" s="69" t="str">
        <f>IFERROR(VLOOKUP(Proc[[#This Row],[App]],Table2[],3,0),"open")</f>
        <v>ok</v>
      </c>
      <c r="C1219" s="72" t="s">
        <v>369</v>
      </c>
      <c r="D1219" t="s">
        <v>2928</v>
      </c>
      <c r="E1219" t="s">
        <v>3005</v>
      </c>
      <c r="F1219" s="117" t="s">
        <v>3005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69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2901</v>
      </c>
      <c r="B1220" s="69" t="str">
        <f>IFERROR(VLOOKUP(Proc[[#This Row],[App]],Table2[],3,0),"open")</f>
        <v>ok</v>
      </c>
      <c r="C1220" s="72" t="s">
        <v>369</v>
      </c>
      <c r="D1220" t="s">
        <v>2929</v>
      </c>
      <c r="E1220" t="s">
        <v>3006</v>
      </c>
      <c r="F1220" s="117" t="s">
        <v>3006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69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2901</v>
      </c>
      <c r="B1221" s="69" t="str">
        <f>IFERROR(VLOOKUP(Proc[[#This Row],[App]],Table2[],3,0),"open")</f>
        <v>ok</v>
      </c>
      <c r="C1221" s="72" t="s">
        <v>369</v>
      </c>
      <c r="D1221" t="s">
        <v>2930</v>
      </c>
      <c r="E1221" t="s">
        <v>3006</v>
      </c>
      <c r="F1221" s="117" t="s">
        <v>3006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69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2901</v>
      </c>
      <c r="B1222" s="69" t="str">
        <f>IFERROR(VLOOKUP(Proc[[#This Row],[App]],Table2[],3,0),"open")</f>
        <v>ok</v>
      </c>
      <c r="C1222" s="72" t="s">
        <v>369</v>
      </c>
      <c r="D1222" t="s">
        <v>2931</v>
      </c>
      <c r="E1222" t="s">
        <v>3006</v>
      </c>
      <c r="F1222" s="117" t="s">
        <v>3006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69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2901</v>
      </c>
      <c r="B1223" s="69" t="str">
        <f>IFERROR(VLOOKUP(Proc[[#This Row],[App]],Table2[],3,0),"open")</f>
        <v>ok</v>
      </c>
      <c r="C1223" s="72" t="s">
        <v>369</v>
      </c>
      <c r="D1223" t="s">
        <v>2932</v>
      </c>
      <c r="E1223" t="s">
        <v>3006</v>
      </c>
      <c r="F1223" s="117" t="s">
        <v>3006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69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2901</v>
      </c>
      <c r="B1224" s="69" t="str">
        <f>IFERROR(VLOOKUP(Proc[[#This Row],[App]],Table2[],3,0),"open")</f>
        <v>ok</v>
      </c>
      <c r="C1224" s="72" t="s">
        <v>369</v>
      </c>
      <c r="D1224" t="s">
        <v>2933</v>
      </c>
      <c r="E1224" t="s">
        <v>3006</v>
      </c>
      <c r="F1224" s="117" t="s">
        <v>3006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69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2901</v>
      </c>
      <c r="B1225" s="69" t="str">
        <f>IFERROR(VLOOKUP(Proc[[#This Row],[App]],Table2[],3,0),"open")</f>
        <v>ok</v>
      </c>
      <c r="C1225" s="72" t="s">
        <v>369</v>
      </c>
      <c r="D1225" t="s">
        <v>2934</v>
      </c>
      <c r="E1225" t="s">
        <v>3006</v>
      </c>
      <c r="F1225" s="117" t="s">
        <v>3006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69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2901</v>
      </c>
      <c r="B1226" s="69" t="str">
        <f>IFERROR(VLOOKUP(Proc[[#This Row],[App]],Table2[],3,0),"open")</f>
        <v>ok</v>
      </c>
      <c r="C1226" s="72" t="s">
        <v>369</v>
      </c>
      <c r="D1226" t="s">
        <v>2935</v>
      </c>
      <c r="E1226" t="s">
        <v>3006</v>
      </c>
      <c r="F1226" s="117" t="s">
        <v>3006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69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2901</v>
      </c>
      <c r="B1227" s="69" t="str">
        <f>IFERROR(VLOOKUP(Proc[[#This Row],[App]],Table2[],3,0),"open")</f>
        <v>ok</v>
      </c>
      <c r="C1227" s="72" t="s">
        <v>369</v>
      </c>
      <c r="D1227" t="s">
        <v>2936</v>
      </c>
      <c r="E1227" t="s">
        <v>3006</v>
      </c>
      <c r="F1227" s="117" t="s">
        <v>3006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69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2901</v>
      </c>
      <c r="B1228" s="69" t="str">
        <f>IFERROR(VLOOKUP(Proc[[#This Row],[App]],Table2[],3,0),"open")</f>
        <v>ok</v>
      </c>
      <c r="C1228" s="72" t="s">
        <v>369</v>
      </c>
      <c r="D1228" t="s">
        <v>2937</v>
      </c>
      <c r="E1228" t="s">
        <v>3007</v>
      </c>
      <c r="F1228" s="117" t="s">
        <v>3007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69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2901</v>
      </c>
      <c r="B1229" s="69" t="str">
        <f>IFERROR(VLOOKUP(Proc[[#This Row],[App]],Table2[],3,0),"open")</f>
        <v>ok</v>
      </c>
      <c r="C1229" s="72" t="s">
        <v>369</v>
      </c>
      <c r="D1229" t="s">
        <v>2938</v>
      </c>
      <c r="E1229" t="s">
        <v>3007</v>
      </c>
      <c r="F1229" s="117" t="s">
        <v>3007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69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2901</v>
      </c>
      <c r="B1230" s="69" t="str">
        <f>IFERROR(VLOOKUP(Proc[[#This Row],[App]],Table2[],3,0),"open")</f>
        <v>ok</v>
      </c>
      <c r="C1230" s="72" t="s">
        <v>369</v>
      </c>
      <c r="D1230" t="s">
        <v>2939</v>
      </c>
      <c r="E1230" t="s">
        <v>3007</v>
      </c>
      <c r="F1230" s="117" t="s">
        <v>3007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69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2901</v>
      </c>
      <c r="B1231" s="69" t="str">
        <f>IFERROR(VLOOKUP(Proc[[#This Row],[App]],Table2[],3,0),"open")</f>
        <v>ok</v>
      </c>
      <c r="C1231" s="72" t="s">
        <v>369</v>
      </c>
      <c r="D1231" t="s">
        <v>2940</v>
      </c>
      <c r="E1231" t="s">
        <v>3007</v>
      </c>
      <c r="F1231" s="117" t="s">
        <v>3007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69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2901</v>
      </c>
      <c r="B1232" s="69" t="str">
        <f>IFERROR(VLOOKUP(Proc[[#This Row],[App]],Table2[],3,0),"open")</f>
        <v>ok</v>
      </c>
      <c r="C1232" s="72" t="s">
        <v>369</v>
      </c>
      <c r="D1232" t="s">
        <v>2941</v>
      </c>
      <c r="E1232" t="s">
        <v>3007</v>
      </c>
      <c r="F1232" s="117" t="s">
        <v>3007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69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2901</v>
      </c>
      <c r="B1233" s="69" t="str">
        <f>IFERROR(VLOOKUP(Proc[[#This Row],[App]],Table2[],3,0),"open")</f>
        <v>ok</v>
      </c>
      <c r="C1233" s="72" t="s">
        <v>369</v>
      </c>
      <c r="D1233" t="s">
        <v>2942</v>
      </c>
      <c r="E1233" t="s">
        <v>3008</v>
      </c>
      <c r="F1233" s="117" t="s">
        <v>3008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69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2901</v>
      </c>
      <c r="B1234" s="69" t="str">
        <f>IFERROR(VLOOKUP(Proc[[#This Row],[App]],Table2[],3,0),"open")</f>
        <v>ok</v>
      </c>
      <c r="C1234" s="72" t="s">
        <v>369</v>
      </c>
      <c r="D1234" t="s">
        <v>2943</v>
      </c>
      <c r="E1234" t="s">
        <v>3008</v>
      </c>
      <c r="F1234" s="117" t="s">
        <v>3008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69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2901</v>
      </c>
      <c r="B1235" s="69" t="str">
        <f>IFERROR(VLOOKUP(Proc[[#This Row],[App]],Table2[],3,0),"open")</f>
        <v>ok</v>
      </c>
      <c r="C1235" s="72" t="s">
        <v>369</v>
      </c>
      <c r="D1235" t="s">
        <v>2944</v>
      </c>
      <c r="E1235" t="s">
        <v>3009</v>
      </c>
      <c r="F1235" s="117" t="s">
        <v>3009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69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2901</v>
      </c>
      <c r="B1236" s="69" t="str">
        <f>IFERROR(VLOOKUP(Proc[[#This Row],[App]],Table2[],3,0),"open")</f>
        <v>ok</v>
      </c>
      <c r="C1236" s="72" t="s">
        <v>369</v>
      </c>
      <c r="D1236" t="s">
        <v>2945</v>
      </c>
      <c r="E1236" t="s">
        <v>3009</v>
      </c>
      <c r="F1236" s="117" t="s">
        <v>3009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69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2901</v>
      </c>
      <c r="B1237" s="69" t="str">
        <f>IFERROR(VLOOKUP(Proc[[#This Row],[App]],Table2[],3,0),"open")</f>
        <v>ok</v>
      </c>
      <c r="C1237" s="72" t="s">
        <v>369</v>
      </c>
      <c r="D1237" t="s">
        <v>2946</v>
      </c>
      <c r="E1237" t="s">
        <v>3009</v>
      </c>
      <c r="F1237" s="117" t="s">
        <v>3009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69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2901</v>
      </c>
      <c r="B1238" s="69" t="str">
        <f>IFERROR(VLOOKUP(Proc[[#This Row],[App]],Table2[],3,0),"open")</f>
        <v>ok</v>
      </c>
      <c r="C1238" s="72" t="s">
        <v>369</v>
      </c>
      <c r="D1238" t="s">
        <v>2947</v>
      </c>
      <c r="E1238" t="s">
        <v>3009</v>
      </c>
      <c r="F1238" s="117" t="s">
        <v>3009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69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2901</v>
      </c>
      <c r="B1239" s="69" t="str">
        <f>IFERROR(VLOOKUP(Proc[[#This Row],[App]],Table2[],3,0),"open")</f>
        <v>ok</v>
      </c>
      <c r="C1239" s="72" t="s">
        <v>369</v>
      </c>
      <c r="D1239" t="s">
        <v>2948</v>
      </c>
      <c r="E1239" t="s">
        <v>3010</v>
      </c>
      <c r="F1239" s="117" t="s">
        <v>3010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69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2901</v>
      </c>
      <c r="B1240" s="69" t="str">
        <f>IFERROR(VLOOKUP(Proc[[#This Row],[App]],Table2[],3,0),"open")</f>
        <v>ok</v>
      </c>
      <c r="C1240" s="72" t="s">
        <v>369</v>
      </c>
      <c r="D1240" t="s">
        <v>2949</v>
      </c>
      <c r="E1240" t="s">
        <v>3010</v>
      </c>
      <c r="F1240" s="117" t="s">
        <v>3010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69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2901</v>
      </c>
      <c r="B1241" s="69" t="str">
        <f>IFERROR(VLOOKUP(Proc[[#This Row],[App]],Table2[],3,0),"open")</f>
        <v>ok</v>
      </c>
      <c r="C1241" s="72" t="s">
        <v>369</v>
      </c>
      <c r="D1241" t="s">
        <v>2950</v>
      </c>
      <c r="E1241" t="s">
        <v>3010</v>
      </c>
      <c r="F1241" s="117" t="s">
        <v>3010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69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2901</v>
      </c>
      <c r="B1242" s="69" t="str">
        <f>IFERROR(VLOOKUP(Proc[[#This Row],[App]],Table2[],3,0),"open")</f>
        <v>ok</v>
      </c>
      <c r="C1242" s="72" t="s">
        <v>369</v>
      </c>
      <c r="D1242" t="s">
        <v>2951</v>
      </c>
      <c r="E1242" t="s">
        <v>3010</v>
      </c>
      <c r="F1242" s="117" t="s">
        <v>3010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69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2901</v>
      </c>
      <c r="B1243" s="69" t="str">
        <f>IFERROR(VLOOKUP(Proc[[#This Row],[App]],Table2[],3,0),"open")</f>
        <v>ok</v>
      </c>
      <c r="C1243" s="72" t="s">
        <v>369</v>
      </c>
      <c r="D1243" t="s">
        <v>2952</v>
      </c>
      <c r="E1243" t="s">
        <v>3010</v>
      </c>
      <c r="F1243" s="117" t="s">
        <v>3010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69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2901</v>
      </c>
      <c r="B1244" s="69" t="str">
        <f>IFERROR(VLOOKUP(Proc[[#This Row],[App]],Table2[],3,0),"open")</f>
        <v>ok</v>
      </c>
      <c r="C1244" s="72" t="s">
        <v>369</v>
      </c>
      <c r="D1244" t="s">
        <v>2953</v>
      </c>
      <c r="E1244" t="s">
        <v>3010</v>
      </c>
      <c r="F1244" s="117" t="s">
        <v>3010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69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2901</v>
      </c>
      <c r="B1245" s="69" t="str">
        <f>IFERROR(VLOOKUP(Proc[[#This Row],[App]],Table2[],3,0),"open")</f>
        <v>ok</v>
      </c>
      <c r="C1245" s="72" t="s">
        <v>369</v>
      </c>
      <c r="D1245" t="s">
        <v>2954</v>
      </c>
      <c r="E1245" t="s">
        <v>3010</v>
      </c>
      <c r="F1245" s="117" t="s">
        <v>3010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69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2901</v>
      </c>
      <c r="B1246" s="69" t="str">
        <f>IFERROR(VLOOKUP(Proc[[#This Row],[App]],Table2[],3,0),"open")</f>
        <v>ok</v>
      </c>
      <c r="C1246" s="72" t="s">
        <v>369</v>
      </c>
      <c r="D1246" t="s">
        <v>2955</v>
      </c>
      <c r="E1246" t="s">
        <v>3010</v>
      </c>
      <c r="F1246" s="117" t="s">
        <v>3010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69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2901</v>
      </c>
      <c r="B1247" s="69" t="str">
        <f>IFERROR(VLOOKUP(Proc[[#This Row],[App]],Table2[],3,0),"open")</f>
        <v>ok</v>
      </c>
      <c r="C1247" s="72" t="s">
        <v>369</v>
      </c>
      <c r="D1247" t="s">
        <v>2956</v>
      </c>
      <c r="E1247" t="s">
        <v>3010</v>
      </c>
      <c r="F1247" s="117" t="s">
        <v>3010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69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2901</v>
      </c>
      <c r="B1248" s="69" t="str">
        <f>IFERROR(VLOOKUP(Proc[[#This Row],[App]],Table2[],3,0),"open")</f>
        <v>ok</v>
      </c>
      <c r="C1248" s="72" t="s">
        <v>369</v>
      </c>
      <c r="D1248" t="s">
        <v>2957</v>
      </c>
      <c r="E1248" t="s">
        <v>3010</v>
      </c>
      <c r="F1248" s="117" t="s">
        <v>3010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69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2901</v>
      </c>
      <c r="B1249" s="69" t="str">
        <f>IFERROR(VLOOKUP(Proc[[#This Row],[App]],Table2[],3,0),"open")</f>
        <v>ok</v>
      </c>
      <c r="C1249" s="72" t="s">
        <v>369</v>
      </c>
      <c r="D1249" t="s">
        <v>2958</v>
      </c>
      <c r="E1249" t="s">
        <v>3010</v>
      </c>
      <c r="F1249" s="117" t="s">
        <v>3010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69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2901</v>
      </c>
      <c r="B1250" s="69" t="str">
        <f>IFERROR(VLOOKUP(Proc[[#This Row],[App]],Table2[],3,0),"open")</f>
        <v>ok</v>
      </c>
      <c r="C1250" s="72" t="s">
        <v>369</v>
      </c>
      <c r="D1250" t="s">
        <v>2959</v>
      </c>
      <c r="E1250" t="s">
        <v>3010</v>
      </c>
      <c r="F1250" s="117" t="s">
        <v>3010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69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2901</v>
      </c>
      <c r="B1251" s="69" t="str">
        <f>IFERROR(VLOOKUP(Proc[[#This Row],[App]],Table2[],3,0),"open")</f>
        <v>ok</v>
      </c>
      <c r="C1251" s="72" t="s">
        <v>369</v>
      </c>
      <c r="D1251" t="s">
        <v>2960</v>
      </c>
      <c r="E1251" t="s">
        <v>3010</v>
      </c>
      <c r="F1251" s="117" t="s">
        <v>3010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69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2901</v>
      </c>
      <c r="B1252" s="69" t="str">
        <f>IFERROR(VLOOKUP(Proc[[#This Row],[App]],Table2[],3,0),"open")</f>
        <v>ok</v>
      </c>
      <c r="C1252" s="72" t="s">
        <v>369</v>
      </c>
      <c r="D1252" t="s">
        <v>2961</v>
      </c>
      <c r="E1252" t="s">
        <v>3010</v>
      </c>
      <c r="F1252" s="117" t="s">
        <v>3010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69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2901</v>
      </c>
      <c r="B1253" s="69" t="str">
        <f>IFERROR(VLOOKUP(Proc[[#This Row],[App]],Table2[],3,0),"open")</f>
        <v>ok</v>
      </c>
      <c r="C1253" s="72" t="s">
        <v>369</v>
      </c>
      <c r="D1253" t="s">
        <v>2962</v>
      </c>
      <c r="E1253" t="s">
        <v>3010</v>
      </c>
      <c r="F1253" s="117" t="s">
        <v>3010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69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2901</v>
      </c>
      <c r="B1254" s="69" t="str">
        <f>IFERROR(VLOOKUP(Proc[[#This Row],[App]],Table2[],3,0),"open")</f>
        <v>ok</v>
      </c>
      <c r="C1254" s="72" t="s">
        <v>369</v>
      </c>
      <c r="D1254" t="s">
        <v>2963</v>
      </c>
      <c r="E1254" t="s">
        <v>3010</v>
      </c>
      <c r="F1254" s="117" t="s">
        <v>3010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69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2901</v>
      </c>
      <c r="B1255" s="69" t="str">
        <f>IFERROR(VLOOKUP(Proc[[#This Row],[App]],Table2[],3,0),"open")</f>
        <v>ok</v>
      </c>
      <c r="C1255" s="72" t="s">
        <v>369</v>
      </c>
      <c r="D1255" t="s">
        <v>2964</v>
      </c>
      <c r="E1255" t="s">
        <v>3010</v>
      </c>
      <c r="F1255" s="117" t="s">
        <v>3010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69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2901</v>
      </c>
      <c r="B1256" s="69" t="str">
        <f>IFERROR(VLOOKUP(Proc[[#This Row],[App]],Table2[],3,0),"open")</f>
        <v>ok</v>
      </c>
      <c r="C1256" s="72" t="s">
        <v>369</v>
      </c>
      <c r="D1256" t="s">
        <v>2965</v>
      </c>
      <c r="E1256" t="s">
        <v>3010</v>
      </c>
      <c r="F1256" s="117" t="s">
        <v>3010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69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2901</v>
      </c>
      <c r="B1257" s="69" t="str">
        <f>IFERROR(VLOOKUP(Proc[[#This Row],[App]],Table2[],3,0),"open")</f>
        <v>ok</v>
      </c>
      <c r="C1257" s="72" t="s">
        <v>369</v>
      </c>
      <c r="D1257" t="s">
        <v>2966</v>
      </c>
      <c r="E1257" t="s">
        <v>3010</v>
      </c>
      <c r="F1257" s="117" t="s">
        <v>3010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69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2901</v>
      </c>
      <c r="B1258" s="69" t="str">
        <f>IFERROR(VLOOKUP(Proc[[#This Row],[App]],Table2[],3,0),"open")</f>
        <v>ok</v>
      </c>
      <c r="C1258" s="72" t="s">
        <v>369</v>
      </c>
      <c r="D1258" t="s">
        <v>2967</v>
      </c>
      <c r="E1258" t="s">
        <v>3011</v>
      </c>
      <c r="F1258" s="117" t="s">
        <v>3011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69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2901</v>
      </c>
      <c r="B1259" s="69" t="str">
        <f>IFERROR(VLOOKUP(Proc[[#This Row],[App]],Table2[],3,0),"open")</f>
        <v>ok</v>
      </c>
      <c r="C1259" s="72" t="s">
        <v>369</v>
      </c>
      <c r="D1259" t="s">
        <v>2968</v>
      </c>
      <c r="E1259" t="s">
        <v>3011</v>
      </c>
      <c r="F1259" s="117" t="s">
        <v>3011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69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2901</v>
      </c>
      <c r="B1260" s="69" t="str">
        <f>IFERROR(VLOOKUP(Proc[[#This Row],[App]],Table2[],3,0),"open")</f>
        <v>ok</v>
      </c>
      <c r="C1260" s="72" t="s">
        <v>369</v>
      </c>
      <c r="D1260" t="s">
        <v>2969</v>
      </c>
      <c r="E1260" t="s">
        <v>3011</v>
      </c>
      <c r="F1260" s="117" t="s">
        <v>3011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69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2901</v>
      </c>
      <c r="B1261" s="69" t="str">
        <f>IFERROR(VLOOKUP(Proc[[#This Row],[App]],Table2[],3,0),"open")</f>
        <v>ok</v>
      </c>
      <c r="C1261" s="72" t="s">
        <v>369</v>
      </c>
      <c r="D1261" t="s">
        <v>2970</v>
      </c>
      <c r="E1261" t="s">
        <v>3011</v>
      </c>
      <c r="F1261" s="117" t="s">
        <v>3011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69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2901</v>
      </c>
      <c r="B1262" s="69" t="str">
        <f>IFERROR(VLOOKUP(Proc[[#This Row],[App]],Table2[],3,0),"open")</f>
        <v>ok</v>
      </c>
      <c r="C1262" s="72" t="s">
        <v>369</v>
      </c>
      <c r="D1262" t="s">
        <v>2971</v>
      </c>
      <c r="E1262" t="s">
        <v>3011</v>
      </c>
      <c r="F1262" s="117" t="s">
        <v>3011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69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2901</v>
      </c>
      <c r="B1263" s="69" t="str">
        <f>IFERROR(VLOOKUP(Proc[[#This Row],[App]],Table2[],3,0),"open")</f>
        <v>ok</v>
      </c>
      <c r="C1263" s="72" t="s">
        <v>369</v>
      </c>
      <c r="D1263" t="s">
        <v>2972</v>
      </c>
      <c r="E1263" t="s">
        <v>3011</v>
      </c>
      <c r="F1263" s="117" t="s">
        <v>3011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69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2901</v>
      </c>
      <c r="B1264" s="69" t="str">
        <f>IFERROR(VLOOKUP(Proc[[#This Row],[App]],Table2[],3,0),"open")</f>
        <v>ok</v>
      </c>
      <c r="C1264" s="72" t="s">
        <v>369</v>
      </c>
      <c r="D1264" t="s">
        <v>2973</v>
      </c>
      <c r="E1264" t="s">
        <v>3011</v>
      </c>
      <c r="F1264" s="117" t="s">
        <v>3011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69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2901</v>
      </c>
      <c r="B1265" s="69" t="str">
        <f>IFERROR(VLOOKUP(Proc[[#This Row],[App]],Table2[],3,0),"open")</f>
        <v>ok</v>
      </c>
      <c r="C1265" s="72" t="s">
        <v>369</v>
      </c>
      <c r="D1265" t="s">
        <v>2974</v>
      </c>
      <c r="E1265" t="s">
        <v>3011</v>
      </c>
      <c r="F1265" s="117" t="s">
        <v>3011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69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2901</v>
      </c>
      <c r="B1266" s="69" t="str">
        <f>IFERROR(VLOOKUP(Proc[[#This Row],[App]],Table2[],3,0),"open")</f>
        <v>ok</v>
      </c>
      <c r="C1266" s="72" t="s">
        <v>369</v>
      </c>
      <c r="D1266" t="s">
        <v>2975</v>
      </c>
      <c r="E1266" t="s">
        <v>3011</v>
      </c>
      <c r="F1266" s="117" t="s">
        <v>3011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69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2901</v>
      </c>
      <c r="B1267" s="69" t="str">
        <f>IFERROR(VLOOKUP(Proc[[#This Row],[App]],Table2[],3,0),"open")</f>
        <v>ok</v>
      </c>
      <c r="C1267" s="72" t="s">
        <v>369</v>
      </c>
      <c r="D1267" t="s">
        <v>2976</v>
      </c>
      <c r="E1267" t="s">
        <v>3011</v>
      </c>
      <c r="F1267" s="117" t="s">
        <v>3011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69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2901</v>
      </c>
      <c r="B1268" s="69" t="str">
        <f>IFERROR(VLOOKUP(Proc[[#This Row],[App]],Table2[],3,0),"open")</f>
        <v>ok</v>
      </c>
      <c r="C1268" s="72" t="s">
        <v>369</v>
      </c>
      <c r="D1268" t="s">
        <v>2977</v>
      </c>
      <c r="E1268" t="s">
        <v>3011</v>
      </c>
      <c r="F1268" s="117" t="s">
        <v>3011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69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2901</v>
      </c>
      <c r="B1269" s="69" t="str">
        <f>IFERROR(VLOOKUP(Proc[[#This Row],[App]],Table2[],3,0),"open")</f>
        <v>ok</v>
      </c>
      <c r="C1269" s="72" t="s">
        <v>369</v>
      </c>
      <c r="D1269" t="s">
        <v>2978</v>
      </c>
      <c r="E1269" t="s">
        <v>3011</v>
      </c>
      <c r="F1269" s="117" t="s">
        <v>3011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69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2901</v>
      </c>
      <c r="B1270" s="69" t="str">
        <f>IFERROR(VLOOKUP(Proc[[#This Row],[App]],Table2[],3,0),"open")</f>
        <v>ok</v>
      </c>
      <c r="C1270" s="72" t="s">
        <v>369</v>
      </c>
      <c r="D1270" t="s">
        <v>2979</v>
      </c>
      <c r="E1270" t="s">
        <v>3011</v>
      </c>
      <c r="F1270" s="117" t="s">
        <v>3011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69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2901</v>
      </c>
      <c r="B1271" s="69" t="str">
        <f>IFERROR(VLOOKUP(Proc[[#This Row],[App]],Table2[],3,0),"open")</f>
        <v>ok</v>
      </c>
      <c r="C1271" s="72" t="s">
        <v>369</v>
      </c>
      <c r="D1271" t="s">
        <v>2980</v>
      </c>
      <c r="E1271" t="s">
        <v>3011</v>
      </c>
      <c r="F1271" s="117" t="s">
        <v>3011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69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2901</v>
      </c>
      <c r="B1272" s="69" t="str">
        <f>IFERROR(VLOOKUP(Proc[[#This Row],[App]],Table2[],3,0),"open")</f>
        <v>ok</v>
      </c>
      <c r="C1272" s="72" t="s">
        <v>369</v>
      </c>
      <c r="D1272" t="s">
        <v>2981</v>
      </c>
      <c r="E1272" t="s">
        <v>3011</v>
      </c>
      <c r="F1272" s="117" t="s">
        <v>3011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69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2901</v>
      </c>
      <c r="B1273" s="69" t="str">
        <f>IFERROR(VLOOKUP(Proc[[#This Row],[App]],Table2[],3,0),"open")</f>
        <v>ok</v>
      </c>
      <c r="C1273" s="72" t="s">
        <v>369</v>
      </c>
      <c r="D1273" t="s">
        <v>2982</v>
      </c>
      <c r="E1273" t="s">
        <v>3011</v>
      </c>
      <c r="F1273" s="117" t="s">
        <v>3011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69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2901</v>
      </c>
      <c r="B1274" s="69" t="str">
        <f>IFERROR(VLOOKUP(Proc[[#This Row],[App]],Table2[],3,0),"open")</f>
        <v>ok</v>
      </c>
      <c r="C1274" s="72" t="s">
        <v>369</v>
      </c>
      <c r="D1274" t="s">
        <v>2983</v>
      </c>
      <c r="E1274" t="s">
        <v>3011</v>
      </c>
      <c r="F1274" s="117" t="s">
        <v>3011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69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2901</v>
      </c>
      <c r="B1275" s="69" t="str">
        <f>IFERROR(VLOOKUP(Proc[[#This Row],[App]],Table2[],3,0),"open")</f>
        <v>ok</v>
      </c>
      <c r="C1275" s="72" t="s">
        <v>369</v>
      </c>
      <c r="D1275" t="s">
        <v>2984</v>
      </c>
      <c r="E1275" t="s">
        <v>3011</v>
      </c>
      <c r="F1275" s="117" t="s">
        <v>3011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69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2901</v>
      </c>
      <c r="B1276" s="69" t="str">
        <f>IFERROR(VLOOKUP(Proc[[#This Row],[App]],Table2[],3,0),"open")</f>
        <v>ok</v>
      </c>
      <c r="C1276" s="72" t="s">
        <v>369</v>
      </c>
      <c r="D1276" t="s">
        <v>2985</v>
      </c>
      <c r="E1276" t="s">
        <v>3011</v>
      </c>
      <c r="F1276" s="117" t="s">
        <v>3011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69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2901</v>
      </c>
      <c r="B1277" s="69" t="str">
        <f>IFERROR(VLOOKUP(Proc[[#This Row],[App]],Table2[],3,0),"open")</f>
        <v>ok</v>
      </c>
      <c r="C1277" s="72" t="s">
        <v>369</v>
      </c>
      <c r="D1277" t="s">
        <v>2986</v>
      </c>
      <c r="E1277" t="s">
        <v>3011</v>
      </c>
      <c r="F1277" s="117" t="s">
        <v>3011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69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2901</v>
      </c>
      <c r="B1278" s="69" t="str">
        <f>IFERROR(VLOOKUP(Proc[[#This Row],[App]],Table2[],3,0),"open")</f>
        <v>ok</v>
      </c>
      <c r="C1278" s="72" t="s">
        <v>369</v>
      </c>
      <c r="D1278" t="s">
        <v>2987</v>
      </c>
      <c r="E1278" t="s">
        <v>3011</v>
      </c>
      <c r="F1278" s="117" t="s">
        <v>3011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69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2901</v>
      </c>
      <c r="B1279" s="69" t="str">
        <f>IFERROR(VLOOKUP(Proc[[#This Row],[App]],Table2[],3,0),"open")</f>
        <v>ok</v>
      </c>
      <c r="C1279" s="72" t="s">
        <v>369</v>
      </c>
      <c r="D1279" t="s">
        <v>2988</v>
      </c>
      <c r="E1279" t="s">
        <v>3011</v>
      </c>
      <c r="F1279" s="117" t="s">
        <v>3011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69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2901</v>
      </c>
      <c r="B1280" s="69" t="str">
        <f>IFERROR(VLOOKUP(Proc[[#This Row],[App]],Table2[],3,0),"open")</f>
        <v>ok</v>
      </c>
      <c r="C1280" s="72" t="s">
        <v>369</v>
      </c>
      <c r="D1280" t="s">
        <v>2989</v>
      </c>
      <c r="E1280" t="s">
        <v>3011</v>
      </c>
      <c r="F1280" s="117" t="s">
        <v>3011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69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2901</v>
      </c>
      <c r="B1281" s="69" t="str">
        <f>IFERROR(VLOOKUP(Proc[[#This Row],[App]],Table2[],3,0),"open")</f>
        <v>ok</v>
      </c>
      <c r="C1281" s="72" t="s">
        <v>369</v>
      </c>
      <c r="D1281" t="s">
        <v>2990</v>
      </c>
      <c r="E1281" t="s">
        <v>3011</v>
      </c>
      <c r="F1281" s="117" t="s">
        <v>3011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69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2901</v>
      </c>
      <c r="B1282" s="69" t="str">
        <f>IFERROR(VLOOKUP(Proc[[#This Row],[App]],Table2[],3,0),"open")</f>
        <v>ok</v>
      </c>
      <c r="C1282" s="72" t="s">
        <v>369</v>
      </c>
      <c r="D1282" t="s">
        <v>2991</v>
      </c>
      <c r="E1282" t="s">
        <v>3011</v>
      </c>
      <c r="F1282" s="117" t="s">
        <v>3011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69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2901</v>
      </c>
      <c r="B1283" s="69" t="str">
        <f>IFERROR(VLOOKUP(Proc[[#This Row],[App]],Table2[],3,0),"open")</f>
        <v>ok</v>
      </c>
      <c r="C1283" s="72" t="s">
        <v>369</v>
      </c>
      <c r="D1283" t="s">
        <v>2992</v>
      </c>
      <c r="E1283" t="s">
        <v>3011</v>
      </c>
      <c r="F1283" s="117" t="s">
        <v>3011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69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2901</v>
      </c>
      <c r="B1284" s="69" t="str">
        <f>IFERROR(VLOOKUP(Proc[[#This Row],[App]],Table2[],3,0),"open")</f>
        <v>ok</v>
      </c>
      <c r="C1284" s="72" t="s">
        <v>369</v>
      </c>
      <c r="D1284" t="s">
        <v>2993</v>
      </c>
      <c r="E1284" t="s">
        <v>3011</v>
      </c>
      <c r="F1284" s="117" t="s">
        <v>3011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69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2901</v>
      </c>
      <c r="B1285" s="69" t="str">
        <f>IFERROR(VLOOKUP(Proc[[#This Row],[App]],Table2[],3,0),"open")</f>
        <v>ok</v>
      </c>
      <c r="C1285" s="72" t="s">
        <v>369</v>
      </c>
      <c r="D1285" t="s">
        <v>2994</v>
      </c>
      <c r="E1285" t="s">
        <v>3011</v>
      </c>
      <c r="F1285" s="117" t="s">
        <v>3011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69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2901</v>
      </c>
      <c r="B1286" s="69" t="str">
        <f>IFERROR(VLOOKUP(Proc[[#This Row],[App]],Table2[],3,0),"open")</f>
        <v>ok</v>
      </c>
      <c r="C1286" s="72" t="s">
        <v>369</v>
      </c>
      <c r="D1286" t="s">
        <v>2995</v>
      </c>
      <c r="E1286" t="s">
        <v>3011</v>
      </c>
      <c r="F1286" s="117" t="s">
        <v>3011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69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2901</v>
      </c>
      <c r="B1287" s="69" t="str">
        <f>IFERROR(VLOOKUP(Proc[[#This Row],[App]],Table2[],3,0),"open")</f>
        <v>ok</v>
      </c>
      <c r="C1287" s="72" t="s">
        <v>369</v>
      </c>
      <c r="D1287" t="s">
        <v>2996</v>
      </c>
      <c r="E1287" t="s">
        <v>3011</v>
      </c>
      <c r="F1287" s="117" t="s">
        <v>3011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69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2901</v>
      </c>
      <c r="B1288" s="69" t="str">
        <f>IFERROR(VLOOKUP(Proc[[#This Row],[App]],Table2[],3,0),"open")</f>
        <v>ok</v>
      </c>
      <c r="C1288" s="72" t="s">
        <v>369</v>
      </c>
      <c r="D1288" t="s">
        <v>2997</v>
      </c>
      <c r="E1288" t="s">
        <v>3011</v>
      </c>
      <c r="F1288" s="117" t="s">
        <v>3011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69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2901</v>
      </c>
      <c r="B1289" s="69" t="str">
        <f>IFERROR(VLOOKUP(Proc[[#This Row],[App]],Table2[],3,0),"open")</f>
        <v>ok</v>
      </c>
      <c r="C1289" s="72" t="s">
        <v>369</v>
      </c>
      <c r="D1289" t="s">
        <v>2998</v>
      </c>
      <c r="E1289" t="s">
        <v>3011</v>
      </c>
      <c r="F1289" s="117" t="s">
        <v>3011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69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2901</v>
      </c>
      <c r="B1290" s="69" t="str">
        <f>IFERROR(VLOOKUP(Proc[[#This Row],[App]],Table2[],3,0),"open")</f>
        <v>ok</v>
      </c>
      <c r="C1290" s="72" t="s">
        <v>369</v>
      </c>
      <c r="D1290" t="s">
        <v>2999</v>
      </c>
      <c r="E1290" t="s">
        <v>3011</v>
      </c>
      <c r="F1290" s="117" t="s">
        <v>3011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69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2901</v>
      </c>
      <c r="B1291" s="69" t="str">
        <f>IFERROR(VLOOKUP(Proc[[#This Row],[App]],Table2[],3,0),"open")</f>
        <v>ok</v>
      </c>
      <c r="C1291" s="72" t="s">
        <v>369</v>
      </c>
      <c r="D1291" t="s">
        <v>3000</v>
      </c>
      <c r="E1291" t="s">
        <v>3011</v>
      </c>
      <c r="F1291" s="117" t="s">
        <v>3011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69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2901</v>
      </c>
      <c r="B1292" s="69" t="str">
        <f>IFERROR(VLOOKUP(Proc[[#This Row],[App]],Table2[],3,0),"open")</f>
        <v>ok</v>
      </c>
      <c r="C1292" s="72" t="s">
        <v>369</v>
      </c>
      <c r="D1292" t="s">
        <v>3001</v>
      </c>
      <c r="E1292" t="s">
        <v>3011</v>
      </c>
      <c r="F1292" s="117" t="s">
        <v>3011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69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2901</v>
      </c>
      <c r="B1293" s="69" t="str">
        <f>IFERROR(VLOOKUP(Proc[[#This Row],[App]],Table2[],3,0),"open")</f>
        <v>ok</v>
      </c>
      <c r="C1293" s="72" t="s">
        <v>369</v>
      </c>
      <c r="D1293" t="s">
        <v>3002</v>
      </c>
      <c r="E1293" t="s">
        <v>3011</v>
      </c>
      <c r="F1293" s="117" t="s">
        <v>3011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69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3014</v>
      </c>
      <c r="B1294" s="69" t="str">
        <f>IFERROR(VLOOKUP(Proc[[#This Row],[App]],Table2[],3,0),"open")</f>
        <v>ok</v>
      </c>
      <c r="C1294" s="72" t="s">
        <v>369</v>
      </c>
      <c r="D1294" t="s">
        <v>3012</v>
      </c>
      <c r="E1294" t="s">
        <v>3013</v>
      </c>
      <c r="F1294" s="117" t="s">
        <v>3013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69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3016</v>
      </c>
      <c r="B1295" s="69" t="str">
        <f>IFERROR(VLOOKUP(Proc[[#This Row],[App]],Table2[],3,0),"open")</f>
        <v>ok</v>
      </c>
      <c r="C1295" t="s">
        <v>369</v>
      </c>
      <c r="D1295" t="s">
        <v>3017</v>
      </c>
      <c r="E1295" t="s">
        <v>3018</v>
      </c>
      <c r="F1295" s="117" t="s">
        <v>3018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69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3016</v>
      </c>
      <c r="B1296" s="6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69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 hidden="1">
      <c r="A1297" t="s">
        <v>3019</v>
      </c>
      <c r="B1297" s="69" t="str">
        <f>IFERROR(VLOOKUP(Proc[[#This Row],[App]],Table2[],3,0),"open")</f>
        <v>ok</v>
      </c>
      <c r="C1297" s="72" t="s">
        <v>369</v>
      </c>
      <c r="D1297" t="s">
        <v>3020</v>
      </c>
      <c r="E1297" t="s">
        <v>3021</v>
      </c>
      <c r="F1297" s="117" t="s">
        <v>3021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69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3022</v>
      </c>
      <c r="B1298" s="69" t="str">
        <f>IFERROR(VLOOKUP(Proc[[#This Row],[App]],Table2[],3,0),"open")</f>
        <v>ok</v>
      </c>
      <c r="C1298" s="72" t="s">
        <v>369</v>
      </c>
      <c r="D1298" t="s">
        <v>3023</v>
      </c>
      <c r="E1298" t="s">
        <v>3024</v>
      </c>
      <c r="F1298" s="117" t="s">
        <v>3024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69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3066</v>
      </c>
      <c r="B1299" s="69" t="str">
        <f>IFERROR(VLOOKUP(Proc[[#This Row],[App]],Table2[],3,0),"open")</f>
        <v>ok</v>
      </c>
      <c r="C1299" t="s">
        <v>369</v>
      </c>
      <c r="D1299" t="s">
        <v>3025</v>
      </c>
      <c r="E1299" t="s">
        <v>3026</v>
      </c>
      <c r="F1299" s="117" t="s">
        <v>3026</v>
      </c>
      <c r="G1299" s="72" t="s">
        <v>400</v>
      </c>
      <c r="H1299" s="69" t="str">
        <f>IF(Proc[[#This Row],[type]]="LFF (MDG-F)",MID(Proc[[#This Row],[Obj]],13,10),"")</f>
        <v/>
      </c>
      <c r="I1299" t="s">
        <v>3062</v>
      </c>
      <c r="J1299" s="69" t="b">
        <f>Proc[[#This Row],[Requested]]=Proc[[#This Row],[CurrentParent]]</f>
        <v>1</v>
      </c>
      <c r="K1299" s="69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3066</v>
      </c>
      <c r="B1300" s="69" t="str">
        <f>IFERROR(VLOOKUP(Proc[[#This Row],[App]],Table2[],3,0),"open")</f>
        <v>ok</v>
      </c>
      <c r="C1300" s="72" t="s">
        <v>369</v>
      </c>
      <c r="D1300" t="s">
        <v>3027</v>
      </c>
      <c r="E1300" t="s">
        <v>3026</v>
      </c>
      <c r="F1300" s="117" t="s">
        <v>3026</v>
      </c>
      <c r="G1300" s="72" t="s">
        <v>400</v>
      </c>
      <c r="H1300" s="69" t="str">
        <f>IF(Proc[[#This Row],[type]]="LFF (MDG-F)",MID(Proc[[#This Row],[Obj]],13,10),"")</f>
        <v/>
      </c>
      <c r="I1300" t="s">
        <v>3062</v>
      </c>
      <c r="J1300" s="69" t="b">
        <f>Proc[[#This Row],[Requested]]=Proc[[#This Row],[CurrentParent]]</f>
        <v>1</v>
      </c>
      <c r="K1300" s="69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3066</v>
      </c>
      <c r="B1301" s="69" t="str">
        <f>IFERROR(VLOOKUP(Proc[[#This Row],[App]],Table2[],3,0),"open")</f>
        <v>ok</v>
      </c>
      <c r="C1301" s="72" t="s">
        <v>369</v>
      </c>
      <c r="D1301" t="s">
        <v>3028</v>
      </c>
      <c r="E1301" t="s">
        <v>3026</v>
      </c>
      <c r="F1301" s="117" t="s">
        <v>3026</v>
      </c>
      <c r="G1301" s="72" t="s">
        <v>400</v>
      </c>
      <c r="H1301" s="69" t="str">
        <f>IF(Proc[[#This Row],[type]]="LFF (MDG-F)",MID(Proc[[#This Row],[Obj]],13,10),"")</f>
        <v/>
      </c>
      <c r="I1301" t="s">
        <v>3062</v>
      </c>
      <c r="J1301" s="69" t="b">
        <f>Proc[[#This Row],[Requested]]=Proc[[#This Row],[CurrentParent]]</f>
        <v>1</v>
      </c>
      <c r="K1301" s="69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3066</v>
      </c>
      <c r="B1302" s="69" t="str">
        <f>IFERROR(VLOOKUP(Proc[[#This Row],[App]],Table2[],3,0),"open")</f>
        <v>ok</v>
      </c>
      <c r="C1302" s="72" t="s">
        <v>369</v>
      </c>
      <c r="D1302" t="s">
        <v>3029</v>
      </c>
      <c r="E1302" t="s">
        <v>3026</v>
      </c>
      <c r="F1302" s="117" t="s">
        <v>3026</v>
      </c>
      <c r="G1302" s="72" t="s">
        <v>400</v>
      </c>
      <c r="H1302" s="69" t="str">
        <f>IF(Proc[[#This Row],[type]]="LFF (MDG-F)",MID(Proc[[#This Row],[Obj]],13,10),"")</f>
        <v/>
      </c>
      <c r="I1302" t="s">
        <v>3062</v>
      </c>
      <c r="J1302" s="69" t="b">
        <f>Proc[[#This Row],[Requested]]=Proc[[#This Row],[CurrentParent]]</f>
        <v>1</v>
      </c>
      <c r="K1302" s="69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3066</v>
      </c>
      <c r="B1303" s="69" t="str">
        <f>IFERROR(VLOOKUP(Proc[[#This Row],[App]],Table2[],3,0),"open")</f>
        <v>ok</v>
      </c>
      <c r="C1303" s="72" t="s">
        <v>369</v>
      </c>
      <c r="D1303" t="s">
        <v>3030</v>
      </c>
      <c r="E1303" t="s">
        <v>3026</v>
      </c>
      <c r="F1303" s="117" t="s">
        <v>3026</v>
      </c>
      <c r="G1303" s="72" t="s">
        <v>400</v>
      </c>
      <c r="H1303" s="69" t="str">
        <f>IF(Proc[[#This Row],[type]]="LFF (MDG-F)",MID(Proc[[#This Row],[Obj]],13,10),"")</f>
        <v/>
      </c>
      <c r="I1303" t="s">
        <v>3063</v>
      </c>
      <c r="J1303" s="69" t="b">
        <f>Proc[[#This Row],[Requested]]=Proc[[#This Row],[CurrentParent]]</f>
        <v>1</v>
      </c>
      <c r="K1303" s="69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3066</v>
      </c>
      <c r="B1304" s="69" t="str">
        <f>IFERROR(VLOOKUP(Proc[[#This Row],[App]],Table2[],3,0),"open")</f>
        <v>ok</v>
      </c>
      <c r="C1304" s="72" t="s">
        <v>369</v>
      </c>
      <c r="D1304" t="s">
        <v>3031</v>
      </c>
      <c r="E1304" t="s">
        <v>3026</v>
      </c>
      <c r="F1304" s="117" t="s">
        <v>3026</v>
      </c>
      <c r="G1304" s="72" t="s">
        <v>400</v>
      </c>
      <c r="H1304" s="69" t="str">
        <f>IF(Proc[[#This Row],[type]]="LFF (MDG-F)",MID(Proc[[#This Row],[Obj]],13,10),"")</f>
        <v/>
      </c>
      <c r="I1304" t="s">
        <v>3063</v>
      </c>
      <c r="J1304" s="69" t="b">
        <f>Proc[[#This Row],[Requested]]=Proc[[#This Row],[CurrentParent]]</f>
        <v>1</v>
      </c>
      <c r="K1304" s="69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3066</v>
      </c>
      <c r="B1305" s="69" t="str">
        <f>IFERROR(VLOOKUP(Proc[[#This Row],[App]],Table2[],3,0),"open")</f>
        <v>ok</v>
      </c>
      <c r="C1305" s="72" t="s">
        <v>369</v>
      </c>
      <c r="D1305" t="s">
        <v>3032</v>
      </c>
      <c r="E1305" t="s">
        <v>3026</v>
      </c>
      <c r="F1305" s="117" t="s">
        <v>3026</v>
      </c>
      <c r="G1305" s="72" t="s">
        <v>400</v>
      </c>
      <c r="H1305" s="69" t="str">
        <f>IF(Proc[[#This Row],[type]]="LFF (MDG-F)",MID(Proc[[#This Row],[Obj]],13,10),"")</f>
        <v/>
      </c>
      <c r="I1305" t="s">
        <v>3063</v>
      </c>
      <c r="J1305" s="69" t="b">
        <f>Proc[[#This Row],[Requested]]=Proc[[#This Row],[CurrentParent]]</f>
        <v>1</v>
      </c>
      <c r="K1305" s="69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3066</v>
      </c>
      <c r="B1306" s="69" t="str">
        <f>IFERROR(VLOOKUP(Proc[[#This Row],[App]],Table2[],3,0),"open")</f>
        <v>ok</v>
      </c>
      <c r="C1306" s="72" t="s">
        <v>369</v>
      </c>
      <c r="D1306" t="s">
        <v>3033</v>
      </c>
      <c r="E1306" t="s">
        <v>3026</v>
      </c>
      <c r="F1306" s="117" t="s">
        <v>3026</v>
      </c>
      <c r="G1306" s="72" t="s">
        <v>400</v>
      </c>
      <c r="H1306" s="69" t="str">
        <f>IF(Proc[[#This Row],[type]]="LFF (MDG-F)",MID(Proc[[#This Row],[Obj]],13,10),"")</f>
        <v/>
      </c>
      <c r="I1306" t="s">
        <v>3063</v>
      </c>
      <c r="J1306" s="69" t="b">
        <f>Proc[[#This Row],[Requested]]=Proc[[#This Row],[CurrentParent]]</f>
        <v>1</v>
      </c>
      <c r="K1306" s="69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3066</v>
      </c>
      <c r="B1307" s="69" t="str">
        <f>IFERROR(VLOOKUP(Proc[[#This Row],[App]],Table2[],3,0),"open")</f>
        <v>ok</v>
      </c>
      <c r="C1307" s="72" t="s">
        <v>369</v>
      </c>
      <c r="D1307" t="s">
        <v>3034</v>
      </c>
      <c r="E1307" t="s">
        <v>3026</v>
      </c>
      <c r="F1307" s="117" t="s">
        <v>3026</v>
      </c>
      <c r="G1307" s="72" t="s">
        <v>400</v>
      </c>
      <c r="H1307" s="69" t="str">
        <f>IF(Proc[[#This Row],[type]]="LFF (MDG-F)",MID(Proc[[#This Row],[Obj]],13,10),"")</f>
        <v/>
      </c>
      <c r="I1307" t="s">
        <v>3063</v>
      </c>
      <c r="J1307" s="69" t="b">
        <f>Proc[[#This Row],[Requested]]=Proc[[#This Row],[CurrentParent]]</f>
        <v>1</v>
      </c>
      <c r="K1307" s="69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3066</v>
      </c>
      <c r="B1308" s="69" t="str">
        <f>IFERROR(VLOOKUP(Proc[[#This Row],[App]],Table2[],3,0),"open")</f>
        <v>ok</v>
      </c>
      <c r="C1308" s="72" t="s">
        <v>369</v>
      </c>
      <c r="D1308" t="s">
        <v>3035</v>
      </c>
      <c r="E1308" t="s">
        <v>3026</v>
      </c>
      <c r="F1308" s="117" t="s">
        <v>3026</v>
      </c>
      <c r="G1308" s="72" t="s">
        <v>400</v>
      </c>
      <c r="H1308" s="69" t="str">
        <f>IF(Proc[[#This Row],[type]]="LFF (MDG-F)",MID(Proc[[#This Row],[Obj]],13,10),"")</f>
        <v/>
      </c>
      <c r="I1308" t="s">
        <v>3063</v>
      </c>
      <c r="J1308" s="69" t="b">
        <f>Proc[[#This Row],[Requested]]=Proc[[#This Row],[CurrentParent]]</f>
        <v>1</v>
      </c>
      <c r="K1308" s="69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3066</v>
      </c>
      <c r="B1309" s="69" t="str">
        <f>IFERROR(VLOOKUP(Proc[[#This Row],[App]],Table2[],3,0),"open")</f>
        <v>ok</v>
      </c>
      <c r="C1309" s="72" t="s">
        <v>369</v>
      </c>
      <c r="D1309" t="s">
        <v>3036</v>
      </c>
      <c r="E1309" t="s">
        <v>3026</v>
      </c>
      <c r="F1309" s="117" t="s">
        <v>3026</v>
      </c>
      <c r="G1309" s="72" t="s">
        <v>400</v>
      </c>
      <c r="H1309" s="69" t="str">
        <f>IF(Proc[[#This Row],[type]]="LFF (MDG-F)",MID(Proc[[#This Row],[Obj]],13,10),"")</f>
        <v/>
      </c>
      <c r="I1309" t="s">
        <v>3063</v>
      </c>
      <c r="J1309" s="69" t="b">
        <f>Proc[[#This Row],[Requested]]=Proc[[#This Row],[CurrentParent]]</f>
        <v>1</v>
      </c>
      <c r="K1309" s="69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3066</v>
      </c>
      <c r="B1310" s="69" t="str">
        <f>IFERROR(VLOOKUP(Proc[[#This Row],[App]],Table2[],3,0),"open")</f>
        <v>ok</v>
      </c>
      <c r="C1310" s="72" t="s">
        <v>369</v>
      </c>
      <c r="D1310" t="s">
        <v>3037</v>
      </c>
      <c r="E1310" t="s">
        <v>3026</v>
      </c>
      <c r="F1310" s="117" t="s">
        <v>3026</v>
      </c>
      <c r="G1310" s="72" t="s">
        <v>400</v>
      </c>
      <c r="H1310" s="69" t="str">
        <f>IF(Proc[[#This Row],[type]]="LFF (MDG-F)",MID(Proc[[#This Row],[Obj]],13,10),"")</f>
        <v/>
      </c>
      <c r="I1310" t="s">
        <v>3063</v>
      </c>
      <c r="J1310" s="69" t="b">
        <f>Proc[[#This Row],[Requested]]=Proc[[#This Row],[CurrentParent]]</f>
        <v>1</v>
      </c>
      <c r="K1310" s="69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3066</v>
      </c>
      <c r="B1311" s="69" t="str">
        <f>IFERROR(VLOOKUP(Proc[[#This Row],[App]],Table2[],3,0),"open")</f>
        <v>ok</v>
      </c>
      <c r="C1311" s="72" t="s">
        <v>369</v>
      </c>
      <c r="D1311" t="s">
        <v>3038</v>
      </c>
      <c r="E1311" t="s">
        <v>3026</v>
      </c>
      <c r="F1311" s="117" t="s">
        <v>3026</v>
      </c>
      <c r="G1311" s="72" t="s">
        <v>400</v>
      </c>
      <c r="H1311" s="69" t="str">
        <f>IF(Proc[[#This Row],[type]]="LFF (MDG-F)",MID(Proc[[#This Row],[Obj]],13,10),"")</f>
        <v/>
      </c>
      <c r="I1311" t="s">
        <v>3063</v>
      </c>
      <c r="J1311" s="69" t="b">
        <f>Proc[[#This Row],[Requested]]=Proc[[#This Row],[CurrentParent]]</f>
        <v>1</v>
      </c>
      <c r="K1311" s="69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3066</v>
      </c>
      <c r="B1312" s="69" t="str">
        <f>IFERROR(VLOOKUP(Proc[[#This Row],[App]],Table2[],3,0),"open")</f>
        <v>ok</v>
      </c>
      <c r="C1312" s="72" t="s">
        <v>369</v>
      </c>
      <c r="D1312" t="s">
        <v>3039</v>
      </c>
      <c r="E1312" t="s">
        <v>3026</v>
      </c>
      <c r="F1312" s="117" t="s">
        <v>3026</v>
      </c>
      <c r="G1312" s="72" t="s">
        <v>400</v>
      </c>
      <c r="H1312" s="69" t="str">
        <f>IF(Proc[[#This Row],[type]]="LFF (MDG-F)",MID(Proc[[#This Row],[Obj]],13,10),"")</f>
        <v/>
      </c>
      <c r="I1312" t="s">
        <v>3063</v>
      </c>
      <c r="J1312" s="69" t="b">
        <f>Proc[[#This Row],[Requested]]=Proc[[#This Row],[CurrentParent]]</f>
        <v>1</v>
      </c>
      <c r="K1312" s="69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3066</v>
      </c>
      <c r="B1313" s="69" t="str">
        <f>IFERROR(VLOOKUP(Proc[[#This Row],[App]],Table2[],3,0),"open")</f>
        <v>ok</v>
      </c>
      <c r="C1313" s="72" t="s">
        <v>369</v>
      </c>
      <c r="D1313" t="s">
        <v>3040</v>
      </c>
      <c r="E1313" t="s">
        <v>3026</v>
      </c>
      <c r="F1313" s="117" t="s">
        <v>3026</v>
      </c>
      <c r="G1313" s="72" t="s">
        <v>400</v>
      </c>
      <c r="H1313" s="69" t="str">
        <f>IF(Proc[[#This Row],[type]]="LFF (MDG-F)",MID(Proc[[#This Row],[Obj]],13,10),"")</f>
        <v/>
      </c>
      <c r="I1313" t="s">
        <v>3063</v>
      </c>
      <c r="J1313" s="69" t="b">
        <f>Proc[[#This Row],[Requested]]=Proc[[#This Row],[CurrentParent]]</f>
        <v>1</v>
      </c>
      <c r="K1313" s="69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3066</v>
      </c>
      <c r="B1314" s="69" t="str">
        <f>IFERROR(VLOOKUP(Proc[[#This Row],[App]],Table2[],3,0),"open")</f>
        <v>ok</v>
      </c>
      <c r="C1314" s="72" t="s">
        <v>369</v>
      </c>
      <c r="D1314" t="s">
        <v>3041</v>
      </c>
      <c r="E1314" t="s">
        <v>3026</v>
      </c>
      <c r="F1314" s="117" t="s">
        <v>3026</v>
      </c>
      <c r="G1314" s="72" t="s">
        <v>400</v>
      </c>
      <c r="H1314" s="69" t="str">
        <f>IF(Proc[[#This Row],[type]]="LFF (MDG-F)",MID(Proc[[#This Row],[Obj]],13,10),"")</f>
        <v/>
      </c>
      <c r="I1314" t="s">
        <v>3063</v>
      </c>
      <c r="J1314" s="69" t="b">
        <f>Proc[[#This Row],[Requested]]=Proc[[#This Row],[CurrentParent]]</f>
        <v>1</v>
      </c>
      <c r="K1314" s="69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3066</v>
      </c>
      <c r="B1315" s="69" t="str">
        <f>IFERROR(VLOOKUP(Proc[[#This Row],[App]],Table2[],3,0),"open")</f>
        <v>ok</v>
      </c>
      <c r="C1315" s="72" t="s">
        <v>369</v>
      </c>
      <c r="D1315" t="s">
        <v>3042</v>
      </c>
      <c r="E1315" t="s">
        <v>3026</v>
      </c>
      <c r="F1315" s="117" t="s">
        <v>3026</v>
      </c>
      <c r="G1315" s="72" t="s">
        <v>400</v>
      </c>
      <c r="H1315" s="69" t="str">
        <f>IF(Proc[[#This Row],[type]]="LFF (MDG-F)",MID(Proc[[#This Row],[Obj]],13,10),"")</f>
        <v/>
      </c>
      <c r="I1315" t="s">
        <v>3064</v>
      </c>
      <c r="J1315" s="69" t="b">
        <f>Proc[[#This Row],[Requested]]=Proc[[#This Row],[CurrentParent]]</f>
        <v>1</v>
      </c>
      <c r="K1315" s="69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3066</v>
      </c>
      <c r="B1316" s="69" t="str">
        <f>IFERROR(VLOOKUP(Proc[[#This Row],[App]],Table2[],3,0),"open")</f>
        <v>ok</v>
      </c>
      <c r="C1316" s="72" t="s">
        <v>369</v>
      </c>
      <c r="D1316" t="s">
        <v>3043</v>
      </c>
      <c r="E1316" t="s">
        <v>3026</v>
      </c>
      <c r="F1316" s="117" t="s">
        <v>3026</v>
      </c>
      <c r="G1316" s="72" t="s">
        <v>400</v>
      </c>
      <c r="H1316" s="69" t="str">
        <f>IF(Proc[[#This Row],[type]]="LFF (MDG-F)",MID(Proc[[#This Row],[Obj]],13,10),"")</f>
        <v/>
      </c>
      <c r="I1316" t="s">
        <v>3064</v>
      </c>
      <c r="J1316" s="69" t="b">
        <f>Proc[[#This Row],[Requested]]=Proc[[#This Row],[CurrentParent]]</f>
        <v>1</v>
      </c>
      <c r="K1316" s="69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3066</v>
      </c>
      <c r="B1317" s="69" t="str">
        <f>IFERROR(VLOOKUP(Proc[[#This Row],[App]],Table2[],3,0),"open")</f>
        <v>ok</v>
      </c>
      <c r="C1317" s="72" t="s">
        <v>369</v>
      </c>
      <c r="D1317" t="s">
        <v>3044</v>
      </c>
      <c r="E1317" t="s">
        <v>3026</v>
      </c>
      <c r="F1317" s="117" t="s">
        <v>3026</v>
      </c>
      <c r="G1317" s="72" t="s">
        <v>400</v>
      </c>
      <c r="H1317" s="69" t="str">
        <f>IF(Proc[[#This Row],[type]]="LFF (MDG-F)",MID(Proc[[#This Row],[Obj]],13,10),"")</f>
        <v/>
      </c>
      <c r="I1317" t="s">
        <v>3064</v>
      </c>
      <c r="J1317" s="69" t="b">
        <f>Proc[[#This Row],[Requested]]=Proc[[#This Row],[CurrentParent]]</f>
        <v>1</v>
      </c>
      <c r="K1317" s="69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3066</v>
      </c>
      <c r="B1318" s="69" t="str">
        <f>IFERROR(VLOOKUP(Proc[[#This Row],[App]],Table2[],3,0),"open")</f>
        <v>ok</v>
      </c>
      <c r="C1318" s="72" t="s">
        <v>369</v>
      </c>
      <c r="D1318" t="s">
        <v>3045</v>
      </c>
      <c r="E1318" t="s">
        <v>3026</v>
      </c>
      <c r="F1318" s="117" t="s">
        <v>3026</v>
      </c>
      <c r="G1318" s="72" t="s">
        <v>400</v>
      </c>
      <c r="H1318" s="69" t="str">
        <f>IF(Proc[[#This Row],[type]]="LFF (MDG-F)",MID(Proc[[#This Row],[Obj]],13,10),"")</f>
        <v/>
      </c>
      <c r="I1318" t="s">
        <v>3064</v>
      </c>
      <c r="J1318" s="69" t="b">
        <f>Proc[[#This Row],[Requested]]=Proc[[#This Row],[CurrentParent]]</f>
        <v>1</v>
      </c>
      <c r="K1318" s="69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3066</v>
      </c>
      <c r="B1319" s="69" t="str">
        <f>IFERROR(VLOOKUP(Proc[[#This Row],[App]],Table2[],3,0),"open")</f>
        <v>ok</v>
      </c>
      <c r="C1319" s="72" t="s">
        <v>369</v>
      </c>
      <c r="D1319" t="s">
        <v>3046</v>
      </c>
      <c r="E1319" t="s">
        <v>3026</v>
      </c>
      <c r="F1319" s="117" t="s">
        <v>3026</v>
      </c>
      <c r="G1319" s="72" t="s">
        <v>400</v>
      </c>
      <c r="H1319" s="69" t="str">
        <f>IF(Proc[[#This Row],[type]]="LFF (MDG-F)",MID(Proc[[#This Row],[Obj]],13,10),"")</f>
        <v/>
      </c>
      <c r="I1319" t="s">
        <v>3064</v>
      </c>
      <c r="J1319" s="69" t="b">
        <f>Proc[[#This Row],[Requested]]=Proc[[#This Row],[CurrentParent]]</f>
        <v>1</v>
      </c>
      <c r="K1319" s="69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3066</v>
      </c>
      <c r="B1320" s="69" t="str">
        <f>IFERROR(VLOOKUP(Proc[[#This Row],[App]],Table2[],3,0),"open")</f>
        <v>ok</v>
      </c>
      <c r="C1320" s="72" t="s">
        <v>369</v>
      </c>
      <c r="D1320" t="s">
        <v>3047</v>
      </c>
      <c r="E1320" t="s">
        <v>3026</v>
      </c>
      <c r="F1320" s="117" t="s">
        <v>3026</v>
      </c>
      <c r="G1320" s="72" t="s">
        <v>400</v>
      </c>
      <c r="H1320" s="69" t="str">
        <f>IF(Proc[[#This Row],[type]]="LFF (MDG-F)",MID(Proc[[#This Row],[Obj]],13,10),"")</f>
        <v/>
      </c>
      <c r="I1320" t="s">
        <v>3064</v>
      </c>
      <c r="J1320" s="69" t="b">
        <f>Proc[[#This Row],[Requested]]=Proc[[#This Row],[CurrentParent]]</f>
        <v>1</v>
      </c>
      <c r="K1320" s="69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3066</v>
      </c>
      <c r="B1321" s="69" t="str">
        <f>IFERROR(VLOOKUP(Proc[[#This Row],[App]],Table2[],3,0),"open")</f>
        <v>ok</v>
      </c>
      <c r="C1321" s="72" t="s">
        <v>369</v>
      </c>
      <c r="D1321" t="s">
        <v>3048</v>
      </c>
      <c r="E1321" t="s">
        <v>3026</v>
      </c>
      <c r="F1321" s="117" t="s">
        <v>3026</v>
      </c>
      <c r="G1321" s="72" t="s">
        <v>400</v>
      </c>
      <c r="H1321" s="69" t="str">
        <f>IF(Proc[[#This Row],[type]]="LFF (MDG-F)",MID(Proc[[#This Row],[Obj]],13,10),"")</f>
        <v/>
      </c>
      <c r="I1321" t="s">
        <v>3064</v>
      </c>
      <c r="J1321" s="69" t="b">
        <f>Proc[[#This Row],[Requested]]=Proc[[#This Row],[CurrentParent]]</f>
        <v>1</v>
      </c>
      <c r="K1321" s="69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3066</v>
      </c>
      <c r="B1322" s="69" t="str">
        <f>IFERROR(VLOOKUP(Proc[[#This Row],[App]],Table2[],3,0),"open")</f>
        <v>ok</v>
      </c>
      <c r="C1322" s="72" t="s">
        <v>369</v>
      </c>
      <c r="D1322" t="s">
        <v>3049</v>
      </c>
      <c r="E1322" t="s">
        <v>3026</v>
      </c>
      <c r="F1322" s="117" t="s">
        <v>3026</v>
      </c>
      <c r="G1322" s="72" t="s">
        <v>400</v>
      </c>
      <c r="H1322" s="69" t="str">
        <f>IF(Proc[[#This Row],[type]]="LFF (MDG-F)",MID(Proc[[#This Row],[Obj]],13,10),"")</f>
        <v/>
      </c>
      <c r="I1322" t="s">
        <v>3064</v>
      </c>
      <c r="J1322" s="69" t="b">
        <f>Proc[[#This Row],[Requested]]=Proc[[#This Row],[CurrentParent]]</f>
        <v>1</v>
      </c>
      <c r="K1322" s="69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3066</v>
      </c>
      <c r="B1323" s="69" t="str">
        <f>IFERROR(VLOOKUP(Proc[[#This Row],[App]],Table2[],3,0),"open")</f>
        <v>ok</v>
      </c>
      <c r="C1323" s="72" t="s">
        <v>369</v>
      </c>
      <c r="D1323" t="s">
        <v>3050</v>
      </c>
      <c r="E1323" t="s">
        <v>3026</v>
      </c>
      <c r="F1323" s="117" t="s">
        <v>3026</v>
      </c>
      <c r="G1323" s="72" t="s">
        <v>400</v>
      </c>
      <c r="H1323" s="69" t="str">
        <f>IF(Proc[[#This Row],[type]]="LFF (MDG-F)",MID(Proc[[#This Row],[Obj]],13,10),"")</f>
        <v/>
      </c>
      <c r="I1323" t="s">
        <v>3064</v>
      </c>
      <c r="J1323" s="69" t="b">
        <f>Proc[[#This Row],[Requested]]=Proc[[#This Row],[CurrentParent]]</f>
        <v>1</v>
      </c>
      <c r="K1323" s="69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3066</v>
      </c>
      <c r="B1324" s="69" t="str">
        <f>IFERROR(VLOOKUP(Proc[[#This Row],[App]],Table2[],3,0),"open")</f>
        <v>ok</v>
      </c>
      <c r="C1324" s="72" t="s">
        <v>369</v>
      </c>
      <c r="D1324" t="s">
        <v>3051</v>
      </c>
      <c r="E1324" t="s">
        <v>3026</v>
      </c>
      <c r="F1324" s="117" t="s">
        <v>3026</v>
      </c>
      <c r="G1324" s="72" t="s">
        <v>400</v>
      </c>
      <c r="H1324" s="69" t="str">
        <f>IF(Proc[[#This Row],[type]]="LFF (MDG-F)",MID(Proc[[#This Row],[Obj]],13,10),"")</f>
        <v/>
      </c>
      <c r="I1324" t="s">
        <v>3064</v>
      </c>
      <c r="J1324" s="69" t="b">
        <f>Proc[[#This Row],[Requested]]=Proc[[#This Row],[CurrentParent]]</f>
        <v>1</v>
      </c>
      <c r="K1324" s="69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3066</v>
      </c>
      <c r="B1325" s="69" t="str">
        <f>IFERROR(VLOOKUP(Proc[[#This Row],[App]],Table2[],3,0),"open")</f>
        <v>ok</v>
      </c>
      <c r="C1325" s="72" t="s">
        <v>369</v>
      </c>
      <c r="D1325" t="s">
        <v>3052</v>
      </c>
      <c r="E1325" t="s">
        <v>3026</v>
      </c>
      <c r="F1325" s="117" t="s">
        <v>3026</v>
      </c>
      <c r="G1325" s="72" t="s">
        <v>400</v>
      </c>
      <c r="H1325" s="69" t="str">
        <f>IF(Proc[[#This Row],[type]]="LFF (MDG-F)",MID(Proc[[#This Row],[Obj]],13,10),"")</f>
        <v/>
      </c>
      <c r="I1325" t="s">
        <v>3064</v>
      </c>
      <c r="J1325" s="69" t="b">
        <f>Proc[[#This Row],[Requested]]=Proc[[#This Row],[CurrentParent]]</f>
        <v>1</v>
      </c>
      <c r="K1325" s="69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3066</v>
      </c>
      <c r="B1326" s="69" t="str">
        <f>IFERROR(VLOOKUP(Proc[[#This Row],[App]],Table2[],3,0),"open")</f>
        <v>ok</v>
      </c>
      <c r="C1326" s="72" t="s">
        <v>369</v>
      </c>
      <c r="D1326" t="s">
        <v>3053</v>
      </c>
      <c r="E1326" t="s">
        <v>3026</v>
      </c>
      <c r="F1326" s="117" t="s">
        <v>3026</v>
      </c>
      <c r="G1326" s="72" t="s">
        <v>400</v>
      </c>
      <c r="H1326" s="69" t="str">
        <f>IF(Proc[[#This Row],[type]]="LFF (MDG-F)",MID(Proc[[#This Row],[Obj]],13,10),"")</f>
        <v/>
      </c>
      <c r="I1326" t="s">
        <v>3065</v>
      </c>
      <c r="J1326" s="69" t="b">
        <f>Proc[[#This Row],[Requested]]=Proc[[#This Row],[CurrentParent]]</f>
        <v>1</v>
      </c>
      <c r="K1326" s="69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3066</v>
      </c>
      <c r="B1327" s="69" t="str">
        <f>IFERROR(VLOOKUP(Proc[[#This Row],[App]],Table2[],3,0),"open")</f>
        <v>ok</v>
      </c>
      <c r="C1327" s="72" t="s">
        <v>369</v>
      </c>
      <c r="D1327" t="s">
        <v>3054</v>
      </c>
      <c r="E1327" t="s">
        <v>3026</v>
      </c>
      <c r="F1327" s="117" t="s">
        <v>3026</v>
      </c>
      <c r="G1327" s="72" t="s">
        <v>400</v>
      </c>
      <c r="H1327" s="69" t="str">
        <f>IF(Proc[[#This Row],[type]]="LFF (MDG-F)",MID(Proc[[#This Row],[Obj]],13,10),"")</f>
        <v/>
      </c>
      <c r="I1327" t="s">
        <v>3065</v>
      </c>
      <c r="J1327" s="69" t="b">
        <f>Proc[[#This Row],[Requested]]=Proc[[#This Row],[CurrentParent]]</f>
        <v>1</v>
      </c>
      <c r="K1327" s="69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3066</v>
      </c>
      <c r="B1328" s="69" t="str">
        <f>IFERROR(VLOOKUP(Proc[[#This Row],[App]],Table2[],3,0),"open")</f>
        <v>ok</v>
      </c>
      <c r="C1328" s="72" t="s">
        <v>369</v>
      </c>
      <c r="D1328" t="s">
        <v>3055</v>
      </c>
      <c r="E1328" t="s">
        <v>3026</v>
      </c>
      <c r="F1328" s="117" t="s">
        <v>3026</v>
      </c>
      <c r="G1328" s="72" t="s">
        <v>400</v>
      </c>
      <c r="H1328" s="69" t="str">
        <f>IF(Proc[[#This Row],[type]]="LFF (MDG-F)",MID(Proc[[#This Row],[Obj]],13,10),"")</f>
        <v/>
      </c>
      <c r="I1328" t="s">
        <v>3065</v>
      </c>
      <c r="J1328" s="69" t="b">
        <f>Proc[[#This Row],[Requested]]=Proc[[#This Row],[CurrentParent]]</f>
        <v>1</v>
      </c>
      <c r="K1328" s="69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3066</v>
      </c>
      <c r="B1329" s="69" t="str">
        <f>IFERROR(VLOOKUP(Proc[[#This Row],[App]],Table2[],3,0),"open")</f>
        <v>ok</v>
      </c>
      <c r="C1329" s="72" t="s">
        <v>369</v>
      </c>
      <c r="D1329" t="s">
        <v>3056</v>
      </c>
      <c r="E1329" t="s">
        <v>3026</v>
      </c>
      <c r="F1329" s="117" t="s">
        <v>3026</v>
      </c>
      <c r="G1329" s="72" t="s">
        <v>400</v>
      </c>
      <c r="H1329" s="69" t="str">
        <f>IF(Proc[[#This Row],[type]]="LFF (MDG-F)",MID(Proc[[#This Row],[Obj]],13,10),"")</f>
        <v/>
      </c>
      <c r="I1329" t="s">
        <v>3065</v>
      </c>
      <c r="J1329" s="69" t="b">
        <f>Proc[[#This Row],[Requested]]=Proc[[#This Row],[CurrentParent]]</f>
        <v>1</v>
      </c>
      <c r="K1329" s="69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3066</v>
      </c>
      <c r="B1330" s="69" t="str">
        <f>IFERROR(VLOOKUP(Proc[[#This Row],[App]],Table2[],3,0),"open")</f>
        <v>ok</v>
      </c>
      <c r="C1330" s="72" t="s">
        <v>369</v>
      </c>
      <c r="D1330" t="s">
        <v>3057</v>
      </c>
      <c r="E1330" t="s">
        <v>3026</v>
      </c>
      <c r="F1330" s="117" t="s">
        <v>3026</v>
      </c>
      <c r="G1330" s="72" t="s">
        <v>400</v>
      </c>
      <c r="H1330" s="69" t="str">
        <f>IF(Proc[[#This Row],[type]]="LFF (MDG-F)",MID(Proc[[#This Row],[Obj]],13,10),"")</f>
        <v/>
      </c>
      <c r="I1330" t="s">
        <v>3065</v>
      </c>
      <c r="J1330" s="69" t="b">
        <f>Proc[[#This Row],[Requested]]=Proc[[#This Row],[CurrentParent]]</f>
        <v>1</v>
      </c>
      <c r="K1330" s="69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3066</v>
      </c>
      <c r="B1331" s="69" t="str">
        <f>IFERROR(VLOOKUP(Proc[[#This Row],[App]],Table2[],3,0),"open")</f>
        <v>ok</v>
      </c>
      <c r="C1331" s="72" t="s">
        <v>369</v>
      </c>
      <c r="D1331" t="s">
        <v>3058</v>
      </c>
      <c r="E1331" t="s">
        <v>3026</v>
      </c>
      <c r="F1331" s="117" t="s">
        <v>3026</v>
      </c>
      <c r="G1331" s="72" t="s">
        <v>400</v>
      </c>
      <c r="H1331" s="69" t="str">
        <f>IF(Proc[[#This Row],[type]]="LFF (MDG-F)",MID(Proc[[#This Row],[Obj]],13,10),"")</f>
        <v/>
      </c>
      <c r="I1331" t="s">
        <v>3065</v>
      </c>
      <c r="J1331" s="69" t="b">
        <f>Proc[[#This Row],[Requested]]=Proc[[#This Row],[CurrentParent]]</f>
        <v>1</v>
      </c>
      <c r="K1331" s="69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3066</v>
      </c>
      <c r="B1332" s="69" t="str">
        <f>IFERROR(VLOOKUP(Proc[[#This Row],[App]],Table2[],3,0),"open")</f>
        <v>ok</v>
      </c>
      <c r="C1332" s="72" t="s">
        <v>369</v>
      </c>
      <c r="D1332" t="s">
        <v>3059</v>
      </c>
      <c r="E1332" t="s">
        <v>3026</v>
      </c>
      <c r="F1332" s="117" t="s">
        <v>3026</v>
      </c>
      <c r="G1332" s="72" t="s">
        <v>400</v>
      </c>
      <c r="H1332" s="69" t="str">
        <f>IF(Proc[[#This Row],[type]]="LFF (MDG-F)",MID(Proc[[#This Row],[Obj]],13,10),"")</f>
        <v/>
      </c>
      <c r="I1332" t="s">
        <v>3065</v>
      </c>
      <c r="J1332" s="69" t="b">
        <f>Proc[[#This Row],[Requested]]=Proc[[#This Row],[CurrentParent]]</f>
        <v>1</v>
      </c>
      <c r="K1332" s="69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3066</v>
      </c>
      <c r="B1333" s="69" t="str">
        <f>IFERROR(VLOOKUP(Proc[[#This Row],[App]],Table2[],3,0),"open")</f>
        <v>ok</v>
      </c>
      <c r="C1333" s="72" t="s">
        <v>369</v>
      </c>
      <c r="D1333" t="s">
        <v>3060</v>
      </c>
      <c r="E1333" t="s">
        <v>3026</v>
      </c>
      <c r="F1333" s="117" t="s">
        <v>3026</v>
      </c>
      <c r="G1333" s="72" t="s">
        <v>400</v>
      </c>
      <c r="H1333" s="69" t="str">
        <f>IF(Proc[[#This Row],[type]]="LFF (MDG-F)",MID(Proc[[#This Row],[Obj]],13,10),"")</f>
        <v/>
      </c>
      <c r="I1333" t="s">
        <v>3065</v>
      </c>
      <c r="J1333" s="69" t="b">
        <f>Proc[[#This Row],[Requested]]=Proc[[#This Row],[CurrentParent]]</f>
        <v>1</v>
      </c>
      <c r="K1333" s="69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3066</v>
      </c>
      <c r="B1334" s="69" t="str">
        <f>IFERROR(VLOOKUP(Proc[[#This Row],[App]],Table2[],3,0),"open")</f>
        <v>ok</v>
      </c>
      <c r="C1334" s="72" t="s">
        <v>369</v>
      </c>
      <c r="D1334" t="s">
        <v>3061</v>
      </c>
      <c r="E1334" t="s">
        <v>3026</v>
      </c>
      <c r="F1334" s="117" t="s">
        <v>3026</v>
      </c>
      <c r="G1334" s="72" t="s">
        <v>400</v>
      </c>
      <c r="H1334" s="69" t="str">
        <f>IF(Proc[[#This Row],[type]]="LFF (MDG-F)",MID(Proc[[#This Row],[Obj]],13,10),"")</f>
        <v/>
      </c>
      <c r="I1334" t="s">
        <v>3065</v>
      </c>
      <c r="J1334" s="69" t="b">
        <f>Proc[[#This Row],[Requested]]=Proc[[#This Row],[CurrentParent]]</f>
        <v>1</v>
      </c>
      <c r="K1334" s="69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3084</v>
      </c>
      <c r="B1335" s="69" t="str">
        <f>IFERROR(VLOOKUP(Proc[[#This Row],[App]],Table2[],3,0),"open")</f>
        <v>ok</v>
      </c>
      <c r="C1335" s="72" t="s">
        <v>369</v>
      </c>
      <c r="D1335" t="s">
        <v>3067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69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3084</v>
      </c>
      <c r="B1336" s="69" t="str">
        <f>IFERROR(VLOOKUP(Proc[[#This Row],[App]],Table2[],3,0),"open")</f>
        <v>ok</v>
      </c>
      <c r="C1336" s="72" t="s">
        <v>369</v>
      </c>
      <c r="D1336" t="s">
        <v>3068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69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3084</v>
      </c>
      <c r="B1337" s="69" t="str">
        <f>IFERROR(VLOOKUP(Proc[[#This Row],[App]],Table2[],3,0),"open")</f>
        <v>ok</v>
      </c>
      <c r="C1337" s="72" t="s">
        <v>369</v>
      </c>
      <c r="D1337" t="s">
        <v>3069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69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3084</v>
      </c>
      <c r="B1338" s="69" t="str">
        <f>IFERROR(VLOOKUP(Proc[[#This Row],[App]],Table2[],3,0),"open")</f>
        <v>ok</v>
      </c>
      <c r="C1338" s="72" t="s">
        <v>369</v>
      </c>
      <c r="D1338" t="s">
        <v>3070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69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3084</v>
      </c>
      <c r="B1339" s="69" t="str">
        <f>IFERROR(VLOOKUP(Proc[[#This Row],[App]],Table2[],3,0),"open")</f>
        <v>ok</v>
      </c>
      <c r="C1339" s="72" t="s">
        <v>369</v>
      </c>
      <c r="D1339" t="s">
        <v>3071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69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3084</v>
      </c>
      <c r="B1340" s="69" t="str">
        <f>IFERROR(VLOOKUP(Proc[[#This Row],[App]],Table2[],3,0),"open")</f>
        <v>ok</v>
      </c>
      <c r="C1340" s="72" t="s">
        <v>369</v>
      </c>
      <c r="D1340" t="s">
        <v>3072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69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3084</v>
      </c>
      <c r="B1341" s="69" t="str">
        <f>IFERROR(VLOOKUP(Proc[[#This Row],[App]],Table2[],3,0),"open")</f>
        <v>ok</v>
      </c>
      <c r="C1341" s="72" t="s">
        <v>369</v>
      </c>
      <c r="D1341" t="s">
        <v>3073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69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3084</v>
      </c>
      <c r="B1342" s="69" t="str">
        <f>IFERROR(VLOOKUP(Proc[[#This Row],[App]],Table2[],3,0),"open")</f>
        <v>ok</v>
      </c>
      <c r="C1342" s="72" t="s">
        <v>369</v>
      </c>
      <c r="D1342" t="s">
        <v>3074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69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3084</v>
      </c>
      <c r="B1343" s="69" t="str">
        <f>IFERROR(VLOOKUP(Proc[[#This Row],[App]],Table2[],3,0),"open")</f>
        <v>ok</v>
      </c>
      <c r="C1343" s="72" t="s">
        <v>369</v>
      </c>
      <c r="D1343" t="s">
        <v>3075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69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3084</v>
      </c>
      <c r="B1344" s="69" t="str">
        <f>IFERROR(VLOOKUP(Proc[[#This Row],[App]],Table2[],3,0),"open")</f>
        <v>ok</v>
      </c>
      <c r="C1344" s="72" t="s">
        <v>369</v>
      </c>
      <c r="D1344" t="s">
        <v>3076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69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3084</v>
      </c>
      <c r="B1345" s="69" t="str">
        <f>IFERROR(VLOOKUP(Proc[[#This Row],[App]],Table2[],3,0),"open")</f>
        <v>ok</v>
      </c>
      <c r="C1345" s="72" t="s">
        <v>369</v>
      </c>
      <c r="D1345" t="s">
        <v>3077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69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3084</v>
      </c>
      <c r="B1346" s="69" t="str">
        <f>IFERROR(VLOOKUP(Proc[[#This Row],[App]],Table2[],3,0),"open")</f>
        <v>ok</v>
      </c>
      <c r="C1346" s="72" t="s">
        <v>369</v>
      </c>
      <c r="D1346" t="s">
        <v>3078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69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3084</v>
      </c>
      <c r="B1347" s="69" t="str">
        <f>IFERROR(VLOOKUP(Proc[[#This Row],[App]],Table2[],3,0),"open")</f>
        <v>ok</v>
      </c>
      <c r="C1347" s="72" t="s">
        <v>369</v>
      </c>
      <c r="D1347" t="s">
        <v>3079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69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3084</v>
      </c>
      <c r="B1348" s="69" t="str">
        <f>IFERROR(VLOOKUP(Proc[[#This Row],[App]],Table2[],3,0),"open")</f>
        <v>ok</v>
      </c>
      <c r="C1348" s="72" t="s">
        <v>369</v>
      </c>
      <c r="D1348" t="s">
        <v>3080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69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3084</v>
      </c>
      <c r="B1349" s="69" t="str">
        <f>IFERROR(VLOOKUP(Proc[[#This Row],[App]],Table2[],3,0),"open")</f>
        <v>ok</v>
      </c>
      <c r="C1349" s="72" t="s">
        <v>369</v>
      </c>
      <c r="D1349" t="s">
        <v>3081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69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3084</v>
      </c>
      <c r="B1350" s="69" t="str">
        <f>IFERROR(VLOOKUP(Proc[[#This Row],[App]],Table2[],3,0),"open")</f>
        <v>ok</v>
      </c>
      <c r="C1350" s="72" t="s">
        <v>369</v>
      </c>
      <c r="D1350" t="s">
        <v>3082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69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3084</v>
      </c>
      <c r="B1351" s="69" t="str">
        <f>IFERROR(VLOOKUP(Proc[[#This Row],[App]],Table2[],3,0),"open")</f>
        <v>ok</v>
      </c>
      <c r="C1351" s="72" t="s">
        <v>369</v>
      </c>
      <c r="D1351" t="s">
        <v>3083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69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3085</v>
      </c>
      <c r="B1352" s="69" t="str">
        <f>IFERROR(VLOOKUP(Proc[[#This Row],[App]],Table2[],3,0),"open")</f>
        <v>ok</v>
      </c>
      <c r="C1352" s="72" t="s">
        <v>369</v>
      </c>
      <c r="D1352" t="s">
        <v>2889</v>
      </c>
      <c r="E1352" t="s">
        <v>2890</v>
      </c>
      <c r="F1352" s="117" t="s">
        <v>2890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69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3086</v>
      </c>
      <c r="B1353" s="69" t="str">
        <f>IFERROR(VLOOKUP(Proc[[#This Row],[App]],Table2[],3,0),"open")</f>
        <v>ok</v>
      </c>
      <c r="C1353" s="72" t="s">
        <v>369</v>
      </c>
      <c r="D1353" t="s">
        <v>3087</v>
      </c>
      <c r="E1353" t="s">
        <v>3165</v>
      </c>
      <c r="F1353" s="117" t="s">
        <v>3165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69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3086</v>
      </c>
      <c r="B1354" s="69" t="str">
        <f>IFERROR(VLOOKUP(Proc[[#This Row],[App]],Table2[],3,0),"open")</f>
        <v>ok</v>
      </c>
      <c r="C1354" s="72" t="s">
        <v>369</v>
      </c>
      <c r="D1354" t="s">
        <v>3088</v>
      </c>
      <c r="E1354" t="s">
        <v>3166</v>
      </c>
      <c r="F1354" s="117" t="s">
        <v>3166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69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3086</v>
      </c>
      <c r="B1355" s="69" t="str">
        <f>IFERROR(VLOOKUP(Proc[[#This Row],[App]],Table2[],3,0),"open")</f>
        <v>ok</v>
      </c>
      <c r="C1355" s="72" t="s">
        <v>369</v>
      </c>
      <c r="D1355" t="s">
        <v>3089</v>
      </c>
      <c r="E1355" t="s">
        <v>3167</v>
      </c>
      <c r="F1355" s="117" t="s">
        <v>3167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69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3086</v>
      </c>
      <c r="B1356" s="69" t="str">
        <f>IFERROR(VLOOKUP(Proc[[#This Row],[App]],Table2[],3,0),"open")</f>
        <v>ok</v>
      </c>
      <c r="C1356" s="72" t="s">
        <v>369</v>
      </c>
      <c r="D1356" t="s">
        <v>3090</v>
      </c>
      <c r="E1356" t="s">
        <v>3168</v>
      </c>
      <c r="F1356" s="117" t="s">
        <v>3168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69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3086</v>
      </c>
      <c r="B1357" s="69" t="str">
        <f>IFERROR(VLOOKUP(Proc[[#This Row],[App]],Table2[],3,0),"open")</f>
        <v>ok</v>
      </c>
      <c r="C1357" s="72" t="s">
        <v>369</v>
      </c>
      <c r="D1357" t="s">
        <v>3091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69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3086</v>
      </c>
      <c r="B1358" s="69" t="str">
        <f>IFERROR(VLOOKUP(Proc[[#This Row],[App]],Table2[],3,0),"open")</f>
        <v>ok</v>
      </c>
      <c r="C1358" s="72" t="s">
        <v>369</v>
      </c>
      <c r="D1358" t="s">
        <v>3092</v>
      </c>
      <c r="E1358" t="s">
        <v>3169</v>
      </c>
      <c r="F1358" s="117" t="s">
        <v>3169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69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3086</v>
      </c>
      <c r="B1359" s="69" t="str">
        <f>IFERROR(VLOOKUP(Proc[[#This Row],[App]],Table2[],3,0),"open")</f>
        <v>ok</v>
      </c>
      <c r="C1359" s="72" t="s">
        <v>369</v>
      </c>
      <c r="D1359" t="s">
        <v>3093</v>
      </c>
      <c r="E1359" t="s">
        <v>3165</v>
      </c>
      <c r="F1359" s="117" t="s">
        <v>3165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69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3086</v>
      </c>
      <c r="B1360" s="69" t="str">
        <f>IFERROR(VLOOKUP(Proc[[#This Row],[App]],Table2[],3,0),"open")</f>
        <v>ok</v>
      </c>
      <c r="C1360" s="72" t="s">
        <v>369</v>
      </c>
      <c r="D1360" t="s">
        <v>3094</v>
      </c>
      <c r="E1360" t="s">
        <v>3170</v>
      </c>
      <c r="F1360" s="117" t="s">
        <v>3170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3182</v>
      </c>
      <c r="J1360" s="69" t="b">
        <f>Proc[[#This Row],[Requested]]=Proc[[#This Row],[CurrentParent]]</f>
        <v>1</v>
      </c>
      <c r="K1360" s="69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3086</v>
      </c>
      <c r="B1361" s="69" t="str">
        <f>IFERROR(VLOOKUP(Proc[[#This Row],[App]],Table2[],3,0),"open")</f>
        <v>ok</v>
      </c>
      <c r="C1361" s="72" t="s">
        <v>369</v>
      </c>
      <c r="D1361" t="s">
        <v>3095</v>
      </c>
      <c r="E1361" t="s">
        <v>3169</v>
      </c>
      <c r="F1361" s="117" t="s">
        <v>3169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3182</v>
      </c>
      <c r="J1361" s="69" t="b">
        <f>Proc[[#This Row],[Requested]]=Proc[[#This Row],[CurrentParent]]</f>
        <v>1</v>
      </c>
      <c r="K1361" s="69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3086</v>
      </c>
      <c r="B1362" s="69" t="str">
        <f>IFERROR(VLOOKUP(Proc[[#This Row],[App]],Table2[],3,0),"open")</f>
        <v>ok</v>
      </c>
      <c r="C1362" s="72" t="s">
        <v>369</v>
      </c>
      <c r="D1362" t="s">
        <v>3096</v>
      </c>
      <c r="E1362" t="s">
        <v>3165</v>
      </c>
      <c r="F1362" s="117" t="s">
        <v>3165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3182</v>
      </c>
      <c r="J1362" s="69" t="b">
        <f>Proc[[#This Row],[Requested]]=Proc[[#This Row],[CurrentParent]]</f>
        <v>1</v>
      </c>
      <c r="K1362" s="69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3086</v>
      </c>
      <c r="B1363" s="69" t="str">
        <f>IFERROR(VLOOKUP(Proc[[#This Row],[App]],Table2[],3,0),"open")</f>
        <v>ok</v>
      </c>
      <c r="C1363" s="72" t="s">
        <v>369</v>
      </c>
      <c r="D1363" t="s">
        <v>3097</v>
      </c>
      <c r="E1363" t="s">
        <v>3171</v>
      </c>
      <c r="F1363" s="117" t="s">
        <v>3171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3182</v>
      </c>
      <c r="J1363" s="69" t="b">
        <f>Proc[[#This Row],[Requested]]=Proc[[#This Row],[CurrentParent]]</f>
        <v>1</v>
      </c>
      <c r="K1363" s="69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3086</v>
      </c>
      <c r="B1364" s="69" t="str">
        <f>IFERROR(VLOOKUP(Proc[[#This Row],[App]],Table2[],3,0),"open")</f>
        <v>ok</v>
      </c>
      <c r="C1364" s="72" t="s">
        <v>369</v>
      </c>
      <c r="D1364" t="s">
        <v>3098</v>
      </c>
      <c r="E1364" t="s">
        <v>3168</v>
      </c>
      <c r="F1364" s="117" t="s">
        <v>3168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3182</v>
      </c>
      <c r="J1364" s="69" t="b">
        <f>Proc[[#This Row],[Requested]]=Proc[[#This Row],[CurrentParent]]</f>
        <v>1</v>
      </c>
      <c r="K1364" s="69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3086</v>
      </c>
      <c r="B1365" s="69" t="str">
        <f>IFERROR(VLOOKUP(Proc[[#This Row],[App]],Table2[],3,0),"open")</f>
        <v>ok</v>
      </c>
      <c r="C1365" s="72" t="s">
        <v>369</v>
      </c>
      <c r="D1365" t="s">
        <v>3099</v>
      </c>
      <c r="E1365" t="s">
        <v>3172</v>
      </c>
      <c r="F1365" s="117" t="s">
        <v>3172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3182</v>
      </c>
      <c r="J1365" s="69" t="b">
        <f>Proc[[#This Row],[Requested]]=Proc[[#This Row],[CurrentParent]]</f>
        <v>1</v>
      </c>
      <c r="K1365" s="69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3086</v>
      </c>
      <c r="B1366" s="69" t="str">
        <f>IFERROR(VLOOKUP(Proc[[#This Row],[App]],Table2[],3,0),"open")</f>
        <v>ok</v>
      </c>
      <c r="C1366" s="72" t="s">
        <v>369</v>
      </c>
      <c r="D1366" t="s">
        <v>3100</v>
      </c>
      <c r="E1366" t="s">
        <v>3168</v>
      </c>
      <c r="F1366" s="117" t="s">
        <v>3168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69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3086</v>
      </c>
      <c r="B1367" s="69" t="str">
        <f>IFERROR(VLOOKUP(Proc[[#This Row],[App]],Table2[],3,0),"open")</f>
        <v>ok</v>
      </c>
      <c r="C1367" s="72" t="s">
        <v>369</v>
      </c>
      <c r="D1367" t="s">
        <v>3101</v>
      </c>
      <c r="E1367" t="s">
        <v>3168</v>
      </c>
      <c r="F1367" s="117" t="s">
        <v>3168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69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3086</v>
      </c>
      <c r="B1368" s="69" t="str">
        <f>IFERROR(VLOOKUP(Proc[[#This Row],[App]],Table2[],3,0),"open")</f>
        <v>ok</v>
      </c>
      <c r="C1368" s="72" t="s">
        <v>369</v>
      </c>
      <c r="D1368" t="s">
        <v>3102</v>
      </c>
      <c r="E1368" t="s">
        <v>3166</v>
      </c>
      <c r="F1368" s="117" t="s">
        <v>3166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69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3086</v>
      </c>
      <c r="B1369" s="69" t="str">
        <f>IFERROR(VLOOKUP(Proc[[#This Row],[App]],Table2[],3,0),"open")</f>
        <v>ok</v>
      </c>
      <c r="C1369" s="72" t="s">
        <v>369</v>
      </c>
      <c r="D1369" t="s">
        <v>3103</v>
      </c>
      <c r="E1369" t="s">
        <v>3165</v>
      </c>
      <c r="F1369" s="117" t="s">
        <v>3165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69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3086</v>
      </c>
      <c r="B1370" s="69" t="str">
        <f>IFERROR(VLOOKUP(Proc[[#This Row],[App]],Table2[],3,0),"open")</f>
        <v>ok</v>
      </c>
      <c r="C1370" s="72" t="s">
        <v>369</v>
      </c>
      <c r="D1370" t="s">
        <v>3104</v>
      </c>
      <c r="E1370" t="s">
        <v>3171</v>
      </c>
      <c r="F1370" s="117" t="s">
        <v>3171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69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3086</v>
      </c>
      <c r="B1371" s="69" t="str">
        <f>IFERROR(VLOOKUP(Proc[[#This Row],[App]],Table2[],3,0),"open")</f>
        <v>ok</v>
      </c>
      <c r="C1371" s="72" t="s">
        <v>369</v>
      </c>
      <c r="D1371" t="s">
        <v>3105</v>
      </c>
      <c r="E1371" t="s">
        <v>3169</v>
      </c>
      <c r="F1371" s="117" t="s">
        <v>3169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69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3086</v>
      </c>
      <c r="B1372" s="69" t="str">
        <f>IFERROR(VLOOKUP(Proc[[#This Row],[App]],Table2[],3,0),"open")</f>
        <v>ok</v>
      </c>
      <c r="C1372" s="72" t="s">
        <v>369</v>
      </c>
      <c r="D1372" t="s">
        <v>3106</v>
      </c>
      <c r="E1372" t="s">
        <v>3169</v>
      </c>
      <c r="F1372" s="117" t="s">
        <v>3169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69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3086</v>
      </c>
      <c r="B1373" s="69" t="str">
        <f>IFERROR(VLOOKUP(Proc[[#This Row],[App]],Table2[],3,0),"open")</f>
        <v>ok</v>
      </c>
      <c r="C1373" s="72" t="s">
        <v>369</v>
      </c>
      <c r="D1373" t="s">
        <v>3107</v>
      </c>
      <c r="E1373" t="s">
        <v>3170</v>
      </c>
      <c r="F1373" s="117" t="s">
        <v>3170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69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3086</v>
      </c>
      <c r="B1374" s="69" t="str">
        <f>IFERROR(VLOOKUP(Proc[[#This Row],[App]],Table2[],3,0),"open")</f>
        <v>ok</v>
      </c>
      <c r="C1374" s="72" t="s">
        <v>369</v>
      </c>
      <c r="D1374" t="s">
        <v>3108</v>
      </c>
      <c r="E1374" t="s">
        <v>3172</v>
      </c>
      <c r="F1374" s="117" t="s">
        <v>3172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69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3086</v>
      </c>
      <c r="B1375" s="69" t="str">
        <f>IFERROR(VLOOKUP(Proc[[#This Row],[App]],Table2[],3,0),"open")</f>
        <v>ok</v>
      </c>
      <c r="C1375" s="72" t="s">
        <v>369</v>
      </c>
      <c r="D1375" t="s">
        <v>3109</v>
      </c>
      <c r="E1375" t="s">
        <v>3170</v>
      </c>
      <c r="F1375" s="117" t="s">
        <v>3170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69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3086</v>
      </c>
      <c r="B1376" s="69" t="str">
        <f>IFERROR(VLOOKUP(Proc[[#This Row],[App]],Table2[],3,0),"open")</f>
        <v>ok</v>
      </c>
      <c r="C1376" s="72" t="s">
        <v>369</v>
      </c>
      <c r="D1376" t="s">
        <v>3110</v>
      </c>
      <c r="E1376" t="s">
        <v>3172</v>
      </c>
      <c r="F1376" s="117" t="s">
        <v>3172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69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3086</v>
      </c>
      <c r="B1377" s="69" t="str">
        <f>IFERROR(VLOOKUP(Proc[[#This Row],[App]],Table2[],3,0),"open")</f>
        <v>ok</v>
      </c>
      <c r="C1377" s="72" t="s">
        <v>369</v>
      </c>
      <c r="D1377" t="s">
        <v>3111</v>
      </c>
      <c r="E1377" t="s">
        <v>3173</v>
      </c>
      <c r="F1377" s="117" t="s">
        <v>3173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69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3086</v>
      </c>
      <c r="B1378" s="69" t="str">
        <f>IFERROR(VLOOKUP(Proc[[#This Row],[App]],Table2[],3,0),"open")</f>
        <v>ok</v>
      </c>
      <c r="C1378" s="72" t="s">
        <v>369</v>
      </c>
      <c r="D1378" t="s">
        <v>3112</v>
      </c>
      <c r="E1378" t="s">
        <v>3174</v>
      </c>
      <c r="F1378" s="117" t="s">
        <v>3174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69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3086</v>
      </c>
      <c r="B1379" s="69" t="str">
        <f>IFERROR(VLOOKUP(Proc[[#This Row],[App]],Table2[],3,0),"open")</f>
        <v>ok</v>
      </c>
      <c r="C1379" s="72" t="s">
        <v>369</v>
      </c>
      <c r="D1379" t="s">
        <v>3113</v>
      </c>
      <c r="E1379" t="s">
        <v>3166</v>
      </c>
      <c r="F1379" s="117" t="s">
        <v>3166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69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3086</v>
      </c>
      <c r="B1380" s="69" t="str">
        <f>IFERROR(VLOOKUP(Proc[[#This Row],[App]],Table2[],3,0),"open")</f>
        <v>ok</v>
      </c>
      <c r="C1380" s="72" t="s">
        <v>369</v>
      </c>
      <c r="D1380" t="s">
        <v>3114</v>
      </c>
      <c r="E1380" t="s">
        <v>3170</v>
      </c>
      <c r="F1380" s="117" t="s">
        <v>3170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69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3086</v>
      </c>
      <c r="B1381" s="69" t="str">
        <f>IFERROR(VLOOKUP(Proc[[#This Row],[App]],Table2[],3,0),"open")</f>
        <v>ok</v>
      </c>
      <c r="C1381" s="72" t="s">
        <v>369</v>
      </c>
      <c r="D1381" t="s">
        <v>3115</v>
      </c>
      <c r="E1381" t="s">
        <v>3168</v>
      </c>
      <c r="F1381" s="117" t="s">
        <v>3168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69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3086</v>
      </c>
      <c r="B1382" s="69" t="str">
        <f>IFERROR(VLOOKUP(Proc[[#This Row],[App]],Table2[],3,0),"open")</f>
        <v>ok</v>
      </c>
      <c r="C1382" s="72" t="s">
        <v>369</v>
      </c>
      <c r="D1382" t="s">
        <v>3116</v>
      </c>
      <c r="E1382" t="s">
        <v>3168</v>
      </c>
      <c r="F1382" s="117" t="s">
        <v>3168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69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3086</v>
      </c>
      <c r="B1383" s="69" t="str">
        <f>IFERROR(VLOOKUP(Proc[[#This Row],[App]],Table2[],3,0),"open")</f>
        <v>ok</v>
      </c>
      <c r="C1383" s="72" t="s">
        <v>369</v>
      </c>
      <c r="D1383" t="s">
        <v>3117</v>
      </c>
      <c r="E1383" t="s">
        <v>3171</v>
      </c>
      <c r="F1383" s="117" t="s">
        <v>3171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69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3086</v>
      </c>
      <c r="B1384" s="69" t="str">
        <f>IFERROR(VLOOKUP(Proc[[#This Row],[App]],Table2[],3,0),"open")</f>
        <v>ok</v>
      </c>
      <c r="C1384" s="72" t="s">
        <v>369</v>
      </c>
      <c r="D1384" t="s">
        <v>3118</v>
      </c>
      <c r="E1384" t="s">
        <v>3167</v>
      </c>
      <c r="F1384" s="117" t="s">
        <v>3167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69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3086</v>
      </c>
      <c r="B1385" s="69" t="str">
        <f>IFERROR(VLOOKUP(Proc[[#This Row],[App]],Table2[],3,0),"open")</f>
        <v>ok</v>
      </c>
      <c r="C1385" s="72" t="s">
        <v>369</v>
      </c>
      <c r="D1385" t="s">
        <v>3119</v>
      </c>
      <c r="E1385" t="s">
        <v>3174</v>
      </c>
      <c r="F1385" s="117" t="s">
        <v>3174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69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3086</v>
      </c>
      <c r="B1386" s="69" t="str">
        <f>IFERROR(VLOOKUP(Proc[[#This Row],[App]],Table2[],3,0),"open")</f>
        <v>ok</v>
      </c>
      <c r="C1386" s="72" t="s">
        <v>369</v>
      </c>
      <c r="D1386" t="s">
        <v>3120</v>
      </c>
      <c r="E1386" t="s">
        <v>3168</v>
      </c>
      <c r="F1386" s="117" t="s">
        <v>3168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69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3086</v>
      </c>
      <c r="B1387" s="69" t="str">
        <f>IFERROR(VLOOKUP(Proc[[#This Row],[App]],Table2[],3,0),"open")</f>
        <v>ok</v>
      </c>
      <c r="C1387" s="72" t="s">
        <v>369</v>
      </c>
      <c r="D1387" t="s">
        <v>3121</v>
      </c>
      <c r="E1387" t="s">
        <v>3168</v>
      </c>
      <c r="F1387" s="117" t="s">
        <v>3168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69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3086</v>
      </c>
      <c r="B1388" s="69" t="str">
        <f>IFERROR(VLOOKUP(Proc[[#This Row],[App]],Table2[],3,0),"open")</f>
        <v>ok</v>
      </c>
      <c r="C1388" s="72" t="s">
        <v>369</v>
      </c>
      <c r="D1388" t="s">
        <v>3122</v>
      </c>
      <c r="E1388" t="s">
        <v>3171</v>
      </c>
      <c r="F1388" s="117" t="s">
        <v>3171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69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3086</v>
      </c>
      <c r="B1389" s="69" t="str">
        <f>IFERROR(VLOOKUP(Proc[[#This Row],[App]],Table2[],3,0),"open")</f>
        <v>ok</v>
      </c>
      <c r="C1389" s="72" t="s">
        <v>369</v>
      </c>
      <c r="D1389" t="s">
        <v>3123</v>
      </c>
      <c r="E1389" t="s">
        <v>3165</v>
      </c>
      <c r="F1389" s="117" t="s">
        <v>3165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69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3086</v>
      </c>
      <c r="B1390" s="69" t="str">
        <f>IFERROR(VLOOKUP(Proc[[#This Row],[App]],Table2[],3,0),"open")</f>
        <v>ok</v>
      </c>
      <c r="C1390" s="72" t="s">
        <v>369</v>
      </c>
      <c r="D1390" t="s">
        <v>3124</v>
      </c>
      <c r="E1390" t="s">
        <v>3172</v>
      </c>
      <c r="F1390" s="117" t="s">
        <v>3172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69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3086</v>
      </c>
      <c r="B1391" s="69" t="str">
        <f>IFERROR(VLOOKUP(Proc[[#This Row],[App]],Table2[],3,0),"open")</f>
        <v>ok</v>
      </c>
      <c r="C1391" s="72" t="s">
        <v>369</v>
      </c>
      <c r="D1391" t="s">
        <v>3125</v>
      </c>
      <c r="E1391" t="s">
        <v>3174</v>
      </c>
      <c r="F1391" s="117" t="s">
        <v>3174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69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3086</v>
      </c>
      <c r="B1392" s="69" t="str">
        <f>IFERROR(VLOOKUP(Proc[[#This Row],[App]],Table2[],3,0),"open")</f>
        <v>ok</v>
      </c>
      <c r="C1392" s="72" t="s">
        <v>369</v>
      </c>
      <c r="D1392" t="s">
        <v>3126</v>
      </c>
      <c r="E1392" t="s">
        <v>3175</v>
      </c>
      <c r="F1392" s="117" t="s">
        <v>3175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69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3086</v>
      </c>
      <c r="B1393" s="69" t="str">
        <f>IFERROR(VLOOKUP(Proc[[#This Row],[App]],Table2[],3,0),"open")</f>
        <v>ok</v>
      </c>
      <c r="C1393" s="72" t="s">
        <v>369</v>
      </c>
      <c r="D1393" t="s">
        <v>3127</v>
      </c>
      <c r="E1393" t="s">
        <v>3168</v>
      </c>
      <c r="F1393" s="117" t="s">
        <v>3168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69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3086</v>
      </c>
      <c r="B1394" s="69" t="str">
        <f>IFERROR(VLOOKUP(Proc[[#This Row],[App]],Table2[],3,0),"open")</f>
        <v>ok</v>
      </c>
      <c r="C1394" s="72" t="s">
        <v>369</v>
      </c>
      <c r="D1394" t="s">
        <v>3128</v>
      </c>
      <c r="E1394" t="s">
        <v>3172</v>
      </c>
      <c r="F1394" s="117" t="s">
        <v>3172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69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3086</v>
      </c>
      <c r="B1395" s="69" t="str">
        <f>IFERROR(VLOOKUP(Proc[[#This Row],[App]],Table2[],3,0),"open")</f>
        <v>ok</v>
      </c>
      <c r="C1395" s="72" t="s">
        <v>369</v>
      </c>
      <c r="D1395" t="s">
        <v>3129</v>
      </c>
      <c r="E1395" t="s">
        <v>3167</v>
      </c>
      <c r="F1395" s="117" t="s">
        <v>3167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69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3086</v>
      </c>
      <c r="B1396" s="69" t="str">
        <f>IFERROR(VLOOKUP(Proc[[#This Row],[App]],Table2[],3,0),"open")</f>
        <v>ok</v>
      </c>
      <c r="C1396" s="72" t="s">
        <v>369</v>
      </c>
      <c r="D1396" t="s">
        <v>3130</v>
      </c>
      <c r="E1396" t="s">
        <v>3176</v>
      </c>
      <c r="F1396" s="117" t="s">
        <v>3176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69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3086</v>
      </c>
      <c r="B1397" s="69" t="str">
        <f>IFERROR(VLOOKUP(Proc[[#This Row],[App]],Table2[],3,0),"open")</f>
        <v>ok</v>
      </c>
      <c r="C1397" s="72" t="s">
        <v>369</v>
      </c>
      <c r="D1397" t="s">
        <v>3131</v>
      </c>
      <c r="E1397" t="s">
        <v>3168</v>
      </c>
      <c r="F1397" s="117" t="s">
        <v>3168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69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3086</v>
      </c>
      <c r="B1398" s="69" t="str">
        <f>IFERROR(VLOOKUP(Proc[[#This Row],[App]],Table2[],3,0),"open")</f>
        <v>ok</v>
      </c>
      <c r="C1398" s="72" t="s">
        <v>369</v>
      </c>
      <c r="D1398" t="s">
        <v>3132</v>
      </c>
      <c r="E1398" t="s">
        <v>3166</v>
      </c>
      <c r="F1398" s="117" t="s">
        <v>3166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69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3086</v>
      </c>
      <c r="B1399" s="69" t="str">
        <f>IFERROR(VLOOKUP(Proc[[#This Row],[App]],Table2[],3,0),"open")</f>
        <v>ok</v>
      </c>
      <c r="C1399" s="72" t="s">
        <v>369</v>
      </c>
      <c r="D1399" t="s">
        <v>3133</v>
      </c>
      <c r="E1399" t="s">
        <v>3177</v>
      </c>
      <c r="F1399" s="117" t="s">
        <v>3177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69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3086</v>
      </c>
      <c r="B1400" s="69" t="str">
        <f>IFERROR(VLOOKUP(Proc[[#This Row],[App]],Table2[],3,0),"open")</f>
        <v>ok</v>
      </c>
      <c r="C1400" s="72" t="s">
        <v>369</v>
      </c>
      <c r="D1400" t="s">
        <v>3134</v>
      </c>
      <c r="E1400" t="s">
        <v>3171</v>
      </c>
      <c r="F1400" s="117" t="s">
        <v>3171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69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3086</v>
      </c>
      <c r="B1401" s="69" t="str">
        <f>IFERROR(VLOOKUP(Proc[[#This Row],[App]],Table2[],3,0),"open")</f>
        <v>ok</v>
      </c>
      <c r="C1401" s="72" t="s">
        <v>369</v>
      </c>
      <c r="D1401" t="s">
        <v>3135</v>
      </c>
      <c r="E1401" t="s">
        <v>3177</v>
      </c>
      <c r="F1401" s="117" t="s">
        <v>3177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69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3086</v>
      </c>
      <c r="B1402" s="69" t="str">
        <f>IFERROR(VLOOKUP(Proc[[#This Row],[App]],Table2[],3,0),"open")</f>
        <v>ok</v>
      </c>
      <c r="C1402" s="72" t="s">
        <v>369</v>
      </c>
      <c r="D1402" t="s">
        <v>3136</v>
      </c>
      <c r="E1402" t="s">
        <v>3170</v>
      </c>
      <c r="F1402" s="117" t="s">
        <v>3170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69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3086</v>
      </c>
      <c r="B1403" s="69" t="str">
        <f>IFERROR(VLOOKUP(Proc[[#This Row],[App]],Table2[],3,0),"open")</f>
        <v>ok</v>
      </c>
      <c r="C1403" s="72" t="s">
        <v>369</v>
      </c>
      <c r="D1403" t="s">
        <v>3137</v>
      </c>
      <c r="E1403" t="s">
        <v>3171</v>
      </c>
      <c r="F1403" s="117" t="s">
        <v>3171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69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3086</v>
      </c>
      <c r="B1404" s="69" t="str">
        <f>IFERROR(VLOOKUP(Proc[[#This Row],[App]],Table2[],3,0),"open")</f>
        <v>ok</v>
      </c>
      <c r="C1404" s="72" t="s">
        <v>369</v>
      </c>
      <c r="D1404" t="s">
        <v>3138</v>
      </c>
      <c r="E1404" t="s">
        <v>3170</v>
      </c>
      <c r="F1404" s="117" t="s">
        <v>3170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69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3086</v>
      </c>
      <c r="B1405" s="69" t="str">
        <f>IFERROR(VLOOKUP(Proc[[#This Row],[App]],Table2[],3,0),"open")</f>
        <v>ok</v>
      </c>
      <c r="C1405" s="72" t="s">
        <v>369</v>
      </c>
      <c r="D1405" t="s">
        <v>3139</v>
      </c>
      <c r="E1405" t="s">
        <v>3167</v>
      </c>
      <c r="F1405" s="117" t="s">
        <v>3167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69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3086</v>
      </c>
      <c r="B1406" s="69" t="str">
        <f>IFERROR(VLOOKUP(Proc[[#This Row],[App]],Table2[],3,0),"open")</f>
        <v>ok</v>
      </c>
      <c r="C1406" s="72" t="s">
        <v>369</v>
      </c>
      <c r="D1406" t="s">
        <v>3140</v>
      </c>
      <c r="E1406" t="s">
        <v>3165</v>
      </c>
      <c r="F1406" s="117" t="s">
        <v>3165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69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3086</v>
      </c>
      <c r="B1407" s="69" t="str">
        <f>IFERROR(VLOOKUP(Proc[[#This Row],[App]],Table2[],3,0),"open")</f>
        <v>ok</v>
      </c>
      <c r="C1407" s="72" t="s">
        <v>369</v>
      </c>
      <c r="D1407" t="s">
        <v>3141</v>
      </c>
      <c r="E1407" t="s">
        <v>3178</v>
      </c>
      <c r="F1407" s="117" t="s">
        <v>3178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69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3086</v>
      </c>
      <c r="B1408" s="69" t="str">
        <f>IFERROR(VLOOKUP(Proc[[#This Row],[App]],Table2[],3,0),"open")</f>
        <v>ok</v>
      </c>
      <c r="C1408" s="72" t="s">
        <v>369</v>
      </c>
      <c r="D1408" t="s">
        <v>3142</v>
      </c>
      <c r="E1408" t="s">
        <v>3172</v>
      </c>
      <c r="F1408" s="117" t="s">
        <v>3172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69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3086</v>
      </c>
      <c r="B1409" s="69" t="str">
        <f>IFERROR(VLOOKUP(Proc[[#This Row],[App]],Table2[],3,0),"open")</f>
        <v>ok</v>
      </c>
      <c r="C1409" s="72" t="s">
        <v>369</v>
      </c>
      <c r="D1409" t="s">
        <v>3143</v>
      </c>
      <c r="E1409" t="s">
        <v>3179</v>
      </c>
      <c r="F1409" s="117" t="s">
        <v>3179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69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3086</v>
      </c>
      <c r="B1410" s="69" t="str">
        <f>IFERROR(VLOOKUP(Proc[[#This Row],[App]],Table2[],3,0),"open")</f>
        <v>ok</v>
      </c>
      <c r="C1410" s="72" t="s">
        <v>369</v>
      </c>
      <c r="D1410" t="s">
        <v>3144</v>
      </c>
      <c r="E1410" t="s">
        <v>3180</v>
      </c>
      <c r="F1410" s="117" t="s">
        <v>3180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69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3086</v>
      </c>
      <c r="B1411" s="69" t="str">
        <f>IFERROR(VLOOKUP(Proc[[#This Row],[App]],Table2[],3,0),"open")</f>
        <v>ok</v>
      </c>
      <c r="C1411" s="72" t="s">
        <v>369</v>
      </c>
      <c r="D1411" t="s">
        <v>3145</v>
      </c>
      <c r="E1411" t="s">
        <v>3178</v>
      </c>
      <c r="F1411" s="117" t="s">
        <v>3178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69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3086</v>
      </c>
      <c r="B1412" s="69" t="str">
        <f>IFERROR(VLOOKUP(Proc[[#This Row],[App]],Table2[],3,0),"open")</f>
        <v>ok</v>
      </c>
      <c r="C1412" s="72" t="s">
        <v>369</v>
      </c>
      <c r="D1412" t="s">
        <v>3146</v>
      </c>
      <c r="E1412" t="s">
        <v>3172</v>
      </c>
      <c r="F1412" s="117" t="s">
        <v>3172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69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3086</v>
      </c>
      <c r="B1413" s="69" t="str">
        <f>IFERROR(VLOOKUP(Proc[[#This Row],[App]],Table2[],3,0),"open")</f>
        <v>ok</v>
      </c>
      <c r="C1413" s="72" t="s">
        <v>369</v>
      </c>
      <c r="D1413" t="s">
        <v>3147</v>
      </c>
      <c r="E1413" t="s">
        <v>3181</v>
      </c>
      <c r="F1413" s="117" t="s">
        <v>3181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69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3086</v>
      </c>
      <c r="B1414" s="69" t="str">
        <f>IFERROR(VLOOKUP(Proc[[#This Row],[App]],Table2[],3,0),"open")</f>
        <v>ok</v>
      </c>
      <c r="C1414" s="72" t="s">
        <v>369</v>
      </c>
      <c r="D1414" t="s">
        <v>3148</v>
      </c>
      <c r="E1414" t="s">
        <v>3170</v>
      </c>
      <c r="F1414" s="117" t="s">
        <v>3170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69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3086</v>
      </c>
      <c r="B1415" s="69" t="str">
        <f>IFERROR(VLOOKUP(Proc[[#This Row],[App]],Table2[],3,0),"open")</f>
        <v>ok</v>
      </c>
      <c r="C1415" s="72" t="s">
        <v>369</v>
      </c>
      <c r="D1415" t="s">
        <v>3149</v>
      </c>
      <c r="E1415" t="s">
        <v>3170</v>
      </c>
      <c r="F1415" s="117" t="s">
        <v>3170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69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3086</v>
      </c>
      <c r="B1416" s="69" t="str">
        <f>IFERROR(VLOOKUP(Proc[[#This Row],[App]],Table2[],3,0),"open")</f>
        <v>ok</v>
      </c>
      <c r="C1416" s="72" t="s">
        <v>369</v>
      </c>
      <c r="D1416" t="s">
        <v>3150</v>
      </c>
      <c r="E1416" t="s">
        <v>3166</v>
      </c>
      <c r="F1416" s="117" t="s">
        <v>3166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69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3086</v>
      </c>
      <c r="B1417" s="69" t="str">
        <f>IFERROR(VLOOKUP(Proc[[#This Row],[App]],Table2[],3,0),"open")</f>
        <v>ok</v>
      </c>
      <c r="C1417" s="72" t="s">
        <v>369</v>
      </c>
      <c r="D1417" t="s">
        <v>3151</v>
      </c>
      <c r="E1417" t="s">
        <v>3175</v>
      </c>
      <c r="F1417" s="117" t="s">
        <v>3175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69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3086</v>
      </c>
      <c r="B1418" s="69" t="str">
        <f>IFERROR(VLOOKUP(Proc[[#This Row],[App]],Table2[],3,0),"open")</f>
        <v>ok</v>
      </c>
      <c r="C1418" s="72" t="s">
        <v>369</v>
      </c>
      <c r="D1418" t="s">
        <v>3152</v>
      </c>
      <c r="E1418" t="s">
        <v>3181</v>
      </c>
      <c r="F1418" s="117" t="s">
        <v>3181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69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3086</v>
      </c>
      <c r="B1419" s="69" t="str">
        <f>IFERROR(VLOOKUP(Proc[[#This Row],[App]],Table2[],3,0),"open")</f>
        <v>ok</v>
      </c>
      <c r="C1419" s="72" t="s">
        <v>369</v>
      </c>
      <c r="D1419" t="s">
        <v>3153</v>
      </c>
      <c r="E1419" t="s">
        <v>3165</v>
      </c>
      <c r="F1419" s="117" t="s">
        <v>3165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69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3086</v>
      </c>
      <c r="B1420" s="69" t="str">
        <f>IFERROR(VLOOKUP(Proc[[#This Row],[App]],Table2[],3,0),"open")</f>
        <v>ok</v>
      </c>
      <c r="C1420" s="72" t="s">
        <v>369</v>
      </c>
      <c r="D1420" t="s">
        <v>3154</v>
      </c>
      <c r="E1420" t="s">
        <v>3167</v>
      </c>
      <c r="F1420" s="117" t="s">
        <v>3167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69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3086</v>
      </c>
      <c r="B1421" s="69" t="str">
        <f>IFERROR(VLOOKUP(Proc[[#This Row],[App]],Table2[],3,0),"open")</f>
        <v>ok</v>
      </c>
      <c r="C1421" s="72" t="s">
        <v>369</v>
      </c>
      <c r="D1421" t="s">
        <v>3155</v>
      </c>
      <c r="E1421" t="s">
        <v>3168</v>
      </c>
      <c r="F1421" s="117" t="s">
        <v>3168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69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3086</v>
      </c>
      <c r="B1422" s="69" t="str">
        <f>IFERROR(VLOOKUP(Proc[[#This Row],[App]],Table2[],3,0),"open")</f>
        <v>ok</v>
      </c>
      <c r="C1422" s="72" t="s">
        <v>369</v>
      </c>
      <c r="D1422" t="s">
        <v>3156</v>
      </c>
      <c r="E1422" t="s">
        <v>3172</v>
      </c>
      <c r="F1422" s="117" t="s">
        <v>3172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69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3086</v>
      </c>
      <c r="B1423" s="69" t="str">
        <f>IFERROR(VLOOKUP(Proc[[#This Row],[App]],Table2[],3,0),"open")</f>
        <v>ok</v>
      </c>
      <c r="C1423" s="72" t="s">
        <v>369</v>
      </c>
      <c r="D1423" t="s">
        <v>3157</v>
      </c>
      <c r="E1423" t="s">
        <v>3168</v>
      </c>
      <c r="F1423" s="117" t="s">
        <v>3168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69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3086</v>
      </c>
      <c r="B1424" s="69" t="str">
        <f>IFERROR(VLOOKUP(Proc[[#This Row],[App]],Table2[],3,0),"open")</f>
        <v>ok</v>
      </c>
      <c r="C1424" s="72" t="s">
        <v>369</v>
      </c>
      <c r="D1424" t="s">
        <v>3158</v>
      </c>
      <c r="E1424" t="s">
        <v>3172</v>
      </c>
      <c r="F1424" s="117" t="s">
        <v>3172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69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3086</v>
      </c>
      <c r="B1425" s="69" t="str">
        <f>IFERROR(VLOOKUP(Proc[[#This Row],[App]],Table2[],3,0),"open")</f>
        <v>ok</v>
      </c>
      <c r="C1425" s="72" t="s">
        <v>369</v>
      </c>
      <c r="D1425" t="s">
        <v>3159</v>
      </c>
      <c r="E1425" t="s">
        <v>3171</v>
      </c>
      <c r="F1425" s="117" t="s">
        <v>3171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69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3086</v>
      </c>
      <c r="B1426" s="69" t="str">
        <f>IFERROR(VLOOKUP(Proc[[#This Row],[App]],Table2[],3,0),"open")</f>
        <v>ok</v>
      </c>
      <c r="C1426" s="72" t="s">
        <v>369</v>
      </c>
      <c r="D1426" t="s">
        <v>3160</v>
      </c>
      <c r="E1426" t="s">
        <v>3176</v>
      </c>
      <c r="F1426" s="117" t="s">
        <v>3176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69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3086</v>
      </c>
      <c r="B1427" s="69" t="str">
        <f>IFERROR(VLOOKUP(Proc[[#This Row],[App]],Table2[],3,0),"open")</f>
        <v>ok</v>
      </c>
      <c r="C1427" s="72" t="s">
        <v>369</v>
      </c>
      <c r="D1427" t="s">
        <v>3161</v>
      </c>
      <c r="E1427" t="s">
        <v>3174</v>
      </c>
      <c r="F1427" s="117" t="s">
        <v>3174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69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3086</v>
      </c>
      <c r="B1428" s="69" t="str">
        <f>IFERROR(VLOOKUP(Proc[[#This Row],[App]],Table2[],3,0),"open")</f>
        <v>ok</v>
      </c>
      <c r="C1428" s="72" t="s">
        <v>369</v>
      </c>
      <c r="D1428" t="s">
        <v>3162</v>
      </c>
      <c r="E1428" t="s">
        <v>3165</v>
      </c>
      <c r="F1428" s="117" t="s">
        <v>3165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69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3086</v>
      </c>
      <c r="B1429" s="69" t="str">
        <f>IFERROR(VLOOKUP(Proc[[#This Row],[App]],Table2[],3,0),"open")</f>
        <v>ok</v>
      </c>
      <c r="C1429" s="72" t="s">
        <v>369</v>
      </c>
      <c r="D1429" t="s">
        <v>3163</v>
      </c>
      <c r="E1429" t="s">
        <v>3165</v>
      </c>
      <c r="F1429" s="117" t="s">
        <v>3165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69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 hidden="1">
      <c r="A1430" s="72" t="s">
        <v>3086</v>
      </c>
      <c r="B1430" s="69" t="str">
        <f>IFERROR(VLOOKUP(Proc[[#This Row],[App]],Table2[],3,0),"open")</f>
        <v>ok</v>
      </c>
      <c r="C1430" s="72" t="s">
        <v>377</v>
      </c>
      <c r="D1430" t="s">
        <v>3164</v>
      </c>
      <c r="E1430" t="s">
        <v>3165</v>
      </c>
      <c r="F1430" s="103" t="s">
        <v>3165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69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 hidden="1">
      <c r="A1431" t="s">
        <v>3183</v>
      </c>
      <c r="B1431" s="69" t="str">
        <f>IFERROR(VLOOKUP(Proc[[#This Row],[App]],Table2[],3,0),"open")</f>
        <v>ok</v>
      </c>
      <c r="C1431" t="s">
        <v>369</v>
      </c>
      <c r="D1431" t="s">
        <v>3184</v>
      </c>
      <c r="E1431" t="s">
        <v>3186</v>
      </c>
      <c r="F1431" s="117" t="s">
        <v>3186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69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3183</v>
      </c>
      <c r="B1432" s="69" t="str">
        <f>IFERROR(VLOOKUP(Proc[[#This Row],[App]],Table2[],3,0),"open")</f>
        <v>ok</v>
      </c>
      <c r="C1432" s="84" t="s">
        <v>369</v>
      </c>
      <c r="D1432" t="s">
        <v>3185</v>
      </c>
      <c r="E1432" t="s">
        <v>3187</v>
      </c>
      <c r="F1432" s="117" t="s">
        <v>3187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3188</v>
      </c>
      <c r="J1432" s="69" t="b">
        <f>Proc[[#This Row],[Requested]]=Proc[[#This Row],[CurrentParent]]</f>
        <v>1</v>
      </c>
      <c r="K1432" s="69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3189</v>
      </c>
      <c r="B1433" s="69" t="str">
        <f>IFERROR(VLOOKUP(Proc[[#This Row],[App]],Table2[],3,0),"open")</f>
        <v>ok</v>
      </c>
      <c r="C1433" s="84" t="s">
        <v>369</v>
      </c>
      <c r="D1433" s="82" t="s">
        <v>3190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3191</v>
      </c>
      <c r="J1433" s="69" t="b">
        <f>Proc[[#This Row],[Requested]]=Proc[[#This Row],[CurrentParent]]</f>
        <v>1</v>
      </c>
      <c r="K1433" s="69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3192</v>
      </c>
      <c r="B1434" s="6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69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68</v>
      </c>
      <c r="R1434" s="80" t="s">
        <v>489</v>
      </c>
      <c r="S1434" s="69"/>
    </row>
    <row r="1435" spans="1:19" hidden="1">
      <c r="A1435" s="72" t="s">
        <v>3192</v>
      </c>
      <c r="B1435" s="6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69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68</v>
      </c>
      <c r="R1435" s="80" t="s">
        <v>489</v>
      </c>
      <c r="S1435" s="69"/>
    </row>
    <row r="1436" spans="1:19" hidden="1">
      <c r="A1436" s="72" t="s">
        <v>3192</v>
      </c>
      <c r="B1436" s="6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69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68</v>
      </c>
      <c r="R1436" s="80" t="s">
        <v>489</v>
      </c>
      <c r="S1436" s="69"/>
    </row>
    <row r="1437" spans="1:19" hidden="1">
      <c r="A1437" s="72" t="s">
        <v>3192</v>
      </c>
      <c r="B1437" s="6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69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68</v>
      </c>
      <c r="R1437" s="80" t="s">
        <v>489</v>
      </c>
      <c r="S1437" s="69"/>
    </row>
    <row r="1438" spans="1:19" hidden="1">
      <c r="A1438" s="72" t="s">
        <v>3192</v>
      </c>
      <c r="B1438" s="6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69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68</v>
      </c>
      <c r="R1438" s="80" t="s">
        <v>489</v>
      </c>
      <c r="S1438" s="69"/>
    </row>
    <row r="1439" spans="1:19" hidden="1">
      <c r="A1439" s="72" t="s">
        <v>3192</v>
      </c>
      <c r="B1439" s="6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69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68</v>
      </c>
      <c r="R1439" s="80" t="s">
        <v>489</v>
      </c>
      <c r="S1439" s="69"/>
    </row>
    <row r="1440" spans="1:19" hidden="1">
      <c r="A1440" s="72" t="s">
        <v>3192</v>
      </c>
      <c r="B1440" s="6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69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68</v>
      </c>
      <c r="R1440" s="80" t="s">
        <v>489</v>
      </c>
      <c r="S1440" s="69"/>
    </row>
    <row r="1441" spans="1:19" hidden="1">
      <c r="A1441" s="72" t="s">
        <v>3192</v>
      </c>
      <c r="B1441" s="6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69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68</v>
      </c>
      <c r="R1441" s="80" t="s">
        <v>489</v>
      </c>
      <c r="S1441" s="69"/>
    </row>
    <row r="1442" spans="1:19" hidden="1">
      <c r="A1442" s="72" t="s">
        <v>3192</v>
      </c>
      <c r="B1442" s="6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69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68</v>
      </c>
      <c r="R1442" s="80" t="s">
        <v>489</v>
      </c>
      <c r="S1442" s="69"/>
    </row>
    <row r="1443" spans="1:19" hidden="1">
      <c r="A1443" s="72" t="s">
        <v>3192</v>
      </c>
      <c r="B1443" s="6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69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68</v>
      </c>
      <c r="R1443" s="80" t="s">
        <v>489</v>
      </c>
      <c r="S1443" s="69"/>
    </row>
    <row r="1444" spans="1:19" hidden="1">
      <c r="A1444" s="72" t="s">
        <v>3192</v>
      </c>
      <c r="B1444" s="6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69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68</v>
      </c>
      <c r="R1444" s="80" t="s">
        <v>489</v>
      </c>
      <c r="S1444" s="69"/>
    </row>
    <row r="1445" spans="1:19" hidden="1">
      <c r="A1445" s="72" t="s">
        <v>3192</v>
      </c>
      <c r="B1445" s="69" t="str">
        <f>IFERROR(VLOOKUP(Proc[[#This Row],[App]],Table2[],3,0),"open")</f>
        <v>ok</v>
      </c>
      <c r="C1445" s="84" t="s">
        <v>369</v>
      </c>
      <c r="D1445" t="s">
        <v>3193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69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68</v>
      </c>
      <c r="R1445" s="80" t="s">
        <v>489</v>
      </c>
      <c r="S1445" s="69"/>
    </row>
    <row r="1446" spans="1:19" hidden="1">
      <c r="A1446" s="72" t="s">
        <v>3192</v>
      </c>
      <c r="B1446" s="69" t="str">
        <f>IFERROR(VLOOKUP(Proc[[#This Row],[App]],Table2[],3,0),"open")</f>
        <v>ok</v>
      </c>
      <c r="C1446" s="84" t="s">
        <v>369</v>
      </c>
      <c r="D1446" t="s">
        <v>3194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69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68</v>
      </c>
      <c r="R1446" s="80" t="s">
        <v>489</v>
      </c>
      <c r="S1446" s="69"/>
    </row>
    <row r="1447" spans="1:19" hidden="1">
      <c r="A1447" s="72" t="s">
        <v>3192</v>
      </c>
      <c r="B1447" s="69" t="str">
        <f>IFERROR(VLOOKUP(Proc[[#This Row],[App]],Table2[],3,0),"open")</f>
        <v>ok</v>
      </c>
      <c r="C1447" s="84" t="s">
        <v>369</v>
      </c>
      <c r="D1447" t="s">
        <v>3195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69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68</v>
      </c>
      <c r="R1447" s="80" t="s">
        <v>489</v>
      </c>
      <c r="S1447" s="69"/>
    </row>
    <row r="1448" spans="1:19" hidden="1">
      <c r="A1448" s="72" t="s">
        <v>3192</v>
      </c>
      <c r="B1448" s="69" t="str">
        <f>IFERROR(VLOOKUP(Proc[[#This Row],[App]],Table2[],3,0),"open")</f>
        <v>ok</v>
      </c>
      <c r="C1448" s="84" t="s">
        <v>369</v>
      </c>
      <c r="D1448" t="s">
        <v>3196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69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68</v>
      </c>
      <c r="R1448" s="80" t="s">
        <v>489</v>
      </c>
      <c r="S1448" s="69"/>
    </row>
    <row r="1449" spans="1:19" hidden="1">
      <c r="A1449" s="72" t="s">
        <v>3192</v>
      </c>
      <c r="B1449" s="69" t="str">
        <f>IFERROR(VLOOKUP(Proc[[#This Row],[App]],Table2[],3,0),"open")</f>
        <v>ok</v>
      </c>
      <c r="C1449" s="84" t="s">
        <v>369</v>
      </c>
      <c r="D1449" t="s">
        <v>3197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69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68</v>
      </c>
      <c r="R1449" s="80" t="s">
        <v>489</v>
      </c>
      <c r="S1449" s="69"/>
    </row>
    <row r="1450" spans="1:19" hidden="1">
      <c r="A1450" s="72" t="s">
        <v>3192</v>
      </c>
      <c r="B1450" s="69" t="str">
        <f>IFERROR(VLOOKUP(Proc[[#This Row],[App]],Table2[],3,0),"open")</f>
        <v>ok</v>
      </c>
      <c r="C1450" s="84" t="s">
        <v>369</v>
      </c>
      <c r="D1450" t="s">
        <v>3201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69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68</v>
      </c>
      <c r="R1450" s="80" t="s">
        <v>489</v>
      </c>
      <c r="S1450" s="69"/>
    </row>
    <row r="1451" spans="1:19" hidden="1">
      <c r="A1451" s="72" t="s">
        <v>3192</v>
      </c>
      <c r="B1451" s="69" t="str">
        <f>IFERROR(VLOOKUP(Proc[[#This Row],[App]],Table2[],3,0),"open")</f>
        <v>ok</v>
      </c>
      <c r="C1451" s="84" t="s">
        <v>369</v>
      </c>
      <c r="D1451" t="s">
        <v>3198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69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68</v>
      </c>
      <c r="R1451" s="80" t="s">
        <v>489</v>
      </c>
      <c r="S1451" s="69"/>
    </row>
    <row r="1452" spans="1:19" hidden="1">
      <c r="A1452" s="72" t="s">
        <v>3192</v>
      </c>
      <c r="B1452" s="69" t="str">
        <f>IFERROR(VLOOKUP(Proc[[#This Row],[App]],Table2[],3,0),"open")</f>
        <v>ok</v>
      </c>
      <c r="C1452" s="84" t="s">
        <v>369</v>
      </c>
      <c r="D1452" t="s">
        <v>3199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69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68</v>
      </c>
      <c r="R1452" s="80" t="s">
        <v>489</v>
      </c>
      <c r="S1452" s="69"/>
    </row>
    <row r="1453" spans="1:19" hidden="1">
      <c r="A1453" s="72" t="s">
        <v>3192</v>
      </c>
      <c r="B1453" s="69" t="str">
        <f>IFERROR(VLOOKUP(Proc[[#This Row],[App]],Table2[],3,0),"open")</f>
        <v>ok</v>
      </c>
      <c r="C1453" s="84" t="s">
        <v>369</v>
      </c>
      <c r="D1453" t="s">
        <v>3200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69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68</v>
      </c>
      <c r="R1453" s="80" t="s">
        <v>489</v>
      </c>
      <c r="S1453" s="69"/>
    </row>
    <row r="1454" spans="1:19" hidden="1">
      <c r="A1454" t="s">
        <v>3202</v>
      </c>
      <c r="B1454" s="85" t="str">
        <f>IFERROR(VLOOKUP(Proc[[#This Row],[App]],Table2[],3,0),"open")</f>
        <v>ok</v>
      </c>
      <c r="C1454" t="s">
        <v>369</v>
      </c>
      <c r="D1454" t="s">
        <v>3203</v>
      </c>
      <c r="E1454" s="84" t="s">
        <v>3228</v>
      </c>
      <c r="F1454" s="117" t="s">
        <v>3228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3286</v>
      </c>
      <c r="J1454" s="85" t="b">
        <f>Proc[[#This Row],[Requested]]=Proc[[#This Row],[CurrentParent]]</f>
        <v>1</v>
      </c>
      <c r="K1454" s="85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3202</v>
      </c>
      <c r="B1455" s="85" t="str">
        <f>IFERROR(VLOOKUP(Proc[[#This Row],[App]],Table2[],3,0),"open")</f>
        <v>ok</v>
      </c>
      <c r="C1455" s="84" t="s">
        <v>369</v>
      </c>
      <c r="D1455" t="s">
        <v>3204</v>
      </c>
      <c r="E1455" s="84" t="s">
        <v>3228</v>
      </c>
      <c r="F1455" s="117" t="s">
        <v>3228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3286</v>
      </c>
      <c r="J1455" s="85" t="b">
        <f>Proc[[#This Row],[Requested]]=Proc[[#This Row],[CurrentParent]]</f>
        <v>1</v>
      </c>
      <c r="K1455" s="85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3202</v>
      </c>
      <c r="B1456" s="85" t="str">
        <f>IFERROR(VLOOKUP(Proc[[#This Row],[App]],Table2[],3,0),"open")</f>
        <v>ok</v>
      </c>
      <c r="C1456" s="84" t="s">
        <v>369</v>
      </c>
      <c r="D1456" t="s">
        <v>3205</v>
      </c>
      <c r="E1456" t="s">
        <v>3228</v>
      </c>
      <c r="F1456" s="117" t="s">
        <v>3228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3286</v>
      </c>
      <c r="J1456" s="85" t="b">
        <f>Proc[[#This Row],[Requested]]=Proc[[#This Row],[CurrentParent]]</f>
        <v>1</v>
      </c>
      <c r="K1456" s="85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3202</v>
      </c>
      <c r="B1457" s="85" t="str">
        <f>IFERROR(VLOOKUP(Proc[[#This Row],[App]],Table2[],3,0),"open")</f>
        <v>ok</v>
      </c>
      <c r="C1457" s="84" t="s">
        <v>369</v>
      </c>
      <c r="D1457" t="s">
        <v>3206</v>
      </c>
      <c r="E1457" t="s">
        <v>3227</v>
      </c>
      <c r="F1457" s="117" t="s">
        <v>3227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3286</v>
      </c>
      <c r="J1457" s="85" t="b">
        <f>Proc[[#This Row],[Requested]]=Proc[[#This Row],[CurrentParent]]</f>
        <v>1</v>
      </c>
      <c r="K1457" s="85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3202</v>
      </c>
      <c r="B1458" s="85" t="str">
        <f>IFERROR(VLOOKUP(Proc[[#This Row],[App]],Table2[],3,0),"open")</f>
        <v>ok</v>
      </c>
      <c r="C1458" s="84" t="s">
        <v>369</v>
      </c>
      <c r="D1458" t="s">
        <v>3207</v>
      </c>
      <c r="E1458" t="s">
        <v>3226</v>
      </c>
      <c r="F1458" s="117" t="s">
        <v>3226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85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3202</v>
      </c>
      <c r="B1459" s="85" t="str">
        <f>IFERROR(VLOOKUP(Proc[[#This Row],[App]],Table2[],3,0),"open")</f>
        <v>ok</v>
      </c>
      <c r="C1459" s="84" t="s">
        <v>369</v>
      </c>
      <c r="D1459" t="s">
        <v>3208</v>
      </c>
      <c r="E1459" s="84" t="s">
        <v>3226</v>
      </c>
      <c r="F1459" s="117" t="s">
        <v>3226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85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3202</v>
      </c>
      <c r="B1460" s="85" t="str">
        <f>IFERROR(VLOOKUP(Proc[[#This Row],[App]],Table2[],3,0),"open")</f>
        <v>ok</v>
      </c>
      <c r="C1460" s="84" t="s">
        <v>369</v>
      </c>
      <c r="D1460" t="s">
        <v>3209</v>
      </c>
      <c r="E1460" s="84" t="s">
        <v>3226</v>
      </c>
      <c r="F1460" s="117" t="s">
        <v>3226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3286</v>
      </c>
      <c r="J1460" s="85" t="b">
        <f>Proc[[#This Row],[Requested]]=Proc[[#This Row],[CurrentParent]]</f>
        <v>1</v>
      </c>
      <c r="K1460" s="85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3202</v>
      </c>
      <c r="B1461" s="85" t="str">
        <f>IFERROR(VLOOKUP(Proc[[#This Row],[App]],Table2[],3,0),"open")</f>
        <v>ok</v>
      </c>
      <c r="C1461" s="84" t="s">
        <v>369</v>
      </c>
      <c r="D1461" t="s">
        <v>3210</v>
      </c>
      <c r="E1461" s="84" t="s">
        <v>3226</v>
      </c>
      <c r="F1461" s="117" t="s">
        <v>3226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3286</v>
      </c>
      <c r="J1461" s="85" t="b">
        <f>Proc[[#This Row],[Requested]]=Proc[[#This Row],[CurrentParent]]</f>
        <v>1</v>
      </c>
      <c r="K1461" s="85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3202</v>
      </c>
      <c r="B1462" s="85" t="str">
        <f>IFERROR(VLOOKUP(Proc[[#This Row],[App]],Table2[],3,0),"open")</f>
        <v>ok</v>
      </c>
      <c r="C1462" s="84" t="s">
        <v>369</v>
      </c>
      <c r="D1462" t="s">
        <v>3211</v>
      </c>
      <c r="E1462" s="84" t="s">
        <v>3226</v>
      </c>
      <c r="F1462" s="117" t="s">
        <v>3226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3286</v>
      </c>
      <c r="J1462" s="85" t="b">
        <f>Proc[[#This Row],[Requested]]=Proc[[#This Row],[CurrentParent]]</f>
        <v>1</v>
      </c>
      <c r="K1462" s="85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3202</v>
      </c>
      <c r="B1463" s="85" t="str">
        <f>IFERROR(VLOOKUP(Proc[[#This Row],[App]],Table2[],3,0),"open")</f>
        <v>ok</v>
      </c>
      <c r="C1463" s="84" t="s">
        <v>369</v>
      </c>
      <c r="D1463" t="s">
        <v>3212</v>
      </c>
      <c r="E1463" s="84" t="s">
        <v>3226</v>
      </c>
      <c r="F1463" s="117" t="s">
        <v>3226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3286</v>
      </c>
      <c r="J1463" s="85" t="b">
        <f>Proc[[#This Row],[Requested]]=Proc[[#This Row],[CurrentParent]]</f>
        <v>1</v>
      </c>
      <c r="K1463" s="85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3202</v>
      </c>
      <c r="B1464" s="85" t="str">
        <f>IFERROR(VLOOKUP(Proc[[#This Row],[App]],Table2[],3,0),"open")</f>
        <v>ok</v>
      </c>
      <c r="C1464" s="84" t="s">
        <v>369</v>
      </c>
      <c r="D1464" t="s">
        <v>3213</v>
      </c>
      <c r="E1464" s="84" t="s">
        <v>3226</v>
      </c>
      <c r="F1464" s="117" t="s">
        <v>3226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3286</v>
      </c>
      <c r="J1464" s="85" t="b">
        <f>Proc[[#This Row],[Requested]]=Proc[[#This Row],[CurrentParent]]</f>
        <v>1</v>
      </c>
      <c r="K1464" s="85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3202</v>
      </c>
      <c r="B1465" s="85" t="str">
        <f>IFERROR(VLOOKUP(Proc[[#This Row],[App]],Table2[],3,0),"open")</f>
        <v>ok</v>
      </c>
      <c r="C1465" s="84" t="s">
        <v>369</v>
      </c>
      <c r="D1465" t="s">
        <v>3214</v>
      </c>
      <c r="E1465" s="84" t="s">
        <v>3226</v>
      </c>
      <c r="F1465" s="117" t="s">
        <v>3226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3286</v>
      </c>
      <c r="J1465" s="85" t="b">
        <f>Proc[[#This Row],[Requested]]=Proc[[#This Row],[CurrentParent]]</f>
        <v>1</v>
      </c>
      <c r="K1465" s="85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3202</v>
      </c>
      <c r="B1466" s="85" t="str">
        <f>IFERROR(VLOOKUP(Proc[[#This Row],[App]],Table2[],3,0),"open")</f>
        <v>ok</v>
      </c>
      <c r="C1466" s="84" t="s">
        <v>369</v>
      </c>
      <c r="D1466" t="s">
        <v>3215</v>
      </c>
      <c r="E1466" s="84" t="s">
        <v>3226</v>
      </c>
      <c r="F1466" s="117" t="s">
        <v>3226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3287</v>
      </c>
      <c r="J1466" s="85" t="b">
        <f>Proc[[#This Row],[Requested]]=Proc[[#This Row],[CurrentParent]]</f>
        <v>1</v>
      </c>
      <c r="K1466" s="85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3202</v>
      </c>
      <c r="B1467" s="85" t="str">
        <f>IFERROR(VLOOKUP(Proc[[#This Row],[App]],Table2[],3,0),"open")</f>
        <v>ok</v>
      </c>
      <c r="C1467" s="84" t="s">
        <v>369</v>
      </c>
      <c r="D1467" t="s">
        <v>3216</v>
      </c>
      <c r="E1467" s="84" t="s">
        <v>3226</v>
      </c>
      <c r="F1467" s="117" t="s">
        <v>3226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3286</v>
      </c>
      <c r="J1467" s="85" t="b">
        <f>Proc[[#This Row],[Requested]]=Proc[[#This Row],[CurrentParent]]</f>
        <v>1</v>
      </c>
      <c r="K1467" s="85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3202</v>
      </c>
      <c r="B1468" s="85" t="str">
        <f>IFERROR(VLOOKUP(Proc[[#This Row],[App]],Table2[],3,0),"open")</f>
        <v>ok</v>
      </c>
      <c r="C1468" s="84" t="s">
        <v>369</v>
      </c>
      <c r="D1468" t="s">
        <v>3217</v>
      </c>
      <c r="E1468" s="84" t="s">
        <v>3226</v>
      </c>
      <c r="F1468" s="117" t="s">
        <v>3226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85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3202</v>
      </c>
      <c r="B1469" s="85" t="str">
        <f>IFERROR(VLOOKUP(Proc[[#This Row],[App]],Table2[],3,0),"open")</f>
        <v>ok</v>
      </c>
      <c r="C1469" s="84" t="s">
        <v>369</v>
      </c>
      <c r="D1469" t="s">
        <v>3218</v>
      </c>
      <c r="E1469" s="84" t="s">
        <v>3226</v>
      </c>
      <c r="F1469" s="117" t="s">
        <v>3226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85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3202</v>
      </c>
      <c r="B1470" s="85" t="str">
        <f>IFERROR(VLOOKUP(Proc[[#This Row],[App]],Table2[],3,0),"open")</f>
        <v>ok</v>
      </c>
      <c r="C1470" s="84" t="s">
        <v>369</v>
      </c>
      <c r="D1470" t="s">
        <v>3219</v>
      </c>
      <c r="E1470" s="84" t="s">
        <v>3226</v>
      </c>
      <c r="F1470" s="117" t="s">
        <v>3226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85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3202</v>
      </c>
      <c r="B1471" s="85" t="str">
        <f>IFERROR(VLOOKUP(Proc[[#This Row],[App]],Table2[],3,0),"open")</f>
        <v>ok</v>
      </c>
      <c r="C1471" s="84" t="s">
        <v>369</v>
      </c>
      <c r="D1471" t="s">
        <v>3220</v>
      </c>
      <c r="E1471" s="84" t="s">
        <v>3226</v>
      </c>
      <c r="F1471" s="117" t="s">
        <v>3226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85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3202</v>
      </c>
      <c r="B1472" s="85" t="str">
        <f>IFERROR(VLOOKUP(Proc[[#This Row],[App]],Table2[],3,0),"open")</f>
        <v>ok</v>
      </c>
      <c r="C1472" s="84" t="s">
        <v>369</v>
      </c>
      <c r="D1472" t="s">
        <v>3221</v>
      </c>
      <c r="E1472" s="84" t="s">
        <v>3226</v>
      </c>
      <c r="F1472" s="117" t="s">
        <v>3226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85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3202</v>
      </c>
      <c r="B1473" s="85" t="str">
        <f>IFERROR(VLOOKUP(Proc[[#This Row],[App]],Table2[],3,0),"open")</f>
        <v>ok</v>
      </c>
      <c r="C1473" s="84" t="s">
        <v>369</v>
      </c>
      <c r="D1473" t="s">
        <v>3222</v>
      </c>
      <c r="E1473" s="84" t="s">
        <v>3226</v>
      </c>
      <c r="F1473" s="117" t="s">
        <v>3226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85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3202</v>
      </c>
      <c r="B1474" s="85" t="str">
        <f>IFERROR(VLOOKUP(Proc[[#This Row],[App]],Table2[],3,0),"open")</f>
        <v>ok</v>
      </c>
      <c r="C1474" s="84" t="s">
        <v>369</v>
      </c>
      <c r="D1474" t="s">
        <v>3223</v>
      </c>
      <c r="E1474" s="84" t="s">
        <v>3226</v>
      </c>
      <c r="F1474" s="117" t="s">
        <v>3226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85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3202</v>
      </c>
      <c r="B1475" s="85" t="str">
        <f>IFERROR(VLOOKUP(Proc[[#This Row],[App]],Table2[],3,0),"open")</f>
        <v>ok</v>
      </c>
      <c r="C1475" s="84" t="s">
        <v>369</v>
      </c>
      <c r="D1475" t="s">
        <v>3224</v>
      </c>
      <c r="E1475" s="84" t="s">
        <v>3226</v>
      </c>
      <c r="F1475" s="117" t="s">
        <v>3226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85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3202</v>
      </c>
      <c r="B1476" s="85" t="str">
        <f>IFERROR(VLOOKUP(Proc[[#This Row],[App]],Table2[],3,0),"open")</f>
        <v>ok</v>
      </c>
      <c r="C1476" s="84" t="s">
        <v>369</v>
      </c>
      <c r="D1476" t="s">
        <v>3225</v>
      </c>
      <c r="E1476" s="84" t="s">
        <v>3226</v>
      </c>
      <c r="F1476" s="117" t="s">
        <v>3226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85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3229</v>
      </c>
      <c r="B1477" s="85" t="str">
        <f>IFERROR(VLOOKUP(Proc[[#This Row],[App]],Table2[],3,0),"open")</f>
        <v>ok</v>
      </c>
      <c r="C1477" s="84" t="s">
        <v>369</v>
      </c>
      <c r="D1477" t="s">
        <v>3230</v>
      </c>
      <c r="E1477" t="s">
        <v>3249</v>
      </c>
      <c r="F1477" s="117" t="s">
        <v>3249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3260</v>
      </c>
      <c r="J1477" s="85" t="b">
        <f>Proc[[#This Row],[Requested]]=Proc[[#This Row],[CurrentParent]]</f>
        <v>1</v>
      </c>
      <c r="K1477" s="85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3229</v>
      </c>
      <c r="B1478" s="85" t="str">
        <f>IFERROR(VLOOKUP(Proc[[#This Row],[App]],Table2[],3,0),"open")</f>
        <v>ok</v>
      </c>
      <c r="C1478" s="84" t="s">
        <v>369</v>
      </c>
      <c r="D1478" t="s">
        <v>3231</v>
      </c>
      <c r="E1478" t="s">
        <v>3250</v>
      </c>
      <c r="F1478" s="117" t="s">
        <v>3250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3260</v>
      </c>
      <c r="J1478" s="85" t="b">
        <f>Proc[[#This Row],[Requested]]=Proc[[#This Row],[CurrentParent]]</f>
        <v>1</v>
      </c>
      <c r="K1478" s="85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3229</v>
      </c>
      <c r="B1479" s="85" t="str">
        <f>IFERROR(VLOOKUP(Proc[[#This Row],[App]],Table2[],3,0),"open")</f>
        <v>ok</v>
      </c>
      <c r="C1479" s="84" t="s">
        <v>369</v>
      </c>
      <c r="D1479" t="s">
        <v>3232</v>
      </c>
      <c r="E1479" t="s">
        <v>3251</v>
      </c>
      <c r="F1479" s="117" t="s">
        <v>3251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3260</v>
      </c>
      <c r="J1479" s="85" t="b">
        <f>Proc[[#This Row],[Requested]]=Proc[[#This Row],[CurrentParent]]</f>
        <v>1</v>
      </c>
      <c r="K1479" s="85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3229</v>
      </c>
      <c r="B1480" s="85" t="str">
        <f>IFERROR(VLOOKUP(Proc[[#This Row],[App]],Table2[],3,0),"open")</f>
        <v>ok</v>
      </c>
      <c r="C1480" s="84" t="s">
        <v>369</v>
      </c>
      <c r="D1480" t="s">
        <v>3233</v>
      </c>
      <c r="E1480" t="s">
        <v>3251</v>
      </c>
      <c r="F1480" s="117" t="s">
        <v>3251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3260</v>
      </c>
      <c r="J1480" s="85" t="b">
        <f>Proc[[#This Row],[Requested]]=Proc[[#This Row],[CurrentParent]]</f>
        <v>1</v>
      </c>
      <c r="K1480" s="85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3229</v>
      </c>
      <c r="B1481" s="85" t="str">
        <f>IFERROR(VLOOKUP(Proc[[#This Row],[App]],Table2[],3,0),"open")</f>
        <v>ok</v>
      </c>
      <c r="C1481" s="84" t="s">
        <v>369</v>
      </c>
      <c r="D1481" t="s">
        <v>3234</v>
      </c>
      <c r="E1481" t="s">
        <v>3250</v>
      </c>
      <c r="F1481" s="117" t="s">
        <v>3250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3260</v>
      </c>
      <c r="J1481" s="85" t="b">
        <f>Proc[[#This Row],[Requested]]=Proc[[#This Row],[CurrentParent]]</f>
        <v>1</v>
      </c>
      <c r="K1481" s="85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3229</v>
      </c>
      <c r="B1482" s="85" t="str">
        <f>IFERROR(VLOOKUP(Proc[[#This Row],[App]],Table2[],3,0),"open")</f>
        <v>ok</v>
      </c>
      <c r="C1482" s="84" t="s">
        <v>369</v>
      </c>
      <c r="D1482" t="s">
        <v>3235</v>
      </c>
      <c r="E1482" t="s">
        <v>3252</v>
      </c>
      <c r="F1482" s="117" t="s">
        <v>3252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3260</v>
      </c>
      <c r="J1482" s="85" t="b">
        <f>Proc[[#This Row],[Requested]]=Proc[[#This Row],[CurrentParent]]</f>
        <v>1</v>
      </c>
      <c r="K1482" s="85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3229</v>
      </c>
      <c r="B1483" s="85" t="str">
        <f>IFERROR(VLOOKUP(Proc[[#This Row],[App]],Table2[],3,0),"open")</f>
        <v>ok</v>
      </c>
      <c r="C1483" s="84" t="s">
        <v>369</v>
      </c>
      <c r="D1483" t="s">
        <v>3236</v>
      </c>
      <c r="E1483" t="s">
        <v>3253</v>
      </c>
      <c r="F1483" s="117" t="s">
        <v>3253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3260</v>
      </c>
      <c r="J1483" s="85" t="b">
        <f>Proc[[#This Row],[Requested]]=Proc[[#This Row],[CurrentParent]]</f>
        <v>1</v>
      </c>
      <c r="K1483" s="85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3229</v>
      </c>
      <c r="B1484" s="85" t="str">
        <f>IFERROR(VLOOKUP(Proc[[#This Row],[App]],Table2[],3,0),"open")</f>
        <v>ok</v>
      </c>
      <c r="C1484" s="84" t="s">
        <v>369</v>
      </c>
      <c r="D1484" t="s">
        <v>3237</v>
      </c>
      <c r="E1484" t="s">
        <v>3254</v>
      </c>
      <c r="F1484" s="117" t="s">
        <v>3254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3260</v>
      </c>
      <c r="J1484" s="85" t="b">
        <f>Proc[[#This Row],[Requested]]=Proc[[#This Row],[CurrentParent]]</f>
        <v>1</v>
      </c>
      <c r="K1484" s="85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3229</v>
      </c>
      <c r="B1485" s="85" t="str">
        <f>IFERROR(VLOOKUP(Proc[[#This Row],[App]],Table2[],3,0),"open")</f>
        <v>ok</v>
      </c>
      <c r="C1485" s="84" t="s">
        <v>369</v>
      </c>
      <c r="D1485" t="s">
        <v>3238</v>
      </c>
      <c r="E1485" t="s">
        <v>3250</v>
      </c>
      <c r="F1485" s="117" t="s">
        <v>3250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3260</v>
      </c>
      <c r="J1485" s="85" t="b">
        <f>Proc[[#This Row],[Requested]]=Proc[[#This Row],[CurrentParent]]</f>
        <v>1</v>
      </c>
      <c r="K1485" s="85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3229</v>
      </c>
      <c r="B1486" s="85" t="str">
        <f>IFERROR(VLOOKUP(Proc[[#This Row],[App]],Table2[],3,0),"open")</f>
        <v>ok</v>
      </c>
      <c r="C1486" s="84" t="s">
        <v>369</v>
      </c>
      <c r="D1486" t="s">
        <v>3239</v>
      </c>
      <c r="E1486" t="s">
        <v>3249</v>
      </c>
      <c r="F1486" s="117" t="s">
        <v>3249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3260</v>
      </c>
      <c r="J1486" s="85" t="b">
        <f>Proc[[#This Row],[Requested]]=Proc[[#This Row],[CurrentParent]]</f>
        <v>1</v>
      </c>
      <c r="K1486" s="85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3229</v>
      </c>
      <c r="B1487" s="85" t="str">
        <f>IFERROR(VLOOKUP(Proc[[#This Row],[App]],Table2[],3,0),"open")</f>
        <v>ok</v>
      </c>
      <c r="C1487" s="84" t="s">
        <v>369</v>
      </c>
      <c r="D1487" t="s">
        <v>3240</v>
      </c>
      <c r="E1487" t="s">
        <v>3255</v>
      </c>
      <c r="F1487" s="117" t="s">
        <v>3255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3260</v>
      </c>
      <c r="J1487" s="85" t="b">
        <f>Proc[[#This Row],[Requested]]=Proc[[#This Row],[CurrentParent]]</f>
        <v>1</v>
      </c>
      <c r="K1487" s="85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3229</v>
      </c>
      <c r="B1488" s="85" t="str">
        <f>IFERROR(VLOOKUP(Proc[[#This Row],[App]],Table2[],3,0),"open")</f>
        <v>ok</v>
      </c>
      <c r="C1488" s="84" t="s">
        <v>369</v>
      </c>
      <c r="D1488" t="s">
        <v>3241</v>
      </c>
      <c r="E1488" t="s">
        <v>3254</v>
      </c>
      <c r="F1488" s="117" t="s">
        <v>3254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3260</v>
      </c>
      <c r="J1488" s="85" t="b">
        <f>Proc[[#This Row],[Requested]]=Proc[[#This Row],[CurrentParent]]</f>
        <v>1</v>
      </c>
      <c r="K1488" s="85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3229</v>
      </c>
      <c r="B1489" s="85" t="str">
        <f>IFERROR(VLOOKUP(Proc[[#This Row],[App]],Table2[],3,0),"open")</f>
        <v>ok</v>
      </c>
      <c r="C1489" s="84" t="s">
        <v>369</v>
      </c>
      <c r="D1489" t="s">
        <v>3242</v>
      </c>
      <c r="E1489" t="s">
        <v>3249</v>
      </c>
      <c r="F1489" s="117" t="s">
        <v>3249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3260</v>
      </c>
      <c r="J1489" s="85" t="b">
        <f>Proc[[#This Row],[Requested]]=Proc[[#This Row],[CurrentParent]]</f>
        <v>1</v>
      </c>
      <c r="K1489" s="85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3229</v>
      </c>
      <c r="B1490" s="85" t="str">
        <f>IFERROR(VLOOKUP(Proc[[#This Row],[App]],Table2[],3,0),"open")</f>
        <v>ok</v>
      </c>
      <c r="C1490" s="84" t="s">
        <v>369</v>
      </c>
      <c r="D1490" t="s">
        <v>3243</v>
      </c>
      <c r="E1490" t="s">
        <v>3250</v>
      </c>
      <c r="F1490" s="117" t="s">
        <v>3250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3260</v>
      </c>
      <c r="J1490" s="85" t="b">
        <f>Proc[[#This Row],[Requested]]=Proc[[#This Row],[CurrentParent]]</f>
        <v>1</v>
      </c>
      <c r="K1490" s="85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3229</v>
      </c>
      <c r="B1491" s="85" t="str">
        <f>IFERROR(VLOOKUP(Proc[[#This Row],[App]],Table2[],3,0),"open")</f>
        <v>ok</v>
      </c>
      <c r="C1491" s="84" t="s">
        <v>369</v>
      </c>
      <c r="D1491" t="s">
        <v>3244</v>
      </c>
      <c r="E1491" t="s">
        <v>3249</v>
      </c>
      <c r="F1491" s="117" t="s">
        <v>3249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85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3229</v>
      </c>
      <c r="B1492" s="85" t="str">
        <f>IFERROR(VLOOKUP(Proc[[#This Row],[App]],Table2[],3,0),"open")</f>
        <v>ok</v>
      </c>
      <c r="C1492" s="84" t="s">
        <v>369</v>
      </c>
      <c r="D1492" t="s">
        <v>3245</v>
      </c>
      <c r="E1492" t="s">
        <v>3250</v>
      </c>
      <c r="F1492" s="117" t="s">
        <v>3250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85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3229</v>
      </c>
      <c r="B1493" s="85" t="str">
        <f>IFERROR(VLOOKUP(Proc[[#This Row],[App]],Table2[],3,0),"open")</f>
        <v>ok</v>
      </c>
      <c r="C1493" s="84" t="s">
        <v>369</v>
      </c>
      <c r="D1493" t="s">
        <v>3246</v>
      </c>
      <c r="E1493" t="s">
        <v>3253</v>
      </c>
      <c r="F1493" s="117" t="s">
        <v>3253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85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3229</v>
      </c>
      <c r="B1494" s="85" t="str">
        <f>IFERROR(VLOOKUP(Proc[[#This Row],[App]],Table2[],3,0),"open")</f>
        <v>ok</v>
      </c>
      <c r="C1494" s="84" t="s">
        <v>369</v>
      </c>
      <c r="D1494" t="s">
        <v>3247</v>
      </c>
      <c r="E1494" t="s">
        <v>3249</v>
      </c>
      <c r="F1494" s="117" t="s">
        <v>3249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85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3229</v>
      </c>
      <c r="B1495" s="85" t="str">
        <f>IFERROR(VLOOKUP(Proc[[#This Row],[App]],Table2[],3,0),"open")</f>
        <v>ok</v>
      </c>
      <c r="C1495" s="84" t="s">
        <v>369</v>
      </c>
      <c r="D1495" t="s">
        <v>3248</v>
      </c>
      <c r="E1495" t="s">
        <v>3250</v>
      </c>
      <c r="F1495" s="117" t="s">
        <v>3250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85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3256</v>
      </c>
      <c r="B1496" s="85" t="str">
        <f>IFERROR(VLOOKUP(Proc[[#This Row],[App]],Table2[],3,0),"open")</f>
        <v>ok</v>
      </c>
      <c r="C1496" s="84" t="s">
        <v>369</v>
      </c>
      <c r="D1496" t="s">
        <v>2601</v>
      </c>
      <c r="E1496" t="s">
        <v>3258</v>
      </c>
      <c r="F1496" s="117" t="s">
        <v>3258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85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3256</v>
      </c>
      <c r="B1497" s="85" t="str">
        <f>IFERROR(VLOOKUP(Proc[[#This Row],[App]],Table2[],3,0),"open")</f>
        <v>ok</v>
      </c>
      <c r="C1497" s="84" t="s">
        <v>369</v>
      </c>
      <c r="D1497" t="s">
        <v>3257</v>
      </c>
      <c r="E1497" t="s">
        <v>3259</v>
      </c>
      <c r="F1497" s="117" t="s">
        <v>3259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85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3261</v>
      </c>
      <c r="B1498" s="85" t="str">
        <f>IFERROR(VLOOKUP(Proc[[#This Row],[App]],Table2[],3,0),"open")</f>
        <v>ok</v>
      </c>
      <c r="C1498" s="84" t="s">
        <v>369</v>
      </c>
      <c r="D1498" t="s">
        <v>3262</v>
      </c>
      <c r="E1498" t="s">
        <v>3265</v>
      </c>
      <c r="F1498" s="117" t="s">
        <v>3265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85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3261</v>
      </c>
      <c r="B1499" s="85" t="str">
        <f>IFERROR(VLOOKUP(Proc[[#This Row],[App]],Table2[],3,0),"open")</f>
        <v>ok</v>
      </c>
      <c r="C1499" s="84" t="s">
        <v>369</v>
      </c>
      <c r="D1499" t="s">
        <v>3263</v>
      </c>
      <c r="E1499" t="s">
        <v>3266</v>
      </c>
      <c r="F1499" s="117" t="s">
        <v>3266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85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3261</v>
      </c>
      <c r="B1500" s="85" t="str">
        <f>IFERROR(VLOOKUP(Proc[[#This Row],[App]],Table2[],3,0),"open")</f>
        <v>ok</v>
      </c>
      <c r="C1500" s="84" t="s">
        <v>369</v>
      </c>
      <c r="D1500" t="s">
        <v>3264</v>
      </c>
      <c r="E1500" t="s">
        <v>3267</v>
      </c>
      <c r="F1500" s="117" t="s">
        <v>3267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85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3268</v>
      </c>
      <c r="B1501" s="85" t="str">
        <f>IFERROR(VLOOKUP(Proc[[#This Row],[App]],Table2[],3,0),"open")</f>
        <v>ok</v>
      </c>
      <c r="C1501" s="84" t="s">
        <v>369</v>
      </c>
      <c r="D1501" t="s">
        <v>3269</v>
      </c>
      <c r="E1501" t="s">
        <v>3280</v>
      </c>
      <c r="F1501" s="117" t="s">
        <v>3280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85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3285</v>
      </c>
      <c r="S1501" s="85"/>
    </row>
    <row r="1502" spans="1:19" hidden="1">
      <c r="A1502" s="84" t="s">
        <v>3268</v>
      </c>
      <c r="B1502" s="85" t="str">
        <f>IFERROR(VLOOKUP(Proc[[#This Row],[App]],Table2[],3,0),"open")</f>
        <v>ok</v>
      </c>
      <c r="C1502" s="84" t="s">
        <v>369</v>
      </c>
      <c r="D1502" t="s">
        <v>3270</v>
      </c>
      <c r="E1502" t="s">
        <v>3281</v>
      </c>
      <c r="F1502" s="117" t="s">
        <v>3281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85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3285</v>
      </c>
      <c r="S1502" s="85"/>
    </row>
    <row r="1503" spans="1:19" hidden="1">
      <c r="A1503" s="84" t="s">
        <v>3268</v>
      </c>
      <c r="B1503" s="85" t="str">
        <f>IFERROR(VLOOKUP(Proc[[#This Row],[App]],Table2[],3,0),"open")</f>
        <v>ok</v>
      </c>
      <c r="C1503" s="84" t="s">
        <v>369</v>
      </c>
      <c r="D1503" t="s">
        <v>3271</v>
      </c>
      <c r="E1503" t="s">
        <v>3282</v>
      </c>
      <c r="F1503" s="117" t="s">
        <v>3282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85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3285</v>
      </c>
      <c r="S1503" s="85"/>
    </row>
    <row r="1504" spans="1:19" hidden="1">
      <c r="A1504" s="84" t="s">
        <v>3268</v>
      </c>
      <c r="B1504" s="85" t="str">
        <f>IFERROR(VLOOKUP(Proc[[#This Row],[App]],Table2[],3,0),"open")</f>
        <v>ok</v>
      </c>
      <c r="C1504" s="84" t="s">
        <v>369</v>
      </c>
      <c r="D1504" t="s">
        <v>3272</v>
      </c>
      <c r="E1504" t="s">
        <v>3283</v>
      </c>
      <c r="F1504" s="117" t="s">
        <v>3283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85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3285</v>
      </c>
      <c r="S1504" s="85"/>
    </row>
    <row r="1505" spans="1:19" hidden="1">
      <c r="A1505" s="84" t="s">
        <v>3268</v>
      </c>
      <c r="B1505" s="85" t="str">
        <f>IFERROR(VLOOKUP(Proc[[#This Row],[App]],Table2[],3,0),"open")</f>
        <v>ok</v>
      </c>
      <c r="C1505" s="84" t="s">
        <v>369</v>
      </c>
      <c r="D1505" t="s">
        <v>3273</v>
      </c>
      <c r="E1505" t="s">
        <v>3284</v>
      </c>
      <c r="F1505" s="117" t="s">
        <v>3284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85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3285</v>
      </c>
      <c r="S1505" s="85"/>
    </row>
    <row r="1506" spans="1:19" hidden="1">
      <c r="A1506" s="84" t="s">
        <v>3268</v>
      </c>
      <c r="B1506" s="85" t="str">
        <f>IFERROR(VLOOKUP(Proc[[#This Row],[App]],Table2[],3,0),"open")</f>
        <v>ok</v>
      </c>
      <c r="C1506" s="84" t="s">
        <v>369</v>
      </c>
      <c r="D1506" t="s">
        <v>3274</v>
      </c>
      <c r="E1506" t="s">
        <v>3284</v>
      </c>
      <c r="F1506" s="117" t="s">
        <v>3284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85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3285</v>
      </c>
      <c r="S1506" s="85"/>
    </row>
    <row r="1507" spans="1:19" hidden="1">
      <c r="A1507" s="84" t="s">
        <v>3268</v>
      </c>
      <c r="B1507" s="85" t="str">
        <f>IFERROR(VLOOKUP(Proc[[#This Row],[App]],Table2[],3,0),"open")</f>
        <v>ok</v>
      </c>
      <c r="C1507" s="84" t="s">
        <v>369</v>
      </c>
      <c r="D1507" t="s">
        <v>3275</v>
      </c>
      <c r="E1507" t="s">
        <v>3281</v>
      </c>
      <c r="F1507" s="117" t="s">
        <v>3281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85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3285</v>
      </c>
      <c r="S1507" s="85"/>
    </row>
    <row r="1508" spans="1:19" hidden="1">
      <c r="A1508" s="84" t="s">
        <v>3268</v>
      </c>
      <c r="B1508" s="85" t="str">
        <f>IFERROR(VLOOKUP(Proc[[#This Row],[App]],Table2[],3,0),"open")</f>
        <v>ok</v>
      </c>
      <c r="C1508" s="84" t="s">
        <v>369</v>
      </c>
      <c r="D1508" t="s">
        <v>3276</v>
      </c>
      <c r="E1508" t="s">
        <v>3281</v>
      </c>
      <c r="F1508" s="117" t="s">
        <v>3281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85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3285</v>
      </c>
      <c r="S1508" s="85"/>
    </row>
    <row r="1509" spans="1:19" hidden="1">
      <c r="A1509" s="84" t="s">
        <v>3268</v>
      </c>
      <c r="B1509" s="85" t="str">
        <f>IFERROR(VLOOKUP(Proc[[#This Row],[App]],Table2[],3,0),"open")</f>
        <v>ok</v>
      </c>
      <c r="C1509" s="84" t="s">
        <v>369</v>
      </c>
      <c r="D1509" t="s">
        <v>3277</v>
      </c>
      <c r="E1509" t="s">
        <v>3281</v>
      </c>
      <c r="F1509" s="117" t="s">
        <v>3281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85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3285</v>
      </c>
      <c r="S1509" s="85"/>
    </row>
    <row r="1510" spans="1:19" hidden="1">
      <c r="A1510" s="84" t="s">
        <v>3268</v>
      </c>
      <c r="B1510" s="85" t="str">
        <f>IFERROR(VLOOKUP(Proc[[#This Row],[App]],Table2[],3,0),"open")</f>
        <v>ok</v>
      </c>
      <c r="C1510" s="84" t="s">
        <v>369</v>
      </c>
      <c r="D1510" t="s">
        <v>3278</v>
      </c>
      <c r="E1510" t="s">
        <v>3281</v>
      </c>
      <c r="F1510" s="117" t="s">
        <v>3281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85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3285</v>
      </c>
      <c r="S1510" s="85"/>
    </row>
    <row r="1511" spans="1:19" hidden="1">
      <c r="A1511" s="84" t="s">
        <v>3268</v>
      </c>
      <c r="B1511" s="85" t="str">
        <f>IFERROR(VLOOKUP(Proc[[#This Row],[App]],Table2[],3,0),"open")</f>
        <v>ok</v>
      </c>
      <c r="C1511" s="84" t="s">
        <v>369</v>
      </c>
      <c r="D1511" t="s">
        <v>3279</v>
      </c>
      <c r="E1511" t="s">
        <v>3280</v>
      </c>
      <c r="F1511" s="117" t="s">
        <v>3280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85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3285</v>
      </c>
      <c r="S1511" s="85"/>
    </row>
    <row r="1512" spans="1:19" hidden="1">
      <c r="A1512" t="s">
        <v>3290</v>
      </c>
      <c r="B1512" s="85" t="str">
        <f>IFERROR(VLOOKUP(Proc[[#This Row],[App]],Table2[],3,0),"open")</f>
        <v>ok</v>
      </c>
      <c r="C1512" s="84" t="s">
        <v>369</v>
      </c>
      <c r="D1512" t="s">
        <v>3288</v>
      </c>
      <c r="E1512" t="s">
        <v>3289</v>
      </c>
      <c r="F1512" s="117" t="s">
        <v>3289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85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3291</v>
      </c>
      <c r="S1512" s="85"/>
    </row>
    <row r="1513" spans="1:19" hidden="1">
      <c r="A1513" t="s">
        <v>3292</v>
      </c>
      <c r="B1513" s="85" t="str">
        <f>IFERROR(VLOOKUP(Proc[[#This Row],[App]],Table2[],3,0),"open")</f>
        <v>ok</v>
      </c>
      <c r="C1513" s="84" t="s">
        <v>369</v>
      </c>
      <c r="D1513" t="s">
        <v>4136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4138</v>
      </c>
      <c r="J1513" s="85" t="b">
        <f>Proc[[#This Row],[Requested]]=Proc[[#This Row],[CurrentParent]]</f>
        <v>1</v>
      </c>
      <c r="K1513" s="85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65</v>
      </c>
      <c r="R1513" s="86" t="s">
        <v>515</v>
      </c>
      <c r="S1513" s="85"/>
    </row>
    <row r="1514" spans="1:19" hidden="1">
      <c r="A1514" s="84" t="s">
        <v>3292</v>
      </c>
      <c r="B1514" s="85" t="str">
        <f>IFERROR(VLOOKUP(Proc[[#This Row],[App]],Table2[],3,0),"open")</f>
        <v>ok</v>
      </c>
      <c r="C1514" s="103" t="s">
        <v>369</v>
      </c>
      <c r="D1514" t="s">
        <v>4137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4138</v>
      </c>
      <c r="J1514" s="85" t="b">
        <f>Proc[[#This Row],[Requested]]=Proc[[#This Row],[CurrentParent]]</f>
        <v>1</v>
      </c>
      <c r="K1514" s="85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65</v>
      </c>
      <c r="R1514" s="86" t="s">
        <v>515</v>
      </c>
      <c r="S1514" s="85"/>
    </row>
    <row r="1515" spans="1:19" s="103" customFormat="1" hidden="1">
      <c r="A1515" s="103" t="s">
        <v>3292</v>
      </c>
      <c r="B1515" s="94" t="str">
        <f>IFERROR(VLOOKUP(Proc[[#This Row],[App]],Table2[],3,0),"open")</f>
        <v>ok</v>
      </c>
      <c r="C1515" s="65" t="s">
        <v>369</v>
      </c>
      <c r="D1515" s="103" t="s">
        <v>4135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4138</v>
      </c>
      <c r="J1515" s="94" t="b">
        <f>Proc[[#This Row],[Requested]]=Proc[[#This Row],[CurrentParent]]</f>
        <v>1</v>
      </c>
      <c r="K1515" s="9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3292</v>
      </c>
      <c r="B1516" s="94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4139</v>
      </c>
      <c r="J1516" s="94" t="b">
        <f>Proc[[#This Row],[Requested]]=Proc[[#This Row],[CurrentParent]]</f>
        <v>1</v>
      </c>
      <c r="K1516" s="9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3293</v>
      </c>
      <c r="B1517" s="85" t="str">
        <f>IFERROR(VLOOKUP(Proc[[#This Row],[App]],Table2[],3,0),"open")</f>
        <v>ok</v>
      </c>
      <c r="C1517" s="84" t="s">
        <v>369</v>
      </c>
      <c r="D1517" t="s">
        <v>3294</v>
      </c>
      <c r="E1517" t="s">
        <v>3295</v>
      </c>
      <c r="F1517" s="117" t="s">
        <v>3295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85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65</v>
      </c>
      <c r="R1517" s="86" t="s">
        <v>3291</v>
      </c>
      <c r="S1517" s="85"/>
    </row>
    <row r="1518" spans="1:19" hidden="1">
      <c r="A1518" t="s">
        <v>3298</v>
      </c>
      <c r="B1518" s="85" t="str">
        <f>IFERROR(VLOOKUP(Proc[[#This Row],[App]],Table2[],3,0),"open")</f>
        <v>ok</v>
      </c>
      <c r="C1518" s="89" t="s">
        <v>369</v>
      </c>
      <c r="D1518" t="s">
        <v>3296</v>
      </c>
      <c r="E1518" t="s">
        <v>3297</v>
      </c>
      <c r="F1518" s="117" t="s">
        <v>3297</v>
      </c>
      <c r="G1518" t="s">
        <v>406</v>
      </c>
      <c r="H1518" s="85" t="str">
        <f>IF(Proc[[#This Row],[type]]="LFF (MDG-F)",MID(Proc[[#This Row],[Obj]],13,10),"")</f>
        <v>2137C00001</v>
      </c>
      <c r="I1518" t="s">
        <v>3330</v>
      </c>
      <c r="J1518" s="85" t="b">
        <f>Proc[[#This Row],[Requested]]=Proc[[#This Row],[CurrentParent]]</f>
        <v>1</v>
      </c>
      <c r="K1518" s="85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65</v>
      </c>
      <c r="R1518" s="86" t="s">
        <v>3291</v>
      </c>
      <c r="S1518" s="85"/>
    </row>
    <row r="1519" spans="1:19" hidden="1">
      <c r="A1519" t="s">
        <v>3327</v>
      </c>
      <c r="B1519" s="85" t="str">
        <f>IFERROR(VLOOKUP(Proc[[#This Row],[App]],Table2[],3,0),"open")</f>
        <v>ok</v>
      </c>
      <c r="C1519" s="84" t="s">
        <v>369</v>
      </c>
      <c r="D1519" t="s">
        <v>3299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85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64</v>
      </c>
      <c r="R1519" s="86" t="s">
        <v>478</v>
      </c>
      <c r="S1519" s="85"/>
    </row>
    <row r="1520" spans="1:19" hidden="1">
      <c r="A1520" s="84" t="s">
        <v>3327</v>
      </c>
      <c r="B1520" s="85" t="str">
        <f>IFERROR(VLOOKUP(Proc[[#This Row],[App]],Table2[],3,0),"open")</f>
        <v>ok</v>
      </c>
      <c r="C1520" s="84" t="s">
        <v>369</v>
      </c>
      <c r="D1520" t="s">
        <v>3300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85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64</v>
      </c>
      <c r="R1520" s="86" t="s">
        <v>478</v>
      </c>
      <c r="S1520" s="85"/>
    </row>
    <row r="1521" spans="1:19" hidden="1">
      <c r="A1521" s="84" t="s">
        <v>3327</v>
      </c>
      <c r="B1521" s="85" t="str">
        <f>IFERROR(VLOOKUP(Proc[[#This Row],[App]],Table2[],3,0),"open")</f>
        <v>ok</v>
      </c>
      <c r="C1521" s="84" t="s">
        <v>369</v>
      </c>
      <c r="D1521" t="s">
        <v>3301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85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64</v>
      </c>
      <c r="R1521" s="86" t="s">
        <v>478</v>
      </c>
      <c r="S1521" s="85"/>
    </row>
    <row r="1522" spans="1:19" hidden="1">
      <c r="A1522" s="84" t="s">
        <v>3327</v>
      </c>
      <c r="B1522" s="85" t="str">
        <f>IFERROR(VLOOKUP(Proc[[#This Row],[App]],Table2[],3,0),"open")</f>
        <v>ok</v>
      </c>
      <c r="C1522" s="84" t="s">
        <v>369</v>
      </c>
      <c r="D1522" t="s">
        <v>3302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85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64</v>
      </c>
      <c r="R1522" s="86" t="s">
        <v>478</v>
      </c>
      <c r="S1522" s="85"/>
    </row>
    <row r="1523" spans="1:19" hidden="1">
      <c r="A1523" s="84" t="s">
        <v>3327</v>
      </c>
      <c r="B1523" s="85" t="str">
        <f>IFERROR(VLOOKUP(Proc[[#This Row],[App]],Table2[],3,0),"open")</f>
        <v>ok</v>
      </c>
      <c r="C1523" s="84" t="s">
        <v>369</v>
      </c>
      <c r="D1523" t="s">
        <v>3303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85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64</v>
      </c>
      <c r="R1523" s="86" t="s">
        <v>478</v>
      </c>
      <c r="S1523" s="85"/>
    </row>
    <row r="1524" spans="1:19" hidden="1">
      <c r="A1524" s="84" t="s">
        <v>3327</v>
      </c>
      <c r="B1524" s="85" t="str">
        <f>IFERROR(VLOOKUP(Proc[[#This Row],[App]],Table2[],3,0),"open")</f>
        <v>ok</v>
      </c>
      <c r="C1524" s="84" t="s">
        <v>369</v>
      </c>
      <c r="D1524" t="s">
        <v>3304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85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64</v>
      </c>
      <c r="R1524" s="86" t="s">
        <v>478</v>
      </c>
      <c r="S1524" s="85"/>
    </row>
    <row r="1525" spans="1:19" hidden="1">
      <c r="A1525" s="84" t="s">
        <v>3327</v>
      </c>
      <c r="B1525" s="85" t="str">
        <f>IFERROR(VLOOKUP(Proc[[#This Row],[App]],Table2[],3,0),"open")</f>
        <v>ok</v>
      </c>
      <c r="C1525" s="84" t="s">
        <v>369</v>
      </c>
      <c r="D1525" t="s">
        <v>3305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85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64</v>
      </c>
      <c r="R1525" s="86" t="s">
        <v>478</v>
      </c>
      <c r="S1525" s="85"/>
    </row>
    <row r="1526" spans="1:19" hidden="1">
      <c r="A1526" s="84" t="s">
        <v>3327</v>
      </c>
      <c r="B1526" s="85" t="str">
        <f>IFERROR(VLOOKUP(Proc[[#This Row],[App]],Table2[],3,0),"open")</f>
        <v>ok</v>
      </c>
      <c r="C1526" s="84" t="s">
        <v>369</v>
      </c>
      <c r="D1526" t="s">
        <v>3306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85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64</v>
      </c>
      <c r="R1526" s="86" t="s">
        <v>478</v>
      </c>
      <c r="S1526" s="85"/>
    </row>
    <row r="1527" spans="1:19" hidden="1">
      <c r="A1527" s="84" t="s">
        <v>3327</v>
      </c>
      <c r="B1527" s="85" t="str">
        <f>IFERROR(VLOOKUP(Proc[[#This Row],[App]],Table2[],3,0),"open")</f>
        <v>ok</v>
      </c>
      <c r="C1527" s="84" t="s">
        <v>369</v>
      </c>
      <c r="D1527" t="s">
        <v>3307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85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64</v>
      </c>
      <c r="R1527" s="86" t="s">
        <v>478</v>
      </c>
      <c r="S1527" s="85"/>
    </row>
    <row r="1528" spans="1:19" hidden="1">
      <c r="A1528" s="84" t="s">
        <v>3327</v>
      </c>
      <c r="B1528" s="85" t="str">
        <f>IFERROR(VLOOKUP(Proc[[#This Row],[App]],Table2[],3,0),"open")</f>
        <v>ok</v>
      </c>
      <c r="C1528" s="84" t="s">
        <v>369</v>
      </c>
      <c r="D1528" t="s">
        <v>3308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85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64</v>
      </c>
      <c r="R1528" s="86" t="s">
        <v>478</v>
      </c>
      <c r="S1528" s="85"/>
    </row>
    <row r="1529" spans="1:19" hidden="1">
      <c r="A1529" s="84" t="s">
        <v>3327</v>
      </c>
      <c r="B1529" s="85" t="str">
        <f>IFERROR(VLOOKUP(Proc[[#This Row],[App]],Table2[],3,0),"open")</f>
        <v>ok</v>
      </c>
      <c r="C1529" s="84" t="s">
        <v>369</v>
      </c>
      <c r="D1529" t="s">
        <v>3309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85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64</v>
      </c>
      <c r="R1529" s="86" t="s">
        <v>478</v>
      </c>
      <c r="S1529" s="85"/>
    </row>
    <row r="1530" spans="1:19" hidden="1">
      <c r="A1530" s="84" t="s">
        <v>3327</v>
      </c>
      <c r="B1530" s="85" t="str">
        <f>IFERROR(VLOOKUP(Proc[[#This Row],[App]],Table2[],3,0),"open")</f>
        <v>ok</v>
      </c>
      <c r="C1530" s="84" t="s">
        <v>369</v>
      </c>
      <c r="D1530" t="s">
        <v>3310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85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64</v>
      </c>
      <c r="R1530" s="86" t="s">
        <v>478</v>
      </c>
      <c r="S1530" s="85"/>
    </row>
    <row r="1531" spans="1:19" hidden="1">
      <c r="A1531" s="84" t="s">
        <v>3327</v>
      </c>
      <c r="B1531" s="85" t="str">
        <f>IFERROR(VLOOKUP(Proc[[#This Row],[App]],Table2[],3,0),"open")</f>
        <v>ok</v>
      </c>
      <c r="C1531" s="84" t="s">
        <v>369</v>
      </c>
      <c r="D1531" t="s">
        <v>3311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85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64</v>
      </c>
      <c r="R1531" s="86" t="s">
        <v>478</v>
      </c>
      <c r="S1531" s="85"/>
    </row>
    <row r="1532" spans="1:19" hidden="1">
      <c r="A1532" s="84" t="s">
        <v>3327</v>
      </c>
      <c r="B1532" s="85" t="str">
        <f>IFERROR(VLOOKUP(Proc[[#This Row],[App]],Table2[],3,0),"open")</f>
        <v>ok</v>
      </c>
      <c r="C1532" s="84" t="s">
        <v>369</v>
      </c>
      <c r="D1532" t="s">
        <v>3312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85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64</v>
      </c>
      <c r="R1532" s="86" t="s">
        <v>478</v>
      </c>
      <c r="S1532" s="85"/>
    </row>
    <row r="1533" spans="1:19" hidden="1">
      <c r="A1533" s="84" t="s">
        <v>3327</v>
      </c>
      <c r="B1533" s="85" t="str">
        <f>IFERROR(VLOOKUP(Proc[[#This Row],[App]],Table2[],3,0),"open")</f>
        <v>ok</v>
      </c>
      <c r="C1533" s="84" t="s">
        <v>369</v>
      </c>
      <c r="D1533" t="s">
        <v>3313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85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64</v>
      </c>
      <c r="R1533" s="86" t="s">
        <v>478</v>
      </c>
      <c r="S1533" s="85"/>
    </row>
    <row r="1534" spans="1:19" hidden="1">
      <c r="A1534" s="84" t="s">
        <v>3327</v>
      </c>
      <c r="B1534" s="85" t="str">
        <f>IFERROR(VLOOKUP(Proc[[#This Row],[App]],Table2[],3,0),"open")</f>
        <v>ok</v>
      </c>
      <c r="C1534" s="84" t="s">
        <v>369</v>
      </c>
      <c r="D1534" t="s">
        <v>3314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85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64</v>
      </c>
      <c r="R1534" s="86" t="s">
        <v>478</v>
      </c>
      <c r="S1534" s="85"/>
    </row>
    <row r="1535" spans="1:19" hidden="1">
      <c r="A1535" s="84" t="s">
        <v>3327</v>
      </c>
      <c r="B1535" s="85" t="str">
        <f>IFERROR(VLOOKUP(Proc[[#This Row],[App]],Table2[],3,0),"open")</f>
        <v>ok</v>
      </c>
      <c r="C1535" s="84" t="s">
        <v>369</v>
      </c>
      <c r="D1535" t="s">
        <v>3315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85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64</v>
      </c>
      <c r="R1535" s="86" t="s">
        <v>478</v>
      </c>
      <c r="S1535" s="85"/>
    </row>
    <row r="1536" spans="1:19" hidden="1">
      <c r="A1536" s="84" t="s">
        <v>3327</v>
      </c>
      <c r="B1536" s="85" t="str">
        <f>IFERROR(VLOOKUP(Proc[[#This Row],[App]],Table2[],3,0),"open")</f>
        <v>ok</v>
      </c>
      <c r="C1536" s="84" t="s">
        <v>369</v>
      </c>
      <c r="D1536" t="s">
        <v>3316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85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64</v>
      </c>
      <c r="R1536" s="86" t="s">
        <v>478</v>
      </c>
      <c r="S1536" s="85"/>
    </row>
    <row r="1537" spans="1:19" hidden="1">
      <c r="A1537" s="84" t="s">
        <v>3327</v>
      </c>
      <c r="B1537" s="85" t="str">
        <f>IFERROR(VLOOKUP(Proc[[#This Row],[App]],Table2[],3,0),"open")</f>
        <v>ok</v>
      </c>
      <c r="C1537" s="84" t="s">
        <v>369</v>
      </c>
      <c r="D1537" t="s">
        <v>3317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85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64</v>
      </c>
      <c r="R1537" s="86" t="s">
        <v>478</v>
      </c>
      <c r="S1537" s="85"/>
    </row>
    <row r="1538" spans="1:19" hidden="1">
      <c r="A1538" s="84" t="s">
        <v>3327</v>
      </c>
      <c r="B1538" s="85" t="str">
        <f>IFERROR(VLOOKUP(Proc[[#This Row],[App]],Table2[],3,0),"open")</f>
        <v>ok</v>
      </c>
      <c r="C1538" s="84" t="s">
        <v>369</v>
      </c>
      <c r="D1538" t="s">
        <v>3318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85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64</v>
      </c>
      <c r="R1538" s="86" t="s">
        <v>478</v>
      </c>
      <c r="S1538" s="85"/>
    </row>
    <row r="1539" spans="1:19" hidden="1">
      <c r="A1539" s="84" t="s">
        <v>3327</v>
      </c>
      <c r="B1539" s="85" t="str">
        <f>IFERROR(VLOOKUP(Proc[[#This Row],[App]],Table2[],3,0),"open")</f>
        <v>ok</v>
      </c>
      <c r="C1539" s="84" t="s">
        <v>369</v>
      </c>
      <c r="D1539" t="s">
        <v>3319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85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64</v>
      </c>
      <c r="R1539" s="86" t="s">
        <v>478</v>
      </c>
      <c r="S1539" s="85"/>
    </row>
    <row r="1540" spans="1:19" hidden="1">
      <c r="A1540" s="84" t="s">
        <v>3327</v>
      </c>
      <c r="B1540" s="85" t="str">
        <f>IFERROR(VLOOKUP(Proc[[#This Row],[App]],Table2[],3,0),"open")</f>
        <v>ok</v>
      </c>
      <c r="C1540" s="84" t="s">
        <v>369</v>
      </c>
      <c r="D1540" t="s">
        <v>3320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85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64</v>
      </c>
      <c r="R1540" s="86" t="s">
        <v>478</v>
      </c>
      <c r="S1540" s="85"/>
    </row>
    <row r="1541" spans="1:19" hidden="1">
      <c r="A1541" s="84" t="s">
        <v>3327</v>
      </c>
      <c r="B1541" s="85" t="str">
        <f>IFERROR(VLOOKUP(Proc[[#This Row],[App]],Table2[],3,0),"open")</f>
        <v>ok</v>
      </c>
      <c r="C1541" s="84" t="s">
        <v>369</v>
      </c>
      <c r="D1541" t="s">
        <v>3321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85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64</v>
      </c>
      <c r="R1541" s="86" t="s">
        <v>478</v>
      </c>
      <c r="S1541" s="85"/>
    </row>
    <row r="1542" spans="1:19" hidden="1">
      <c r="A1542" s="84" t="s">
        <v>3327</v>
      </c>
      <c r="B1542" s="85" t="str">
        <f>IFERROR(VLOOKUP(Proc[[#This Row],[App]],Table2[],3,0),"open")</f>
        <v>ok</v>
      </c>
      <c r="C1542" s="84" t="s">
        <v>369</v>
      </c>
      <c r="D1542" t="s">
        <v>3322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85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64</v>
      </c>
      <c r="R1542" s="86" t="s">
        <v>478</v>
      </c>
      <c r="S1542" s="85"/>
    </row>
    <row r="1543" spans="1:19" hidden="1">
      <c r="A1543" s="84" t="s">
        <v>3327</v>
      </c>
      <c r="B1543" s="85" t="str">
        <f>IFERROR(VLOOKUP(Proc[[#This Row],[App]],Table2[],3,0),"open")</f>
        <v>ok</v>
      </c>
      <c r="C1543" s="84" t="s">
        <v>369</v>
      </c>
      <c r="D1543" t="s">
        <v>3323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85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64</v>
      </c>
      <c r="R1543" s="86" t="s">
        <v>478</v>
      </c>
      <c r="S1543" s="85"/>
    </row>
    <row r="1544" spans="1:19" hidden="1">
      <c r="A1544" s="84" t="s">
        <v>3327</v>
      </c>
      <c r="B1544" s="85" t="str">
        <f>IFERROR(VLOOKUP(Proc[[#This Row],[App]],Table2[],3,0),"open")</f>
        <v>ok</v>
      </c>
      <c r="C1544" s="84" t="s">
        <v>369</v>
      </c>
      <c r="D1544" t="s">
        <v>3324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85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64</v>
      </c>
      <c r="R1544" s="86" t="s">
        <v>478</v>
      </c>
      <c r="S1544" s="85"/>
    </row>
    <row r="1545" spans="1:19" hidden="1">
      <c r="A1545" s="84" t="s">
        <v>3327</v>
      </c>
      <c r="B1545" s="85" t="str">
        <f>IFERROR(VLOOKUP(Proc[[#This Row],[App]],Table2[],3,0),"open")</f>
        <v>ok</v>
      </c>
      <c r="C1545" s="84" t="s">
        <v>369</v>
      </c>
      <c r="D1545" t="s">
        <v>3325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85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64</v>
      </c>
      <c r="R1545" s="86" t="s">
        <v>478</v>
      </c>
      <c r="S1545" s="85"/>
    </row>
    <row r="1546" spans="1:19" hidden="1">
      <c r="A1546" s="84" t="s">
        <v>3327</v>
      </c>
      <c r="B1546" s="85" t="str">
        <f>IFERROR(VLOOKUP(Proc[[#This Row],[App]],Table2[],3,0),"open")</f>
        <v>ok</v>
      </c>
      <c r="C1546" s="84" t="s">
        <v>369</v>
      </c>
      <c r="D1546" t="s">
        <v>3326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85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64</v>
      </c>
      <c r="R1546" s="86" t="s">
        <v>478</v>
      </c>
      <c r="S1546" s="85"/>
    </row>
    <row r="1547" spans="1:19" hidden="1">
      <c r="A1547" t="s">
        <v>3328</v>
      </c>
      <c r="B1547" s="85" t="str">
        <f>IFERROR(VLOOKUP(Proc[[#This Row],[App]],Table2[],3,0),"open")</f>
        <v>ok</v>
      </c>
      <c r="C1547" s="84" t="s">
        <v>369</v>
      </c>
      <c r="D1547" t="s">
        <v>3329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85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64</v>
      </c>
      <c r="R1547" s="86" t="s">
        <v>478</v>
      </c>
      <c r="S1547" s="85"/>
    </row>
    <row r="1548" spans="1:19" hidden="1">
      <c r="A1548" t="s">
        <v>3332</v>
      </c>
      <c r="B1548" s="85" t="str">
        <f>IFERROR(VLOOKUP(Proc[[#This Row],[App]],Table2[],3,0),"open")</f>
        <v>ok</v>
      </c>
      <c r="C1548" s="89" t="s">
        <v>369</v>
      </c>
      <c r="D1548" t="s">
        <v>3331</v>
      </c>
      <c r="E1548" t="s">
        <v>3281</v>
      </c>
      <c r="F1548" s="117" t="s">
        <v>3281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85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64</v>
      </c>
      <c r="R1548" s="86" t="s">
        <v>3285</v>
      </c>
      <c r="S1548" s="85"/>
    </row>
    <row r="1549" spans="1:19" hidden="1">
      <c r="A1549" t="s">
        <v>3333</v>
      </c>
      <c r="B1549" s="85" t="str">
        <f>IFERROR(VLOOKUP(Proc[[#This Row],[App]],Table2[],3,0),"open")</f>
        <v>ok</v>
      </c>
      <c r="C1549" s="89" t="s">
        <v>369</v>
      </c>
      <c r="D1549" t="s">
        <v>3334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85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63</v>
      </c>
      <c r="R1549" s="86" t="s">
        <v>972</v>
      </c>
      <c r="S1549" s="85"/>
    </row>
    <row r="1550" spans="1:19" hidden="1">
      <c r="A1550" s="84" t="s">
        <v>3333</v>
      </c>
      <c r="B1550" s="85" t="str">
        <f>IFERROR(VLOOKUP(Proc[[#This Row],[App]],Table2[],3,0),"open")</f>
        <v>ok</v>
      </c>
      <c r="C1550" s="89" t="s">
        <v>369</v>
      </c>
      <c r="D1550" t="s">
        <v>3335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85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63</v>
      </c>
      <c r="R1550" s="86" t="s">
        <v>972</v>
      </c>
      <c r="S1550" s="85"/>
    </row>
    <row r="1551" spans="1:19" hidden="1">
      <c r="A1551" s="84" t="s">
        <v>3333</v>
      </c>
      <c r="B1551" s="85" t="str">
        <f>IFERROR(VLOOKUP(Proc[[#This Row],[App]],Table2[],3,0),"open")</f>
        <v>ok</v>
      </c>
      <c r="C1551" s="89" t="s">
        <v>369</v>
      </c>
      <c r="D1551" t="s">
        <v>3336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85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63</v>
      </c>
      <c r="R1551" s="86" t="s">
        <v>972</v>
      </c>
      <c r="S1551" s="85"/>
    </row>
    <row r="1552" spans="1:19" hidden="1">
      <c r="A1552" s="84" t="s">
        <v>3333</v>
      </c>
      <c r="B1552" s="85" t="str">
        <f>IFERROR(VLOOKUP(Proc[[#This Row],[App]],Table2[],3,0),"open")</f>
        <v>ok</v>
      </c>
      <c r="C1552" s="89" t="s">
        <v>369</v>
      </c>
      <c r="D1552" t="s">
        <v>3337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85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63</v>
      </c>
      <c r="R1552" s="86" t="s">
        <v>972</v>
      </c>
      <c r="S1552" s="85"/>
    </row>
    <row r="1553" spans="1:19" hidden="1">
      <c r="A1553" s="84" t="s">
        <v>3333</v>
      </c>
      <c r="B1553" s="85" t="str">
        <f>IFERROR(VLOOKUP(Proc[[#This Row],[App]],Table2[],3,0),"open")</f>
        <v>ok</v>
      </c>
      <c r="C1553" s="89" t="s">
        <v>369</v>
      </c>
      <c r="D1553" t="s">
        <v>3338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85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63</v>
      </c>
      <c r="R1553" s="86" t="s">
        <v>972</v>
      </c>
      <c r="S1553" s="85"/>
    </row>
    <row r="1554" spans="1:19" hidden="1">
      <c r="A1554" s="84" t="s">
        <v>3333</v>
      </c>
      <c r="B1554" s="85" t="str">
        <f>IFERROR(VLOOKUP(Proc[[#This Row],[App]],Table2[],3,0),"open")</f>
        <v>ok</v>
      </c>
      <c r="C1554" s="89" t="s">
        <v>369</v>
      </c>
      <c r="D1554" t="s">
        <v>3339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85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63</v>
      </c>
      <c r="R1554" s="86" t="s">
        <v>972</v>
      </c>
      <c r="S1554" s="85"/>
    </row>
    <row r="1555" spans="1:19" hidden="1">
      <c r="A1555" s="84" t="s">
        <v>3333</v>
      </c>
      <c r="B1555" s="85" t="str">
        <f>IFERROR(VLOOKUP(Proc[[#This Row],[App]],Table2[],3,0),"open")</f>
        <v>ok</v>
      </c>
      <c r="C1555" s="89" t="s">
        <v>369</v>
      </c>
      <c r="D1555" t="s">
        <v>3340</v>
      </c>
      <c r="E1555" t="s">
        <v>3344</v>
      </c>
      <c r="F1555" s="117" t="s">
        <v>3344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85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63</v>
      </c>
      <c r="R1555" s="86" t="s">
        <v>972</v>
      </c>
      <c r="S1555" s="85"/>
    </row>
    <row r="1556" spans="1:19" hidden="1">
      <c r="A1556" s="84" t="s">
        <v>3333</v>
      </c>
      <c r="B1556" s="85" t="str">
        <f>IFERROR(VLOOKUP(Proc[[#This Row],[App]],Table2[],3,0),"open")</f>
        <v>ok</v>
      </c>
      <c r="C1556" s="89" t="s">
        <v>369</v>
      </c>
      <c r="D1556" t="s">
        <v>3341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85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63</v>
      </c>
      <c r="R1556" s="86" t="s">
        <v>972</v>
      </c>
      <c r="S1556" s="85"/>
    </row>
    <row r="1557" spans="1:19" hidden="1">
      <c r="A1557" s="84" t="s">
        <v>3333</v>
      </c>
      <c r="B1557" s="85" t="str">
        <f>IFERROR(VLOOKUP(Proc[[#This Row],[App]],Table2[],3,0),"open")</f>
        <v>ok</v>
      </c>
      <c r="C1557" s="89" t="s">
        <v>369</v>
      </c>
      <c r="D1557" t="s">
        <v>3342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85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63</v>
      </c>
      <c r="R1557" s="86" t="s">
        <v>972</v>
      </c>
      <c r="S1557" s="85"/>
    </row>
    <row r="1558" spans="1:19" hidden="1">
      <c r="A1558" s="84" t="s">
        <v>3333</v>
      </c>
      <c r="B1558" s="85" t="str">
        <f>IFERROR(VLOOKUP(Proc[[#This Row],[App]],Table2[],3,0),"open")</f>
        <v>ok</v>
      </c>
      <c r="C1558" s="89" t="s">
        <v>369</v>
      </c>
      <c r="D1558" t="s">
        <v>3343</v>
      </c>
      <c r="E1558" t="s">
        <v>3345</v>
      </c>
      <c r="F1558" s="117" t="s">
        <v>3345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85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63</v>
      </c>
      <c r="R1558" s="86" t="s">
        <v>972</v>
      </c>
      <c r="S1558" s="85"/>
    </row>
    <row r="1559" spans="1:19" hidden="1">
      <c r="A1559" t="s">
        <v>3346</v>
      </c>
      <c r="B1559" s="85" t="str">
        <f>IFERROR(VLOOKUP(Proc[[#This Row],[App]],Table2[],3,0),"open")</f>
        <v>ok</v>
      </c>
      <c r="C1559" s="89" t="s">
        <v>369</v>
      </c>
      <c r="D1559" t="s">
        <v>3360</v>
      </c>
      <c r="E1559" t="s">
        <v>3347</v>
      </c>
      <c r="F1559" s="117" t="s">
        <v>3347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85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63</v>
      </c>
      <c r="R1559" s="86" t="s">
        <v>551</v>
      </c>
      <c r="S1559" s="85"/>
    </row>
    <row r="1560" spans="1:19" hidden="1">
      <c r="A1560" s="88" t="s">
        <v>3346</v>
      </c>
      <c r="B1560" s="85" t="str">
        <f>IFERROR(VLOOKUP(Proc[[#This Row],[App]],Table2[],3,0),"open")</f>
        <v>ok</v>
      </c>
      <c r="C1560" s="89" t="s">
        <v>369</v>
      </c>
      <c r="D1560" t="s">
        <v>3361</v>
      </c>
      <c r="E1560" t="s">
        <v>3347</v>
      </c>
      <c r="F1560" s="117" t="s">
        <v>3347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85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63</v>
      </c>
      <c r="R1560" s="86" t="s">
        <v>551</v>
      </c>
      <c r="S1560" s="85"/>
    </row>
    <row r="1561" spans="1:19" hidden="1">
      <c r="A1561" s="88" t="s">
        <v>3346</v>
      </c>
      <c r="B1561" s="85" t="str">
        <f>IFERROR(VLOOKUP(Proc[[#This Row],[App]],Table2[],3,0),"open")</f>
        <v>ok</v>
      </c>
      <c r="C1561" s="89" t="s">
        <v>369</v>
      </c>
      <c r="D1561" t="s">
        <v>3362</v>
      </c>
      <c r="E1561" t="s">
        <v>3347</v>
      </c>
      <c r="F1561" s="117" t="s">
        <v>3347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85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63</v>
      </c>
      <c r="R1561" s="86" t="s">
        <v>551</v>
      </c>
      <c r="S1561" s="85"/>
    </row>
    <row r="1562" spans="1:19" hidden="1">
      <c r="A1562" t="s">
        <v>3348</v>
      </c>
      <c r="B1562" s="85" t="str">
        <f>IFERROR(VLOOKUP(Proc[[#This Row],[App]],Table2[],3,0),"open")</f>
        <v>ok</v>
      </c>
      <c r="C1562" t="s">
        <v>369</v>
      </c>
      <c r="D1562" t="s">
        <v>3349</v>
      </c>
      <c r="E1562" t="s">
        <v>3350</v>
      </c>
      <c r="F1562" s="117" t="s">
        <v>3350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85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3348</v>
      </c>
      <c r="B1563" s="85" t="str">
        <f>IFERROR(VLOOKUP(Proc[[#This Row],[App]],Table2[],3,0),"open")</f>
        <v>ok</v>
      </c>
      <c r="C1563" s="88" t="s">
        <v>369</v>
      </c>
      <c r="D1563" t="s">
        <v>3351</v>
      </c>
      <c r="E1563" t="s">
        <v>3350</v>
      </c>
      <c r="F1563" s="117" t="s">
        <v>3350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85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3348</v>
      </c>
      <c r="B1564" s="85" t="str">
        <f>IFERROR(VLOOKUP(Proc[[#This Row],[App]],Table2[],3,0),"open")</f>
        <v>ok</v>
      </c>
      <c r="C1564" s="89" t="s">
        <v>369</v>
      </c>
      <c r="D1564" t="s">
        <v>3352</v>
      </c>
      <c r="E1564" t="s">
        <v>3350</v>
      </c>
      <c r="F1564" s="117" t="s">
        <v>3350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3368</v>
      </c>
      <c r="J1564" s="85" t="b">
        <f>Proc[[#This Row],[Requested]]=Proc[[#This Row],[CurrentParent]]</f>
        <v>1</v>
      </c>
      <c r="K1564" s="85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3348</v>
      </c>
      <c r="B1565" s="85" t="str">
        <f>IFERROR(VLOOKUP(Proc[[#This Row],[App]],Table2[],3,0),"open")</f>
        <v>ok</v>
      </c>
      <c r="C1565" s="88" t="s">
        <v>369</v>
      </c>
      <c r="D1565" t="s">
        <v>3353</v>
      </c>
      <c r="E1565" t="s">
        <v>3350</v>
      </c>
      <c r="F1565" s="117" t="s">
        <v>3350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85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3348</v>
      </c>
      <c r="B1566" s="85" t="str">
        <f>IFERROR(VLOOKUP(Proc[[#This Row],[App]],Table2[],3,0),"open")</f>
        <v>ok</v>
      </c>
      <c r="C1566" s="88" t="s">
        <v>369</v>
      </c>
      <c r="D1566" t="s">
        <v>3354</v>
      </c>
      <c r="E1566" t="s">
        <v>3350</v>
      </c>
      <c r="F1566" s="117" t="s">
        <v>3350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85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3348</v>
      </c>
      <c r="B1567" s="85" t="str">
        <f>IFERROR(VLOOKUP(Proc[[#This Row],[App]],Table2[],3,0),"open")</f>
        <v>ok</v>
      </c>
      <c r="C1567" s="89" t="s">
        <v>369</v>
      </c>
      <c r="D1567" t="s">
        <v>3355</v>
      </c>
      <c r="E1567" t="s">
        <v>3350</v>
      </c>
      <c r="F1567" s="117" t="s">
        <v>3350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3368</v>
      </c>
      <c r="J1567" s="85" t="b">
        <f>Proc[[#This Row],[Requested]]=Proc[[#This Row],[CurrentParent]]</f>
        <v>1</v>
      </c>
      <c r="K1567" s="85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3356</v>
      </c>
      <c r="B1568" s="85" t="str">
        <f>IFERROR(VLOOKUP(Proc[[#This Row],[App]],Table2[],3,0),"open")</f>
        <v>ok</v>
      </c>
      <c r="C1568" s="89" t="s">
        <v>369</v>
      </c>
      <c r="D1568" s="89" t="s">
        <v>3363</v>
      </c>
      <c r="E1568" t="s">
        <v>3357</v>
      </c>
      <c r="F1568" s="117" t="s">
        <v>3357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85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63</v>
      </c>
      <c r="R1568" s="86" t="s">
        <v>551</v>
      </c>
      <c r="S1568" s="85"/>
    </row>
    <row r="1569" spans="1:19" hidden="1">
      <c r="A1569" t="s">
        <v>3358</v>
      </c>
      <c r="B1569" s="85" t="str">
        <f>IFERROR(VLOOKUP(Proc[[#This Row],[App]],Table2[],3,0),"open")</f>
        <v>ok</v>
      </c>
      <c r="C1569" s="89" t="s">
        <v>369</v>
      </c>
      <c r="D1569" t="s">
        <v>3364</v>
      </c>
      <c r="E1569" t="s">
        <v>3359</v>
      </c>
      <c r="F1569" s="117" t="s">
        <v>3359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85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63</v>
      </c>
      <c r="R1569" s="86" t="s">
        <v>551</v>
      </c>
      <c r="S1569" s="85"/>
    </row>
    <row r="1570" spans="1:19" hidden="1">
      <c r="A1570" s="89" t="s">
        <v>3358</v>
      </c>
      <c r="B1570" s="85" t="str">
        <f>IFERROR(VLOOKUP(Proc[[#This Row],[App]],Table2[],3,0),"open")</f>
        <v>ok</v>
      </c>
      <c r="C1570" s="89" t="s">
        <v>369</v>
      </c>
      <c r="D1570" t="s">
        <v>3365</v>
      </c>
      <c r="E1570" s="89" t="s">
        <v>3359</v>
      </c>
      <c r="F1570" s="117" t="s">
        <v>3359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85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63</v>
      </c>
      <c r="R1570" s="86" t="s">
        <v>551</v>
      </c>
      <c r="S1570" s="85"/>
    </row>
    <row r="1571" spans="1:19" hidden="1">
      <c r="A1571" s="89" t="s">
        <v>3358</v>
      </c>
      <c r="B1571" s="85" t="str">
        <f>IFERROR(VLOOKUP(Proc[[#This Row],[App]],Table2[],3,0),"open")</f>
        <v>ok</v>
      </c>
      <c r="C1571" s="89" t="s">
        <v>369</v>
      </c>
      <c r="D1571" t="s">
        <v>3366</v>
      </c>
      <c r="E1571" s="89" t="s">
        <v>3359</v>
      </c>
      <c r="F1571" s="117" t="s">
        <v>3359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85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63</v>
      </c>
      <c r="R1571" s="86" t="s">
        <v>551</v>
      </c>
      <c r="S1571" s="85"/>
    </row>
    <row r="1572" spans="1:19" hidden="1">
      <c r="A1572" s="89" t="s">
        <v>3358</v>
      </c>
      <c r="B1572" s="85" t="str">
        <f>IFERROR(VLOOKUP(Proc[[#This Row],[App]],Table2[],3,0),"open")</f>
        <v>ok</v>
      </c>
      <c r="C1572" s="89" t="s">
        <v>369</v>
      </c>
      <c r="D1572" t="s">
        <v>3367</v>
      </c>
      <c r="E1572" s="89" t="s">
        <v>3359</v>
      </c>
      <c r="F1572" s="117" t="s">
        <v>3359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85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63</v>
      </c>
      <c r="R1572" s="86" t="s">
        <v>551</v>
      </c>
      <c r="S1572" s="85"/>
    </row>
    <row r="1573" spans="1:19" hidden="1">
      <c r="A1573" t="s">
        <v>3369</v>
      </c>
      <c r="B1573" s="85" t="str">
        <f>IFERROR(VLOOKUP(Proc[[#This Row],[App]],Table2[],3,0),"open")</f>
        <v>ok</v>
      </c>
      <c r="C1573" s="89" t="s">
        <v>369</v>
      </c>
      <c r="D1573" t="s">
        <v>3370</v>
      </c>
      <c r="E1573" t="s">
        <v>3372</v>
      </c>
      <c r="F1573" s="117" t="s">
        <v>3372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85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3369</v>
      </c>
      <c r="B1574" s="85" t="str">
        <f>IFERROR(VLOOKUP(Proc[[#This Row],[App]],Table2[],3,0),"open")</f>
        <v>ok</v>
      </c>
      <c r="C1574" s="89" t="s">
        <v>369</v>
      </c>
      <c r="D1574" t="s">
        <v>3371</v>
      </c>
      <c r="E1574" t="s">
        <v>3373</v>
      </c>
      <c r="F1574" s="117" t="s">
        <v>3373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85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3375</v>
      </c>
      <c r="B1575" s="85" t="str">
        <f>IFERROR(VLOOKUP(Proc[[#This Row],[App]],Table2[],3,0),"open")</f>
        <v>ok</v>
      </c>
      <c r="C1575" s="89" t="s">
        <v>369</v>
      </c>
      <c r="D1575" t="s">
        <v>3374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85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3376</v>
      </c>
      <c r="B1576" s="85" t="str">
        <f>IFERROR(VLOOKUP(Proc[[#This Row],[App]],Table2[],3,0),"open")</f>
        <v>ok</v>
      </c>
      <c r="C1576" s="89" t="s">
        <v>369</v>
      </c>
      <c r="D1576" t="s">
        <v>3377</v>
      </c>
      <c r="E1576" t="s">
        <v>3378</v>
      </c>
      <c r="F1576" s="117" t="s">
        <v>3378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85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3381</v>
      </c>
      <c r="B1577" s="85" t="str">
        <f>IFERROR(VLOOKUP(Proc[[#This Row],[App]],Table2[],3,0),"open")</f>
        <v>ok</v>
      </c>
      <c r="C1577" s="89" t="s">
        <v>369</v>
      </c>
      <c r="D1577" t="s">
        <v>3379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3384</v>
      </c>
      <c r="J1577" s="85" t="b">
        <f>Proc[[#This Row],[Requested]]=Proc[[#This Row],[CurrentParent]]</f>
        <v>1</v>
      </c>
      <c r="K1577" s="85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3381</v>
      </c>
      <c r="B1578" s="85" t="str">
        <f>IFERROR(VLOOKUP(Proc[[#This Row],[App]],Table2[],3,0),"open")</f>
        <v>ok</v>
      </c>
      <c r="C1578" s="89" t="s">
        <v>369</v>
      </c>
      <c r="D1578" t="s">
        <v>3380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3384</v>
      </c>
      <c r="J1578" s="85" t="b">
        <f>Proc[[#This Row],[Requested]]=Proc[[#This Row],[CurrentParent]]</f>
        <v>1</v>
      </c>
      <c r="K1578" s="85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3385</v>
      </c>
      <c r="B1579" s="85" t="str">
        <f>IFERROR(VLOOKUP(Proc[[#This Row],[App]],Table2[],3,0),"open")</f>
        <v>ok</v>
      </c>
      <c r="C1579" s="89" t="s">
        <v>369</v>
      </c>
      <c r="D1579" t="s">
        <v>3386</v>
      </c>
      <c r="E1579" t="s">
        <v>3395</v>
      </c>
      <c r="F1579" s="117" t="s">
        <v>3395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85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3385</v>
      </c>
      <c r="B1580" s="85" t="str">
        <f>IFERROR(VLOOKUP(Proc[[#This Row],[App]],Table2[],3,0),"open")</f>
        <v>ok</v>
      </c>
      <c r="C1580" s="89" t="s">
        <v>369</v>
      </c>
      <c r="D1580" t="s">
        <v>3387</v>
      </c>
      <c r="E1580" t="s">
        <v>3378</v>
      </c>
      <c r="F1580" s="117" t="s">
        <v>3378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85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3385</v>
      </c>
      <c r="B1581" s="85" t="str">
        <f>IFERROR(VLOOKUP(Proc[[#This Row],[App]],Table2[],3,0),"open")</f>
        <v>ok</v>
      </c>
      <c r="C1581" s="89" t="s">
        <v>369</v>
      </c>
      <c r="D1581" t="s">
        <v>3388</v>
      </c>
      <c r="E1581" t="s">
        <v>3378</v>
      </c>
      <c r="F1581" s="117" t="s">
        <v>3378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85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3385</v>
      </c>
      <c r="B1582" s="85" t="str">
        <f>IFERROR(VLOOKUP(Proc[[#This Row],[App]],Table2[],3,0),"open")</f>
        <v>ok</v>
      </c>
      <c r="C1582" s="89" t="s">
        <v>369</v>
      </c>
      <c r="D1582" t="s">
        <v>3389</v>
      </c>
      <c r="E1582" t="s">
        <v>3378</v>
      </c>
      <c r="F1582" s="117" t="s">
        <v>3378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85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3385</v>
      </c>
      <c r="B1583" s="85" t="str">
        <f>IFERROR(VLOOKUP(Proc[[#This Row],[App]],Table2[],3,0),"open")</f>
        <v>ok</v>
      </c>
      <c r="C1583" s="89" t="s">
        <v>369</v>
      </c>
      <c r="D1583" t="s">
        <v>3390</v>
      </c>
      <c r="E1583" t="s">
        <v>3378</v>
      </c>
      <c r="F1583" s="117" t="s">
        <v>3378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85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3385</v>
      </c>
      <c r="B1584" s="85" t="str">
        <f>IFERROR(VLOOKUP(Proc[[#This Row],[App]],Table2[],3,0),"open")</f>
        <v>ok</v>
      </c>
      <c r="C1584" s="89" t="s">
        <v>369</v>
      </c>
      <c r="D1584" t="s">
        <v>3391</v>
      </c>
      <c r="E1584" t="s">
        <v>3378</v>
      </c>
      <c r="F1584" s="117" t="s">
        <v>3378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85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3385</v>
      </c>
      <c r="B1585" s="85" t="str">
        <f>IFERROR(VLOOKUP(Proc[[#This Row],[App]],Table2[],3,0),"open")</f>
        <v>ok</v>
      </c>
      <c r="C1585" s="89" t="s">
        <v>369</v>
      </c>
      <c r="D1585" t="s">
        <v>3392</v>
      </c>
      <c r="E1585" t="s">
        <v>3378</v>
      </c>
      <c r="F1585" s="117" t="s">
        <v>3378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85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3385</v>
      </c>
      <c r="B1586" s="85" t="str">
        <f>IFERROR(VLOOKUP(Proc[[#This Row],[App]],Table2[],3,0),"open")</f>
        <v>ok</v>
      </c>
      <c r="C1586" s="89" t="s">
        <v>369</v>
      </c>
      <c r="D1586" t="s">
        <v>3393</v>
      </c>
      <c r="E1586" t="s">
        <v>3378</v>
      </c>
      <c r="F1586" s="117" t="s">
        <v>3378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85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3385</v>
      </c>
      <c r="B1587" s="85" t="str">
        <f>IFERROR(VLOOKUP(Proc[[#This Row],[App]],Table2[],3,0),"open")</f>
        <v>ok</v>
      </c>
      <c r="C1587" s="89" t="s">
        <v>369</v>
      </c>
      <c r="D1587" t="s">
        <v>3394</v>
      </c>
      <c r="E1587" t="s">
        <v>3378</v>
      </c>
      <c r="F1587" s="117" t="s">
        <v>3378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85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3396</v>
      </c>
      <c r="B1588" s="85" t="str">
        <f>IFERROR(VLOOKUP(Proc[[#This Row],[App]],Table2[],3,0),"open")</f>
        <v>ok</v>
      </c>
      <c r="C1588" s="89" t="s">
        <v>369</v>
      </c>
      <c r="D1588" t="s">
        <v>2948</v>
      </c>
      <c r="E1588" t="s">
        <v>3397</v>
      </c>
      <c r="F1588" s="117" t="s">
        <v>3397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85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3396</v>
      </c>
      <c r="B1589" s="85" t="str">
        <f>IFERROR(VLOOKUP(Proc[[#This Row],[App]],Table2[],3,0),"open")</f>
        <v>ok</v>
      </c>
      <c r="C1589" s="89" t="s">
        <v>369</v>
      </c>
      <c r="D1589" t="s">
        <v>2949</v>
      </c>
      <c r="E1589" t="s">
        <v>3397</v>
      </c>
      <c r="F1589" s="117" t="s">
        <v>3397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85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3396</v>
      </c>
      <c r="B1590" s="85" t="str">
        <f>IFERROR(VLOOKUP(Proc[[#This Row],[App]],Table2[],3,0),"open")</f>
        <v>ok</v>
      </c>
      <c r="C1590" s="89" t="s">
        <v>369</v>
      </c>
      <c r="D1590" t="s">
        <v>2950</v>
      </c>
      <c r="E1590" t="s">
        <v>3398</v>
      </c>
      <c r="F1590" s="117" t="s">
        <v>3398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85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3396</v>
      </c>
      <c r="B1591" s="85" t="str">
        <f>IFERROR(VLOOKUP(Proc[[#This Row],[App]],Table2[],3,0),"open")</f>
        <v>ok</v>
      </c>
      <c r="C1591" s="89" t="s">
        <v>369</v>
      </c>
      <c r="D1591" t="s">
        <v>2951</v>
      </c>
      <c r="E1591" t="s">
        <v>3398</v>
      </c>
      <c r="F1591" s="117" t="s">
        <v>3398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85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3396</v>
      </c>
      <c r="B1592" s="85" t="str">
        <f>IFERROR(VLOOKUP(Proc[[#This Row],[App]],Table2[],3,0),"open")</f>
        <v>ok</v>
      </c>
      <c r="C1592" s="89" t="s">
        <v>369</v>
      </c>
      <c r="D1592" t="s">
        <v>2952</v>
      </c>
      <c r="E1592" t="s">
        <v>3398</v>
      </c>
      <c r="F1592" s="117" t="s">
        <v>3398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85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3396</v>
      </c>
      <c r="B1593" s="85" t="str">
        <f>IFERROR(VLOOKUP(Proc[[#This Row],[App]],Table2[],3,0),"open")</f>
        <v>ok</v>
      </c>
      <c r="C1593" s="89" t="s">
        <v>369</v>
      </c>
      <c r="D1593" t="s">
        <v>2953</v>
      </c>
      <c r="E1593" t="s">
        <v>3399</v>
      </c>
      <c r="F1593" s="117" t="s">
        <v>3399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85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3396</v>
      </c>
      <c r="B1594" s="85" t="str">
        <f>IFERROR(VLOOKUP(Proc[[#This Row],[App]],Table2[],3,0),"open")</f>
        <v>ok</v>
      </c>
      <c r="C1594" s="89" t="s">
        <v>369</v>
      </c>
      <c r="D1594" t="s">
        <v>2954</v>
      </c>
      <c r="E1594" t="s">
        <v>3397</v>
      </c>
      <c r="F1594" s="117" t="s">
        <v>3397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85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3396</v>
      </c>
      <c r="B1595" s="85" t="str">
        <f>IFERROR(VLOOKUP(Proc[[#This Row],[App]],Table2[],3,0),"open")</f>
        <v>ok</v>
      </c>
      <c r="C1595" s="89" t="s">
        <v>369</v>
      </c>
      <c r="D1595" t="s">
        <v>2955</v>
      </c>
      <c r="E1595" t="s">
        <v>3397</v>
      </c>
      <c r="F1595" s="117" t="s">
        <v>3397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85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3396</v>
      </c>
      <c r="B1596" s="85" t="str">
        <f>IFERROR(VLOOKUP(Proc[[#This Row],[App]],Table2[],3,0),"open")</f>
        <v>ok</v>
      </c>
      <c r="C1596" s="89" t="s">
        <v>369</v>
      </c>
      <c r="D1596" t="s">
        <v>2956</v>
      </c>
      <c r="E1596" t="s">
        <v>3400</v>
      </c>
      <c r="F1596" s="117" t="s">
        <v>3400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85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3396</v>
      </c>
      <c r="B1597" s="85" t="str">
        <f>IFERROR(VLOOKUP(Proc[[#This Row],[App]],Table2[],3,0),"open")</f>
        <v>ok</v>
      </c>
      <c r="C1597" s="89" t="s">
        <v>369</v>
      </c>
      <c r="D1597" t="s">
        <v>2957</v>
      </c>
      <c r="E1597" t="s">
        <v>3400</v>
      </c>
      <c r="F1597" s="117" t="s">
        <v>3400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85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3396</v>
      </c>
      <c r="B1598" s="85" t="str">
        <f>IFERROR(VLOOKUP(Proc[[#This Row],[App]],Table2[],3,0),"open")</f>
        <v>ok</v>
      </c>
      <c r="C1598" s="89" t="s">
        <v>369</v>
      </c>
      <c r="D1598" t="s">
        <v>2958</v>
      </c>
      <c r="E1598" t="s">
        <v>3401</v>
      </c>
      <c r="F1598" s="117" t="s">
        <v>3401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85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3396</v>
      </c>
      <c r="B1599" s="85" t="str">
        <f>IFERROR(VLOOKUP(Proc[[#This Row],[App]],Table2[],3,0),"open")</f>
        <v>ok</v>
      </c>
      <c r="C1599" s="89" t="s">
        <v>369</v>
      </c>
      <c r="D1599" t="s">
        <v>2959</v>
      </c>
      <c r="E1599" t="s">
        <v>3401</v>
      </c>
      <c r="F1599" s="117" t="s">
        <v>3401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85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3396</v>
      </c>
      <c r="B1600" s="85" t="str">
        <f>IFERROR(VLOOKUP(Proc[[#This Row],[App]],Table2[],3,0),"open")</f>
        <v>ok</v>
      </c>
      <c r="C1600" s="89" t="s">
        <v>369</v>
      </c>
      <c r="D1600" t="s">
        <v>2960</v>
      </c>
      <c r="E1600" t="s">
        <v>3401</v>
      </c>
      <c r="F1600" s="117" t="s">
        <v>3401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85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3396</v>
      </c>
      <c r="B1601" s="85" t="str">
        <f>IFERROR(VLOOKUP(Proc[[#This Row],[App]],Table2[],3,0),"open")</f>
        <v>ok</v>
      </c>
      <c r="C1601" s="89" t="s">
        <v>369</v>
      </c>
      <c r="D1601" t="s">
        <v>2961</v>
      </c>
      <c r="E1601" t="s">
        <v>3401</v>
      </c>
      <c r="F1601" s="117" t="s">
        <v>3401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85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3396</v>
      </c>
      <c r="B1602" s="85" t="str">
        <f>IFERROR(VLOOKUP(Proc[[#This Row],[App]],Table2[],3,0),"open")</f>
        <v>ok</v>
      </c>
      <c r="C1602" s="89" t="s">
        <v>369</v>
      </c>
      <c r="D1602" t="s">
        <v>2962</v>
      </c>
      <c r="E1602" t="s">
        <v>3398</v>
      </c>
      <c r="F1602" s="117" t="s">
        <v>3398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85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3396</v>
      </c>
      <c r="B1603" s="85" t="str">
        <f>IFERROR(VLOOKUP(Proc[[#This Row],[App]],Table2[],3,0),"open")</f>
        <v>ok</v>
      </c>
      <c r="C1603" s="89" t="s">
        <v>369</v>
      </c>
      <c r="D1603" t="s">
        <v>2963</v>
      </c>
      <c r="E1603" t="s">
        <v>3398</v>
      </c>
      <c r="F1603" s="117" t="s">
        <v>3398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85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3396</v>
      </c>
      <c r="B1604" s="85" t="str">
        <f>IFERROR(VLOOKUP(Proc[[#This Row],[App]],Table2[],3,0),"open")</f>
        <v>ok</v>
      </c>
      <c r="C1604" s="89" t="s">
        <v>369</v>
      </c>
      <c r="D1604" t="s">
        <v>2964</v>
      </c>
      <c r="E1604" t="s">
        <v>3401</v>
      </c>
      <c r="F1604" s="117" t="s">
        <v>3401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85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3396</v>
      </c>
      <c r="B1605" s="85" t="str">
        <f>IFERROR(VLOOKUP(Proc[[#This Row],[App]],Table2[],3,0),"open")</f>
        <v>ok</v>
      </c>
      <c r="C1605" s="89" t="s">
        <v>369</v>
      </c>
      <c r="D1605" t="s">
        <v>2965</v>
      </c>
      <c r="E1605" t="s">
        <v>3401</v>
      </c>
      <c r="F1605" s="117" t="s">
        <v>3401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85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3396</v>
      </c>
      <c r="B1606" s="85" t="str">
        <f>IFERROR(VLOOKUP(Proc[[#This Row],[App]],Table2[],3,0),"open")</f>
        <v>ok</v>
      </c>
      <c r="C1606" s="89" t="s">
        <v>369</v>
      </c>
      <c r="D1606" t="s">
        <v>2966</v>
      </c>
      <c r="E1606" t="s">
        <v>3401</v>
      </c>
      <c r="F1606" s="117" t="s">
        <v>3401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85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3396</v>
      </c>
      <c r="B1607" s="85" t="str">
        <f>IFERROR(VLOOKUP(Proc[[#This Row],[App]],Table2[],3,0),"open")</f>
        <v>ok</v>
      </c>
      <c r="C1607" s="89" t="s">
        <v>369</v>
      </c>
      <c r="D1607" t="s">
        <v>2967</v>
      </c>
      <c r="E1607" t="s">
        <v>3402</v>
      </c>
      <c r="F1607" s="117" t="s">
        <v>3402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85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3396</v>
      </c>
      <c r="B1608" s="85" t="str">
        <f>IFERROR(VLOOKUP(Proc[[#This Row],[App]],Table2[],3,0),"open")</f>
        <v>ok</v>
      </c>
      <c r="C1608" s="89" t="s">
        <v>369</v>
      </c>
      <c r="D1608" t="s">
        <v>2968</v>
      </c>
      <c r="E1608" t="s">
        <v>3402</v>
      </c>
      <c r="F1608" s="117" t="s">
        <v>3402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85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3396</v>
      </c>
      <c r="B1609" s="85" t="str">
        <f>IFERROR(VLOOKUP(Proc[[#This Row],[App]],Table2[],3,0),"open")</f>
        <v>ok</v>
      </c>
      <c r="C1609" s="89" t="s">
        <v>369</v>
      </c>
      <c r="D1609" t="s">
        <v>2969</v>
      </c>
      <c r="E1609" t="s">
        <v>3402</v>
      </c>
      <c r="F1609" s="117" t="s">
        <v>3402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85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3396</v>
      </c>
      <c r="B1610" s="85" t="str">
        <f>IFERROR(VLOOKUP(Proc[[#This Row],[App]],Table2[],3,0),"open")</f>
        <v>ok</v>
      </c>
      <c r="C1610" s="89" t="s">
        <v>369</v>
      </c>
      <c r="D1610" t="s">
        <v>2970</v>
      </c>
      <c r="E1610" t="s">
        <v>3402</v>
      </c>
      <c r="F1610" s="117" t="s">
        <v>3402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85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3396</v>
      </c>
      <c r="B1611" s="85" t="str">
        <f>IFERROR(VLOOKUP(Proc[[#This Row],[App]],Table2[],3,0),"open")</f>
        <v>ok</v>
      </c>
      <c r="C1611" s="89" t="s">
        <v>369</v>
      </c>
      <c r="D1611" t="s">
        <v>2971</v>
      </c>
      <c r="E1611" t="s">
        <v>3402</v>
      </c>
      <c r="F1611" s="117" t="s">
        <v>3402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85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3396</v>
      </c>
      <c r="B1612" s="85" t="str">
        <f>IFERROR(VLOOKUP(Proc[[#This Row],[App]],Table2[],3,0),"open")</f>
        <v>ok</v>
      </c>
      <c r="C1612" s="89" t="s">
        <v>369</v>
      </c>
      <c r="D1612" t="s">
        <v>2972</v>
      </c>
      <c r="E1612" t="s">
        <v>3402</v>
      </c>
      <c r="F1612" s="117" t="s">
        <v>3402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85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3396</v>
      </c>
      <c r="B1613" s="85" t="str">
        <f>IFERROR(VLOOKUP(Proc[[#This Row],[App]],Table2[],3,0),"open")</f>
        <v>ok</v>
      </c>
      <c r="C1613" s="89" t="s">
        <v>369</v>
      </c>
      <c r="D1613" t="s">
        <v>2973</v>
      </c>
      <c r="E1613" t="s">
        <v>3402</v>
      </c>
      <c r="F1613" s="117" t="s">
        <v>3402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85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3396</v>
      </c>
      <c r="B1614" s="85" t="str">
        <f>IFERROR(VLOOKUP(Proc[[#This Row],[App]],Table2[],3,0),"open")</f>
        <v>ok</v>
      </c>
      <c r="C1614" s="89" t="s">
        <v>369</v>
      </c>
      <c r="D1614" t="s">
        <v>2974</v>
      </c>
      <c r="E1614" t="s">
        <v>3402</v>
      </c>
      <c r="F1614" s="117" t="s">
        <v>3402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85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3396</v>
      </c>
      <c r="B1615" s="85" t="str">
        <f>IFERROR(VLOOKUP(Proc[[#This Row],[App]],Table2[],3,0),"open")</f>
        <v>ok</v>
      </c>
      <c r="C1615" s="89" t="s">
        <v>369</v>
      </c>
      <c r="D1615" t="s">
        <v>2975</v>
      </c>
      <c r="E1615" t="s">
        <v>3402</v>
      </c>
      <c r="F1615" s="117" t="s">
        <v>3402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85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3396</v>
      </c>
      <c r="B1616" s="85" t="str">
        <f>IFERROR(VLOOKUP(Proc[[#This Row],[App]],Table2[],3,0),"open")</f>
        <v>ok</v>
      </c>
      <c r="C1616" s="89" t="s">
        <v>369</v>
      </c>
      <c r="D1616" t="s">
        <v>2976</v>
      </c>
      <c r="E1616" t="s">
        <v>3402</v>
      </c>
      <c r="F1616" s="117" t="s">
        <v>3402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85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3396</v>
      </c>
      <c r="B1617" s="85" t="str">
        <f>IFERROR(VLOOKUP(Proc[[#This Row],[App]],Table2[],3,0),"open")</f>
        <v>ok</v>
      </c>
      <c r="C1617" s="89" t="s">
        <v>369</v>
      </c>
      <c r="D1617" t="s">
        <v>2977</v>
      </c>
      <c r="E1617" t="s">
        <v>3402</v>
      </c>
      <c r="F1617" s="117" t="s">
        <v>3402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85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3396</v>
      </c>
      <c r="B1618" s="85" t="str">
        <f>IFERROR(VLOOKUP(Proc[[#This Row],[App]],Table2[],3,0),"open")</f>
        <v>ok</v>
      </c>
      <c r="C1618" s="89" t="s">
        <v>369</v>
      </c>
      <c r="D1618" t="s">
        <v>2978</v>
      </c>
      <c r="E1618" t="s">
        <v>3402</v>
      </c>
      <c r="F1618" s="117" t="s">
        <v>3402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85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3396</v>
      </c>
      <c r="B1619" s="85" t="str">
        <f>IFERROR(VLOOKUP(Proc[[#This Row],[App]],Table2[],3,0),"open")</f>
        <v>ok</v>
      </c>
      <c r="C1619" s="89" t="s">
        <v>369</v>
      </c>
      <c r="D1619" t="s">
        <v>2979</v>
      </c>
      <c r="E1619" t="s">
        <v>3402</v>
      </c>
      <c r="F1619" s="117" t="s">
        <v>3402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85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3396</v>
      </c>
      <c r="B1620" s="85" t="str">
        <f>IFERROR(VLOOKUP(Proc[[#This Row],[App]],Table2[],3,0),"open")</f>
        <v>ok</v>
      </c>
      <c r="C1620" s="89" t="s">
        <v>369</v>
      </c>
      <c r="D1620" t="s">
        <v>2980</v>
      </c>
      <c r="E1620" t="s">
        <v>3402</v>
      </c>
      <c r="F1620" s="117" t="s">
        <v>3402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85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3396</v>
      </c>
      <c r="B1621" s="85" t="str">
        <f>IFERROR(VLOOKUP(Proc[[#This Row],[App]],Table2[],3,0),"open")</f>
        <v>ok</v>
      </c>
      <c r="C1621" s="89" t="s">
        <v>369</v>
      </c>
      <c r="D1621" t="s">
        <v>2981</v>
      </c>
      <c r="E1621" t="s">
        <v>3402</v>
      </c>
      <c r="F1621" s="117" t="s">
        <v>3402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85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3396</v>
      </c>
      <c r="B1622" s="85" t="str">
        <f>IFERROR(VLOOKUP(Proc[[#This Row],[App]],Table2[],3,0),"open")</f>
        <v>ok</v>
      </c>
      <c r="C1622" s="89" t="s">
        <v>369</v>
      </c>
      <c r="D1622" t="s">
        <v>2982</v>
      </c>
      <c r="E1622" t="s">
        <v>3402</v>
      </c>
      <c r="F1622" s="117" t="s">
        <v>3402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85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3396</v>
      </c>
      <c r="B1623" s="85" t="str">
        <f>IFERROR(VLOOKUP(Proc[[#This Row],[App]],Table2[],3,0),"open")</f>
        <v>ok</v>
      </c>
      <c r="C1623" s="89" t="s">
        <v>369</v>
      </c>
      <c r="D1623" t="s">
        <v>2983</v>
      </c>
      <c r="E1623" t="s">
        <v>3402</v>
      </c>
      <c r="F1623" s="117" t="s">
        <v>3402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85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3396</v>
      </c>
      <c r="B1624" s="85" t="str">
        <f>IFERROR(VLOOKUP(Proc[[#This Row],[App]],Table2[],3,0),"open")</f>
        <v>ok</v>
      </c>
      <c r="C1624" s="89" t="s">
        <v>369</v>
      </c>
      <c r="D1624" t="s">
        <v>2984</v>
      </c>
      <c r="E1624" t="s">
        <v>3402</v>
      </c>
      <c r="F1624" s="117" t="s">
        <v>3402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85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3396</v>
      </c>
      <c r="B1625" s="85" t="str">
        <f>IFERROR(VLOOKUP(Proc[[#This Row],[App]],Table2[],3,0),"open")</f>
        <v>ok</v>
      </c>
      <c r="C1625" s="89" t="s">
        <v>369</v>
      </c>
      <c r="D1625" t="s">
        <v>2985</v>
      </c>
      <c r="E1625" t="s">
        <v>3402</v>
      </c>
      <c r="F1625" s="117" t="s">
        <v>3402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85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3396</v>
      </c>
      <c r="B1626" s="85" t="str">
        <f>IFERROR(VLOOKUP(Proc[[#This Row],[App]],Table2[],3,0),"open")</f>
        <v>ok</v>
      </c>
      <c r="C1626" s="89" t="s">
        <v>369</v>
      </c>
      <c r="D1626" t="s">
        <v>2986</v>
      </c>
      <c r="E1626" t="s">
        <v>3402</v>
      </c>
      <c r="F1626" s="117" t="s">
        <v>3402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85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3396</v>
      </c>
      <c r="B1627" s="85" t="str">
        <f>IFERROR(VLOOKUP(Proc[[#This Row],[App]],Table2[],3,0),"open")</f>
        <v>ok</v>
      </c>
      <c r="C1627" s="89" t="s">
        <v>369</v>
      </c>
      <c r="D1627" t="s">
        <v>2987</v>
      </c>
      <c r="E1627" t="s">
        <v>3402</v>
      </c>
      <c r="F1627" s="117" t="s">
        <v>3402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85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3396</v>
      </c>
      <c r="B1628" s="85" t="str">
        <f>IFERROR(VLOOKUP(Proc[[#This Row],[App]],Table2[],3,0),"open")</f>
        <v>ok</v>
      </c>
      <c r="C1628" s="89" t="s">
        <v>369</v>
      </c>
      <c r="D1628" t="s">
        <v>2988</v>
      </c>
      <c r="E1628" t="s">
        <v>3402</v>
      </c>
      <c r="F1628" s="117" t="s">
        <v>3402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85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3396</v>
      </c>
      <c r="B1629" s="85" t="str">
        <f>IFERROR(VLOOKUP(Proc[[#This Row],[App]],Table2[],3,0),"open")</f>
        <v>ok</v>
      </c>
      <c r="C1629" s="89" t="s">
        <v>369</v>
      </c>
      <c r="D1629" t="s">
        <v>2989</v>
      </c>
      <c r="E1629" t="s">
        <v>3402</v>
      </c>
      <c r="F1629" s="117" t="s">
        <v>3402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85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3396</v>
      </c>
      <c r="B1630" s="85" t="str">
        <f>IFERROR(VLOOKUP(Proc[[#This Row],[App]],Table2[],3,0),"open")</f>
        <v>ok</v>
      </c>
      <c r="C1630" s="89" t="s">
        <v>369</v>
      </c>
      <c r="D1630" t="s">
        <v>2990</v>
      </c>
      <c r="E1630" t="s">
        <v>3402</v>
      </c>
      <c r="F1630" s="117" t="s">
        <v>3402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85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3396</v>
      </c>
      <c r="B1631" s="85" t="str">
        <f>IFERROR(VLOOKUP(Proc[[#This Row],[App]],Table2[],3,0),"open")</f>
        <v>ok</v>
      </c>
      <c r="C1631" s="89" t="s">
        <v>369</v>
      </c>
      <c r="D1631" t="s">
        <v>2991</v>
      </c>
      <c r="E1631" t="s">
        <v>3402</v>
      </c>
      <c r="F1631" s="117" t="s">
        <v>3402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85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3396</v>
      </c>
      <c r="B1632" s="85" t="str">
        <f>IFERROR(VLOOKUP(Proc[[#This Row],[App]],Table2[],3,0),"open")</f>
        <v>ok</v>
      </c>
      <c r="C1632" s="89" t="s">
        <v>369</v>
      </c>
      <c r="D1632" t="s">
        <v>2992</v>
      </c>
      <c r="E1632" t="s">
        <v>3402</v>
      </c>
      <c r="F1632" s="117" t="s">
        <v>3402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85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3396</v>
      </c>
      <c r="B1633" s="85" t="str">
        <f>IFERROR(VLOOKUP(Proc[[#This Row],[App]],Table2[],3,0),"open")</f>
        <v>ok</v>
      </c>
      <c r="C1633" s="89" t="s">
        <v>369</v>
      </c>
      <c r="D1633" t="s">
        <v>2993</v>
      </c>
      <c r="E1633" t="s">
        <v>3402</v>
      </c>
      <c r="F1633" s="117" t="s">
        <v>3402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85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3396</v>
      </c>
      <c r="B1634" s="85" t="str">
        <f>IFERROR(VLOOKUP(Proc[[#This Row],[App]],Table2[],3,0),"open")</f>
        <v>ok</v>
      </c>
      <c r="C1634" s="89" t="s">
        <v>369</v>
      </c>
      <c r="D1634" t="s">
        <v>2994</v>
      </c>
      <c r="E1634" t="s">
        <v>3402</v>
      </c>
      <c r="F1634" s="117" t="s">
        <v>3402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85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3396</v>
      </c>
      <c r="B1635" s="85" t="str">
        <f>IFERROR(VLOOKUP(Proc[[#This Row],[App]],Table2[],3,0),"open")</f>
        <v>ok</v>
      </c>
      <c r="C1635" s="89" t="s">
        <v>369</v>
      </c>
      <c r="D1635" t="s">
        <v>2995</v>
      </c>
      <c r="E1635" t="s">
        <v>3402</v>
      </c>
      <c r="F1635" s="117" t="s">
        <v>3402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85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3396</v>
      </c>
      <c r="B1636" s="85" t="str">
        <f>IFERROR(VLOOKUP(Proc[[#This Row],[App]],Table2[],3,0),"open")</f>
        <v>ok</v>
      </c>
      <c r="C1636" s="89" t="s">
        <v>369</v>
      </c>
      <c r="D1636" t="s">
        <v>2996</v>
      </c>
      <c r="E1636" t="s">
        <v>3402</v>
      </c>
      <c r="F1636" s="117" t="s">
        <v>3402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85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3396</v>
      </c>
      <c r="B1637" s="85" t="str">
        <f>IFERROR(VLOOKUP(Proc[[#This Row],[App]],Table2[],3,0),"open")</f>
        <v>ok</v>
      </c>
      <c r="C1637" s="89" t="s">
        <v>369</v>
      </c>
      <c r="D1637" t="s">
        <v>2997</v>
      </c>
      <c r="E1637" t="s">
        <v>3402</v>
      </c>
      <c r="F1637" s="117" t="s">
        <v>3402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85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3396</v>
      </c>
      <c r="B1638" s="85" t="str">
        <f>IFERROR(VLOOKUP(Proc[[#This Row],[App]],Table2[],3,0),"open")</f>
        <v>ok</v>
      </c>
      <c r="C1638" s="89" t="s">
        <v>369</v>
      </c>
      <c r="D1638" t="s">
        <v>2998</v>
      </c>
      <c r="E1638" t="s">
        <v>3402</v>
      </c>
      <c r="F1638" s="117" t="s">
        <v>3402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85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3396</v>
      </c>
      <c r="B1639" s="85" t="str">
        <f>IFERROR(VLOOKUP(Proc[[#This Row],[App]],Table2[],3,0),"open")</f>
        <v>ok</v>
      </c>
      <c r="C1639" s="89" t="s">
        <v>369</v>
      </c>
      <c r="D1639" t="s">
        <v>2999</v>
      </c>
      <c r="E1639" t="s">
        <v>3402</v>
      </c>
      <c r="F1639" s="117" t="s">
        <v>3402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85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3396</v>
      </c>
      <c r="B1640" s="85" t="str">
        <f>IFERROR(VLOOKUP(Proc[[#This Row],[App]],Table2[],3,0),"open")</f>
        <v>ok</v>
      </c>
      <c r="C1640" s="89" t="s">
        <v>369</v>
      </c>
      <c r="D1640" t="s">
        <v>3000</v>
      </c>
      <c r="E1640" t="s">
        <v>3402</v>
      </c>
      <c r="F1640" s="117" t="s">
        <v>3402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85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3396</v>
      </c>
      <c r="B1641" s="85" t="str">
        <f>IFERROR(VLOOKUP(Proc[[#This Row],[App]],Table2[],3,0),"open")</f>
        <v>ok</v>
      </c>
      <c r="C1641" s="89" t="s">
        <v>369</v>
      </c>
      <c r="D1641" t="s">
        <v>3001</v>
      </c>
      <c r="E1641" t="s">
        <v>3402</v>
      </c>
      <c r="F1641" s="117" t="s">
        <v>3402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85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3396</v>
      </c>
      <c r="B1642" s="85" t="str">
        <f>IFERROR(VLOOKUP(Proc[[#This Row],[App]],Table2[],3,0),"open")</f>
        <v>ok</v>
      </c>
      <c r="C1642" s="89" t="s">
        <v>369</v>
      </c>
      <c r="D1642" t="s">
        <v>3002</v>
      </c>
      <c r="E1642" t="s">
        <v>3402</v>
      </c>
      <c r="F1642" s="117" t="s">
        <v>3402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85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3404</v>
      </c>
      <c r="B1643" s="85" t="str">
        <f>IFERROR(VLOOKUP(Proc[[#This Row],[App]],Table2[],3,0),"open")</f>
        <v>ok</v>
      </c>
      <c r="C1643" s="89" t="s">
        <v>369</v>
      </c>
      <c r="D1643" t="s">
        <v>3403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85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3405</v>
      </c>
      <c r="B1644" s="85" t="str">
        <f>IFERROR(VLOOKUP(Proc[[#This Row],[App]],Table2[],3,0),"open")</f>
        <v>ok</v>
      </c>
      <c r="C1644" t="s">
        <v>369</v>
      </c>
      <c r="D1644" t="s">
        <v>3406</v>
      </c>
      <c r="E1644" t="s">
        <v>3515</v>
      </c>
      <c r="F1644" s="117" t="s">
        <v>3515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85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59</v>
      </c>
      <c r="R1644" s="90" t="s">
        <v>489</v>
      </c>
      <c r="S1644" s="85"/>
    </row>
    <row r="1645" spans="1:19" hidden="1">
      <c r="A1645" s="89" t="s">
        <v>3405</v>
      </c>
      <c r="B1645" s="85" t="str">
        <f>IFERROR(VLOOKUP(Proc[[#This Row],[App]],Table2[],3,0),"open")</f>
        <v>ok</v>
      </c>
      <c r="C1645" s="89" t="s">
        <v>369</v>
      </c>
      <c r="D1645" t="s">
        <v>3407</v>
      </c>
      <c r="E1645" t="s">
        <v>3516</v>
      </c>
      <c r="F1645" s="117" t="s">
        <v>3516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85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59</v>
      </c>
      <c r="R1645" s="90" t="s">
        <v>489</v>
      </c>
      <c r="S1645" s="85"/>
    </row>
    <row r="1646" spans="1:19" hidden="1">
      <c r="A1646" s="89" t="s">
        <v>3405</v>
      </c>
      <c r="B1646" s="85" t="str">
        <f>IFERROR(VLOOKUP(Proc[[#This Row],[App]],Table2[],3,0),"open")</f>
        <v>ok</v>
      </c>
      <c r="C1646" s="89" t="s">
        <v>369</v>
      </c>
      <c r="D1646" t="s">
        <v>3408</v>
      </c>
      <c r="E1646" t="s">
        <v>3516</v>
      </c>
      <c r="F1646" s="117" t="s">
        <v>3516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85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59</v>
      </c>
      <c r="R1646" s="90" t="s">
        <v>489</v>
      </c>
      <c r="S1646" s="85"/>
    </row>
    <row r="1647" spans="1:19" hidden="1">
      <c r="A1647" s="89" t="s">
        <v>3405</v>
      </c>
      <c r="B1647" s="85" t="str">
        <f>IFERROR(VLOOKUP(Proc[[#This Row],[App]],Table2[],3,0),"open")</f>
        <v>ok</v>
      </c>
      <c r="C1647" s="89" t="s">
        <v>369</v>
      </c>
      <c r="D1647" t="s">
        <v>3409</v>
      </c>
      <c r="E1647" t="s">
        <v>3517</v>
      </c>
      <c r="F1647" s="117" t="s">
        <v>3517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85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59</v>
      </c>
      <c r="R1647" s="90" t="s">
        <v>489</v>
      </c>
      <c r="S1647" s="85"/>
    </row>
    <row r="1648" spans="1:19" hidden="1">
      <c r="A1648" s="89" t="s">
        <v>3405</v>
      </c>
      <c r="B1648" s="85" t="str">
        <f>IFERROR(VLOOKUP(Proc[[#This Row],[App]],Table2[],3,0),"open")</f>
        <v>ok</v>
      </c>
      <c r="C1648" s="89" t="s">
        <v>369</v>
      </c>
      <c r="D1648" t="s">
        <v>3410</v>
      </c>
      <c r="E1648" t="s">
        <v>3518</v>
      </c>
      <c r="F1648" s="117" t="s">
        <v>3518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85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59</v>
      </c>
      <c r="R1648" s="90" t="s">
        <v>489</v>
      </c>
      <c r="S1648" s="85"/>
    </row>
    <row r="1649" spans="1:19" hidden="1">
      <c r="A1649" s="89" t="s">
        <v>3405</v>
      </c>
      <c r="B1649" s="85" t="str">
        <f>IFERROR(VLOOKUP(Proc[[#This Row],[App]],Table2[],3,0),"open")</f>
        <v>ok</v>
      </c>
      <c r="C1649" s="89" t="s">
        <v>369</v>
      </c>
      <c r="D1649" t="s">
        <v>3411</v>
      </c>
      <c r="E1649" t="s">
        <v>3518</v>
      </c>
      <c r="F1649" s="117" t="s">
        <v>3518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85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59</v>
      </c>
      <c r="R1649" s="90" t="s">
        <v>489</v>
      </c>
      <c r="S1649" s="85"/>
    </row>
    <row r="1650" spans="1:19" hidden="1">
      <c r="A1650" s="89" t="s">
        <v>3405</v>
      </c>
      <c r="B1650" s="85" t="str">
        <f>IFERROR(VLOOKUP(Proc[[#This Row],[App]],Table2[],3,0),"open")</f>
        <v>ok</v>
      </c>
      <c r="C1650" s="89" t="s">
        <v>369</v>
      </c>
      <c r="D1650" t="s">
        <v>3412</v>
      </c>
      <c r="E1650" t="s">
        <v>3518</v>
      </c>
      <c r="F1650" s="117" t="s">
        <v>3518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85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59</v>
      </c>
      <c r="R1650" s="90" t="s">
        <v>489</v>
      </c>
      <c r="S1650" s="85"/>
    </row>
    <row r="1651" spans="1:19" hidden="1">
      <c r="A1651" s="89" t="s">
        <v>3405</v>
      </c>
      <c r="B1651" s="85" t="str">
        <f>IFERROR(VLOOKUP(Proc[[#This Row],[App]],Table2[],3,0),"open")</f>
        <v>ok</v>
      </c>
      <c r="C1651" s="89" t="s">
        <v>369</v>
      </c>
      <c r="D1651" t="s">
        <v>3413</v>
      </c>
      <c r="E1651" t="s">
        <v>3519</v>
      </c>
      <c r="F1651" s="117" t="s">
        <v>3519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85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59</v>
      </c>
      <c r="R1651" s="90" t="s">
        <v>489</v>
      </c>
      <c r="S1651" s="85"/>
    </row>
    <row r="1652" spans="1:19" hidden="1">
      <c r="A1652" s="89" t="s">
        <v>3405</v>
      </c>
      <c r="B1652" s="85" t="str">
        <f>IFERROR(VLOOKUP(Proc[[#This Row],[App]],Table2[],3,0),"open")</f>
        <v>ok</v>
      </c>
      <c r="C1652" s="89" t="s">
        <v>369</v>
      </c>
      <c r="D1652" t="s">
        <v>3414</v>
      </c>
      <c r="E1652" t="s">
        <v>3516</v>
      </c>
      <c r="F1652" s="117" t="s">
        <v>3516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85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59</v>
      </c>
      <c r="R1652" s="90" t="s">
        <v>489</v>
      </c>
      <c r="S1652" s="85"/>
    </row>
    <row r="1653" spans="1:19" hidden="1">
      <c r="A1653" s="89" t="s">
        <v>3405</v>
      </c>
      <c r="B1653" s="85" t="str">
        <f>IFERROR(VLOOKUP(Proc[[#This Row],[App]],Table2[],3,0),"open")</f>
        <v>ok</v>
      </c>
      <c r="C1653" s="89" t="s">
        <v>369</v>
      </c>
      <c r="D1653" t="s">
        <v>3415</v>
      </c>
      <c r="E1653" t="s">
        <v>3520</v>
      </c>
      <c r="F1653" s="117" t="s">
        <v>3520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85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59</v>
      </c>
      <c r="R1653" s="90" t="s">
        <v>489</v>
      </c>
      <c r="S1653" s="85"/>
    </row>
    <row r="1654" spans="1:19" hidden="1">
      <c r="A1654" s="89" t="s">
        <v>3405</v>
      </c>
      <c r="B1654" s="85" t="str">
        <f>IFERROR(VLOOKUP(Proc[[#This Row],[App]],Table2[],3,0),"open")</f>
        <v>ok</v>
      </c>
      <c r="C1654" s="89" t="s">
        <v>369</v>
      </c>
      <c r="D1654" t="s">
        <v>3416</v>
      </c>
      <c r="E1654" t="s">
        <v>3521</v>
      </c>
      <c r="F1654" s="117" t="s">
        <v>3521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85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59</v>
      </c>
      <c r="R1654" s="90" t="s">
        <v>489</v>
      </c>
      <c r="S1654" s="85"/>
    </row>
    <row r="1655" spans="1:19" hidden="1">
      <c r="A1655" s="89" t="s">
        <v>3405</v>
      </c>
      <c r="B1655" s="85" t="str">
        <f>IFERROR(VLOOKUP(Proc[[#This Row],[App]],Table2[],3,0),"open")</f>
        <v>ok</v>
      </c>
      <c r="C1655" s="89" t="s">
        <v>369</v>
      </c>
      <c r="D1655" t="s">
        <v>3417</v>
      </c>
      <c r="E1655" t="s">
        <v>3521</v>
      </c>
      <c r="F1655" s="117" t="s">
        <v>3521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85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59</v>
      </c>
      <c r="R1655" s="90" t="s">
        <v>489</v>
      </c>
      <c r="S1655" s="85"/>
    </row>
    <row r="1656" spans="1:19" hidden="1">
      <c r="A1656" s="89" t="s">
        <v>3405</v>
      </c>
      <c r="B1656" s="85" t="str">
        <f>IFERROR(VLOOKUP(Proc[[#This Row],[App]],Table2[],3,0),"open")</f>
        <v>ok</v>
      </c>
      <c r="C1656" s="89" t="s">
        <v>369</v>
      </c>
      <c r="D1656" t="s">
        <v>3418</v>
      </c>
      <c r="E1656" t="s">
        <v>3522</v>
      </c>
      <c r="F1656" s="117" t="s">
        <v>3522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85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59</v>
      </c>
      <c r="R1656" s="90" t="s">
        <v>489</v>
      </c>
      <c r="S1656" s="85"/>
    </row>
    <row r="1657" spans="1:19" hidden="1">
      <c r="A1657" s="89" t="s">
        <v>3405</v>
      </c>
      <c r="B1657" s="85" t="str">
        <f>IFERROR(VLOOKUP(Proc[[#This Row],[App]],Table2[],3,0),"open")</f>
        <v>ok</v>
      </c>
      <c r="C1657" s="89" t="s">
        <v>369</v>
      </c>
      <c r="D1657" t="s">
        <v>3419</v>
      </c>
      <c r="E1657" t="s">
        <v>3516</v>
      </c>
      <c r="F1657" s="117" t="s">
        <v>3516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85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59</v>
      </c>
      <c r="R1657" s="90" t="s">
        <v>489</v>
      </c>
      <c r="S1657" s="85"/>
    </row>
    <row r="1658" spans="1:19" hidden="1">
      <c r="A1658" s="89" t="s">
        <v>3405</v>
      </c>
      <c r="B1658" s="85" t="str">
        <f>IFERROR(VLOOKUP(Proc[[#This Row],[App]],Table2[],3,0),"open")</f>
        <v>ok</v>
      </c>
      <c r="C1658" s="89" t="s">
        <v>369</v>
      </c>
      <c r="D1658" t="s">
        <v>3420</v>
      </c>
      <c r="E1658" t="s">
        <v>3523</v>
      </c>
      <c r="F1658" s="117" t="s">
        <v>3523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85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59</v>
      </c>
      <c r="R1658" s="90" t="s">
        <v>489</v>
      </c>
      <c r="S1658" s="85"/>
    </row>
    <row r="1659" spans="1:19" hidden="1">
      <c r="A1659" s="89" t="s">
        <v>3405</v>
      </c>
      <c r="B1659" s="85" t="str">
        <f>IFERROR(VLOOKUP(Proc[[#This Row],[App]],Table2[],3,0),"open")</f>
        <v>ok</v>
      </c>
      <c r="C1659" s="89" t="s">
        <v>369</v>
      </c>
      <c r="D1659" t="s">
        <v>3421</v>
      </c>
      <c r="E1659" t="s">
        <v>3516</v>
      </c>
      <c r="F1659" s="117" t="s">
        <v>3516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85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59</v>
      </c>
      <c r="R1659" s="90" t="s">
        <v>489</v>
      </c>
      <c r="S1659" s="85"/>
    </row>
    <row r="1660" spans="1:19" hidden="1">
      <c r="A1660" s="89" t="s">
        <v>3405</v>
      </c>
      <c r="B1660" s="85" t="str">
        <f>IFERROR(VLOOKUP(Proc[[#This Row],[App]],Table2[],3,0),"open")</f>
        <v>ok</v>
      </c>
      <c r="C1660" s="89" t="s">
        <v>369</v>
      </c>
      <c r="D1660" t="s">
        <v>3422</v>
      </c>
      <c r="E1660" t="s">
        <v>3516</v>
      </c>
      <c r="F1660" s="117" t="s">
        <v>3516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85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59</v>
      </c>
      <c r="R1660" s="90" t="s">
        <v>489</v>
      </c>
      <c r="S1660" s="85"/>
    </row>
    <row r="1661" spans="1:19" hidden="1">
      <c r="A1661" s="89" t="s">
        <v>3405</v>
      </c>
      <c r="B1661" s="85" t="str">
        <f>IFERROR(VLOOKUP(Proc[[#This Row],[App]],Table2[],3,0),"open")</f>
        <v>ok</v>
      </c>
      <c r="C1661" s="89" t="s">
        <v>369</v>
      </c>
      <c r="D1661" t="s">
        <v>3423</v>
      </c>
      <c r="E1661" t="s">
        <v>3524</v>
      </c>
      <c r="F1661" s="117" t="s">
        <v>3524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85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59</v>
      </c>
      <c r="R1661" s="90" t="s">
        <v>489</v>
      </c>
      <c r="S1661" s="85"/>
    </row>
    <row r="1662" spans="1:19" hidden="1">
      <c r="A1662" s="89" t="s">
        <v>3405</v>
      </c>
      <c r="B1662" s="85" t="str">
        <f>IFERROR(VLOOKUP(Proc[[#This Row],[App]],Table2[],3,0),"open")</f>
        <v>ok</v>
      </c>
      <c r="C1662" s="89" t="s">
        <v>369</v>
      </c>
      <c r="D1662" t="s">
        <v>3424</v>
      </c>
      <c r="E1662" t="s">
        <v>3525</v>
      </c>
      <c r="F1662" s="117" t="s">
        <v>3525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85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59</v>
      </c>
      <c r="R1662" s="90" t="s">
        <v>489</v>
      </c>
      <c r="S1662" s="85"/>
    </row>
    <row r="1663" spans="1:19" hidden="1">
      <c r="A1663" s="89" t="s">
        <v>3405</v>
      </c>
      <c r="B1663" s="85" t="str">
        <f>IFERROR(VLOOKUP(Proc[[#This Row],[App]],Table2[],3,0),"open")</f>
        <v>ok</v>
      </c>
      <c r="C1663" s="89" t="s">
        <v>369</v>
      </c>
      <c r="D1663" t="s">
        <v>3425</v>
      </c>
      <c r="E1663" t="s">
        <v>3516</v>
      </c>
      <c r="F1663" s="117" t="s">
        <v>3516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85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59</v>
      </c>
      <c r="R1663" s="90" t="s">
        <v>489</v>
      </c>
      <c r="S1663" s="85"/>
    </row>
    <row r="1664" spans="1:19" hidden="1">
      <c r="A1664" s="89" t="s">
        <v>3405</v>
      </c>
      <c r="B1664" s="85" t="str">
        <f>IFERROR(VLOOKUP(Proc[[#This Row],[App]],Table2[],3,0),"open")</f>
        <v>ok</v>
      </c>
      <c r="C1664" s="89" t="s">
        <v>369</v>
      </c>
      <c r="D1664" t="s">
        <v>3426</v>
      </c>
      <c r="E1664" t="s">
        <v>3516</v>
      </c>
      <c r="F1664" s="117" t="s">
        <v>3516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85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59</v>
      </c>
      <c r="R1664" s="90" t="s">
        <v>489</v>
      </c>
      <c r="S1664" s="85"/>
    </row>
    <row r="1665" spans="1:19" hidden="1">
      <c r="A1665" s="89" t="s">
        <v>3405</v>
      </c>
      <c r="B1665" s="85" t="str">
        <f>IFERROR(VLOOKUP(Proc[[#This Row],[App]],Table2[],3,0),"open")</f>
        <v>ok</v>
      </c>
      <c r="C1665" s="89" t="s">
        <v>369</v>
      </c>
      <c r="D1665" t="s">
        <v>3427</v>
      </c>
      <c r="E1665" t="s">
        <v>3516</v>
      </c>
      <c r="F1665" s="117" t="s">
        <v>3516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85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59</v>
      </c>
      <c r="R1665" s="90" t="s">
        <v>489</v>
      </c>
      <c r="S1665" s="85"/>
    </row>
    <row r="1666" spans="1:19" hidden="1">
      <c r="A1666" s="89" t="s">
        <v>3405</v>
      </c>
      <c r="B1666" s="85" t="str">
        <f>IFERROR(VLOOKUP(Proc[[#This Row],[App]],Table2[],3,0),"open")</f>
        <v>ok</v>
      </c>
      <c r="C1666" s="89" t="s">
        <v>369</v>
      </c>
      <c r="D1666" t="s">
        <v>3428</v>
      </c>
      <c r="E1666" t="s">
        <v>3526</v>
      </c>
      <c r="F1666" s="117" t="s">
        <v>3526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85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59</v>
      </c>
      <c r="R1666" s="90" t="s">
        <v>489</v>
      </c>
      <c r="S1666" s="85"/>
    </row>
    <row r="1667" spans="1:19" hidden="1">
      <c r="A1667" s="89" t="s">
        <v>3405</v>
      </c>
      <c r="B1667" s="85" t="str">
        <f>IFERROR(VLOOKUP(Proc[[#This Row],[App]],Table2[],3,0),"open")</f>
        <v>ok</v>
      </c>
      <c r="C1667" s="89" t="s">
        <v>369</v>
      </c>
      <c r="D1667" t="s">
        <v>3429</v>
      </c>
      <c r="E1667" t="s">
        <v>3516</v>
      </c>
      <c r="F1667" s="117" t="s">
        <v>3516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85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59</v>
      </c>
      <c r="R1667" s="90" t="s">
        <v>489</v>
      </c>
      <c r="S1667" s="85"/>
    </row>
    <row r="1668" spans="1:19" hidden="1">
      <c r="A1668" s="89" t="s">
        <v>3405</v>
      </c>
      <c r="B1668" s="85" t="str">
        <f>IFERROR(VLOOKUP(Proc[[#This Row],[App]],Table2[],3,0),"open")</f>
        <v>ok</v>
      </c>
      <c r="C1668" s="89" t="s">
        <v>369</v>
      </c>
      <c r="D1668" t="s">
        <v>3430</v>
      </c>
      <c r="E1668" t="s">
        <v>3527</v>
      </c>
      <c r="F1668" s="117" t="s">
        <v>3527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85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59</v>
      </c>
      <c r="R1668" s="90" t="s">
        <v>489</v>
      </c>
      <c r="S1668" s="85"/>
    </row>
    <row r="1669" spans="1:19" hidden="1">
      <c r="A1669" s="89" t="s">
        <v>3405</v>
      </c>
      <c r="B1669" s="85" t="str">
        <f>IFERROR(VLOOKUP(Proc[[#This Row],[App]],Table2[],3,0),"open")</f>
        <v>ok</v>
      </c>
      <c r="C1669" s="89" t="s">
        <v>369</v>
      </c>
      <c r="D1669" t="s">
        <v>3190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85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3405</v>
      </c>
      <c r="B1670" s="85" t="str">
        <f>IFERROR(VLOOKUP(Proc[[#This Row],[App]],Table2[],3,0),"open")</f>
        <v>ok</v>
      </c>
      <c r="C1670" s="89" t="s">
        <v>369</v>
      </c>
      <c r="D1670" t="s">
        <v>3431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3559</v>
      </c>
      <c r="J1670" s="85" t="b">
        <f>Proc[[#This Row],[Requested]]=Proc[[#This Row],[CurrentParent]]</f>
        <v>1</v>
      </c>
      <c r="K1670" s="85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3405</v>
      </c>
      <c r="B1671" s="85" t="str">
        <f>IFERROR(VLOOKUP(Proc[[#This Row],[App]],Table2[],3,0),"open")</f>
        <v>ok</v>
      </c>
      <c r="C1671" s="89" t="s">
        <v>369</v>
      </c>
      <c r="D1671" t="s">
        <v>3432</v>
      </c>
      <c r="E1671" t="s">
        <v>3526</v>
      </c>
      <c r="F1671" s="117" t="s">
        <v>3526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3559</v>
      </c>
      <c r="J1671" s="85" t="b">
        <f>Proc[[#This Row],[Requested]]=Proc[[#This Row],[CurrentParent]]</f>
        <v>1</v>
      </c>
      <c r="K1671" s="85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3405</v>
      </c>
      <c r="B1672" s="85" t="str">
        <f>IFERROR(VLOOKUP(Proc[[#This Row],[App]],Table2[],3,0),"open")</f>
        <v>ok</v>
      </c>
      <c r="C1672" s="89" t="s">
        <v>369</v>
      </c>
      <c r="D1672" t="s">
        <v>3433</v>
      </c>
      <c r="E1672" t="s">
        <v>3528</v>
      </c>
      <c r="F1672" s="117" t="s">
        <v>3528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3559</v>
      </c>
      <c r="J1672" s="85" t="b">
        <f>Proc[[#This Row],[Requested]]=Proc[[#This Row],[CurrentParent]]</f>
        <v>1</v>
      </c>
      <c r="K1672" s="85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3405</v>
      </c>
      <c r="B1673" s="85" t="str">
        <f>IFERROR(VLOOKUP(Proc[[#This Row],[App]],Table2[],3,0),"open")</f>
        <v>ok</v>
      </c>
      <c r="C1673" s="89" t="s">
        <v>369</v>
      </c>
      <c r="D1673" t="s">
        <v>3434</v>
      </c>
      <c r="E1673" t="s">
        <v>3529</v>
      </c>
      <c r="F1673" s="117" t="s">
        <v>3529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3559</v>
      </c>
      <c r="J1673" s="85" t="b">
        <f>Proc[[#This Row],[Requested]]=Proc[[#This Row],[CurrentParent]]</f>
        <v>1</v>
      </c>
      <c r="K1673" s="85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3405</v>
      </c>
      <c r="B1674" s="85" t="str">
        <f>IFERROR(VLOOKUP(Proc[[#This Row],[App]],Table2[],3,0),"open")</f>
        <v>ok</v>
      </c>
      <c r="C1674" s="89" t="s">
        <v>369</v>
      </c>
      <c r="D1674" t="s">
        <v>3435</v>
      </c>
      <c r="E1674" t="s">
        <v>3530</v>
      </c>
      <c r="F1674" s="117" t="s">
        <v>3530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3559</v>
      </c>
      <c r="J1674" s="85" t="b">
        <f>Proc[[#This Row],[Requested]]=Proc[[#This Row],[CurrentParent]]</f>
        <v>1</v>
      </c>
      <c r="K1674" s="85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3405</v>
      </c>
      <c r="B1675" s="85" t="str">
        <f>IFERROR(VLOOKUP(Proc[[#This Row],[App]],Table2[],3,0),"open")</f>
        <v>ok</v>
      </c>
      <c r="C1675" s="89" t="s">
        <v>369</v>
      </c>
      <c r="D1675" t="s">
        <v>3436</v>
      </c>
      <c r="E1675" t="s">
        <v>3517</v>
      </c>
      <c r="F1675" s="117" t="s">
        <v>3517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3559</v>
      </c>
      <c r="J1675" s="85" t="b">
        <f>Proc[[#This Row],[Requested]]=Proc[[#This Row],[CurrentParent]]</f>
        <v>1</v>
      </c>
      <c r="K1675" s="85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3405</v>
      </c>
      <c r="B1676" s="85" t="str">
        <f>IFERROR(VLOOKUP(Proc[[#This Row],[App]],Table2[],3,0),"open")</f>
        <v>ok</v>
      </c>
      <c r="C1676" s="89" t="s">
        <v>369</v>
      </c>
      <c r="D1676" t="s">
        <v>3437</v>
      </c>
      <c r="E1676" t="s">
        <v>3531</v>
      </c>
      <c r="F1676" s="117" t="s">
        <v>3531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3559</v>
      </c>
      <c r="J1676" s="85" t="b">
        <f>Proc[[#This Row],[Requested]]=Proc[[#This Row],[CurrentParent]]</f>
        <v>1</v>
      </c>
      <c r="K1676" s="85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3405</v>
      </c>
      <c r="B1677" s="85" t="str">
        <f>IFERROR(VLOOKUP(Proc[[#This Row],[App]],Table2[],3,0),"open")</f>
        <v>ok</v>
      </c>
      <c r="C1677" s="89" t="s">
        <v>369</v>
      </c>
      <c r="D1677" t="s">
        <v>3438</v>
      </c>
      <c r="E1677" t="s">
        <v>3532</v>
      </c>
      <c r="F1677" s="117" t="s">
        <v>3532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3559</v>
      </c>
      <c r="J1677" s="85" t="b">
        <f>Proc[[#This Row],[Requested]]=Proc[[#This Row],[CurrentParent]]</f>
        <v>1</v>
      </c>
      <c r="K1677" s="85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3405</v>
      </c>
      <c r="B1678" s="85" t="str">
        <f>IFERROR(VLOOKUP(Proc[[#This Row],[App]],Table2[],3,0),"open")</f>
        <v>ok</v>
      </c>
      <c r="C1678" s="89" t="s">
        <v>369</v>
      </c>
      <c r="D1678" t="s">
        <v>3439</v>
      </c>
      <c r="E1678" t="s">
        <v>3533</v>
      </c>
      <c r="F1678" s="117" t="s">
        <v>3533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3559</v>
      </c>
      <c r="J1678" s="85" t="b">
        <f>Proc[[#This Row],[Requested]]=Proc[[#This Row],[CurrentParent]]</f>
        <v>1</v>
      </c>
      <c r="K1678" s="85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3405</v>
      </c>
      <c r="B1679" s="85" t="str">
        <f>IFERROR(VLOOKUP(Proc[[#This Row],[App]],Table2[],3,0),"open")</f>
        <v>ok</v>
      </c>
      <c r="C1679" s="89" t="s">
        <v>369</v>
      </c>
      <c r="D1679" t="s">
        <v>3440</v>
      </c>
      <c r="E1679" t="s">
        <v>3527</v>
      </c>
      <c r="F1679" s="117" t="s">
        <v>3527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3559</v>
      </c>
      <c r="J1679" s="85" t="b">
        <f>Proc[[#This Row],[Requested]]=Proc[[#This Row],[CurrentParent]]</f>
        <v>1</v>
      </c>
      <c r="K1679" s="85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3405</v>
      </c>
      <c r="B1680" s="85" t="str">
        <f>IFERROR(VLOOKUP(Proc[[#This Row],[App]],Table2[],3,0),"open")</f>
        <v>ok</v>
      </c>
      <c r="C1680" s="89" t="s">
        <v>369</v>
      </c>
      <c r="D1680" t="s">
        <v>3441</v>
      </c>
      <c r="E1680" t="s">
        <v>3532</v>
      </c>
      <c r="F1680" s="117" t="s">
        <v>3532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3559</v>
      </c>
      <c r="J1680" s="85" t="b">
        <f>Proc[[#This Row],[Requested]]=Proc[[#This Row],[CurrentParent]]</f>
        <v>1</v>
      </c>
      <c r="K1680" s="85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3405</v>
      </c>
      <c r="B1681" s="85" t="str">
        <f>IFERROR(VLOOKUP(Proc[[#This Row],[App]],Table2[],3,0),"open")</f>
        <v>ok</v>
      </c>
      <c r="C1681" s="89" t="s">
        <v>369</v>
      </c>
      <c r="D1681" t="s">
        <v>3442</v>
      </c>
      <c r="E1681" t="s">
        <v>3532</v>
      </c>
      <c r="F1681" s="117" t="s">
        <v>3532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3559</v>
      </c>
      <c r="J1681" s="85" t="b">
        <f>Proc[[#This Row],[Requested]]=Proc[[#This Row],[CurrentParent]]</f>
        <v>1</v>
      </c>
      <c r="K1681" s="85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3405</v>
      </c>
      <c r="B1682" s="85" t="str">
        <f>IFERROR(VLOOKUP(Proc[[#This Row],[App]],Table2[],3,0),"open")</f>
        <v>ok</v>
      </c>
      <c r="C1682" s="89" t="s">
        <v>369</v>
      </c>
      <c r="D1682" t="s">
        <v>3443</v>
      </c>
      <c r="E1682" t="s">
        <v>3527</v>
      </c>
      <c r="F1682" s="117" t="s">
        <v>3527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3559</v>
      </c>
      <c r="J1682" s="85" t="b">
        <f>Proc[[#This Row],[Requested]]=Proc[[#This Row],[CurrentParent]]</f>
        <v>1</v>
      </c>
      <c r="K1682" s="85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3405</v>
      </c>
      <c r="B1683" s="85" t="str">
        <f>IFERROR(VLOOKUP(Proc[[#This Row],[App]],Table2[],3,0),"open")</f>
        <v>ok</v>
      </c>
      <c r="C1683" s="89" t="s">
        <v>369</v>
      </c>
      <c r="D1683" t="s">
        <v>3444</v>
      </c>
      <c r="E1683" t="s">
        <v>3532</v>
      </c>
      <c r="F1683" s="117" t="s">
        <v>3532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3559</v>
      </c>
      <c r="J1683" s="85" t="b">
        <f>Proc[[#This Row],[Requested]]=Proc[[#This Row],[CurrentParent]]</f>
        <v>1</v>
      </c>
      <c r="K1683" s="85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3405</v>
      </c>
      <c r="B1684" s="85" t="str">
        <f>IFERROR(VLOOKUP(Proc[[#This Row],[App]],Table2[],3,0),"open")</f>
        <v>ok</v>
      </c>
      <c r="C1684" s="89" t="s">
        <v>369</v>
      </c>
      <c r="D1684" t="s">
        <v>3445</v>
      </c>
      <c r="E1684" t="s">
        <v>3529</v>
      </c>
      <c r="F1684" s="117" t="s">
        <v>3529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3559</v>
      </c>
      <c r="J1684" s="85" t="b">
        <f>Proc[[#This Row],[Requested]]=Proc[[#This Row],[CurrentParent]]</f>
        <v>1</v>
      </c>
      <c r="K1684" s="85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3405</v>
      </c>
      <c r="B1685" s="85" t="str">
        <f>IFERROR(VLOOKUP(Proc[[#This Row],[App]],Table2[],3,0),"open")</f>
        <v>ok</v>
      </c>
      <c r="C1685" s="89" t="s">
        <v>369</v>
      </c>
      <c r="D1685" t="s">
        <v>3446</v>
      </c>
      <c r="E1685" t="s">
        <v>3528</v>
      </c>
      <c r="F1685" s="117" t="s">
        <v>3528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3559</v>
      </c>
      <c r="J1685" s="85" t="b">
        <f>Proc[[#This Row],[Requested]]=Proc[[#This Row],[CurrentParent]]</f>
        <v>1</v>
      </c>
      <c r="K1685" s="85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3405</v>
      </c>
      <c r="B1686" s="85" t="str">
        <f>IFERROR(VLOOKUP(Proc[[#This Row],[App]],Table2[],3,0),"open")</f>
        <v>ok</v>
      </c>
      <c r="C1686" s="89" t="s">
        <v>369</v>
      </c>
      <c r="D1686" t="s">
        <v>3447</v>
      </c>
      <c r="E1686" t="s">
        <v>3534</v>
      </c>
      <c r="F1686" s="117" t="s">
        <v>3534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3559</v>
      </c>
      <c r="J1686" s="85" t="b">
        <f>Proc[[#This Row],[Requested]]=Proc[[#This Row],[CurrentParent]]</f>
        <v>1</v>
      </c>
      <c r="K1686" s="85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3405</v>
      </c>
      <c r="B1687" s="85" t="str">
        <f>IFERROR(VLOOKUP(Proc[[#This Row],[App]],Table2[],3,0),"open")</f>
        <v>ok</v>
      </c>
      <c r="C1687" s="89" t="s">
        <v>369</v>
      </c>
      <c r="D1687" t="s">
        <v>3448</v>
      </c>
      <c r="E1687" t="s">
        <v>3520</v>
      </c>
      <c r="F1687" s="117" t="s">
        <v>3520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3559</v>
      </c>
      <c r="J1687" s="85" t="b">
        <f>Proc[[#This Row],[Requested]]=Proc[[#This Row],[CurrentParent]]</f>
        <v>1</v>
      </c>
      <c r="K1687" s="85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3405</v>
      </c>
      <c r="B1688" s="85" t="str">
        <f>IFERROR(VLOOKUP(Proc[[#This Row],[App]],Table2[],3,0),"open")</f>
        <v>ok</v>
      </c>
      <c r="C1688" s="89" t="s">
        <v>369</v>
      </c>
      <c r="D1688" t="s">
        <v>3449</v>
      </c>
      <c r="E1688" t="s">
        <v>3535</v>
      </c>
      <c r="F1688" s="117" t="s">
        <v>3535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3559</v>
      </c>
      <c r="J1688" s="85" t="b">
        <f>Proc[[#This Row],[Requested]]=Proc[[#This Row],[CurrentParent]]</f>
        <v>1</v>
      </c>
      <c r="K1688" s="85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3405</v>
      </c>
      <c r="B1689" s="85" t="str">
        <f>IFERROR(VLOOKUP(Proc[[#This Row],[App]],Table2[],3,0),"open")</f>
        <v>ok</v>
      </c>
      <c r="C1689" s="89" t="s">
        <v>369</v>
      </c>
      <c r="D1689" t="s">
        <v>3450</v>
      </c>
      <c r="E1689" t="s">
        <v>3517</v>
      </c>
      <c r="F1689" s="117" t="s">
        <v>3517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3559</v>
      </c>
      <c r="J1689" s="85" t="b">
        <f>Proc[[#This Row],[Requested]]=Proc[[#This Row],[CurrentParent]]</f>
        <v>1</v>
      </c>
      <c r="K1689" s="85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3405</v>
      </c>
      <c r="B1690" s="85" t="str">
        <f>IFERROR(VLOOKUP(Proc[[#This Row],[App]],Table2[],3,0),"open")</f>
        <v>ok</v>
      </c>
      <c r="C1690" s="89" t="s">
        <v>369</v>
      </c>
      <c r="D1690" t="s">
        <v>3451</v>
      </c>
      <c r="E1690" t="s">
        <v>3536</v>
      </c>
      <c r="F1690" s="117" t="s">
        <v>3536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3559</v>
      </c>
      <c r="J1690" s="85" t="b">
        <f>Proc[[#This Row],[Requested]]=Proc[[#This Row],[CurrentParent]]</f>
        <v>1</v>
      </c>
      <c r="K1690" s="85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3405</v>
      </c>
      <c r="B1691" s="85" t="str">
        <f>IFERROR(VLOOKUP(Proc[[#This Row],[App]],Table2[],3,0),"open")</f>
        <v>ok</v>
      </c>
      <c r="C1691" s="89" t="s">
        <v>369</v>
      </c>
      <c r="D1691" t="s">
        <v>3452</v>
      </c>
      <c r="E1691" t="s">
        <v>3536</v>
      </c>
      <c r="F1691" s="117" t="s">
        <v>3536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3559</v>
      </c>
      <c r="J1691" s="85" t="b">
        <f>Proc[[#This Row],[Requested]]=Proc[[#This Row],[CurrentParent]]</f>
        <v>1</v>
      </c>
      <c r="K1691" s="85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3405</v>
      </c>
      <c r="B1692" s="85" t="str">
        <f>IFERROR(VLOOKUP(Proc[[#This Row],[App]],Table2[],3,0),"open")</f>
        <v>ok</v>
      </c>
      <c r="C1692" s="89" t="s">
        <v>369</v>
      </c>
      <c r="D1692" t="s">
        <v>3453</v>
      </c>
      <c r="E1692" t="s">
        <v>3530</v>
      </c>
      <c r="F1692" s="117" t="s">
        <v>3530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3559</v>
      </c>
      <c r="J1692" s="85" t="b">
        <f>Proc[[#This Row],[Requested]]=Proc[[#This Row],[CurrentParent]]</f>
        <v>1</v>
      </c>
      <c r="K1692" s="85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3405</v>
      </c>
      <c r="B1693" s="85" t="str">
        <f>IFERROR(VLOOKUP(Proc[[#This Row],[App]],Table2[],3,0),"open")</f>
        <v>ok</v>
      </c>
      <c r="C1693" s="89" t="s">
        <v>369</v>
      </c>
      <c r="D1693" t="s">
        <v>3454</v>
      </c>
      <c r="E1693" t="s">
        <v>3529</v>
      </c>
      <c r="F1693" s="117" t="s">
        <v>3529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85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59</v>
      </c>
      <c r="R1693" s="90" t="s">
        <v>489</v>
      </c>
      <c r="S1693" s="85"/>
    </row>
    <row r="1694" spans="1:19" hidden="1">
      <c r="A1694" s="89" t="s">
        <v>3405</v>
      </c>
      <c r="B1694" s="85" t="str">
        <f>IFERROR(VLOOKUP(Proc[[#This Row],[App]],Table2[],3,0),"open")</f>
        <v>ok</v>
      </c>
      <c r="C1694" s="89" t="s">
        <v>369</v>
      </c>
      <c r="D1694" t="s">
        <v>3455</v>
      </c>
      <c r="E1694" t="s">
        <v>3518</v>
      </c>
      <c r="F1694" s="117" t="s">
        <v>3518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85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59</v>
      </c>
      <c r="R1694" s="90" t="s">
        <v>489</v>
      </c>
      <c r="S1694" s="85"/>
    </row>
    <row r="1695" spans="1:19" hidden="1">
      <c r="A1695" s="89" t="s">
        <v>3405</v>
      </c>
      <c r="B1695" s="85" t="str">
        <f>IFERROR(VLOOKUP(Proc[[#This Row],[App]],Table2[],3,0),"open")</f>
        <v>ok</v>
      </c>
      <c r="C1695" s="89" t="s">
        <v>369</v>
      </c>
      <c r="D1695" t="s">
        <v>3456</v>
      </c>
      <c r="E1695" t="s">
        <v>3517</v>
      </c>
      <c r="F1695" s="117" t="s">
        <v>3517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85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59</v>
      </c>
      <c r="R1695" s="90" t="s">
        <v>489</v>
      </c>
      <c r="S1695" s="85"/>
    </row>
    <row r="1696" spans="1:19" hidden="1">
      <c r="A1696" s="89" t="s">
        <v>3405</v>
      </c>
      <c r="B1696" s="85" t="str">
        <f>IFERROR(VLOOKUP(Proc[[#This Row],[App]],Table2[],3,0),"open")</f>
        <v>ok</v>
      </c>
      <c r="C1696" s="89" t="s">
        <v>369</v>
      </c>
      <c r="D1696" t="s">
        <v>3457</v>
      </c>
      <c r="E1696" t="s">
        <v>3515</v>
      </c>
      <c r="F1696" s="117" t="s">
        <v>3515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85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59</v>
      </c>
      <c r="R1696" s="90" t="s">
        <v>489</v>
      </c>
      <c r="S1696" s="85"/>
    </row>
    <row r="1697" spans="1:19" hidden="1">
      <c r="A1697" s="89" t="s">
        <v>3405</v>
      </c>
      <c r="B1697" s="85" t="str">
        <f>IFERROR(VLOOKUP(Proc[[#This Row],[App]],Table2[],3,0),"open")</f>
        <v>ok</v>
      </c>
      <c r="C1697" s="89" t="s">
        <v>369</v>
      </c>
      <c r="D1697" t="s">
        <v>3458</v>
      </c>
      <c r="E1697" t="s">
        <v>3532</v>
      </c>
      <c r="F1697" s="117" t="s">
        <v>3532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85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59</v>
      </c>
      <c r="R1697" s="90" t="s">
        <v>489</v>
      </c>
      <c r="S1697" s="85"/>
    </row>
    <row r="1698" spans="1:19" hidden="1">
      <c r="A1698" s="89" t="s">
        <v>3405</v>
      </c>
      <c r="B1698" s="85" t="str">
        <f>IFERROR(VLOOKUP(Proc[[#This Row],[App]],Table2[],3,0),"open")</f>
        <v>ok</v>
      </c>
      <c r="C1698" s="89" t="s">
        <v>369</v>
      </c>
      <c r="D1698" t="s">
        <v>3459</v>
      </c>
      <c r="E1698" t="s">
        <v>3532</v>
      </c>
      <c r="F1698" s="117" t="s">
        <v>3532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85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59</v>
      </c>
      <c r="R1698" s="90" t="s">
        <v>489</v>
      </c>
      <c r="S1698" s="85"/>
    </row>
    <row r="1699" spans="1:19" hidden="1">
      <c r="A1699" s="89" t="s">
        <v>3405</v>
      </c>
      <c r="B1699" s="85" t="str">
        <f>IFERROR(VLOOKUP(Proc[[#This Row],[App]],Table2[],3,0),"open")</f>
        <v>ok</v>
      </c>
      <c r="C1699" s="89" t="s">
        <v>369</v>
      </c>
      <c r="D1699" t="s">
        <v>3460</v>
      </c>
      <c r="E1699" t="s">
        <v>3535</v>
      </c>
      <c r="F1699" s="117" t="s">
        <v>3535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85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59</v>
      </c>
      <c r="R1699" s="90" t="s">
        <v>489</v>
      </c>
      <c r="S1699" s="85"/>
    </row>
    <row r="1700" spans="1:19" hidden="1">
      <c r="A1700" s="89" t="s">
        <v>3405</v>
      </c>
      <c r="B1700" s="85" t="str">
        <f>IFERROR(VLOOKUP(Proc[[#This Row],[App]],Table2[],3,0),"open")</f>
        <v>ok</v>
      </c>
      <c r="C1700" s="89" t="s">
        <v>369</v>
      </c>
      <c r="D1700" t="s">
        <v>3461</v>
      </c>
      <c r="E1700" t="s">
        <v>3517</v>
      </c>
      <c r="F1700" s="117" t="s">
        <v>3517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85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59</v>
      </c>
      <c r="R1700" s="90" t="s">
        <v>489</v>
      </c>
      <c r="S1700" s="85"/>
    </row>
    <row r="1701" spans="1:19" hidden="1">
      <c r="A1701" s="89" t="s">
        <v>3405</v>
      </c>
      <c r="B1701" s="85" t="str">
        <f>IFERROR(VLOOKUP(Proc[[#This Row],[App]],Table2[],3,0),"open")</f>
        <v>ok</v>
      </c>
      <c r="C1701" s="89" t="s">
        <v>369</v>
      </c>
      <c r="D1701" t="s">
        <v>3462</v>
      </c>
      <c r="E1701" t="s">
        <v>3515</v>
      </c>
      <c r="F1701" s="117" t="s">
        <v>3515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85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59</v>
      </c>
      <c r="R1701" s="90" t="s">
        <v>489</v>
      </c>
      <c r="S1701" s="85"/>
    </row>
    <row r="1702" spans="1:19" hidden="1">
      <c r="A1702" s="89" t="s">
        <v>3405</v>
      </c>
      <c r="B1702" s="85" t="str">
        <f>IFERROR(VLOOKUP(Proc[[#This Row],[App]],Table2[],3,0),"open")</f>
        <v>ok</v>
      </c>
      <c r="C1702" s="89" t="s">
        <v>369</v>
      </c>
      <c r="D1702" t="s">
        <v>3463</v>
      </c>
      <c r="E1702" t="s">
        <v>3537</v>
      </c>
      <c r="F1702" s="117" t="s">
        <v>3537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85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59</v>
      </c>
      <c r="R1702" s="90" t="s">
        <v>489</v>
      </c>
      <c r="S1702" s="85"/>
    </row>
    <row r="1703" spans="1:19" hidden="1">
      <c r="A1703" s="89" t="s">
        <v>3405</v>
      </c>
      <c r="B1703" s="85" t="str">
        <f>IFERROR(VLOOKUP(Proc[[#This Row],[App]],Table2[],3,0),"open")</f>
        <v>ok</v>
      </c>
      <c r="C1703" s="89" t="s">
        <v>369</v>
      </c>
      <c r="D1703" t="s">
        <v>3464</v>
      </c>
      <c r="E1703" t="s">
        <v>3516</v>
      </c>
      <c r="F1703" s="117" t="s">
        <v>3516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85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59</v>
      </c>
      <c r="R1703" s="90" t="s">
        <v>489</v>
      </c>
      <c r="S1703" s="85"/>
    </row>
    <row r="1704" spans="1:19" hidden="1">
      <c r="A1704" s="89" t="s">
        <v>3405</v>
      </c>
      <c r="B1704" s="85" t="str">
        <f>IFERROR(VLOOKUP(Proc[[#This Row],[App]],Table2[],3,0),"open")</f>
        <v>ok</v>
      </c>
      <c r="C1704" s="89" t="s">
        <v>369</v>
      </c>
      <c r="D1704" t="s">
        <v>3465</v>
      </c>
      <c r="E1704" t="s">
        <v>3516</v>
      </c>
      <c r="F1704" s="117" t="s">
        <v>3516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85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59</v>
      </c>
      <c r="R1704" s="90" t="s">
        <v>489</v>
      </c>
      <c r="S1704" s="85"/>
    </row>
    <row r="1705" spans="1:19" hidden="1">
      <c r="A1705" s="89" t="s">
        <v>3405</v>
      </c>
      <c r="B1705" s="85" t="str">
        <f>IFERROR(VLOOKUP(Proc[[#This Row],[App]],Table2[],3,0),"open")</f>
        <v>ok</v>
      </c>
      <c r="C1705" s="89" t="s">
        <v>369</v>
      </c>
      <c r="D1705" t="s">
        <v>3466</v>
      </c>
      <c r="E1705" t="s">
        <v>3516</v>
      </c>
      <c r="F1705" s="117" t="s">
        <v>3516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85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59</v>
      </c>
      <c r="R1705" s="90" t="s">
        <v>489</v>
      </c>
      <c r="S1705" s="85"/>
    </row>
    <row r="1706" spans="1:19" hidden="1">
      <c r="A1706" s="89" t="s">
        <v>3405</v>
      </c>
      <c r="B1706" s="85" t="str">
        <f>IFERROR(VLOOKUP(Proc[[#This Row],[App]],Table2[],3,0),"open")</f>
        <v>ok</v>
      </c>
      <c r="C1706" s="89" t="s">
        <v>369</v>
      </c>
      <c r="D1706" t="s">
        <v>3467</v>
      </c>
      <c r="E1706" t="s">
        <v>3530</v>
      </c>
      <c r="F1706" s="117" t="s">
        <v>3530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85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59</v>
      </c>
      <c r="R1706" s="90" t="s">
        <v>489</v>
      </c>
      <c r="S1706" s="85"/>
    </row>
    <row r="1707" spans="1:19" hidden="1">
      <c r="A1707" s="89" t="s">
        <v>3405</v>
      </c>
      <c r="B1707" s="85" t="str">
        <f>IFERROR(VLOOKUP(Proc[[#This Row],[App]],Table2[],3,0),"open")</f>
        <v>ok</v>
      </c>
      <c r="C1707" s="89" t="s">
        <v>369</v>
      </c>
      <c r="D1707" t="s">
        <v>3468</v>
      </c>
      <c r="E1707" t="s">
        <v>3535</v>
      </c>
      <c r="F1707" s="117" t="s">
        <v>3535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85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59</v>
      </c>
      <c r="R1707" s="90" t="s">
        <v>489</v>
      </c>
      <c r="S1707" s="85"/>
    </row>
    <row r="1708" spans="1:19" hidden="1">
      <c r="A1708" s="89" t="s">
        <v>3405</v>
      </c>
      <c r="B1708" s="85" t="str">
        <f>IFERROR(VLOOKUP(Proc[[#This Row],[App]],Table2[],3,0),"open")</f>
        <v>ok</v>
      </c>
      <c r="C1708" s="89" t="s">
        <v>369</v>
      </c>
      <c r="D1708" t="s">
        <v>3469</v>
      </c>
      <c r="E1708" t="s">
        <v>3532</v>
      </c>
      <c r="F1708" s="117" t="s">
        <v>3532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85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59</v>
      </c>
      <c r="R1708" s="90" t="s">
        <v>489</v>
      </c>
      <c r="S1708" s="85"/>
    </row>
    <row r="1709" spans="1:19" hidden="1">
      <c r="A1709" s="89" t="s">
        <v>3405</v>
      </c>
      <c r="B1709" s="85" t="str">
        <f>IFERROR(VLOOKUP(Proc[[#This Row],[App]],Table2[],3,0),"open")</f>
        <v>ok</v>
      </c>
      <c r="C1709" s="89" t="s">
        <v>369</v>
      </c>
      <c r="D1709" t="s">
        <v>3470</v>
      </c>
      <c r="E1709" t="s">
        <v>3538</v>
      </c>
      <c r="F1709" s="117" t="s">
        <v>3538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85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59</v>
      </c>
      <c r="R1709" s="90" t="s">
        <v>489</v>
      </c>
      <c r="S1709" s="85"/>
    </row>
    <row r="1710" spans="1:19" hidden="1">
      <c r="A1710" s="89" t="s">
        <v>3405</v>
      </c>
      <c r="B1710" s="85" t="str">
        <f>IFERROR(VLOOKUP(Proc[[#This Row],[App]],Table2[],3,0),"open")</f>
        <v>ok</v>
      </c>
      <c r="C1710" s="89" t="s">
        <v>369</v>
      </c>
      <c r="D1710" t="s">
        <v>3471</v>
      </c>
      <c r="E1710" t="s">
        <v>3528</v>
      </c>
      <c r="F1710" s="117" t="s">
        <v>3528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85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59</v>
      </c>
      <c r="R1710" s="90" t="s">
        <v>489</v>
      </c>
      <c r="S1710" s="85"/>
    </row>
    <row r="1711" spans="1:19" hidden="1">
      <c r="A1711" s="89" t="s">
        <v>3405</v>
      </c>
      <c r="B1711" s="85" t="str">
        <f>IFERROR(VLOOKUP(Proc[[#This Row],[App]],Table2[],3,0),"open")</f>
        <v>ok</v>
      </c>
      <c r="C1711" s="89" t="s">
        <v>369</v>
      </c>
      <c r="D1711" t="s">
        <v>3472</v>
      </c>
      <c r="E1711" t="s">
        <v>3539</v>
      </c>
      <c r="F1711" s="117" t="s">
        <v>3539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85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59</v>
      </c>
      <c r="R1711" s="90" t="s">
        <v>489</v>
      </c>
      <c r="S1711" s="85"/>
    </row>
    <row r="1712" spans="1:19" hidden="1">
      <c r="A1712" s="89" t="s">
        <v>3405</v>
      </c>
      <c r="B1712" s="85" t="str">
        <f>IFERROR(VLOOKUP(Proc[[#This Row],[App]],Table2[],3,0),"open")</f>
        <v>ok</v>
      </c>
      <c r="C1712" s="89" t="s">
        <v>369</v>
      </c>
      <c r="D1712" t="s">
        <v>2579</v>
      </c>
      <c r="E1712" t="s">
        <v>3540</v>
      </c>
      <c r="F1712" s="117" t="s">
        <v>3540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85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59</v>
      </c>
      <c r="R1712" s="90" t="s">
        <v>489</v>
      </c>
      <c r="S1712" s="85"/>
    </row>
    <row r="1713" spans="1:19" hidden="1">
      <c r="A1713" s="89" t="s">
        <v>3405</v>
      </c>
      <c r="B1713" s="85" t="str">
        <f>IFERROR(VLOOKUP(Proc[[#This Row],[App]],Table2[],3,0),"open")</f>
        <v>ok</v>
      </c>
      <c r="C1713" s="89" t="s">
        <v>369</v>
      </c>
      <c r="D1713" t="s">
        <v>3473</v>
      </c>
      <c r="E1713" t="s">
        <v>3515</v>
      </c>
      <c r="F1713" s="117" t="s">
        <v>3515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85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59</v>
      </c>
      <c r="R1713" s="90" t="s">
        <v>489</v>
      </c>
      <c r="S1713" s="85"/>
    </row>
    <row r="1714" spans="1:19" hidden="1">
      <c r="A1714" s="89" t="s">
        <v>3405</v>
      </c>
      <c r="B1714" s="85" t="str">
        <f>IFERROR(VLOOKUP(Proc[[#This Row],[App]],Table2[],3,0),"open")</f>
        <v>ok</v>
      </c>
      <c r="C1714" s="89" t="s">
        <v>369</v>
      </c>
      <c r="D1714" t="s">
        <v>2580</v>
      </c>
      <c r="E1714" t="s">
        <v>3541</v>
      </c>
      <c r="F1714" s="117" t="s">
        <v>3541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85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59</v>
      </c>
      <c r="R1714" s="90" t="s">
        <v>489</v>
      </c>
      <c r="S1714" s="85"/>
    </row>
    <row r="1715" spans="1:19" hidden="1">
      <c r="A1715" s="89" t="s">
        <v>3405</v>
      </c>
      <c r="B1715" s="85" t="str">
        <f>IFERROR(VLOOKUP(Proc[[#This Row],[App]],Table2[],3,0),"open")</f>
        <v>ok</v>
      </c>
      <c r="C1715" s="89" t="s">
        <v>369</v>
      </c>
      <c r="D1715" t="s">
        <v>3474</v>
      </c>
      <c r="E1715" t="s">
        <v>3521</v>
      </c>
      <c r="F1715" s="117" t="s">
        <v>3521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85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59</v>
      </c>
      <c r="R1715" s="90" t="s">
        <v>489</v>
      </c>
      <c r="S1715" s="85"/>
    </row>
    <row r="1716" spans="1:19" hidden="1">
      <c r="A1716" s="89" t="s">
        <v>3405</v>
      </c>
      <c r="B1716" s="85" t="str">
        <f>IFERROR(VLOOKUP(Proc[[#This Row],[App]],Table2[],3,0),"open")</f>
        <v>ok</v>
      </c>
      <c r="C1716" s="89" t="s">
        <v>369</v>
      </c>
      <c r="D1716" t="s">
        <v>3475</v>
      </c>
      <c r="E1716" t="s">
        <v>3528</v>
      </c>
      <c r="F1716" s="117" t="s">
        <v>3528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85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59</v>
      </c>
      <c r="R1716" s="90" t="s">
        <v>489</v>
      </c>
      <c r="S1716" s="85"/>
    </row>
    <row r="1717" spans="1:19" hidden="1">
      <c r="A1717" s="89" t="s">
        <v>3405</v>
      </c>
      <c r="B1717" s="85" t="str">
        <f>IFERROR(VLOOKUP(Proc[[#This Row],[App]],Table2[],3,0),"open")</f>
        <v>ok</v>
      </c>
      <c r="C1717" s="89" t="s">
        <v>369</v>
      </c>
      <c r="D1717" t="s">
        <v>3476</v>
      </c>
      <c r="E1717" t="s">
        <v>3528</v>
      </c>
      <c r="F1717" s="117" t="s">
        <v>3528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85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59</v>
      </c>
      <c r="R1717" s="90" t="s">
        <v>489</v>
      </c>
      <c r="S1717" s="85"/>
    </row>
    <row r="1718" spans="1:19" hidden="1">
      <c r="A1718" s="89" t="s">
        <v>3405</v>
      </c>
      <c r="B1718" s="85" t="str">
        <f>IFERROR(VLOOKUP(Proc[[#This Row],[App]],Table2[],3,0),"open")</f>
        <v>ok</v>
      </c>
      <c r="C1718" s="89" t="s">
        <v>369</v>
      </c>
      <c r="D1718" t="s">
        <v>3477</v>
      </c>
      <c r="E1718" t="s">
        <v>3517</v>
      </c>
      <c r="F1718" s="117" t="s">
        <v>3517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85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59</v>
      </c>
      <c r="R1718" s="90" t="s">
        <v>489</v>
      </c>
      <c r="S1718" s="85"/>
    </row>
    <row r="1719" spans="1:19" hidden="1">
      <c r="A1719" s="89" t="s">
        <v>3405</v>
      </c>
      <c r="B1719" s="85" t="str">
        <f>IFERROR(VLOOKUP(Proc[[#This Row],[App]],Table2[],3,0),"open")</f>
        <v>ok</v>
      </c>
      <c r="C1719" s="89" t="s">
        <v>369</v>
      </c>
      <c r="D1719" t="s">
        <v>3478</v>
      </c>
      <c r="E1719" t="s">
        <v>3517</v>
      </c>
      <c r="F1719" s="117" t="s">
        <v>3517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85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59</v>
      </c>
      <c r="R1719" s="90" t="s">
        <v>489</v>
      </c>
      <c r="S1719" s="85"/>
    </row>
    <row r="1720" spans="1:19" hidden="1">
      <c r="A1720" s="89" t="s">
        <v>3405</v>
      </c>
      <c r="B1720" s="85" t="str">
        <f>IFERROR(VLOOKUP(Proc[[#This Row],[App]],Table2[],3,0),"open")</f>
        <v>ok</v>
      </c>
      <c r="C1720" s="89" t="s">
        <v>369</v>
      </c>
      <c r="D1720" t="s">
        <v>3479</v>
      </c>
      <c r="E1720" t="s">
        <v>3524</v>
      </c>
      <c r="F1720" s="117" t="s">
        <v>3524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85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59</v>
      </c>
      <c r="R1720" s="90" t="s">
        <v>489</v>
      </c>
      <c r="S1720" s="85"/>
    </row>
    <row r="1721" spans="1:19" hidden="1">
      <c r="A1721" s="89" t="s">
        <v>3405</v>
      </c>
      <c r="B1721" s="85" t="str">
        <f>IFERROR(VLOOKUP(Proc[[#This Row],[App]],Table2[],3,0),"open")</f>
        <v>ok</v>
      </c>
      <c r="C1721" s="89" t="s">
        <v>369</v>
      </c>
      <c r="D1721" t="s">
        <v>3480</v>
      </c>
      <c r="E1721" t="s">
        <v>3537</v>
      </c>
      <c r="F1721" s="117" t="s">
        <v>3537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85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59</v>
      </c>
      <c r="R1721" s="90" t="s">
        <v>489</v>
      </c>
      <c r="S1721" s="85"/>
    </row>
    <row r="1722" spans="1:19" hidden="1">
      <c r="A1722" s="89" t="s">
        <v>3405</v>
      </c>
      <c r="B1722" s="85" t="str">
        <f>IFERROR(VLOOKUP(Proc[[#This Row],[App]],Table2[],3,0),"open")</f>
        <v>ok</v>
      </c>
      <c r="C1722" s="89" t="s">
        <v>369</v>
      </c>
      <c r="D1722" t="s">
        <v>3481</v>
      </c>
      <c r="E1722" t="s">
        <v>3531</v>
      </c>
      <c r="F1722" s="117" t="s">
        <v>3531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85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59</v>
      </c>
      <c r="R1722" s="90" t="s">
        <v>489</v>
      </c>
      <c r="S1722" s="85"/>
    </row>
    <row r="1723" spans="1:19" hidden="1">
      <c r="A1723" s="89" t="s">
        <v>3405</v>
      </c>
      <c r="B1723" s="85" t="str">
        <f>IFERROR(VLOOKUP(Proc[[#This Row],[App]],Table2[],3,0),"open")</f>
        <v>ok</v>
      </c>
      <c r="C1723" s="89" t="s">
        <v>369</v>
      </c>
      <c r="D1723" t="s">
        <v>3482</v>
      </c>
      <c r="E1723" t="s">
        <v>3525</v>
      </c>
      <c r="F1723" s="117" t="s">
        <v>3525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85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59</v>
      </c>
      <c r="R1723" s="90" t="s">
        <v>489</v>
      </c>
      <c r="S1723" s="85"/>
    </row>
    <row r="1724" spans="1:19" hidden="1">
      <c r="A1724" s="89" t="s">
        <v>3405</v>
      </c>
      <c r="B1724" s="85" t="str">
        <f>IFERROR(VLOOKUP(Proc[[#This Row],[App]],Table2[],3,0),"open")</f>
        <v>ok</v>
      </c>
      <c r="C1724" s="89" t="s">
        <v>369</v>
      </c>
      <c r="D1724" t="s">
        <v>3483</v>
      </c>
      <c r="E1724" t="s">
        <v>3531</v>
      </c>
      <c r="F1724" s="117" t="s">
        <v>3531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85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59</v>
      </c>
      <c r="R1724" s="90" t="s">
        <v>489</v>
      </c>
      <c r="S1724" s="85"/>
    </row>
    <row r="1725" spans="1:19" hidden="1">
      <c r="A1725" s="89" t="s">
        <v>3405</v>
      </c>
      <c r="B1725" s="85" t="str">
        <f>IFERROR(VLOOKUP(Proc[[#This Row],[App]],Table2[],3,0),"open")</f>
        <v>ok</v>
      </c>
      <c r="C1725" s="89" t="s">
        <v>369</v>
      </c>
      <c r="D1725" t="s">
        <v>3484</v>
      </c>
      <c r="E1725" t="s">
        <v>3538</v>
      </c>
      <c r="F1725" s="117" t="s">
        <v>3538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85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59</v>
      </c>
      <c r="R1725" s="90" t="s">
        <v>489</v>
      </c>
      <c r="S1725" s="85"/>
    </row>
    <row r="1726" spans="1:19" hidden="1">
      <c r="A1726" s="89" t="s">
        <v>3405</v>
      </c>
      <c r="B1726" s="85" t="str">
        <f>IFERROR(VLOOKUP(Proc[[#This Row],[App]],Table2[],3,0),"open")</f>
        <v>ok</v>
      </c>
      <c r="C1726" s="89" t="s">
        <v>369</v>
      </c>
      <c r="D1726" t="s">
        <v>3485</v>
      </c>
      <c r="E1726" t="s">
        <v>3528</v>
      </c>
      <c r="F1726" s="117" t="s">
        <v>3528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85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59</v>
      </c>
      <c r="R1726" s="90" t="s">
        <v>489</v>
      </c>
      <c r="S1726" s="85"/>
    </row>
    <row r="1727" spans="1:19" hidden="1">
      <c r="A1727" s="89" t="s">
        <v>3405</v>
      </c>
      <c r="B1727" s="85" t="str">
        <f>IFERROR(VLOOKUP(Proc[[#This Row],[App]],Table2[],3,0),"open")</f>
        <v>ok</v>
      </c>
      <c r="C1727" s="89" t="s">
        <v>369</v>
      </c>
      <c r="D1727" t="s">
        <v>3486</v>
      </c>
      <c r="E1727" t="s">
        <v>3542</v>
      </c>
      <c r="F1727" s="117" t="s">
        <v>3542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85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59</v>
      </c>
      <c r="R1727" s="90" t="s">
        <v>489</v>
      </c>
      <c r="S1727" s="85"/>
    </row>
    <row r="1728" spans="1:19" hidden="1">
      <c r="A1728" s="89" t="s">
        <v>3405</v>
      </c>
      <c r="B1728" s="85" t="str">
        <f>IFERROR(VLOOKUP(Proc[[#This Row],[App]],Table2[],3,0),"open")</f>
        <v>ok</v>
      </c>
      <c r="C1728" s="89" t="s">
        <v>369</v>
      </c>
      <c r="D1728" t="s">
        <v>3487</v>
      </c>
      <c r="E1728" t="s">
        <v>3525</v>
      </c>
      <c r="F1728" s="117" t="s">
        <v>3525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85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59</v>
      </c>
      <c r="R1728" s="90" t="s">
        <v>489</v>
      </c>
      <c r="S1728" s="85"/>
    </row>
    <row r="1729" spans="1:19" hidden="1">
      <c r="A1729" s="89" t="s">
        <v>3405</v>
      </c>
      <c r="B1729" s="85" t="str">
        <f>IFERROR(VLOOKUP(Proc[[#This Row],[App]],Table2[],3,0),"open")</f>
        <v>ok</v>
      </c>
      <c r="C1729" s="89" t="s">
        <v>369</v>
      </c>
      <c r="D1729" t="s">
        <v>3488</v>
      </c>
      <c r="E1729" t="s">
        <v>3515</v>
      </c>
      <c r="F1729" s="117" t="s">
        <v>3515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85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59</v>
      </c>
      <c r="R1729" s="90" t="s">
        <v>489</v>
      </c>
      <c r="S1729" s="85"/>
    </row>
    <row r="1730" spans="1:19" hidden="1">
      <c r="A1730" s="89" t="s">
        <v>3405</v>
      </c>
      <c r="B1730" s="85" t="str">
        <f>IFERROR(VLOOKUP(Proc[[#This Row],[App]],Table2[],3,0),"open")</f>
        <v>ok</v>
      </c>
      <c r="C1730" s="89" t="s">
        <v>369</v>
      </c>
      <c r="D1730" t="s">
        <v>3489</v>
      </c>
      <c r="E1730" t="s">
        <v>3517</v>
      </c>
      <c r="F1730" s="117" t="s">
        <v>3517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85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59</v>
      </c>
      <c r="R1730" s="90" t="s">
        <v>489</v>
      </c>
      <c r="S1730" s="85"/>
    </row>
    <row r="1731" spans="1:19" hidden="1">
      <c r="A1731" s="89" t="s">
        <v>3405</v>
      </c>
      <c r="B1731" s="85" t="str">
        <f>IFERROR(VLOOKUP(Proc[[#This Row],[App]],Table2[],3,0),"open")</f>
        <v>ok</v>
      </c>
      <c r="C1731" s="89" t="s">
        <v>369</v>
      </c>
      <c r="D1731" t="s">
        <v>3490</v>
      </c>
      <c r="E1731" t="s">
        <v>3531</v>
      </c>
      <c r="F1731" s="117" t="s">
        <v>3531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85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59</v>
      </c>
      <c r="R1731" s="90" t="s">
        <v>489</v>
      </c>
      <c r="S1731" s="85"/>
    </row>
    <row r="1732" spans="1:19" hidden="1">
      <c r="A1732" s="89" t="s">
        <v>3405</v>
      </c>
      <c r="B1732" s="85" t="str">
        <f>IFERROR(VLOOKUP(Proc[[#This Row],[App]],Table2[],3,0),"open")</f>
        <v>ok</v>
      </c>
      <c r="C1732" s="89" t="s">
        <v>369</v>
      </c>
      <c r="D1732" t="s">
        <v>3491</v>
      </c>
      <c r="E1732" t="s">
        <v>3524</v>
      </c>
      <c r="F1732" s="117" t="s">
        <v>3524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85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59</v>
      </c>
      <c r="R1732" s="90" t="s">
        <v>489</v>
      </c>
      <c r="S1732" s="85"/>
    </row>
    <row r="1733" spans="1:19" hidden="1">
      <c r="A1733" s="89" t="s">
        <v>3405</v>
      </c>
      <c r="B1733" s="85" t="str">
        <f>IFERROR(VLOOKUP(Proc[[#This Row],[App]],Table2[],3,0),"open")</f>
        <v>ok</v>
      </c>
      <c r="C1733" s="89" t="s">
        <v>369</v>
      </c>
      <c r="D1733" t="s">
        <v>3492</v>
      </c>
      <c r="E1733" t="s">
        <v>3528</v>
      </c>
      <c r="F1733" s="117" t="s">
        <v>3528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85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59</v>
      </c>
      <c r="R1733" s="90" t="s">
        <v>489</v>
      </c>
      <c r="S1733" s="85"/>
    </row>
    <row r="1734" spans="1:19" hidden="1">
      <c r="A1734" s="89" t="s">
        <v>3405</v>
      </c>
      <c r="B1734" s="85" t="str">
        <f>IFERROR(VLOOKUP(Proc[[#This Row],[App]],Table2[],3,0),"open")</f>
        <v>ok</v>
      </c>
      <c r="C1734" s="89" t="s">
        <v>369</v>
      </c>
      <c r="D1734" t="s">
        <v>3493</v>
      </c>
      <c r="E1734" t="s">
        <v>3517</v>
      </c>
      <c r="F1734" s="117" t="s">
        <v>3517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85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59</v>
      </c>
      <c r="R1734" s="90" t="s">
        <v>489</v>
      </c>
      <c r="S1734" s="85"/>
    </row>
    <row r="1735" spans="1:19" hidden="1">
      <c r="A1735" s="89" t="s">
        <v>3405</v>
      </c>
      <c r="B1735" s="85" t="str">
        <f>IFERROR(VLOOKUP(Proc[[#This Row],[App]],Table2[],3,0),"open")</f>
        <v>ok</v>
      </c>
      <c r="C1735" s="89" t="s">
        <v>369</v>
      </c>
      <c r="D1735" t="s">
        <v>3494</v>
      </c>
      <c r="E1735" t="s">
        <v>3543</v>
      </c>
      <c r="F1735" s="117" t="s">
        <v>3543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85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59</v>
      </c>
      <c r="R1735" s="90" t="s">
        <v>489</v>
      </c>
      <c r="S1735" s="85"/>
    </row>
    <row r="1736" spans="1:19" hidden="1">
      <c r="A1736" s="89" t="s">
        <v>3405</v>
      </c>
      <c r="B1736" s="85" t="str">
        <f>IFERROR(VLOOKUP(Proc[[#This Row],[App]],Table2[],3,0),"open")</f>
        <v>ok</v>
      </c>
      <c r="C1736" s="89" t="s">
        <v>369</v>
      </c>
      <c r="D1736" t="s">
        <v>3495</v>
      </c>
      <c r="E1736" t="s">
        <v>3515</v>
      </c>
      <c r="F1736" s="117" t="s">
        <v>3515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85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59</v>
      </c>
      <c r="R1736" s="90" t="s">
        <v>489</v>
      </c>
      <c r="S1736" s="85"/>
    </row>
    <row r="1737" spans="1:19" hidden="1">
      <c r="A1737" s="89" t="s">
        <v>3405</v>
      </c>
      <c r="B1737" s="85" t="str">
        <f>IFERROR(VLOOKUP(Proc[[#This Row],[App]],Table2[],3,0),"open")</f>
        <v>ok</v>
      </c>
      <c r="C1737" s="89" t="s">
        <v>369</v>
      </c>
      <c r="D1737" t="s">
        <v>3496</v>
      </c>
      <c r="E1737" t="s">
        <v>3517</v>
      </c>
      <c r="F1737" s="117" t="s">
        <v>3517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85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59</v>
      </c>
      <c r="R1737" s="90" t="s">
        <v>489</v>
      </c>
      <c r="S1737" s="85"/>
    </row>
    <row r="1738" spans="1:19" hidden="1">
      <c r="A1738" s="89" t="s">
        <v>3405</v>
      </c>
      <c r="B1738" s="85" t="str">
        <f>IFERROR(VLOOKUP(Proc[[#This Row],[App]],Table2[],3,0),"open")</f>
        <v>ok</v>
      </c>
      <c r="C1738" s="89" t="s">
        <v>369</v>
      </c>
      <c r="D1738" t="s">
        <v>3497</v>
      </c>
      <c r="E1738" t="s">
        <v>3524</v>
      </c>
      <c r="F1738" s="117" t="s">
        <v>3524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85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59</v>
      </c>
      <c r="R1738" s="90" t="s">
        <v>489</v>
      </c>
      <c r="S1738" s="85"/>
    </row>
    <row r="1739" spans="1:19" hidden="1">
      <c r="A1739" s="89" t="s">
        <v>3405</v>
      </c>
      <c r="B1739" s="85" t="str">
        <f>IFERROR(VLOOKUP(Proc[[#This Row],[App]],Table2[],3,0),"open")</f>
        <v>ok</v>
      </c>
      <c r="C1739" s="89" t="s">
        <v>369</v>
      </c>
      <c r="D1739" t="s">
        <v>3498</v>
      </c>
      <c r="E1739" t="s">
        <v>3544</v>
      </c>
      <c r="F1739" s="117" t="s">
        <v>3544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85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59</v>
      </c>
      <c r="R1739" s="90" t="s">
        <v>489</v>
      </c>
      <c r="S1739" s="85"/>
    </row>
    <row r="1740" spans="1:19" hidden="1">
      <c r="A1740" s="89" t="s">
        <v>3405</v>
      </c>
      <c r="B1740" s="85" t="str">
        <f>IFERROR(VLOOKUP(Proc[[#This Row],[App]],Table2[],3,0),"open")</f>
        <v>ok</v>
      </c>
      <c r="C1740" s="89" t="s">
        <v>369</v>
      </c>
      <c r="D1740" t="s">
        <v>3499</v>
      </c>
      <c r="E1740" t="s">
        <v>3526</v>
      </c>
      <c r="F1740" s="117" t="s">
        <v>3526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85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59</v>
      </c>
      <c r="R1740" s="90" t="s">
        <v>489</v>
      </c>
      <c r="S1740" s="85"/>
    </row>
    <row r="1741" spans="1:19" hidden="1">
      <c r="A1741" s="89" t="s">
        <v>3405</v>
      </c>
      <c r="B1741" s="85" t="str">
        <f>IFERROR(VLOOKUP(Proc[[#This Row],[App]],Table2[],3,0),"open")</f>
        <v>ok</v>
      </c>
      <c r="C1741" s="89" t="s">
        <v>369</v>
      </c>
      <c r="D1741" t="s">
        <v>3500</v>
      </c>
      <c r="E1741" t="s">
        <v>3532</v>
      </c>
      <c r="F1741" s="117" t="s">
        <v>3532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85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59</v>
      </c>
      <c r="R1741" s="90" t="s">
        <v>489</v>
      </c>
      <c r="S1741" s="85"/>
    </row>
    <row r="1742" spans="1:19" hidden="1">
      <c r="A1742" s="89" t="s">
        <v>3405</v>
      </c>
      <c r="B1742" s="85" t="str">
        <f>IFERROR(VLOOKUP(Proc[[#This Row],[App]],Table2[],3,0),"open")</f>
        <v>ok</v>
      </c>
      <c r="C1742" s="89" t="s">
        <v>369</v>
      </c>
      <c r="D1742" t="s">
        <v>3501</v>
      </c>
      <c r="E1742" t="s">
        <v>3518</v>
      </c>
      <c r="F1742" s="117" t="s">
        <v>3518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85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59</v>
      </c>
      <c r="R1742" s="90" t="s">
        <v>489</v>
      </c>
      <c r="S1742" s="85"/>
    </row>
    <row r="1743" spans="1:19" hidden="1">
      <c r="A1743" s="89" t="s">
        <v>3405</v>
      </c>
      <c r="B1743" s="85" t="str">
        <f>IFERROR(VLOOKUP(Proc[[#This Row],[App]],Table2[],3,0),"open")</f>
        <v>ok</v>
      </c>
      <c r="C1743" s="89" t="s">
        <v>369</v>
      </c>
      <c r="D1743" t="s">
        <v>3502</v>
      </c>
      <c r="E1743" t="s">
        <v>3528</v>
      </c>
      <c r="F1743" s="117" t="s">
        <v>3528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85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59</v>
      </c>
      <c r="R1743" s="90" t="s">
        <v>489</v>
      </c>
      <c r="S1743" s="85"/>
    </row>
    <row r="1744" spans="1:19" hidden="1">
      <c r="A1744" s="89" t="s">
        <v>3405</v>
      </c>
      <c r="B1744" s="85" t="str">
        <f>IFERROR(VLOOKUP(Proc[[#This Row],[App]],Table2[],3,0),"open")</f>
        <v>ok</v>
      </c>
      <c r="C1744" s="89" t="s">
        <v>369</v>
      </c>
      <c r="D1744" t="s">
        <v>3503</v>
      </c>
      <c r="E1744" t="s">
        <v>3545</v>
      </c>
      <c r="F1744" s="117" t="s">
        <v>3545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85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59</v>
      </c>
      <c r="R1744" s="90" t="s">
        <v>489</v>
      </c>
      <c r="S1744" s="85"/>
    </row>
    <row r="1745" spans="1:19" hidden="1">
      <c r="A1745" s="89" t="s">
        <v>3405</v>
      </c>
      <c r="B1745" s="85" t="str">
        <f>IFERROR(VLOOKUP(Proc[[#This Row],[App]],Table2[],3,0),"open")</f>
        <v>ok</v>
      </c>
      <c r="C1745" s="89" t="s">
        <v>369</v>
      </c>
      <c r="D1745" t="s">
        <v>3504</v>
      </c>
      <c r="E1745" t="s">
        <v>3515</v>
      </c>
      <c r="F1745" s="117" t="s">
        <v>3515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85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59</v>
      </c>
      <c r="R1745" s="90" t="s">
        <v>489</v>
      </c>
      <c r="S1745" s="85"/>
    </row>
    <row r="1746" spans="1:19" hidden="1">
      <c r="A1746" s="89" t="s">
        <v>3405</v>
      </c>
      <c r="B1746" s="85" t="str">
        <f>IFERROR(VLOOKUP(Proc[[#This Row],[App]],Table2[],3,0),"open")</f>
        <v>ok</v>
      </c>
      <c r="C1746" s="89" t="s">
        <v>369</v>
      </c>
      <c r="D1746" t="s">
        <v>3505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85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59</v>
      </c>
      <c r="R1746" s="90" t="s">
        <v>489</v>
      </c>
      <c r="S1746" s="85"/>
    </row>
    <row r="1747" spans="1:19" hidden="1">
      <c r="A1747" s="89" t="s">
        <v>3405</v>
      </c>
      <c r="B1747" s="85" t="str">
        <f>IFERROR(VLOOKUP(Proc[[#This Row],[App]],Table2[],3,0),"open")</f>
        <v>ok</v>
      </c>
      <c r="C1747" s="89" t="s">
        <v>369</v>
      </c>
      <c r="D1747" t="s">
        <v>3506</v>
      </c>
      <c r="E1747" t="s">
        <v>3546</v>
      </c>
      <c r="F1747" s="117" t="s">
        <v>3546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85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59</v>
      </c>
      <c r="R1747" s="90" t="s">
        <v>489</v>
      </c>
      <c r="S1747" s="85"/>
    </row>
    <row r="1748" spans="1:19" hidden="1">
      <c r="A1748" s="89" t="s">
        <v>3405</v>
      </c>
      <c r="B1748" s="85" t="str">
        <f>IFERROR(VLOOKUP(Proc[[#This Row],[App]],Table2[],3,0),"open")</f>
        <v>ok</v>
      </c>
      <c r="C1748" s="89" t="s">
        <v>369</v>
      </c>
      <c r="D1748" t="s">
        <v>3507</v>
      </c>
      <c r="E1748" t="s">
        <v>3544</v>
      </c>
      <c r="F1748" s="117" t="s">
        <v>3544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85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59</v>
      </c>
      <c r="R1748" s="90" t="s">
        <v>489</v>
      </c>
      <c r="S1748" s="85"/>
    </row>
    <row r="1749" spans="1:19" hidden="1">
      <c r="A1749" s="89" t="s">
        <v>3405</v>
      </c>
      <c r="B1749" s="85" t="str">
        <f>IFERROR(VLOOKUP(Proc[[#This Row],[App]],Table2[],3,0),"open")</f>
        <v>ok</v>
      </c>
      <c r="C1749" s="89" t="s">
        <v>369</v>
      </c>
      <c r="D1749" t="s">
        <v>3508</v>
      </c>
      <c r="E1749" t="s">
        <v>3516</v>
      </c>
      <c r="F1749" s="117" t="s">
        <v>3516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85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59</v>
      </c>
      <c r="R1749" s="90" t="s">
        <v>489</v>
      </c>
      <c r="S1749" s="85"/>
    </row>
    <row r="1750" spans="1:19" hidden="1">
      <c r="A1750" s="89" t="s">
        <v>3405</v>
      </c>
      <c r="B1750" s="85" t="str">
        <f>IFERROR(VLOOKUP(Proc[[#This Row],[App]],Table2[],3,0),"open")</f>
        <v>ok</v>
      </c>
      <c r="C1750" s="89" t="s">
        <v>369</v>
      </c>
      <c r="D1750" t="s">
        <v>3509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85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59</v>
      </c>
      <c r="R1750" s="90" t="s">
        <v>489</v>
      </c>
      <c r="S1750" s="85"/>
    </row>
    <row r="1751" spans="1:19" hidden="1">
      <c r="A1751" s="89" t="s">
        <v>3405</v>
      </c>
      <c r="B1751" s="85" t="str">
        <f>IFERROR(VLOOKUP(Proc[[#This Row],[App]],Table2[],3,0),"open")</f>
        <v>ok</v>
      </c>
      <c r="C1751" s="89" t="s">
        <v>369</v>
      </c>
      <c r="D1751" t="s">
        <v>3510</v>
      </c>
      <c r="E1751" t="s">
        <v>3542</v>
      </c>
      <c r="F1751" s="117" t="s">
        <v>3542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85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59</v>
      </c>
      <c r="R1751" s="90" t="s">
        <v>489</v>
      </c>
      <c r="S1751" s="85"/>
    </row>
    <row r="1752" spans="1:19" hidden="1">
      <c r="A1752" s="89" t="s">
        <v>3405</v>
      </c>
      <c r="B1752" s="85" t="str">
        <f>IFERROR(VLOOKUP(Proc[[#This Row],[App]],Table2[],3,0),"open")</f>
        <v>ok</v>
      </c>
      <c r="C1752" s="89" t="s">
        <v>369</v>
      </c>
      <c r="D1752" t="s">
        <v>3511</v>
      </c>
      <c r="E1752" t="s">
        <v>3524</v>
      </c>
      <c r="F1752" s="117" t="s">
        <v>3524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85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59</v>
      </c>
      <c r="R1752" s="90" t="s">
        <v>489</v>
      </c>
      <c r="S1752" s="85"/>
    </row>
    <row r="1753" spans="1:19" hidden="1">
      <c r="A1753" s="89" t="s">
        <v>3405</v>
      </c>
      <c r="B1753" s="85" t="str">
        <f>IFERROR(VLOOKUP(Proc[[#This Row],[App]],Table2[],3,0),"open")</f>
        <v>ok</v>
      </c>
      <c r="C1753" s="89" t="s">
        <v>369</v>
      </c>
      <c r="D1753" t="s">
        <v>3512</v>
      </c>
      <c r="E1753" t="s">
        <v>3527</v>
      </c>
      <c r="F1753" s="117" t="s">
        <v>3527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85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59</v>
      </c>
      <c r="R1753" s="90" t="s">
        <v>489</v>
      </c>
      <c r="S1753" s="85"/>
    </row>
    <row r="1754" spans="1:19" hidden="1">
      <c r="A1754" s="89" t="s">
        <v>3405</v>
      </c>
      <c r="B1754" s="85" t="str">
        <f>IFERROR(VLOOKUP(Proc[[#This Row],[App]],Table2[],3,0),"open")</f>
        <v>ok</v>
      </c>
      <c r="C1754" s="89" t="s">
        <v>369</v>
      </c>
      <c r="D1754" t="s">
        <v>3513</v>
      </c>
      <c r="E1754" t="s">
        <v>3547</v>
      </c>
      <c r="F1754" s="117" t="s">
        <v>3547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85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59</v>
      </c>
      <c r="R1754" s="90" t="s">
        <v>489</v>
      </c>
      <c r="S1754" s="85"/>
    </row>
    <row r="1755" spans="1:19" hidden="1">
      <c r="A1755" s="89" t="s">
        <v>3405</v>
      </c>
      <c r="B1755" s="85" t="str">
        <f>IFERROR(VLOOKUP(Proc[[#This Row],[App]],Table2[],3,0),"open")</f>
        <v>ok</v>
      </c>
      <c r="C1755" s="89" t="s">
        <v>369</v>
      </c>
      <c r="D1755" t="s">
        <v>3514</v>
      </c>
      <c r="E1755" t="s">
        <v>3535</v>
      </c>
      <c r="F1755" s="117" t="s">
        <v>3535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85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59</v>
      </c>
      <c r="R1755" s="90" t="s">
        <v>489</v>
      </c>
      <c r="S1755" s="85"/>
    </row>
    <row r="1756" spans="1:19" hidden="1">
      <c r="A1756" t="s">
        <v>3548</v>
      </c>
      <c r="B1756" s="85" t="str">
        <f>IFERROR(VLOOKUP(Proc[[#This Row],[App]],Table2[],3,0),"open")</f>
        <v>ok</v>
      </c>
      <c r="C1756" s="89" t="s">
        <v>369</v>
      </c>
      <c r="D1756" t="s">
        <v>3549</v>
      </c>
      <c r="E1756" t="s">
        <v>3556</v>
      </c>
      <c r="F1756" s="117" t="s">
        <v>3556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3559</v>
      </c>
      <c r="J1756" s="85" t="b">
        <f>Proc[[#This Row],[Requested]]=Proc[[#This Row],[CurrentParent]]</f>
        <v>1</v>
      </c>
      <c r="K1756" s="85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3548</v>
      </c>
      <c r="B1757" s="85" t="str">
        <f>IFERROR(VLOOKUP(Proc[[#This Row],[App]],Table2[],3,0),"open")</f>
        <v>ok</v>
      </c>
      <c r="C1757" s="89" t="s">
        <v>369</v>
      </c>
      <c r="D1757" t="s">
        <v>3550</v>
      </c>
      <c r="E1757" t="s">
        <v>3557</v>
      </c>
      <c r="F1757" s="117" t="s">
        <v>3557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3559</v>
      </c>
      <c r="J1757" s="85" t="b">
        <f>Proc[[#This Row],[Requested]]=Proc[[#This Row],[CurrentParent]]</f>
        <v>1</v>
      </c>
      <c r="K1757" s="85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3548</v>
      </c>
      <c r="B1758" s="85" t="str">
        <f>IFERROR(VLOOKUP(Proc[[#This Row],[App]],Table2[],3,0),"open")</f>
        <v>ok</v>
      </c>
      <c r="C1758" s="89" t="s">
        <v>369</v>
      </c>
      <c r="D1758" t="s">
        <v>3551</v>
      </c>
      <c r="E1758" t="s">
        <v>3557</v>
      </c>
      <c r="F1758" s="117" t="s">
        <v>3557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3559</v>
      </c>
      <c r="J1758" s="85" t="b">
        <f>Proc[[#This Row],[Requested]]=Proc[[#This Row],[CurrentParent]]</f>
        <v>1</v>
      </c>
      <c r="K1758" s="85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3548</v>
      </c>
      <c r="B1759" s="85" t="str">
        <f>IFERROR(VLOOKUP(Proc[[#This Row],[App]],Table2[],3,0),"open")</f>
        <v>ok</v>
      </c>
      <c r="C1759" s="89" t="s">
        <v>369</v>
      </c>
      <c r="D1759" t="s">
        <v>3552</v>
      </c>
      <c r="E1759" t="s">
        <v>3557</v>
      </c>
      <c r="F1759" s="117" t="s">
        <v>3557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85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59</v>
      </c>
      <c r="R1759" s="90" t="s">
        <v>489</v>
      </c>
      <c r="S1759" s="85"/>
    </row>
    <row r="1760" spans="1:19" hidden="1">
      <c r="A1760" s="89" t="s">
        <v>3548</v>
      </c>
      <c r="B1760" s="85" t="str">
        <f>IFERROR(VLOOKUP(Proc[[#This Row],[App]],Table2[],3,0),"open")</f>
        <v>ok</v>
      </c>
      <c r="C1760" s="89" t="s">
        <v>369</v>
      </c>
      <c r="D1760" t="s">
        <v>3553</v>
      </c>
      <c r="E1760" t="s">
        <v>3557</v>
      </c>
      <c r="F1760" s="117" t="s">
        <v>3557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85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59</v>
      </c>
      <c r="R1760" s="90" t="s">
        <v>489</v>
      </c>
      <c r="S1760" s="85"/>
    </row>
    <row r="1761" spans="1:19" hidden="1">
      <c r="A1761" s="89" t="s">
        <v>3548</v>
      </c>
      <c r="B1761" s="85" t="str">
        <f>IFERROR(VLOOKUP(Proc[[#This Row],[App]],Table2[],3,0),"open")</f>
        <v>ok</v>
      </c>
      <c r="C1761" s="89" t="s">
        <v>369</v>
      </c>
      <c r="D1761" t="s">
        <v>3554</v>
      </c>
      <c r="E1761" t="s">
        <v>3556</v>
      </c>
      <c r="F1761" s="117" t="s">
        <v>3556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85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59</v>
      </c>
      <c r="R1761" s="90" t="s">
        <v>489</v>
      </c>
      <c r="S1761" s="85"/>
    </row>
    <row r="1762" spans="1:19" hidden="1">
      <c r="A1762" s="89" t="s">
        <v>3548</v>
      </c>
      <c r="B1762" s="85" t="str">
        <f>IFERROR(VLOOKUP(Proc[[#This Row],[App]],Table2[],3,0),"open")</f>
        <v>ok</v>
      </c>
      <c r="C1762" s="89" t="s">
        <v>369</v>
      </c>
      <c r="D1762" t="s">
        <v>3555</v>
      </c>
      <c r="E1762" t="s">
        <v>3558</v>
      </c>
      <c r="F1762" s="117" t="s">
        <v>3558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85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59</v>
      </c>
      <c r="R1762" s="90" t="s">
        <v>489</v>
      </c>
      <c r="S1762" s="85"/>
    </row>
    <row r="1763" spans="1:19" hidden="1">
      <c r="A1763" t="s">
        <v>3560</v>
      </c>
      <c r="B1763" s="85" t="str">
        <f>IFERROR(VLOOKUP(Proc[[#This Row],[App]],Table2[],3,0),"open")</f>
        <v>ok</v>
      </c>
      <c r="C1763" t="s">
        <v>369</v>
      </c>
      <c r="D1763" t="s">
        <v>3561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85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3560</v>
      </c>
      <c r="B1764" s="85" t="str">
        <f>IFERROR(VLOOKUP(Proc[[#This Row],[App]],Table2[],3,0),"open")</f>
        <v>ok</v>
      </c>
      <c r="C1764" s="89" t="s">
        <v>369</v>
      </c>
      <c r="D1764" t="s">
        <v>3562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85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3560</v>
      </c>
      <c r="B1765" s="85" t="str">
        <f>IFERROR(VLOOKUP(Proc[[#This Row],[App]],Table2[],3,0),"open")</f>
        <v>ok</v>
      </c>
      <c r="C1765" s="89" t="s">
        <v>369</v>
      </c>
      <c r="D1765" t="s">
        <v>3563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85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3560</v>
      </c>
      <c r="B1766" s="85" t="str">
        <f>IFERROR(VLOOKUP(Proc[[#This Row],[App]],Table2[],3,0),"open")</f>
        <v>ok</v>
      </c>
      <c r="C1766" s="89" t="s">
        <v>369</v>
      </c>
      <c r="D1766" t="s">
        <v>3564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85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3560</v>
      </c>
      <c r="B1767" s="85" t="str">
        <f>IFERROR(VLOOKUP(Proc[[#This Row],[App]],Table2[],3,0),"open")</f>
        <v>ok</v>
      </c>
      <c r="C1767" s="89" t="s">
        <v>369</v>
      </c>
      <c r="D1767" t="s">
        <v>3565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85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3560</v>
      </c>
      <c r="B1768" s="85" t="str">
        <f>IFERROR(VLOOKUP(Proc[[#This Row],[App]],Table2[],3,0),"open")</f>
        <v>ok</v>
      </c>
      <c r="C1768" s="89" t="s">
        <v>369</v>
      </c>
      <c r="D1768" t="s">
        <v>3566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85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3560</v>
      </c>
      <c r="B1769" s="85" t="str">
        <f>IFERROR(VLOOKUP(Proc[[#This Row],[App]],Table2[],3,0),"open")</f>
        <v>ok</v>
      </c>
      <c r="C1769" s="89" t="s">
        <v>369</v>
      </c>
      <c r="D1769" t="s">
        <v>3567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85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3560</v>
      </c>
      <c r="B1770" s="85" t="str">
        <f>IFERROR(VLOOKUP(Proc[[#This Row],[App]],Table2[],3,0),"open")</f>
        <v>ok</v>
      </c>
      <c r="C1770" s="89" t="s">
        <v>369</v>
      </c>
      <c r="D1770" t="s">
        <v>3568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85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3569</v>
      </c>
      <c r="B1771" s="85" t="str">
        <f>IFERROR(VLOOKUP(Proc[[#This Row],[App]],Table2[],3,0),"open")</f>
        <v>ok</v>
      </c>
      <c r="C1771" s="89" t="s">
        <v>369</v>
      </c>
      <c r="D1771" t="s">
        <v>3570</v>
      </c>
      <c r="E1771" t="s">
        <v>3571</v>
      </c>
      <c r="F1771" s="117" t="s">
        <v>3571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3594</v>
      </c>
      <c r="J1771" s="85" t="b">
        <f>Proc[[#This Row],[Requested]]=Proc[[#This Row],[CurrentParent]]</f>
        <v>1</v>
      </c>
      <c r="K1771" s="85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3569</v>
      </c>
      <c r="B1772" s="85" t="str">
        <f>IFERROR(VLOOKUP(Proc[[#This Row],[App]],Table2[],3,0),"open")</f>
        <v>ok</v>
      </c>
      <c r="C1772" s="89" t="s">
        <v>369</v>
      </c>
      <c r="D1772" t="s">
        <v>3572</v>
      </c>
      <c r="E1772" t="s">
        <v>3571</v>
      </c>
      <c r="F1772" s="117" t="s">
        <v>3571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85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3569</v>
      </c>
      <c r="B1773" s="85" t="str">
        <f>IFERROR(VLOOKUP(Proc[[#This Row],[App]],Table2[],3,0),"open")</f>
        <v>ok</v>
      </c>
      <c r="C1773" s="89" t="s">
        <v>369</v>
      </c>
      <c r="D1773" t="s">
        <v>3573</v>
      </c>
      <c r="E1773" t="s">
        <v>3571</v>
      </c>
      <c r="F1773" s="117" t="s">
        <v>3571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85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3569</v>
      </c>
      <c r="B1774" s="85" t="str">
        <f>IFERROR(VLOOKUP(Proc[[#This Row],[App]],Table2[],3,0),"open")</f>
        <v>ok</v>
      </c>
      <c r="C1774" s="89" t="s">
        <v>369</v>
      </c>
      <c r="D1774" t="s">
        <v>3574</v>
      </c>
      <c r="E1774" t="s">
        <v>3571</v>
      </c>
      <c r="F1774" s="117" t="s">
        <v>3571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85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3569</v>
      </c>
      <c r="B1775" s="85" t="str">
        <f>IFERROR(VLOOKUP(Proc[[#This Row],[App]],Table2[],3,0),"open")</f>
        <v>ok</v>
      </c>
      <c r="C1775" s="89" t="s">
        <v>369</v>
      </c>
      <c r="D1775" t="s">
        <v>3575</v>
      </c>
      <c r="E1775" t="s">
        <v>3571</v>
      </c>
      <c r="F1775" s="117" t="s">
        <v>3571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85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3576</v>
      </c>
      <c r="B1776" s="85" t="str">
        <f>IFERROR(VLOOKUP(Proc[[#This Row],[App]],Table2[],3,0),"open")</f>
        <v>ok</v>
      </c>
      <c r="C1776" s="89" t="s">
        <v>369</v>
      </c>
      <c r="D1776" t="s">
        <v>3577</v>
      </c>
      <c r="E1776" t="s">
        <v>3578</v>
      </c>
      <c r="F1776" s="117" t="s">
        <v>3578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85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3576</v>
      </c>
      <c r="B1777" s="85" t="str">
        <f>IFERROR(VLOOKUP(Proc[[#This Row],[App]],Table2[],3,0),"open")</f>
        <v>ok</v>
      </c>
      <c r="C1777" s="89" t="s">
        <v>369</v>
      </c>
      <c r="D1777" t="s">
        <v>3579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85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3576</v>
      </c>
      <c r="B1778" s="85" t="str">
        <f>IFERROR(VLOOKUP(Proc[[#This Row],[App]],Table2[],3,0),"open")</f>
        <v>ok</v>
      </c>
      <c r="C1778" s="89" t="s">
        <v>369</v>
      </c>
      <c r="D1778" t="s">
        <v>3580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85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3576</v>
      </c>
      <c r="B1779" s="85" t="str">
        <f>IFERROR(VLOOKUP(Proc[[#This Row],[App]],Table2[],3,0),"open")</f>
        <v>ok</v>
      </c>
      <c r="C1779" s="89" t="s">
        <v>369</v>
      </c>
      <c r="D1779" t="s">
        <v>3581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85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3576</v>
      </c>
      <c r="B1780" s="85" t="str">
        <f>IFERROR(VLOOKUP(Proc[[#This Row],[App]],Table2[],3,0),"open")</f>
        <v>ok</v>
      </c>
      <c r="C1780" s="89" t="s">
        <v>369</v>
      </c>
      <c r="D1780" t="s">
        <v>3582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85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3576</v>
      </c>
      <c r="B1781" s="85" t="str">
        <f>IFERROR(VLOOKUP(Proc[[#This Row],[App]],Table2[],3,0),"open")</f>
        <v>ok</v>
      </c>
      <c r="C1781" s="89" t="s">
        <v>369</v>
      </c>
      <c r="D1781" t="s">
        <v>3583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85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3576</v>
      </c>
      <c r="B1782" s="85" t="str">
        <f>IFERROR(VLOOKUP(Proc[[#This Row],[App]],Table2[],3,0),"open")</f>
        <v>ok</v>
      </c>
      <c r="C1782" s="89" t="s">
        <v>369</v>
      </c>
      <c r="D1782" t="s">
        <v>3584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85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3576</v>
      </c>
      <c r="B1783" s="85" t="str">
        <f>IFERROR(VLOOKUP(Proc[[#This Row],[App]],Table2[],3,0),"open")</f>
        <v>ok</v>
      </c>
      <c r="C1783" s="89" t="s">
        <v>369</v>
      </c>
      <c r="D1783" t="s">
        <v>3585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85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3576</v>
      </c>
      <c r="B1784" s="85" t="str">
        <f>IFERROR(VLOOKUP(Proc[[#This Row],[App]],Table2[],3,0),"open")</f>
        <v>ok</v>
      </c>
      <c r="C1784" s="89" t="s">
        <v>369</v>
      </c>
      <c r="D1784" t="s">
        <v>3586</v>
      </c>
      <c r="E1784" t="s">
        <v>3587</v>
      </c>
      <c r="F1784" s="117" t="s">
        <v>3587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85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3576</v>
      </c>
      <c r="B1785" s="85" t="str">
        <f>IFERROR(VLOOKUP(Proc[[#This Row],[App]],Table2[],3,0),"open")</f>
        <v>ok</v>
      </c>
      <c r="C1785" s="89" t="s">
        <v>369</v>
      </c>
      <c r="D1785" t="s">
        <v>3588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85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3576</v>
      </c>
      <c r="B1786" s="85" t="str">
        <f>IFERROR(VLOOKUP(Proc[[#This Row],[App]],Table2[],3,0),"open")</f>
        <v>ok</v>
      </c>
      <c r="C1786" s="89" t="s">
        <v>369</v>
      </c>
      <c r="D1786" t="s">
        <v>3589</v>
      </c>
      <c r="E1786" t="s">
        <v>3590</v>
      </c>
      <c r="F1786" s="117" t="s">
        <v>3590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85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3576</v>
      </c>
      <c r="B1787" s="85" t="str">
        <f>IFERROR(VLOOKUP(Proc[[#This Row],[App]],Table2[],3,0),"open")</f>
        <v>ok</v>
      </c>
      <c r="C1787" s="89" t="s">
        <v>369</v>
      </c>
      <c r="D1787" t="s">
        <v>3591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85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3576</v>
      </c>
      <c r="B1788" s="85" t="str">
        <f>IFERROR(VLOOKUP(Proc[[#This Row],[App]],Table2[],3,0),"open")</f>
        <v>ok</v>
      </c>
      <c r="C1788" s="89" t="s">
        <v>369</v>
      </c>
      <c r="D1788" t="s">
        <v>3592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85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3576</v>
      </c>
      <c r="B1789" s="85" t="str">
        <f>IFERROR(VLOOKUP(Proc[[#This Row],[App]],Table2[],3,0),"open")</f>
        <v>ok</v>
      </c>
      <c r="C1789" s="89" t="s">
        <v>369</v>
      </c>
      <c r="D1789" t="s">
        <v>3593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85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3600</v>
      </c>
      <c r="B1790" s="85" t="str">
        <f>IFERROR(VLOOKUP(Proc[[#This Row],[App]],Table2[],3,0),"open")</f>
        <v>ok</v>
      </c>
      <c r="C1790" s="89" t="s">
        <v>369</v>
      </c>
      <c r="D1790" t="s">
        <v>3595</v>
      </c>
      <c r="E1790" t="s">
        <v>3598</v>
      </c>
      <c r="F1790" s="117" t="s">
        <v>3598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85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3600</v>
      </c>
      <c r="B1791" s="85" t="str">
        <f>IFERROR(VLOOKUP(Proc[[#This Row],[App]],Table2[],3,0),"open")</f>
        <v>ok</v>
      </c>
      <c r="C1791" s="89" t="s">
        <v>369</v>
      </c>
      <c r="D1791" t="s">
        <v>3596</v>
      </c>
      <c r="E1791" t="s">
        <v>3599</v>
      </c>
      <c r="F1791" s="117" t="s">
        <v>3599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85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3600</v>
      </c>
      <c r="B1792" s="85" t="str">
        <f>IFERROR(VLOOKUP(Proc[[#This Row],[App]],Table2[],3,0),"open")</f>
        <v>ok</v>
      </c>
      <c r="C1792" s="89" t="s">
        <v>369</v>
      </c>
      <c r="D1792" t="s">
        <v>3597</v>
      </c>
      <c r="E1792" t="s">
        <v>3599</v>
      </c>
      <c r="F1792" s="117" t="s">
        <v>3599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85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3601</v>
      </c>
      <c r="B1793" s="85" t="str">
        <f>IFERROR(VLOOKUP(Proc[[#This Row],[App]],Table2[],3,0),"open")</f>
        <v>ok</v>
      </c>
      <c r="C1793" t="s">
        <v>369</v>
      </c>
      <c r="D1793" t="s">
        <v>3602</v>
      </c>
      <c r="E1793" t="s">
        <v>3603</v>
      </c>
      <c r="F1793" s="117" t="s">
        <v>3603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85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3601</v>
      </c>
      <c r="B1794" s="85" t="str">
        <f>IFERROR(VLOOKUP(Proc[[#This Row],[App]],Table2[],3,0),"open")</f>
        <v>ok</v>
      </c>
      <c r="C1794" s="89" t="s">
        <v>369</v>
      </c>
      <c r="D1794" t="s">
        <v>3604</v>
      </c>
      <c r="E1794" t="s">
        <v>3603</v>
      </c>
      <c r="F1794" s="117" t="s">
        <v>3603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85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3601</v>
      </c>
      <c r="B1795" s="85" t="str">
        <f>IFERROR(VLOOKUP(Proc[[#This Row],[App]],Table2[],3,0),"open")</f>
        <v>ok</v>
      </c>
      <c r="C1795" s="89" t="s">
        <v>369</v>
      </c>
      <c r="D1795" t="s">
        <v>3605</v>
      </c>
      <c r="E1795" t="s">
        <v>3603</v>
      </c>
      <c r="F1795" s="117" t="s">
        <v>3603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85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3601</v>
      </c>
      <c r="B1796" s="85" t="str">
        <f>IFERROR(VLOOKUP(Proc[[#This Row],[App]],Table2[],3,0),"open")</f>
        <v>ok</v>
      </c>
      <c r="C1796" s="89" t="s">
        <v>369</v>
      </c>
      <c r="D1796" t="s">
        <v>3606</v>
      </c>
      <c r="E1796" t="s">
        <v>3603</v>
      </c>
      <c r="F1796" s="117" t="s">
        <v>3603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85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3601</v>
      </c>
      <c r="B1797" s="85" t="str">
        <f>IFERROR(VLOOKUP(Proc[[#This Row],[App]],Table2[],3,0),"open")</f>
        <v>ok</v>
      </c>
      <c r="C1797" s="89" t="s">
        <v>369</v>
      </c>
      <c r="D1797" t="s">
        <v>3607</v>
      </c>
      <c r="E1797" t="s">
        <v>3603</v>
      </c>
      <c r="F1797" s="117" t="s">
        <v>3603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85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3601</v>
      </c>
      <c r="B1798" s="85" t="str">
        <f>IFERROR(VLOOKUP(Proc[[#This Row],[App]],Table2[],3,0),"open")</f>
        <v>ok</v>
      </c>
      <c r="C1798" s="89" t="s">
        <v>369</v>
      </c>
      <c r="D1798" t="s">
        <v>3608</v>
      </c>
      <c r="E1798" t="s">
        <v>3603</v>
      </c>
      <c r="F1798" s="117" t="s">
        <v>3603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85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3609</v>
      </c>
      <c r="B1799" s="85" t="str">
        <f>IFERROR(VLOOKUP(Proc[[#This Row],[App]],Table2[],3,0),"open")</f>
        <v>ok</v>
      </c>
      <c r="C1799" s="89" t="s">
        <v>369</v>
      </c>
      <c r="D1799" t="s">
        <v>3610</v>
      </c>
      <c r="E1799" t="s">
        <v>3615</v>
      </c>
      <c r="F1799" s="117" t="s">
        <v>3615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85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3609</v>
      </c>
      <c r="B1800" s="85" t="str">
        <f>IFERROR(VLOOKUP(Proc[[#This Row],[App]],Table2[],3,0),"open")</f>
        <v>ok</v>
      </c>
      <c r="C1800" s="89" t="s">
        <v>369</v>
      </c>
      <c r="D1800" t="s">
        <v>3611</v>
      </c>
      <c r="E1800" t="s">
        <v>3616</v>
      </c>
      <c r="F1800" s="117" t="s">
        <v>3616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85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3609</v>
      </c>
      <c r="B1801" s="85" t="str">
        <f>IFERROR(VLOOKUP(Proc[[#This Row],[App]],Table2[],3,0),"open")</f>
        <v>ok</v>
      </c>
      <c r="C1801" s="89" t="s">
        <v>369</v>
      </c>
      <c r="D1801" t="s">
        <v>3612</v>
      </c>
      <c r="E1801" t="s">
        <v>3617</v>
      </c>
      <c r="F1801" s="117" t="s">
        <v>3617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85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3609</v>
      </c>
      <c r="B1802" s="85" t="str">
        <f>IFERROR(VLOOKUP(Proc[[#This Row],[App]],Table2[],3,0),"open")</f>
        <v>ok</v>
      </c>
      <c r="C1802" s="89" t="s">
        <v>369</v>
      </c>
      <c r="D1802" t="s">
        <v>3613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85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3609</v>
      </c>
      <c r="B1803" s="85" t="str">
        <f>IFERROR(VLOOKUP(Proc[[#This Row],[App]],Table2[],3,0),"open")</f>
        <v>ok</v>
      </c>
      <c r="C1803" s="89" t="s">
        <v>369</v>
      </c>
      <c r="D1803" t="s">
        <v>3614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85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3620</v>
      </c>
      <c r="B1804" s="85" t="str">
        <f>IFERROR(VLOOKUP(Proc[[#This Row],[App]],Table2[],3,0),"open")</f>
        <v>ok</v>
      </c>
      <c r="C1804" s="89" t="s">
        <v>369</v>
      </c>
      <c r="D1804" t="s">
        <v>3618</v>
      </c>
      <c r="E1804" t="s">
        <v>3619</v>
      </c>
      <c r="F1804" s="117" t="s">
        <v>3619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3624</v>
      </c>
      <c r="J1804" s="85" t="b">
        <f>Proc[[#This Row],[Requested]]=Proc[[#This Row],[CurrentParent]]</f>
        <v>1</v>
      </c>
      <c r="K1804" s="85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3621</v>
      </c>
      <c r="B1805" s="85" t="str">
        <f>IFERROR(VLOOKUP(Proc[[#This Row],[App]],Table2[],3,0),"open")</f>
        <v>ok</v>
      </c>
      <c r="C1805" s="89" t="s">
        <v>369</v>
      </c>
      <c r="D1805" t="s">
        <v>3622</v>
      </c>
      <c r="E1805" t="s">
        <v>3623</v>
      </c>
      <c r="F1805" s="117" t="s">
        <v>3623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85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3625</v>
      </c>
      <c r="B1806" s="85" t="str">
        <f>IFERROR(VLOOKUP(Proc[[#This Row],[App]],Table2[],3,0),"open")</f>
        <v>ok</v>
      </c>
      <c r="C1806" t="s">
        <v>369</v>
      </c>
      <c r="D1806" t="s">
        <v>3627</v>
      </c>
      <c r="E1806" t="s">
        <v>3626</v>
      </c>
      <c r="F1806" s="117" t="s">
        <v>3626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85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3628</v>
      </c>
      <c r="B1807" s="85" t="str">
        <f>IFERROR(VLOOKUP(Proc[[#This Row],[App]],Table2[],3,0),"open")</f>
        <v>ok</v>
      </c>
      <c r="C1807" s="93" t="s">
        <v>369</v>
      </c>
      <c r="D1807" s="92" t="s">
        <v>3631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85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3628</v>
      </c>
      <c r="B1808" s="85" t="str">
        <f>IFERROR(VLOOKUP(Proc[[#This Row],[App]],Table2[],3,0),"open")</f>
        <v>ok</v>
      </c>
      <c r="C1808" s="93" t="s">
        <v>369</v>
      </c>
      <c r="D1808" s="92" t="s">
        <v>3632</v>
      </c>
      <c r="E1808" t="s">
        <v>3629</v>
      </c>
      <c r="F1808" s="117" t="s">
        <v>3629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85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3628</v>
      </c>
      <c r="B1809" s="85" t="str">
        <f>IFERROR(VLOOKUP(Proc[[#This Row],[App]],Table2[],3,0),"open")</f>
        <v>ok</v>
      </c>
      <c r="C1809" s="93" t="s">
        <v>369</v>
      </c>
      <c r="D1809" s="92" t="s">
        <v>3633</v>
      </c>
      <c r="E1809" t="s">
        <v>3629</v>
      </c>
      <c r="F1809" s="117" t="s">
        <v>3629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85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3628</v>
      </c>
      <c r="B1810" s="85" t="str">
        <f>IFERROR(VLOOKUP(Proc[[#This Row],[App]],Table2[],3,0),"open")</f>
        <v>ok</v>
      </c>
      <c r="C1810" s="93" t="s">
        <v>369</v>
      </c>
      <c r="D1810" s="92" t="s">
        <v>3634</v>
      </c>
      <c r="E1810" s="92" t="s">
        <v>3629</v>
      </c>
      <c r="F1810" s="117" t="s">
        <v>3629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85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3628</v>
      </c>
      <c r="B1811" s="85" t="str">
        <f>IFERROR(VLOOKUP(Proc[[#This Row],[App]],Table2[],3,0),"open")</f>
        <v>ok</v>
      </c>
      <c r="C1811" s="93" t="s">
        <v>369</v>
      </c>
      <c r="D1811" s="92" t="s">
        <v>3635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85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3628</v>
      </c>
      <c r="B1812" s="85" t="str">
        <f>IFERROR(VLOOKUP(Proc[[#This Row],[App]],Table2[],3,0),"open")</f>
        <v>ok</v>
      </c>
      <c r="C1812" s="93" t="s">
        <v>369</v>
      </c>
      <c r="D1812" s="92" t="s">
        <v>3636</v>
      </c>
      <c r="E1812" t="s">
        <v>3630</v>
      </c>
      <c r="F1812" s="117" t="s">
        <v>3630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85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3639</v>
      </c>
      <c r="B1813" s="94" t="str">
        <f>IFERROR(VLOOKUP(Proc[[#This Row],[App]],Table2[],3,0),"open")</f>
        <v>ok</v>
      </c>
      <c r="C1813" s="93" t="s">
        <v>369</v>
      </c>
      <c r="D1813" s="93" t="s">
        <v>3637</v>
      </c>
      <c r="E1813" t="s">
        <v>3638</v>
      </c>
      <c r="F1813" s="117" t="s">
        <v>3638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9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3640</v>
      </c>
      <c r="S1813" s="94"/>
    </row>
    <row r="1814" spans="1:19" hidden="1">
      <c r="A1814" t="s">
        <v>3641</v>
      </c>
      <c r="B1814" s="94" t="str">
        <f>IFERROR(VLOOKUP(Proc[[#This Row],[App]],Table2[],3,0),"open")</f>
        <v>ok</v>
      </c>
      <c r="C1814" s="93" t="s">
        <v>369</v>
      </c>
      <c r="D1814" t="s">
        <v>3642</v>
      </c>
      <c r="E1814" t="s">
        <v>3740</v>
      </c>
      <c r="F1814" s="117" t="s">
        <v>3740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9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3641</v>
      </c>
      <c r="B1815" s="94" t="str">
        <f>IFERROR(VLOOKUP(Proc[[#This Row],[App]],Table2[],3,0),"open")</f>
        <v>ok</v>
      </c>
      <c r="C1815" s="93" t="s">
        <v>369</v>
      </c>
      <c r="D1815" t="s">
        <v>3643</v>
      </c>
      <c r="E1815" t="s">
        <v>3007</v>
      </c>
      <c r="F1815" s="117" t="s">
        <v>3007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9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3641</v>
      </c>
      <c r="B1816" s="94" t="str">
        <f>IFERROR(VLOOKUP(Proc[[#This Row],[App]],Table2[],3,0),"open")</f>
        <v>ok</v>
      </c>
      <c r="C1816" s="93" t="s">
        <v>369</v>
      </c>
      <c r="D1816" t="s">
        <v>3644</v>
      </c>
      <c r="E1816" t="s">
        <v>3007</v>
      </c>
      <c r="F1816" s="117" t="s">
        <v>3007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9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3641</v>
      </c>
      <c r="B1817" s="94" t="str">
        <f>IFERROR(VLOOKUP(Proc[[#This Row],[App]],Table2[],3,0),"open")</f>
        <v>ok</v>
      </c>
      <c r="C1817" s="93" t="s">
        <v>369</v>
      </c>
      <c r="D1817" t="s">
        <v>3645</v>
      </c>
      <c r="E1817" t="s">
        <v>3007</v>
      </c>
      <c r="F1817" s="117" t="s">
        <v>3007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9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3641</v>
      </c>
      <c r="B1818" s="94" t="str">
        <f>IFERROR(VLOOKUP(Proc[[#This Row],[App]],Table2[],3,0),"open")</f>
        <v>ok</v>
      </c>
      <c r="C1818" s="93" t="s">
        <v>369</v>
      </c>
      <c r="D1818" t="s">
        <v>3646</v>
      </c>
      <c r="E1818" t="s">
        <v>3007</v>
      </c>
      <c r="F1818" s="117" t="s">
        <v>3007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9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3641</v>
      </c>
      <c r="B1819" s="94" t="str">
        <f>IFERROR(VLOOKUP(Proc[[#This Row],[App]],Table2[],3,0),"open")</f>
        <v>ok</v>
      </c>
      <c r="C1819" s="93" t="s">
        <v>369</v>
      </c>
      <c r="D1819" t="s">
        <v>3647</v>
      </c>
      <c r="E1819" t="s">
        <v>3007</v>
      </c>
      <c r="F1819" s="117" t="s">
        <v>3007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9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3641</v>
      </c>
      <c r="B1820" s="94" t="str">
        <f>IFERROR(VLOOKUP(Proc[[#This Row],[App]],Table2[],3,0),"open")</f>
        <v>ok</v>
      </c>
      <c r="C1820" s="93" t="s">
        <v>369</v>
      </c>
      <c r="D1820" t="s">
        <v>3648</v>
      </c>
      <c r="E1820" t="s">
        <v>3007</v>
      </c>
      <c r="F1820" s="117" t="s">
        <v>3007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9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3641</v>
      </c>
      <c r="B1821" s="94" t="str">
        <f>IFERROR(VLOOKUP(Proc[[#This Row],[App]],Table2[],3,0),"open")</f>
        <v>ok</v>
      </c>
      <c r="C1821" s="93" t="s">
        <v>369</v>
      </c>
      <c r="D1821" t="s">
        <v>3649</v>
      </c>
      <c r="E1821" t="s">
        <v>3007</v>
      </c>
      <c r="F1821" s="117" t="s">
        <v>3007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9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3641</v>
      </c>
      <c r="B1822" s="94" t="str">
        <f>IFERROR(VLOOKUP(Proc[[#This Row],[App]],Table2[],3,0),"open")</f>
        <v>ok</v>
      </c>
      <c r="C1822" s="93" t="s">
        <v>369</v>
      </c>
      <c r="D1822" t="s">
        <v>3650</v>
      </c>
      <c r="E1822" t="s">
        <v>3007</v>
      </c>
      <c r="F1822" s="117" t="s">
        <v>3007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9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3641</v>
      </c>
      <c r="B1823" s="94" t="str">
        <f>IFERROR(VLOOKUP(Proc[[#This Row],[App]],Table2[],3,0),"open")</f>
        <v>ok</v>
      </c>
      <c r="C1823" s="93" t="s">
        <v>369</v>
      </c>
      <c r="D1823" t="s">
        <v>3651</v>
      </c>
      <c r="E1823" t="s">
        <v>3007</v>
      </c>
      <c r="F1823" s="117" t="s">
        <v>3007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9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3641</v>
      </c>
      <c r="B1824" s="94" t="str">
        <f>IFERROR(VLOOKUP(Proc[[#This Row],[App]],Table2[],3,0),"open")</f>
        <v>ok</v>
      </c>
      <c r="C1824" s="93" t="s">
        <v>369</v>
      </c>
      <c r="D1824" t="s">
        <v>3652</v>
      </c>
      <c r="E1824" t="s">
        <v>3741</v>
      </c>
      <c r="F1824" s="117" t="s">
        <v>3741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9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3641</v>
      </c>
      <c r="B1825" s="94" t="str">
        <f>IFERROR(VLOOKUP(Proc[[#This Row],[App]],Table2[],3,0),"open")</f>
        <v>ok</v>
      </c>
      <c r="C1825" s="93" t="s">
        <v>369</v>
      </c>
      <c r="D1825" t="s">
        <v>3653</v>
      </c>
      <c r="E1825" t="s">
        <v>3004</v>
      </c>
      <c r="F1825" s="117" t="s">
        <v>3004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9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3641</v>
      </c>
      <c r="B1826" s="94" t="str">
        <f>IFERROR(VLOOKUP(Proc[[#This Row],[App]],Table2[],3,0),"open")</f>
        <v>ok</v>
      </c>
      <c r="C1826" s="93" t="s">
        <v>369</v>
      </c>
      <c r="D1826" t="s">
        <v>3654</v>
      </c>
      <c r="E1826" t="s">
        <v>3005</v>
      </c>
      <c r="F1826" s="117" t="s">
        <v>3005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9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3641</v>
      </c>
      <c r="B1827" s="94" t="str">
        <f>IFERROR(VLOOKUP(Proc[[#This Row],[App]],Table2[],3,0),"open")</f>
        <v>ok</v>
      </c>
      <c r="C1827" s="93" t="s">
        <v>369</v>
      </c>
      <c r="D1827" t="s">
        <v>3655</v>
      </c>
      <c r="E1827" t="s">
        <v>3007</v>
      </c>
      <c r="F1827" s="117" t="s">
        <v>3007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9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3641</v>
      </c>
      <c r="B1828" s="94" t="str">
        <f>IFERROR(VLOOKUP(Proc[[#This Row],[App]],Table2[],3,0),"open")</f>
        <v>ok</v>
      </c>
      <c r="C1828" s="93" t="s">
        <v>369</v>
      </c>
      <c r="D1828" t="s">
        <v>3656</v>
      </c>
      <c r="E1828" t="s">
        <v>3007</v>
      </c>
      <c r="F1828" s="117" t="s">
        <v>3007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9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3641</v>
      </c>
      <c r="B1829" s="94" t="str">
        <f>IFERROR(VLOOKUP(Proc[[#This Row],[App]],Table2[],3,0),"open")</f>
        <v>ok</v>
      </c>
      <c r="C1829" s="93" t="s">
        <v>369</v>
      </c>
      <c r="D1829" t="s">
        <v>3657</v>
      </c>
      <c r="E1829" t="s">
        <v>3005</v>
      </c>
      <c r="F1829" s="117" t="s">
        <v>3005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9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3641</v>
      </c>
      <c r="B1830" s="94" t="str">
        <f>IFERROR(VLOOKUP(Proc[[#This Row],[App]],Table2[],3,0),"open")</f>
        <v>ok</v>
      </c>
      <c r="C1830" s="93" t="s">
        <v>369</v>
      </c>
      <c r="D1830" t="s">
        <v>3658</v>
      </c>
      <c r="E1830" t="s">
        <v>3005</v>
      </c>
      <c r="F1830" s="117" t="s">
        <v>3005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9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3641</v>
      </c>
      <c r="B1831" s="94" t="str">
        <f>IFERROR(VLOOKUP(Proc[[#This Row],[App]],Table2[],3,0),"open")</f>
        <v>ok</v>
      </c>
      <c r="C1831" s="93" t="s">
        <v>369</v>
      </c>
      <c r="D1831" t="s">
        <v>3659</v>
      </c>
      <c r="E1831" t="s">
        <v>3004</v>
      </c>
      <c r="F1831" s="117" t="s">
        <v>3004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9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3641</v>
      </c>
      <c r="B1832" s="94" t="str">
        <f>IFERROR(VLOOKUP(Proc[[#This Row],[App]],Table2[],3,0),"open")</f>
        <v>ok</v>
      </c>
      <c r="C1832" s="93" t="s">
        <v>369</v>
      </c>
      <c r="D1832" t="s">
        <v>3660</v>
      </c>
      <c r="E1832" t="s">
        <v>3004</v>
      </c>
      <c r="F1832" s="117" t="s">
        <v>3004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9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3641</v>
      </c>
      <c r="B1833" s="94" t="str">
        <f>IFERROR(VLOOKUP(Proc[[#This Row],[App]],Table2[],3,0),"open")</f>
        <v>ok</v>
      </c>
      <c r="C1833" s="93" t="s">
        <v>369</v>
      </c>
      <c r="D1833" t="s">
        <v>3661</v>
      </c>
      <c r="E1833" t="s">
        <v>3004</v>
      </c>
      <c r="F1833" s="117" t="s">
        <v>3004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9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3641</v>
      </c>
      <c r="B1834" s="94" t="str">
        <f>IFERROR(VLOOKUP(Proc[[#This Row],[App]],Table2[],3,0),"open")</f>
        <v>ok</v>
      </c>
      <c r="C1834" s="93" t="s">
        <v>369</v>
      </c>
      <c r="D1834" t="s">
        <v>3662</v>
      </c>
      <c r="E1834" t="s">
        <v>3006</v>
      </c>
      <c r="F1834" s="117" t="s">
        <v>3006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9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3641</v>
      </c>
      <c r="B1835" s="94" t="str">
        <f>IFERROR(VLOOKUP(Proc[[#This Row],[App]],Table2[],3,0),"open")</f>
        <v>ok</v>
      </c>
      <c r="C1835" s="93" t="s">
        <v>369</v>
      </c>
      <c r="D1835" t="s">
        <v>3663</v>
      </c>
      <c r="E1835" t="s">
        <v>3006</v>
      </c>
      <c r="F1835" s="117" t="s">
        <v>3006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9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3641</v>
      </c>
      <c r="B1836" s="94" t="str">
        <f>IFERROR(VLOOKUP(Proc[[#This Row],[App]],Table2[],3,0),"open")</f>
        <v>ok</v>
      </c>
      <c r="C1836" s="93" t="s">
        <v>369</v>
      </c>
      <c r="D1836" t="s">
        <v>3664</v>
      </c>
      <c r="E1836" t="s">
        <v>3006</v>
      </c>
      <c r="F1836" s="117" t="s">
        <v>3006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9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3641</v>
      </c>
      <c r="B1837" s="94" t="str">
        <f>IFERROR(VLOOKUP(Proc[[#This Row],[App]],Table2[],3,0),"open")</f>
        <v>ok</v>
      </c>
      <c r="C1837" s="93" t="s">
        <v>369</v>
      </c>
      <c r="D1837" t="s">
        <v>3665</v>
      </c>
      <c r="E1837" t="s">
        <v>3005</v>
      </c>
      <c r="F1837" s="117" t="s">
        <v>3005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9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3641</v>
      </c>
      <c r="B1838" s="94" t="str">
        <f>IFERROR(VLOOKUP(Proc[[#This Row],[App]],Table2[],3,0),"open")</f>
        <v>ok</v>
      </c>
      <c r="C1838" s="93" t="s">
        <v>369</v>
      </c>
      <c r="D1838" t="s">
        <v>3666</v>
      </c>
      <c r="E1838" t="s">
        <v>3004</v>
      </c>
      <c r="F1838" s="117" t="s">
        <v>3004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9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3641</v>
      </c>
      <c r="B1839" s="94" t="str">
        <f>IFERROR(VLOOKUP(Proc[[#This Row],[App]],Table2[],3,0),"open")</f>
        <v>ok</v>
      </c>
      <c r="C1839" s="93" t="s">
        <v>369</v>
      </c>
      <c r="D1839" t="s">
        <v>3667</v>
      </c>
      <c r="E1839" t="s">
        <v>3004</v>
      </c>
      <c r="F1839" s="117" t="s">
        <v>3004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9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3641</v>
      </c>
      <c r="B1840" s="94" t="str">
        <f>IFERROR(VLOOKUP(Proc[[#This Row],[App]],Table2[],3,0),"open")</f>
        <v>ok</v>
      </c>
      <c r="C1840" s="93" t="s">
        <v>369</v>
      </c>
      <c r="D1840" t="s">
        <v>3668</v>
      </c>
      <c r="E1840" t="s">
        <v>3004</v>
      </c>
      <c r="F1840" s="117" t="s">
        <v>3004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9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3641</v>
      </c>
      <c r="B1841" s="94" t="str">
        <f>IFERROR(VLOOKUP(Proc[[#This Row],[App]],Table2[],3,0),"open")</f>
        <v>ok</v>
      </c>
      <c r="C1841" s="93" t="s">
        <v>369</v>
      </c>
      <c r="D1841" t="s">
        <v>3669</v>
      </c>
      <c r="E1841" t="s">
        <v>3741</v>
      </c>
      <c r="F1841" s="117" t="s">
        <v>3741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9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3641</v>
      </c>
      <c r="B1842" s="94" t="str">
        <f>IFERROR(VLOOKUP(Proc[[#This Row],[App]],Table2[],3,0),"open")</f>
        <v>ok</v>
      </c>
      <c r="C1842" s="93" t="s">
        <v>369</v>
      </c>
      <c r="D1842" t="s">
        <v>3670</v>
      </c>
      <c r="E1842" t="s">
        <v>3004</v>
      </c>
      <c r="F1842" s="117" t="s">
        <v>3004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9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3641</v>
      </c>
      <c r="B1843" s="94" t="str">
        <f>IFERROR(VLOOKUP(Proc[[#This Row],[App]],Table2[],3,0),"open")</f>
        <v>ok</v>
      </c>
      <c r="C1843" s="93" t="s">
        <v>369</v>
      </c>
      <c r="D1843" t="s">
        <v>3671</v>
      </c>
      <c r="E1843" t="s">
        <v>3004</v>
      </c>
      <c r="F1843" s="117" t="s">
        <v>3004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9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3641</v>
      </c>
      <c r="B1844" s="94" t="str">
        <f>IFERROR(VLOOKUP(Proc[[#This Row],[App]],Table2[],3,0),"open")</f>
        <v>ok</v>
      </c>
      <c r="C1844" s="93" t="s">
        <v>369</v>
      </c>
      <c r="D1844" t="s">
        <v>3672</v>
      </c>
      <c r="E1844" t="s">
        <v>3004</v>
      </c>
      <c r="F1844" s="117" t="s">
        <v>3004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9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3641</v>
      </c>
      <c r="B1845" s="94" t="str">
        <f>IFERROR(VLOOKUP(Proc[[#This Row],[App]],Table2[],3,0),"open")</f>
        <v>ok</v>
      </c>
      <c r="C1845" s="93" t="s">
        <v>369</v>
      </c>
      <c r="D1845" t="s">
        <v>3673</v>
      </c>
      <c r="E1845" t="s">
        <v>3006</v>
      </c>
      <c r="F1845" s="117" t="s">
        <v>3006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9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3641</v>
      </c>
      <c r="B1846" s="94" t="str">
        <f>IFERROR(VLOOKUP(Proc[[#This Row],[App]],Table2[],3,0),"open")</f>
        <v>ok</v>
      </c>
      <c r="C1846" s="93" t="s">
        <v>369</v>
      </c>
      <c r="D1846" t="s">
        <v>3674</v>
      </c>
      <c r="E1846" t="s">
        <v>3006</v>
      </c>
      <c r="F1846" s="117" t="s">
        <v>3006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9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3641</v>
      </c>
      <c r="B1847" s="94" t="str">
        <f>IFERROR(VLOOKUP(Proc[[#This Row],[App]],Table2[],3,0),"open")</f>
        <v>ok</v>
      </c>
      <c r="C1847" s="93" t="s">
        <v>369</v>
      </c>
      <c r="D1847" t="s">
        <v>3675</v>
      </c>
      <c r="E1847" t="s">
        <v>3006</v>
      </c>
      <c r="F1847" s="117" t="s">
        <v>3006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9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3641</v>
      </c>
      <c r="B1848" s="94" t="str">
        <f>IFERROR(VLOOKUP(Proc[[#This Row],[App]],Table2[],3,0),"open")</f>
        <v>ok</v>
      </c>
      <c r="C1848" s="93" t="s">
        <v>369</v>
      </c>
      <c r="D1848" t="s">
        <v>3676</v>
      </c>
      <c r="E1848" t="s">
        <v>3004</v>
      </c>
      <c r="F1848" s="117" t="s">
        <v>3004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9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3641</v>
      </c>
      <c r="B1849" s="94" t="str">
        <f>IFERROR(VLOOKUP(Proc[[#This Row],[App]],Table2[],3,0),"open")</f>
        <v>ok</v>
      </c>
      <c r="C1849" s="93" t="s">
        <v>369</v>
      </c>
      <c r="D1849" t="s">
        <v>3677</v>
      </c>
      <c r="E1849" t="s">
        <v>3004</v>
      </c>
      <c r="F1849" s="117" t="s">
        <v>3004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9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3641</v>
      </c>
      <c r="B1850" s="94" t="str">
        <f>IFERROR(VLOOKUP(Proc[[#This Row],[App]],Table2[],3,0),"open")</f>
        <v>ok</v>
      </c>
      <c r="C1850" s="93" t="s">
        <v>369</v>
      </c>
      <c r="D1850" t="s">
        <v>3678</v>
      </c>
      <c r="E1850" t="s">
        <v>3004</v>
      </c>
      <c r="F1850" s="117" t="s">
        <v>3004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9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3641</v>
      </c>
      <c r="B1851" s="94" t="str">
        <f>IFERROR(VLOOKUP(Proc[[#This Row],[App]],Table2[],3,0),"open")</f>
        <v>ok</v>
      </c>
      <c r="C1851" s="93" t="s">
        <v>369</v>
      </c>
      <c r="D1851" t="s">
        <v>3679</v>
      </c>
      <c r="E1851" t="s">
        <v>3004</v>
      </c>
      <c r="F1851" s="117" t="s">
        <v>3004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9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3641</v>
      </c>
      <c r="B1852" s="94" t="str">
        <f>IFERROR(VLOOKUP(Proc[[#This Row],[App]],Table2[],3,0),"open")</f>
        <v>ok</v>
      </c>
      <c r="C1852" s="93" t="s">
        <v>369</v>
      </c>
      <c r="D1852" t="s">
        <v>3680</v>
      </c>
      <c r="E1852" t="s">
        <v>3004</v>
      </c>
      <c r="F1852" s="117" t="s">
        <v>3004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9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3641</v>
      </c>
      <c r="B1853" s="94" t="str">
        <f>IFERROR(VLOOKUP(Proc[[#This Row],[App]],Table2[],3,0),"open")</f>
        <v>ok</v>
      </c>
      <c r="C1853" s="93" t="s">
        <v>369</v>
      </c>
      <c r="D1853" t="s">
        <v>3681</v>
      </c>
      <c r="E1853" t="s">
        <v>3005</v>
      </c>
      <c r="F1853" s="117" t="s">
        <v>3005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9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3641</v>
      </c>
      <c r="B1854" s="94" t="str">
        <f>IFERROR(VLOOKUP(Proc[[#This Row],[App]],Table2[],3,0),"open")</f>
        <v>ok</v>
      </c>
      <c r="C1854" s="93" t="s">
        <v>369</v>
      </c>
      <c r="D1854" t="s">
        <v>3682</v>
      </c>
      <c r="E1854" t="s">
        <v>3004</v>
      </c>
      <c r="F1854" s="117" t="s">
        <v>3004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9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3641</v>
      </c>
      <c r="B1855" s="94" t="str">
        <f>IFERROR(VLOOKUP(Proc[[#This Row],[App]],Table2[],3,0),"open")</f>
        <v>ok</v>
      </c>
      <c r="C1855" s="93" t="s">
        <v>369</v>
      </c>
      <c r="D1855" t="s">
        <v>3683</v>
      </c>
      <c r="E1855" t="s">
        <v>3004</v>
      </c>
      <c r="F1855" s="117" t="s">
        <v>3004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9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3641</v>
      </c>
      <c r="B1856" s="94" t="str">
        <f>IFERROR(VLOOKUP(Proc[[#This Row],[App]],Table2[],3,0),"open")</f>
        <v>ok</v>
      </c>
      <c r="C1856" s="93" t="s">
        <v>369</v>
      </c>
      <c r="D1856" t="s">
        <v>3684</v>
      </c>
      <c r="E1856" t="s">
        <v>3004</v>
      </c>
      <c r="F1856" s="117" t="s">
        <v>3004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9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3641</v>
      </c>
      <c r="B1857" s="94" t="str">
        <f>IFERROR(VLOOKUP(Proc[[#This Row],[App]],Table2[],3,0),"open")</f>
        <v>ok</v>
      </c>
      <c r="C1857" s="93" t="s">
        <v>369</v>
      </c>
      <c r="D1857" t="s">
        <v>3685</v>
      </c>
      <c r="E1857" t="s">
        <v>3004</v>
      </c>
      <c r="F1857" s="117" t="s">
        <v>3004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9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3641</v>
      </c>
      <c r="B1858" s="94" t="str">
        <f>IFERROR(VLOOKUP(Proc[[#This Row],[App]],Table2[],3,0),"open")</f>
        <v>ok</v>
      </c>
      <c r="C1858" s="93" t="s">
        <v>369</v>
      </c>
      <c r="D1858" t="s">
        <v>3686</v>
      </c>
      <c r="E1858" t="s">
        <v>3004</v>
      </c>
      <c r="F1858" s="117" t="s">
        <v>3004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9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3641</v>
      </c>
      <c r="B1859" s="94" t="str">
        <f>IFERROR(VLOOKUP(Proc[[#This Row],[App]],Table2[],3,0),"open")</f>
        <v>ok</v>
      </c>
      <c r="C1859" s="93" t="s">
        <v>369</v>
      </c>
      <c r="D1859" t="s">
        <v>3687</v>
      </c>
      <c r="E1859" t="s">
        <v>3006</v>
      </c>
      <c r="F1859" s="117" t="s">
        <v>3006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9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3641</v>
      </c>
      <c r="B1860" s="94" t="str">
        <f>IFERROR(VLOOKUP(Proc[[#This Row],[App]],Table2[],3,0),"open")</f>
        <v>ok</v>
      </c>
      <c r="C1860" s="93" t="s">
        <v>369</v>
      </c>
      <c r="D1860" t="s">
        <v>3688</v>
      </c>
      <c r="E1860" t="s">
        <v>3006</v>
      </c>
      <c r="F1860" s="117" t="s">
        <v>3006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9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3641</v>
      </c>
      <c r="B1861" s="94" t="str">
        <f>IFERROR(VLOOKUP(Proc[[#This Row],[App]],Table2[],3,0),"open")</f>
        <v>ok</v>
      </c>
      <c r="C1861" s="93" t="s">
        <v>369</v>
      </c>
      <c r="D1861" t="s">
        <v>3689</v>
      </c>
      <c r="E1861" t="s">
        <v>3006</v>
      </c>
      <c r="F1861" s="117" t="s">
        <v>3006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9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3641</v>
      </c>
      <c r="B1862" s="94" t="str">
        <f>IFERROR(VLOOKUP(Proc[[#This Row],[App]],Table2[],3,0),"open")</f>
        <v>ok</v>
      </c>
      <c r="C1862" s="93" t="s">
        <v>369</v>
      </c>
      <c r="D1862" t="s">
        <v>3690</v>
      </c>
      <c r="E1862" t="s">
        <v>3004</v>
      </c>
      <c r="F1862" s="117" t="s">
        <v>3004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9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3641</v>
      </c>
      <c r="B1863" s="94" t="str">
        <f>IFERROR(VLOOKUP(Proc[[#This Row],[App]],Table2[],3,0),"open")</f>
        <v>ok</v>
      </c>
      <c r="C1863" s="93" t="s">
        <v>369</v>
      </c>
      <c r="D1863" t="s">
        <v>3691</v>
      </c>
      <c r="E1863" t="s">
        <v>3741</v>
      </c>
      <c r="F1863" s="117" t="s">
        <v>3741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9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3641</v>
      </c>
      <c r="B1864" s="94" t="str">
        <f>IFERROR(VLOOKUP(Proc[[#This Row],[App]],Table2[],3,0),"open")</f>
        <v>ok</v>
      </c>
      <c r="C1864" s="93" t="s">
        <v>369</v>
      </c>
      <c r="D1864" t="s">
        <v>3692</v>
      </c>
      <c r="E1864" t="s">
        <v>3742</v>
      </c>
      <c r="F1864" s="117" t="s">
        <v>3742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9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3641</v>
      </c>
      <c r="B1865" s="94" t="str">
        <f>IFERROR(VLOOKUP(Proc[[#This Row],[App]],Table2[],3,0),"open")</f>
        <v>ok</v>
      </c>
      <c r="C1865" s="93" t="s">
        <v>369</v>
      </c>
      <c r="D1865" t="s">
        <v>3693</v>
      </c>
      <c r="E1865" t="s">
        <v>3744</v>
      </c>
      <c r="F1865" s="117" t="s">
        <v>3744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9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3641</v>
      </c>
      <c r="B1866" s="94" t="str">
        <f>IFERROR(VLOOKUP(Proc[[#This Row],[App]],Table2[],3,0),"open")</f>
        <v>ok</v>
      </c>
      <c r="C1866" s="93" t="s">
        <v>369</v>
      </c>
      <c r="D1866" t="s">
        <v>3694</v>
      </c>
      <c r="E1866" t="s">
        <v>3746</v>
      </c>
      <c r="F1866" s="117" t="s">
        <v>3746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9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3641</v>
      </c>
      <c r="B1867" s="94" t="str">
        <f>IFERROR(VLOOKUP(Proc[[#This Row],[App]],Table2[],3,0),"open")</f>
        <v>ok</v>
      </c>
      <c r="C1867" s="93" t="s">
        <v>369</v>
      </c>
      <c r="D1867" t="s">
        <v>3695</v>
      </c>
      <c r="E1867" t="s">
        <v>3742</v>
      </c>
      <c r="F1867" s="117" t="s">
        <v>3742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9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3641</v>
      </c>
      <c r="B1868" s="94" t="str">
        <f>IFERROR(VLOOKUP(Proc[[#This Row],[App]],Table2[],3,0),"open")</f>
        <v>ok</v>
      </c>
      <c r="C1868" s="93" t="s">
        <v>369</v>
      </c>
      <c r="D1868" t="s">
        <v>3696</v>
      </c>
      <c r="E1868" s="93" t="s">
        <v>3744</v>
      </c>
      <c r="F1868" s="117" t="s">
        <v>3744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9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3641</v>
      </c>
      <c r="B1869" s="94" t="str">
        <f>IFERROR(VLOOKUP(Proc[[#This Row],[App]],Table2[],3,0),"open")</f>
        <v>ok</v>
      </c>
      <c r="C1869" s="93" t="s">
        <v>369</v>
      </c>
      <c r="D1869" t="s">
        <v>3697</v>
      </c>
      <c r="E1869" t="s">
        <v>3744</v>
      </c>
      <c r="F1869" s="117" t="s">
        <v>3744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9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3641</v>
      </c>
      <c r="B1870" s="94" t="str">
        <f>IFERROR(VLOOKUP(Proc[[#This Row],[App]],Table2[],3,0),"open")</f>
        <v>ok</v>
      </c>
      <c r="C1870" s="93" t="s">
        <v>369</v>
      </c>
      <c r="D1870" t="s">
        <v>3698</v>
      </c>
      <c r="E1870" t="s">
        <v>3747</v>
      </c>
      <c r="F1870" s="117" t="s">
        <v>3747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9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3641</v>
      </c>
      <c r="B1871" s="94" t="str">
        <f>IFERROR(VLOOKUP(Proc[[#This Row],[App]],Table2[],3,0),"open")</f>
        <v>ok</v>
      </c>
      <c r="C1871" s="93" t="s">
        <v>369</v>
      </c>
      <c r="D1871" t="s">
        <v>3699</v>
      </c>
      <c r="E1871" t="s">
        <v>3746</v>
      </c>
      <c r="F1871" s="117" t="s">
        <v>3746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9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3641</v>
      </c>
      <c r="B1872" s="94" t="str">
        <f>IFERROR(VLOOKUP(Proc[[#This Row],[App]],Table2[],3,0),"open")</f>
        <v>ok</v>
      </c>
      <c r="C1872" s="93" t="s">
        <v>369</v>
      </c>
      <c r="D1872" t="s">
        <v>3700</v>
      </c>
      <c r="E1872" t="s">
        <v>3745</v>
      </c>
      <c r="F1872" s="117" t="s">
        <v>3745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9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3641</v>
      </c>
      <c r="B1873" s="94" t="str">
        <f>IFERROR(VLOOKUP(Proc[[#This Row],[App]],Table2[],3,0),"open")</f>
        <v>ok</v>
      </c>
      <c r="C1873" s="93" t="s">
        <v>369</v>
      </c>
      <c r="D1873" t="s">
        <v>3701</v>
      </c>
      <c r="E1873" t="s">
        <v>3744</v>
      </c>
      <c r="F1873" s="117" t="s">
        <v>3744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9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3641</v>
      </c>
      <c r="B1874" s="94" t="str">
        <f>IFERROR(VLOOKUP(Proc[[#This Row],[App]],Table2[],3,0),"open")</f>
        <v>ok</v>
      </c>
      <c r="C1874" s="93" t="s">
        <v>377</v>
      </c>
      <c r="D1874" t="s">
        <v>3702</v>
      </c>
      <c r="E1874" t="s">
        <v>3743</v>
      </c>
      <c r="F1874" s="103" t="s">
        <v>3743</v>
      </c>
      <c r="G1874" s="93" t="s">
        <v>400</v>
      </c>
      <c r="H1874" s="94" t="str">
        <f>IF(Proc[[#This Row],[type]]="LFF (MDG-F)",MID(Proc[[#This Row],[Obj]],13,10),"")</f>
        <v/>
      </c>
      <c r="I1874" t="s">
        <v>4071</v>
      </c>
      <c r="J1874" s="94" t="b">
        <f>Proc[[#This Row],[Requested]]=Proc[[#This Row],[CurrentParent]]</f>
        <v>1</v>
      </c>
      <c r="K1874" s="9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 hidden="1">
      <c r="A1875" s="93" t="s">
        <v>3641</v>
      </c>
      <c r="B1875" s="94" t="str">
        <f>IFERROR(VLOOKUP(Proc[[#This Row],[App]],Table2[],3,0),"open")</f>
        <v>ok</v>
      </c>
      <c r="C1875" s="93" t="s">
        <v>369</v>
      </c>
      <c r="D1875" t="s">
        <v>3703</v>
      </c>
      <c r="E1875" t="s">
        <v>3402</v>
      </c>
      <c r="F1875" s="117" t="s">
        <v>3402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9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3641</v>
      </c>
      <c r="B1876" s="94" t="str">
        <f>IFERROR(VLOOKUP(Proc[[#This Row],[App]],Table2[],3,0),"open")</f>
        <v>ok</v>
      </c>
      <c r="C1876" s="93" t="s">
        <v>369</v>
      </c>
      <c r="D1876" t="s">
        <v>3704</v>
      </c>
      <c r="E1876" s="93" t="s">
        <v>3402</v>
      </c>
      <c r="F1876" s="117" t="s">
        <v>3402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9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3641</v>
      </c>
      <c r="B1877" s="94" t="str">
        <f>IFERROR(VLOOKUP(Proc[[#This Row],[App]],Table2[],3,0),"open")</f>
        <v>ok</v>
      </c>
      <c r="C1877" s="93" t="s">
        <v>369</v>
      </c>
      <c r="D1877" t="s">
        <v>3705</v>
      </c>
      <c r="E1877" s="93" t="s">
        <v>3402</v>
      </c>
      <c r="F1877" s="117" t="s">
        <v>3402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9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3641</v>
      </c>
      <c r="B1878" s="94" t="str">
        <f>IFERROR(VLOOKUP(Proc[[#This Row],[App]],Table2[],3,0),"open")</f>
        <v>ok</v>
      </c>
      <c r="C1878" s="93" t="s">
        <v>369</v>
      </c>
      <c r="D1878" t="s">
        <v>3706</v>
      </c>
      <c r="E1878" s="93" t="s">
        <v>3402</v>
      </c>
      <c r="F1878" s="117" t="s">
        <v>3402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9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3641</v>
      </c>
      <c r="B1879" s="94" t="str">
        <f>IFERROR(VLOOKUP(Proc[[#This Row],[App]],Table2[],3,0),"open")</f>
        <v>ok</v>
      </c>
      <c r="C1879" s="93" t="s">
        <v>369</v>
      </c>
      <c r="D1879" t="s">
        <v>3707</v>
      </c>
      <c r="E1879" s="93" t="s">
        <v>3402</v>
      </c>
      <c r="F1879" s="117" t="s">
        <v>3402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9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3641</v>
      </c>
      <c r="B1880" s="94" t="str">
        <f>IFERROR(VLOOKUP(Proc[[#This Row],[App]],Table2[],3,0),"open")</f>
        <v>ok</v>
      </c>
      <c r="C1880" s="93" t="s">
        <v>369</v>
      </c>
      <c r="D1880" t="s">
        <v>3708</v>
      </c>
      <c r="E1880" s="93" t="s">
        <v>3402</v>
      </c>
      <c r="F1880" s="117" t="s">
        <v>3402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9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3641</v>
      </c>
      <c r="B1881" s="94" t="str">
        <f>IFERROR(VLOOKUP(Proc[[#This Row],[App]],Table2[],3,0),"open")</f>
        <v>ok</v>
      </c>
      <c r="C1881" s="93" t="s">
        <v>369</v>
      </c>
      <c r="D1881" t="s">
        <v>3709</v>
      </c>
      <c r="E1881" s="93" t="s">
        <v>3402</v>
      </c>
      <c r="F1881" s="117" t="s">
        <v>3402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9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3641</v>
      </c>
      <c r="B1882" s="94" t="str">
        <f>IFERROR(VLOOKUP(Proc[[#This Row],[App]],Table2[],3,0),"open")</f>
        <v>ok</v>
      </c>
      <c r="C1882" s="93" t="s">
        <v>369</v>
      </c>
      <c r="D1882" t="s">
        <v>3710</v>
      </c>
      <c r="E1882" s="93" t="s">
        <v>3402</v>
      </c>
      <c r="F1882" s="117" t="s">
        <v>3402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9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3641</v>
      </c>
      <c r="B1883" s="94" t="str">
        <f>IFERROR(VLOOKUP(Proc[[#This Row],[App]],Table2[],3,0),"open")</f>
        <v>ok</v>
      </c>
      <c r="C1883" s="93" t="s">
        <v>369</v>
      </c>
      <c r="D1883" t="s">
        <v>3711</v>
      </c>
      <c r="E1883" s="93" t="s">
        <v>3402</v>
      </c>
      <c r="F1883" s="117" t="s">
        <v>3402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9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3641</v>
      </c>
      <c r="B1884" s="94" t="str">
        <f>IFERROR(VLOOKUP(Proc[[#This Row],[App]],Table2[],3,0),"open")</f>
        <v>ok</v>
      </c>
      <c r="C1884" s="93" t="s">
        <v>369</v>
      </c>
      <c r="D1884" t="s">
        <v>3712</v>
      </c>
      <c r="E1884" s="93" t="s">
        <v>3402</v>
      </c>
      <c r="F1884" s="117" t="s">
        <v>3402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9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3641</v>
      </c>
      <c r="B1885" s="94" t="str">
        <f>IFERROR(VLOOKUP(Proc[[#This Row],[App]],Table2[],3,0),"open")</f>
        <v>ok</v>
      </c>
      <c r="C1885" s="93" t="s">
        <v>369</v>
      </c>
      <c r="D1885" t="s">
        <v>3713</v>
      </c>
      <c r="E1885" s="93" t="s">
        <v>3402</v>
      </c>
      <c r="F1885" s="117" t="s">
        <v>3402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9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3641</v>
      </c>
      <c r="B1886" s="94" t="str">
        <f>IFERROR(VLOOKUP(Proc[[#This Row],[App]],Table2[],3,0),"open")</f>
        <v>ok</v>
      </c>
      <c r="C1886" s="93" t="s">
        <v>369</v>
      </c>
      <c r="D1886" t="s">
        <v>3714</v>
      </c>
      <c r="E1886" s="93" t="s">
        <v>3402</v>
      </c>
      <c r="F1886" s="117" t="s">
        <v>3402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9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3641</v>
      </c>
      <c r="B1887" s="94" t="str">
        <f>IFERROR(VLOOKUP(Proc[[#This Row],[App]],Table2[],3,0),"open")</f>
        <v>ok</v>
      </c>
      <c r="C1887" s="93" t="s">
        <v>369</v>
      </c>
      <c r="D1887" t="s">
        <v>3715</v>
      </c>
      <c r="E1887" s="93" t="s">
        <v>3402</v>
      </c>
      <c r="F1887" s="117" t="s">
        <v>3402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9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3641</v>
      </c>
      <c r="B1888" s="94" t="str">
        <f>IFERROR(VLOOKUP(Proc[[#This Row],[App]],Table2[],3,0),"open")</f>
        <v>ok</v>
      </c>
      <c r="C1888" s="93" t="s">
        <v>369</v>
      </c>
      <c r="D1888" t="s">
        <v>3716</v>
      </c>
      <c r="E1888" s="93" t="s">
        <v>3402</v>
      </c>
      <c r="F1888" s="117" t="s">
        <v>3402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9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3641</v>
      </c>
      <c r="B1889" s="94" t="str">
        <f>IFERROR(VLOOKUP(Proc[[#This Row],[App]],Table2[],3,0),"open")</f>
        <v>ok</v>
      </c>
      <c r="C1889" s="93" t="s">
        <v>369</v>
      </c>
      <c r="D1889" t="s">
        <v>3717</v>
      </c>
      <c r="E1889" s="93" t="s">
        <v>3402</v>
      </c>
      <c r="F1889" s="117" t="s">
        <v>3402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9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3641</v>
      </c>
      <c r="B1890" s="94" t="str">
        <f>IFERROR(VLOOKUP(Proc[[#This Row],[App]],Table2[],3,0),"open")</f>
        <v>ok</v>
      </c>
      <c r="C1890" s="93" t="s">
        <v>369</v>
      </c>
      <c r="D1890" t="s">
        <v>3718</v>
      </c>
      <c r="E1890" s="93" t="s">
        <v>3402</v>
      </c>
      <c r="F1890" s="117" t="s">
        <v>3402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9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3641</v>
      </c>
      <c r="B1891" s="94" t="str">
        <f>IFERROR(VLOOKUP(Proc[[#This Row],[App]],Table2[],3,0),"open")</f>
        <v>ok</v>
      </c>
      <c r="C1891" s="93" t="s">
        <v>369</v>
      </c>
      <c r="D1891" t="s">
        <v>3719</v>
      </c>
      <c r="E1891" s="93" t="s">
        <v>3402</v>
      </c>
      <c r="F1891" s="117" t="s">
        <v>3402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9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3641</v>
      </c>
      <c r="B1892" s="94" t="str">
        <f>IFERROR(VLOOKUP(Proc[[#This Row],[App]],Table2[],3,0),"open")</f>
        <v>ok</v>
      </c>
      <c r="C1892" s="93" t="s">
        <v>369</v>
      </c>
      <c r="D1892" t="s">
        <v>3720</v>
      </c>
      <c r="E1892" s="93" t="s">
        <v>3402</v>
      </c>
      <c r="F1892" s="117" t="s">
        <v>3402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9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3641</v>
      </c>
      <c r="B1893" s="94" t="str">
        <f>IFERROR(VLOOKUP(Proc[[#This Row],[App]],Table2[],3,0),"open")</f>
        <v>ok</v>
      </c>
      <c r="C1893" s="93" t="s">
        <v>369</v>
      </c>
      <c r="D1893" t="s">
        <v>3721</v>
      </c>
      <c r="E1893" s="93" t="s">
        <v>3402</v>
      </c>
      <c r="F1893" s="117" t="s">
        <v>3402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9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3641</v>
      </c>
      <c r="B1894" s="94" t="str">
        <f>IFERROR(VLOOKUP(Proc[[#This Row],[App]],Table2[],3,0),"open")</f>
        <v>ok</v>
      </c>
      <c r="C1894" s="93" t="s">
        <v>369</v>
      </c>
      <c r="D1894" t="s">
        <v>3722</v>
      </c>
      <c r="E1894" s="93" t="s">
        <v>3402</v>
      </c>
      <c r="F1894" s="117" t="s">
        <v>3402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9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3641</v>
      </c>
      <c r="B1895" s="94" t="str">
        <f>IFERROR(VLOOKUP(Proc[[#This Row],[App]],Table2[],3,0),"open")</f>
        <v>ok</v>
      </c>
      <c r="C1895" s="93" t="s">
        <v>369</v>
      </c>
      <c r="D1895" t="s">
        <v>3723</v>
      </c>
      <c r="E1895" s="93" t="s">
        <v>3402</v>
      </c>
      <c r="F1895" s="117" t="s">
        <v>3402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9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3641</v>
      </c>
      <c r="B1896" s="94" t="str">
        <f>IFERROR(VLOOKUP(Proc[[#This Row],[App]],Table2[],3,0),"open")</f>
        <v>ok</v>
      </c>
      <c r="C1896" s="93" t="s">
        <v>369</v>
      </c>
      <c r="D1896" t="s">
        <v>3724</v>
      </c>
      <c r="E1896" s="93" t="s">
        <v>3402</v>
      </c>
      <c r="F1896" s="117" t="s">
        <v>3402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9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3641</v>
      </c>
      <c r="B1897" s="94" t="str">
        <f>IFERROR(VLOOKUP(Proc[[#This Row],[App]],Table2[],3,0),"open")</f>
        <v>ok</v>
      </c>
      <c r="C1897" s="93" t="s">
        <v>369</v>
      </c>
      <c r="D1897" t="s">
        <v>3725</v>
      </c>
      <c r="E1897" s="93" t="s">
        <v>3402</v>
      </c>
      <c r="F1897" s="117" t="s">
        <v>3402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9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3641</v>
      </c>
      <c r="B1898" s="94" t="str">
        <f>IFERROR(VLOOKUP(Proc[[#This Row],[App]],Table2[],3,0),"open")</f>
        <v>ok</v>
      </c>
      <c r="C1898" s="93" t="s">
        <v>369</v>
      </c>
      <c r="D1898" t="s">
        <v>3726</v>
      </c>
      <c r="E1898" s="93" t="s">
        <v>3402</v>
      </c>
      <c r="F1898" s="117" t="s">
        <v>3402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9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3641</v>
      </c>
      <c r="B1899" s="94" t="str">
        <f>IFERROR(VLOOKUP(Proc[[#This Row],[App]],Table2[],3,0),"open")</f>
        <v>ok</v>
      </c>
      <c r="C1899" s="93" t="s">
        <v>369</v>
      </c>
      <c r="D1899" t="s">
        <v>3727</v>
      </c>
      <c r="E1899" s="93" t="s">
        <v>3402</v>
      </c>
      <c r="F1899" s="117" t="s">
        <v>3402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9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3641</v>
      </c>
      <c r="B1900" s="94" t="str">
        <f>IFERROR(VLOOKUP(Proc[[#This Row],[App]],Table2[],3,0),"open")</f>
        <v>ok</v>
      </c>
      <c r="C1900" s="93" t="s">
        <v>369</v>
      </c>
      <c r="D1900" t="s">
        <v>3728</v>
      </c>
      <c r="E1900" s="93" t="s">
        <v>3402</v>
      </c>
      <c r="F1900" s="117" t="s">
        <v>3402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9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3641</v>
      </c>
      <c r="B1901" s="94" t="str">
        <f>IFERROR(VLOOKUP(Proc[[#This Row],[App]],Table2[],3,0),"open")</f>
        <v>ok</v>
      </c>
      <c r="C1901" s="93" t="s">
        <v>369</v>
      </c>
      <c r="D1901" t="s">
        <v>3729</v>
      </c>
      <c r="E1901" s="93" t="s">
        <v>3402</v>
      </c>
      <c r="F1901" s="117" t="s">
        <v>3402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9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3641</v>
      </c>
      <c r="B1902" s="94" t="str">
        <f>IFERROR(VLOOKUP(Proc[[#This Row],[App]],Table2[],3,0),"open")</f>
        <v>ok</v>
      </c>
      <c r="C1902" s="93" t="s">
        <v>369</v>
      </c>
      <c r="D1902" t="s">
        <v>3730</v>
      </c>
      <c r="E1902" s="93" t="s">
        <v>3402</v>
      </c>
      <c r="F1902" s="117" t="s">
        <v>3402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9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3641</v>
      </c>
      <c r="B1903" s="94" t="str">
        <f>IFERROR(VLOOKUP(Proc[[#This Row],[App]],Table2[],3,0),"open")</f>
        <v>ok</v>
      </c>
      <c r="C1903" s="93" t="s">
        <v>369</v>
      </c>
      <c r="D1903" t="s">
        <v>3731</v>
      </c>
      <c r="E1903" s="93" t="s">
        <v>3402</v>
      </c>
      <c r="F1903" s="117" t="s">
        <v>3402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9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3641</v>
      </c>
      <c r="B1904" s="94" t="str">
        <f>IFERROR(VLOOKUP(Proc[[#This Row],[App]],Table2[],3,0),"open")</f>
        <v>ok</v>
      </c>
      <c r="C1904" s="93" t="s">
        <v>369</v>
      </c>
      <c r="D1904" t="s">
        <v>3732</v>
      </c>
      <c r="E1904" s="93" t="s">
        <v>3402</v>
      </c>
      <c r="F1904" s="117" t="s">
        <v>3402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9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3641</v>
      </c>
      <c r="B1905" s="94" t="str">
        <f>IFERROR(VLOOKUP(Proc[[#This Row],[App]],Table2[],3,0),"open")</f>
        <v>ok</v>
      </c>
      <c r="C1905" s="93" t="s">
        <v>369</v>
      </c>
      <c r="D1905" t="s">
        <v>3733</v>
      </c>
      <c r="E1905" s="93" t="s">
        <v>3402</v>
      </c>
      <c r="F1905" s="117" t="s">
        <v>3402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9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3641</v>
      </c>
      <c r="B1906" s="94" t="str">
        <f>IFERROR(VLOOKUP(Proc[[#This Row],[App]],Table2[],3,0),"open")</f>
        <v>ok</v>
      </c>
      <c r="C1906" s="93" t="s">
        <v>369</v>
      </c>
      <c r="D1906" t="s">
        <v>3734</v>
      </c>
      <c r="E1906" s="93" t="s">
        <v>3402</v>
      </c>
      <c r="F1906" s="117" t="s">
        <v>3402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9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3641</v>
      </c>
      <c r="B1907" s="94" t="str">
        <f>IFERROR(VLOOKUP(Proc[[#This Row],[App]],Table2[],3,0),"open")</f>
        <v>ok</v>
      </c>
      <c r="C1907" s="93" t="s">
        <v>369</v>
      </c>
      <c r="D1907" t="s">
        <v>3735</v>
      </c>
      <c r="E1907" s="93" t="s">
        <v>3402</v>
      </c>
      <c r="F1907" s="117" t="s">
        <v>3402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9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3641</v>
      </c>
      <c r="B1908" s="94" t="str">
        <f>IFERROR(VLOOKUP(Proc[[#This Row],[App]],Table2[],3,0),"open")</f>
        <v>ok</v>
      </c>
      <c r="C1908" s="93" t="s">
        <v>369</v>
      </c>
      <c r="D1908" t="s">
        <v>3736</v>
      </c>
      <c r="E1908" s="93" t="s">
        <v>3402</v>
      </c>
      <c r="F1908" s="117" t="s">
        <v>3402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9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3641</v>
      </c>
      <c r="B1909" s="94" t="str">
        <f>IFERROR(VLOOKUP(Proc[[#This Row],[App]],Table2[],3,0),"open")</f>
        <v>ok</v>
      </c>
      <c r="C1909" s="93" t="s">
        <v>369</v>
      </c>
      <c r="D1909" t="s">
        <v>3737</v>
      </c>
      <c r="E1909" s="93" t="s">
        <v>3402</v>
      </c>
      <c r="F1909" s="117" t="s">
        <v>3402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9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3641</v>
      </c>
      <c r="B1910" s="94" t="str">
        <f>IFERROR(VLOOKUP(Proc[[#This Row],[App]],Table2[],3,0),"open")</f>
        <v>ok</v>
      </c>
      <c r="C1910" s="93" t="s">
        <v>369</v>
      </c>
      <c r="D1910" t="s">
        <v>3738</v>
      </c>
      <c r="E1910" s="93" t="s">
        <v>3402</v>
      </c>
      <c r="F1910" s="117" t="s">
        <v>3402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9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3641</v>
      </c>
      <c r="B1911" s="94" t="str">
        <f>IFERROR(VLOOKUP(Proc[[#This Row],[App]],Table2[],3,0),"open")</f>
        <v>ok</v>
      </c>
      <c r="C1911" s="93" t="s">
        <v>369</v>
      </c>
      <c r="D1911" t="s">
        <v>3739</v>
      </c>
      <c r="E1911" s="93" t="s">
        <v>3402</v>
      </c>
      <c r="F1911" s="117" t="s">
        <v>3402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9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3748</v>
      </c>
      <c r="B1912" s="94" t="str">
        <f>IFERROR(VLOOKUP(Proc[[#This Row],[App]],Table2[],3,0),"open")</f>
        <v>ok</v>
      </c>
      <c r="C1912" s="93" t="s">
        <v>377</v>
      </c>
      <c r="D1912" t="s">
        <v>4072</v>
      </c>
      <c r="E1912" t="s">
        <v>4067</v>
      </c>
      <c r="F1912" s="103" t="s">
        <v>4067</v>
      </c>
      <c r="G1912" s="93" t="s">
        <v>400</v>
      </c>
      <c r="H1912" s="94" t="str">
        <f>IF(Proc[[#This Row],[type]]="LFF (MDG-F)",MID(Proc[[#This Row],[Obj]],13,10),"")</f>
        <v/>
      </c>
      <c r="I1912" t="s">
        <v>4074</v>
      </c>
      <c r="J1912" s="94" t="b">
        <f>Proc[[#This Row],[Requested]]=Proc[[#This Row],[CurrentParent]]</f>
        <v>1</v>
      </c>
      <c r="K1912" s="9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 hidden="1">
      <c r="A1913" s="93" t="s">
        <v>3748</v>
      </c>
      <c r="B1913" s="94" t="str">
        <f>IFERROR(VLOOKUP(Proc[[#This Row],[App]],Table2[],3,0),"open")</f>
        <v>ok</v>
      </c>
      <c r="C1913" s="93" t="s">
        <v>369</v>
      </c>
      <c r="D1913" t="s">
        <v>3749</v>
      </c>
      <c r="E1913" t="s">
        <v>4068</v>
      </c>
      <c r="F1913" s="117" t="s">
        <v>4068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9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3748</v>
      </c>
      <c r="B1914" s="94" t="str">
        <f>IFERROR(VLOOKUP(Proc[[#This Row],[App]],Table2[],3,0),"open")</f>
        <v>ok</v>
      </c>
      <c r="C1914" s="93" t="s">
        <v>369</v>
      </c>
      <c r="D1914" t="s">
        <v>3750</v>
      </c>
      <c r="E1914" t="s">
        <v>4069</v>
      </c>
      <c r="F1914" s="117" t="s">
        <v>4069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9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3748</v>
      </c>
      <c r="B1915" s="94" t="str">
        <f>IFERROR(VLOOKUP(Proc[[#This Row],[App]],Table2[],3,0),"open")</f>
        <v>ok</v>
      </c>
      <c r="C1915" s="93" t="s">
        <v>369</v>
      </c>
      <c r="D1915" t="s">
        <v>3751</v>
      </c>
      <c r="E1915" t="s">
        <v>4069</v>
      </c>
      <c r="F1915" s="117" t="s">
        <v>4069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9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3748</v>
      </c>
      <c r="B1916" s="94" t="str">
        <f>IFERROR(VLOOKUP(Proc[[#This Row],[App]],Table2[],3,0),"open")</f>
        <v>ok</v>
      </c>
      <c r="C1916" s="93" t="s">
        <v>369</v>
      </c>
      <c r="D1916" t="s">
        <v>3752</v>
      </c>
      <c r="E1916" t="s">
        <v>4069</v>
      </c>
      <c r="F1916" s="117" t="s">
        <v>4069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9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3748</v>
      </c>
      <c r="B1917" s="94" t="str">
        <f>IFERROR(VLOOKUP(Proc[[#This Row],[App]],Table2[],3,0),"open")</f>
        <v>ok</v>
      </c>
      <c r="C1917" s="93" t="s">
        <v>369</v>
      </c>
      <c r="D1917" t="s">
        <v>3753</v>
      </c>
      <c r="E1917" t="s">
        <v>4069</v>
      </c>
      <c r="F1917" s="117" t="s">
        <v>4069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9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3748</v>
      </c>
      <c r="B1918" s="94" t="str">
        <f>IFERROR(VLOOKUP(Proc[[#This Row],[App]],Table2[],3,0),"open")</f>
        <v>ok</v>
      </c>
      <c r="C1918" s="93" t="s">
        <v>369</v>
      </c>
      <c r="D1918" t="s">
        <v>3754</v>
      </c>
      <c r="E1918" t="s">
        <v>4069</v>
      </c>
      <c r="F1918" s="117" t="s">
        <v>4069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9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3748</v>
      </c>
      <c r="B1919" s="94" t="str">
        <f>IFERROR(VLOOKUP(Proc[[#This Row],[App]],Table2[],3,0),"open")</f>
        <v>ok</v>
      </c>
      <c r="C1919" s="93" t="s">
        <v>369</v>
      </c>
      <c r="D1919" t="s">
        <v>3755</v>
      </c>
      <c r="E1919" t="s">
        <v>4069</v>
      </c>
      <c r="F1919" s="117" t="s">
        <v>4069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9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3748</v>
      </c>
      <c r="B1920" s="94" t="str">
        <f>IFERROR(VLOOKUP(Proc[[#This Row],[App]],Table2[],3,0),"open")</f>
        <v>ok</v>
      </c>
      <c r="C1920" s="93" t="s">
        <v>369</v>
      </c>
      <c r="D1920" t="s">
        <v>3756</v>
      </c>
      <c r="E1920" t="s">
        <v>4069</v>
      </c>
      <c r="F1920" s="117" t="s">
        <v>4069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9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3748</v>
      </c>
      <c r="B1921" s="94" t="str">
        <f>IFERROR(VLOOKUP(Proc[[#This Row],[App]],Table2[],3,0),"open")</f>
        <v>ok</v>
      </c>
      <c r="C1921" s="93" t="s">
        <v>369</v>
      </c>
      <c r="D1921" t="s">
        <v>3757</v>
      </c>
      <c r="E1921" t="s">
        <v>4069</v>
      </c>
      <c r="F1921" s="117" t="s">
        <v>4069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9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3748</v>
      </c>
      <c r="B1922" s="94" t="str">
        <f>IFERROR(VLOOKUP(Proc[[#This Row],[App]],Table2[],3,0),"open")</f>
        <v>ok</v>
      </c>
      <c r="C1922" s="93" t="s">
        <v>369</v>
      </c>
      <c r="D1922" t="s">
        <v>3758</v>
      </c>
      <c r="E1922" t="s">
        <v>4069</v>
      </c>
      <c r="F1922" s="117" t="s">
        <v>4069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9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3748</v>
      </c>
      <c r="B1923" s="94" t="str">
        <f>IFERROR(VLOOKUP(Proc[[#This Row],[App]],Table2[],3,0),"open")</f>
        <v>ok</v>
      </c>
      <c r="C1923" s="93" t="s">
        <v>369</v>
      </c>
      <c r="D1923" t="s">
        <v>3759</v>
      </c>
      <c r="E1923" t="s">
        <v>4069</v>
      </c>
      <c r="F1923" s="117" t="s">
        <v>4069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9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3748</v>
      </c>
      <c r="B1924" s="94" t="str">
        <f>IFERROR(VLOOKUP(Proc[[#This Row],[App]],Table2[],3,0),"open")</f>
        <v>ok</v>
      </c>
      <c r="C1924" s="93" t="s">
        <v>369</v>
      </c>
      <c r="D1924" t="s">
        <v>3760</v>
      </c>
      <c r="E1924" t="s">
        <v>4069</v>
      </c>
      <c r="F1924" s="117" t="s">
        <v>4069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9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3748</v>
      </c>
      <c r="B1925" s="94" t="str">
        <f>IFERROR(VLOOKUP(Proc[[#This Row],[App]],Table2[],3,0),"open")</f>
        <v>ok</v>
      </c>
      <c r="C1925" s="93" t="s">
        <v>369</v>
      </c>
      <c r="D1925" t="s">
        <v>3761</v>
      </c>
      <c r="E1925" t="s">
        <v>4069</v>
      </c>
      <c r="F1925" s="117" t="s">
        <v>4069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9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3748</v>
      </c>
      <c r="B1926" s="94" t="str">
        <f>IFERROR(VLOOKUP(Proc[[#This Row],[App]],Table2[],3,0),"open")</f>
        <v>ok</v>
      </c>
      <c r="C1926" s="93" t="s">
        <v>369</v>
      </c>
      <c r="D1926" t="s">
        <v>3762</v>
      </c>
      <c r="E1926" t="s">
        <v>4069</v>
      </c>
      <c r="F1926" s="117" t="s">
        <v>4069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9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3748</v>
      </c>
      <c r="B1927" s="94" t="str">
        <f>IFERROR(VLOOKUP(Proc[[#This Row],[App]],Table2[],3,0),"open")</f>
        <v>ok</v>
      </c>
      <c r="C1927" s="93" t="s">
        <v>369</v>
      </c>
      <c r="D1927" t="s">
        <v>3763</v>
      </c>
      <c r="E1927" t="s">
        <v>4069</v>
      </c>
      <c r="F1927" s="117" t="s">
        <v>4069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9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3748</v>
      </c>
      <c r="B1928" s="94" t="str">
        <f>IFERROR(VLOOKUP(Proc[[#This Row],[App]],Table2[],3,0),"open")</f>
        <v>ok</v>
      </c>
      <c r="C1928" s="93" t="s">
        <v>369</v>
      </c>
      <c r="D1928" t="s">
        <v>3764</v>
      </c>
      <c r="E1928" t="s">
        <v>4069</v>
      </c>
      <c r="F1928" s="117" t="s">
        <v>4069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9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3748</v>
      </c>
      <c r="B1929" s="94" t="str">
        <f>IFERROR(VLOOKUP(Proc[[#This Row],[App]],Table2[],3,0),"open")</f>
        <v>ok</v>
      </c>
      <c r="C1929" s="93" t="s">
        <v>369</v>
      </c>
      <c r="D1929" t="s">
        <v>3765</v>
      </c>
      <c r="E1929" t="s">
        <v>4069</v>
      </c>
      <c r="F1929" s="117" t="s">
        <v>4069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9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3748</v>
      </c>
      <c r="B1930" s="94" t="str">
        <f>IFERROR(VLOOKUP(Proc[[#This Row],[App]],Table2[],3,0),"open")</f>
        <v>ok</v>
      </c>
      <c r="C1930" s="93" t="s">
        <v>369</v>
      </c>
      <c r="D1930" t="s">
        <v>3766</v>
      </c>
      <c r="E1930" t="s">
        <v>4069</v>
      </c>
      <c r="F1930" s="117" t="s">
        <v>4069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9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3748</v>
      </c>
      <c r="B1931" s="94" t="str">
        <f>IFERROR(VLOOKUP(Proc[[#This Row],[App]],Table2[],3,0),"open")</f>
        <v>ok</v>
      </c>
      <c r="C1931" s="93" t="s">
        <v>369</v>
      </c>
      <c r="D1931" t="s">
        <v>3767</v>
      </c>
      <c r="E1931" t="s">
        <v>4069</v>
      </c>
      <c r="F1931" s="117" t="s">
        <v>4069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9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3748</v>
      </c>
      <c r="B1932" s="94" t="str">
        <f>IFERROR(VLOOKUP(Proc[[#This Row],[App]],Table2[],3,0),"open")</f>
        <v>ok</v>
      </c>
      <c r="C1932" s="93" t="s">
        <v>369</v>
      </c>
      <c r="D1932" t="s">
        <v>3768</v>
      </c>
      <c r="E1932" t="s">
        <v>4069</v>
      </c>
      <c r="F1932" s="117" t="s">
        <v>4069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9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3748</v>
      </c>
      <c r="B1933" s="94" t="str">
        <f>IFERROR(VLOOKUP(Proc[[#This Row],[App]],Table2[],3,0),"open")</f>
        <v>ok</v>
      </c>
      <c r="C1933" s="93" t="s">
        <v>369</v>
      </c>
      <c r="D1933" t="s">
        <v>3769</v>
      </c>
      <c r="E1933" t="s">
        <v>4069</v>
      </c>
      <c r="F1933" s="117" t="s">
        <v>4069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9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3748</v>
      </c>
      <c r="B1934" s="94" t="str">
        <f>IFERROR(VLOOKUP(Proc[[#This Row],[App]],Table2[],3,0),"open")</f>
        <v>ok</v>
      </c>
      <c r="C1934" s="93" t="s">
        <v>369</v>
      </c>
      <c r="D1934" t="s">
        <v>3770</v>
      </c>
      <c r="E1934" t="s">
        <v>4069</v>
      </c>
      <c r="F1934" s="117" t="s">
        <v>4069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9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3748</v>
      </c>
      <c r="B1935" s="94" t="str">
        <f>IFERROR(VLOOKUP(Proc[[#This Row],[App]],Table2[],3,0),"open")</f>
        <v>ok</v>
      </c>
      <c r="C1935" s="93" t="s">
        <v>369</v>
      </c>
      <c r="D1935" t="s">
        <v>3771</v>
      </c>
      <c r="E1935" t="s">
        <v>4069</v>
      </c>
      <c r="F1935" s="117" t="s">
        <v>4069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9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3748</v>
      </c>
      <c r="B1936" s="94" t="str">
        <f>IFERROR(VLOOKUP(Proc[[#This Row],[App]],Table2[],3,0),"open")</f>
        <v>ok</v>
      </c>
      <c r="C1936" s="93" t="s">
        <v>369</v>
      </c>
      <c r="D1936" t="s">
        <v>3772</v>
      </c>
      <c r="E1936" t="s">
        <v>4069</v>
      </c>
      <c r="F1936" s="117" t="s">
        <v>4069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9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3748</v>
      </c>
      <c r="B1937" s="94" t="str">
        <f>IFERROR(VLOOKUP(Proc[[#This Row],[App]],Table2[],3,0),"open")</f>
        <v>ok</v>
      </c>
      <c r="C1937" s="93" t="s">
        <v>369</v>
      </c>
      <c r="D1937" t="s">
        <v>3773</v>
      </c>
      <c r="E1937" t="s">
        <v>4069</v>
      </c>
      <c r="F1937" s="117" t="s">
        <v>4069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9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3748</v>
      </c>
      <c r="B1938" s="94" t="str">
        <f>IFERROR(VLOOKUP(Proc[[#This Row],[App]],Table2[],3,0),"open")</f>
        <v>ok</v>
      </c>
      <c r="C1938" s="93" t="s">
        <v>369</v>
      </c>
      <c r="D1938" t="s">
        <v>3774</v>
      </c>
      <c r="E1938" t="s">
        <v>4069</v>
      </c>
      <c r="F1938" s="117" t="s">
        <v>4069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9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3748</v>
      </c>
      <c r="B1939" s="94" t="str">
        <f>IFERROR(VLOOKUP(Proc[[#This Row],[App]],Table2[],3,0),"open")</f>
        <v>ok</v>
      </c>
      <c r="C1939" s="93" t="s">
        <v>369</v>
      </c>
      <c r="D1939" t="s">
        <v>3775</v>
      </c>
      <c r="E1939" t="s">
        <v>4069</v>
      </c>
      <c r="F1939" s="117" t="s">
        <v>4069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9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3748</v>
      </c>
      <c r="B1940" s="94" t="str">
        <f>IFERROR(VLOOKUP(Proc[[#This Row],[App]],Table2[],3,0),"open")</f>
        <v>ok</v>
      </c>
      <c r="C1940" s="93" t="s">
        <v>369</v>
      </c>
      <c r="D1940" t="s">
        <v>3776</v>
      </c>
      <c r="E1940" t="s">
        <v>4069</v>
      </c>
      <c r="F1940" s="117" t="s">
        <v>4069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9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3748</v>
      </c>
      <c r="B1941" s="94" t="str">
        <f>IFERROR(VLOOKUP(Proc[[#This Row],[App]],Table2[],3,0),"open")</f>
        <v>ok</v>
      </c>
      <c r="C1941" s="93" t="s">
        <v>369</v>
      </c>
      <c r="D1941" t="s">
        <v>3777</v>
      </c>
      <c r="E1941" t="s">
        <v>4069</v>
      </c>
      <c r="F1941" s="117" t="s">
        <v>4069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9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3748</v>
      </c>
      <c r="B1942" s="94" t="str">
        <f>IFERROR(VLOOKUP(Proc[[#This Row],[App]],Table2[],3,0),"open")</f>
        <v>ok</v>
      </c>
      <c r="C1942" s="93" t="s">
        <v>369</v>
      </c>
      <c r="D1942" t="s">
        <v>3778</v>
      </c>
      <c r="E1942" t="s">
        <v>4069</v>
      </c>
      <c r="F1942" s="117" t="s">
        <v>4069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9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3748</v>
      </c>
      <c r="B1943" s="94" t="str">
        <f>IFERROR(VLOOKUP(Proc[[#This Row],[App]],Table2[],3,0),"open")</f>
        <v>ok</v>
      </c>
      <c r="C1943" s="93" t="s">
        <v>369</v>
      </c>
      <c r="D1943" t="s">
        <v>3779</v>
      </c>
      <c r="E1943" t="s">
        <v>4069</v>
      </c>
      <c r="F1943" s="117" t="s">
        <v>4069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9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3748</v>
      </c>
      <c r="B1944" s="94" t="str">
        <f>IFERROR(VLOOKUP(Proc[[#This Row],[App]],Table2[],3,0),"open")</f>
        <v>ok</v>
      </c>
      <c r="C1944" s="93" t="s">
        <v>369</v>
      </c>
      <c r="D1944" t="s">
        <v>3780</v>
      </c>
      <c r="E1944" t="s">
        <v>4069</v>
      </c>
      <c r="F1944" s="117" t="s">
        <v>4069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9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3748</v>
      </c>
      <c r="B1945" s="94" t="str">
        <f>IFERROR(VLOOKUP(Proc[[#This Row],[App]],Table2[],3,0),"open")</f>
        <v>ok</v>
      </c>
      <c r="C1945" s="93" t="s">
        <v>369</v>
      </c>
      <c r="D1945" t="s">
        <v>3781</v>
      </c>
      <c r="E1945" t="s">
        <v>4069</v>
      </c>
      <c r="F1945" s="117" t="s">
        <v>4069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9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3748</v>
      </c>
      <c r="B1946" s="94" t="str">
        <f>IFERROR(VLOOKUP(Proc[[#This Row],[App]],Table2[],3,0),"open")</f>
        <v>ok</v>
      </c>
      <c r="C1946" s="93" t="s">
        <v>369</v>
      </c>
      <c r="D1946" t="s">
        <v>3782</v>
      </c>
      <c r="E1946" t="s">
        <v>4069</v>
      </c>
      <c r="F1946" s="117" t="s">
        <v>4069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9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3748</v>
      </c>
      <c r="B1947" s="94" t="str">
        <f>IFERROR(VLOOKUP(Proc[[#This Row],[App]],Table2[],3,0),"open")</f>
        <v>ok</v>
      </c>
      <c r="C1947" s="93" t="s">
        <v>369</v>
      </c>
      <c r="D1947" t="s">
        <v>3783</v>
      </c>
      <c r="E1947" t="s">
        <v>4069</v>
      </c>
      <c r="F1947" s="117" t="s">
        <v>4069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9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3748</v>
      </c>
      <c r="B1948" s="94" t="str">
        <f>IFERROR(VLOOKUP(Proc[[#This Row],[App]],Table2[],3,0),"open")</f>
        <v>ok</v>
      </c>
      <c r="C1948" s="93" t="s">
        <v>369</v>
      </c>
      <c r="D1948" t="s">
        <v>3784</v>
      </c>
      <c r="E1948" t="s">
        <v>4069</v>
      </c>
      <c r="F1948" s="117" t="s">
        <v>4069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9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3748</v>
      </c>
      <c r="B1949" s="94" t="str">
        <f>IFERROR(VLOOKUP(Proc[[#This Row],[App]],Table2[],3,0),"open")</f>
        <v>ok</v>
      </c>
      <c r="C1949" s="93" t="s">
        <v>369</v>
      </c>
      <c r="D1949" t="s">
        <v>3785</v>
      </c>
      <c r="E1949" t="s">
        <v>4069</v>
      </c>
      <c r="F1949" s="117" t="s">
        <v>4069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9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3748</v>
      </c>
      <c r="B1950" s="94" t="str">
        <f>IFERROR(VLOOKUP(Proc[[#This Row],[App]],Table2[],3,0),"open")</f>
        <v>ok</v>
      </c>
      <c r="C1950" s="93" t="s">
        <v>369</v>
      </c>
      <c r="D1950" t="s">
        <v>3786</v>
      </c>
      <c r="E1950" t="s">
        <v>4069</v>
      </c>
      <c r="F1950" s="117" t="s">
        <v>4069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9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3748</v>
      </c>
      <c r="B1951" s="94" t="str">
        <f>IFERROR(VLOOKUP(Proc[[#This Row],[App]],Table2[],3,0),"open")</f>
        <v>ok</v>
      </c>
      <c r="C1951" s="93" t="s">
        <v>369</v>
      </c>
      <c r="D1951" t="s">
        <v>3787</v>
      </c>
      <c r="E1951" t="s">
        <v>4069</v>
      </c>
      <c r="F1951" s="117" t="s">
        <v>4069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9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3748</v>
      </c>
      <c r="B1952" s="94" t="str">
        <f>IFERROR(VLOOKUP(Proc[[#This Row],[App]],Table2[],3,0),"open")</f>
        <v>ok</v>
      </c>
      <c r="C1952" s="93" t="s">
        <v>369</v>
      </c>
      <c r="D1952" t="s">
        <v>3788</v>
      </c>
      <c r="E1952" t="s">
        <v>4069</v>
      </c>
      <c r="F1952" s="117" t="s">
        <v>4069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9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3748</v>
      </c>
      <c r="B1953" s="94" t="str">
        <f>IFERROR(VLOOKUP(Proc[[#This Row],[App]],Table2[],3,0),"open")</f>
        <v>ok</v>
      </c>
      <c r="C1953" s="93" t="s">
        <v>369</v>
      </c>
      <c r="D1953" t="s">
        <v>3789</v>
      </c>
      <c r="E1953" t="s">
        <v>4069</v>
      </c>
      <c r="F1953" s="117" t="s">
        <v>4069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9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3748</v>
      </c>
      <c r="B1954" s="94" t="str">
        <f>IFERROR(VLOOKUP(Proc[[#This Row],[App]],Table2[],3,0),"open")</f>
        <v>ok</v>
      </c>
      <c r="C1954" s="93" t="s">
        <v>369</v>
      </c>
      <c r="D1954" t="s">
        <v>3790</v>
      </c>
      <c r="E1954" t="s">
        <v>4069</v>
      </c>
      <c r="F1954" s="117" t="s">
        <v>4069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9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3748</v>
      </c>
      <c r="B1955" s="94" t="str">
        <f>IFERROR(VLOOKUP(Proc[[#This Row],[App]],Table2[],3,0),"open")</f>
        <v>ok</v>
      </c>
      <c r="C1955" s="93" t="s">
        <v>369</v>
      </c>
      <c r="D1955" t="s">
        <v>3791</v>
      </c>
      <c r="E1955" t="s">
        <v>4069</v>
      </c>
      <c r="F1955" s="117" t="s">
        <v>4069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9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3748</v>
      </c>
      <c r="B1956" s="94" t="str">
        <f>IFERROR(VLOOKUP(Proc[[#This Row],[App]],Table2[],3,0),"open")</f>
        <v>ok</v>
      </c>
      <c r="C1956" s="93" t="s">
        <v>369</v>
      </c>
      <c r="D1956" t="s">
        <v>3792</v>
      </c>
      <c r="E1956" t="s">
        <v>4069</v>
      </c>
      <c r="F1956" s="117" t="s">
        <v>4069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9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3748</v>
      </c>
      <c r="B1957" s="94" t="str">
        <f>IFERROR(VLOOKUP(Proc[[#This Row],[App]],Table2[],3,0),"open")</f>
        <v>ok</v>
      </c>
      <c r="C1957" s="93" t="s">
        <v>369</v>
      </c>
      <c r="D1957" t="s">
        <v>3793</v>
      </c>
      <c r="E1957" t="s">
        <v>4069</v>
      </c>
      <c r="F1957" s="117" t="s">
        <v>4069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9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3748</v>
      </c>
      <c r="B1958" s="94" t="str">
        <f>IFERROR(VLOOKUP(Proc[[#This Row],[App]],Table2[],3,0),"open")</f>
        <v>ok</v>
      </c>
      <c r="C1958" s="93" t="s">
        <v>369</v>
      </c>
      <c r="D1958" t="s">
        <v>3794</v>
      </c>
      <c r="E1958" t="s">
        <v>4069</v>
      </c>
      <c r="F1958" s="117" t="s">
        <v>4069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9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3748</v>
      </c>
      <c r="B1959" s="94" t="str">
        <f>IFERROR(VLOOKUP(Proc[[#This Row],[App]],Table2[],3,0),"open")</f>
        <v>ok</v>
      </c>
      <c r="C1959" s="93" t="s">
        <v>369</v>
      </c>
      <c r="D1959" t="s">
        <v>3795</v>
      </c>
      <c r="E1959" t="s">
        <v>4069</v>
      </c>
      <c r="F1959" s="117" t="s">
        <v>4069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9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3748</v>
      </c>
      <c r="B1960" s="94" t="str">
        <f>IFERROR(VLOOKUP(Proc[[#This Row],[App]],Table2[],3,0),"open")</f>
        <v>ok</v>
      </c>
      <c r="C1960" s="93" t="s">
        <v>369</v>
      </c>
      <c r="D1960" t="s">
        <v>3796</v>
      </c>
      <c r="E1960" t="s">
        <v>4069</v>
      </c>
      <c r="F1960" s="117" t="s">
        <v>4069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9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3748</v>
      </c>
      <c r="B1961" s="94" t="str">
        <f>IFERROR(VLOOKUP(Proc[[#This Row],[App]],Table2[],3,0),"open")</f>
        <v>ok</v>
      </c>
      <c r="C1961" s="93" t="s">
        <v>369</v>
      </c>
      <c r="D1961" t="s">
        <v>3797</v>
      </c>
      <c r="E1961" t="s">
        <v>4067</v>
      </c>
      <c r="F1961" s="117" t="s">
        <v>4067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9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3748</v>
      </c>
      <c r="B1962" s="94" t="str">
        <f>IFERROR(VLOOKUP(Proc[[#This Row],[App]],Table2[],3,0),"open")</f>
        <v>ok</v>
      </c>
      <c r="C1962" s="93" t="s">
        <v>369</v>
      </c>
      <c r="D1962" t="s">
        <v>3798</v>
      </c>
      <c r="E1962" t="s">
        <v>4068</v>
      </c>
      <c r="F1962" s="117" t="s">
        <v>4068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9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3748</v>
      </c>
      <c r="B1963" s="94" t="str">
        <f>IFERROR(VLOOKUP(Proc[[#This Row],[App]],Table2[],3,0),"open")</f>
        <v>ok</v>
      </c>
      <c r="C1963" s="93" t="s">
        <v>369</v>
      </c>
      <c r="D1963" t="s">
        <v>3799</v>
      </c>
      <c r="E1963" t="s">
        <v>4069</v>
      </c>
      <c r="F1963" s="117" t="s">
        <v>4069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9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3748</v>
      </c>
      <c r="B1964" s="94" t="str">
        <f>IFERROR(VLOOKUP(Proc[[#This Row],[App]],Table2[],3,0),"open")</f>
        <v>ok</v>
      </c>
      <c r="C1964" s="93" t="s">
        <v>369</v>
      </c>
      <c r="D1964" t="s">
        <v>3800</v>
      </c>
      <c r="E1964" t="s">
        <v>4069</v>
      </c>
      <c r="F1964" s="117" t="s">
        <v>4069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9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3748</v>
      </c>
      <c r="B1965" s="94" t="str">
        <f>IFERROR(VLOOKUP(Proc[[#This Row],[App]],Table2[],3,0),"open")</f>
        <v>ok</v>
      </c>
      <c r="C1965" s="93" t="s">
        <v>369</v>
      </c>
      <c r="D1965" t="s">
        <v>3801</v>
      </c>
      <c r="E1965" t="s">
        <v>4069</v>
      </c>
      <c r="F1965" s="117" t="s">
        <v>4069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9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3748</v>
      </c>
      <c r="B1966" s="94" t="str">
        <f>IFERROR(VLOOKUP(Proc[[#This Row],[App]],Table2[],3,0),"open")</f>
        <v>ok</v>
      </c>
      <c r="C1966" s="93" t="s">
        <v>369</v>
      </c>
      <c r="D1966" t="s">
        <v>3802</v>
      </c>
      <c r="E1966" t="s">
        <v>4069</v>
      </c>
      <c r="F1966" s="117" t="s">
        <v>4069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9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3748</v>
      </c>
      <c r="B1967" s="94" t="str">
        <f>IFERROR(VLOOKUP(Proc[[#This Row],[App]],Table2[],3,0),"open")</f>
        <v>ok</v>
      </c>
      <c r="C1967" s="93" t="s">
        <v>369</v>
      </c>
      <c r="D1967" t="s">
        <v>3803</v>
      </c>
      <c r="E1967" t="s">
        <v>4069</v>
      </c>
      <c r="F1967" s="117" t="s">
        <v>4069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9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3748</v>
      </c>
      <c r="B1968" s="94" t="str">
        <f>IFERROR(VLOOKUP(Proc[[#This Row],[App]],Table2[],3,0),"open")</f>
        <v>ok</v>
      </c>
      <c r="C1968" s="93" t="s">
        <v>369</v>
      </c>
      <c r="D1968" t="s">
        <v>3804</v>
      </c>
      <c r="E1968" t="s">
        <v>4069</v>
      </c>
      <c r="F1968" s="117" t="s">
        <v>4069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9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3748</v>
      </c>
      <c r="B1969" s="94" t="str">
        <f>IFERROR(VLOOKUP(Proc[[#This Row],[App]],Table2[],3,0),"open")</f>
        <v>ok</v>
      </c>
      <c r="C1969" s="93" t="s">
        <v>369</v>
      </c>
      <c r="D1969" t="s">
        <v>3805</v>
      </c>
      <c r="E1969" t="s">
        <v>4069</v>
      </c>
      <c r="F1969" s="117" t="s">
        <v>4069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9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3748</v>
      </c>
      <c r="B1970" s="94" t="str">
        <f>IFERROR(VLOOKUP(Proc[[#This Row],[App]],Table2[],3,0),"open")</f>
        <v>ok</v>
      </c>
      <c r="C1970" s="93" t="s">
        <v>369</v>
      </c>
      <c r="D1970" t="s">
        <v>3806</v>
      </c>
      <c r="E1970" t="s">
        <v>4069</v>
      </c>
      <c r="F1970" s="117" t="s">
        <v>4069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9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3748</v>
      </c>
      <c r="B1971" s="94" t="str">
        <f>IFERROR(VLOOKUP(Proc[[#This Row],[App]],Table2[],3,0),"open")</f>
        <v>ok</v>
      </c>
      <c r="C1971" s="93" t="s">
        <v>369</v>
      </c>
      <c r="D1971" t="s">
        <v>3807</v>
      </c>
      <c r="E1971" t="s">
        <v>4069</v>
      </c>
      <c r="F1971" s="117" t="s">
        <v>4069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9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3748</v>
      </c>
      <c r="B1972" s="94" t="str">
        <f>IFERROR(VLOOKUP(Proc[[#This Row],[App]],Table2[],3,0),"open")</f>
        <v>ok</v>
      </c>
      <c r="C1972" s="93" t="s">
        <v>369</v>
      </c>
      <c r="D1972" t="s">
        <v>3808</v>
      </c>
      <c r="E1972" t="s">
        <v>4069</v>
      </c>
      <c r="F1972" s="117" t="s">
        <v>4069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9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3748</v>
      </c>
      <c r="B1973" s="94" t="str">
        <f>IFERROR(VLOOKUP(Proc[[#This Row],[App]],Table2[],3,0),"open")</f>
        <v>ok</v>
      </c>
      <c r="C1973" s="93" t="s">
        <v>369</v>
      </c>
      <c r="D1973" t="s">
        <v>3809</v>
      </c>
      <c r="E1973" t="s">
        <v>4069</v>
      </c>
      <c r="F1973" s="117" t="s">
        <v>4069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9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3748</v>
      </c>
      <c r="B1974" s="94" t="str">
        <f>IFERROR(VLOOKUP(Proc[[#This Row],[App]],Table2[],3,0),"open")</f>
        <v>ok</v>
      </c>
      <c r="C1974" s="93" t="s">
        <v>369</v>
      </c>
      <c r="D1974" t="s">
        <v>3810</v>
      </c>
      <c r="E1974" t="s">
        <v>4069</v>
      </c>
      <c r="F1974" s="117" t="s">
        <v>4069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9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3748</v>
      </c>
      <c r="B1975" s="94" t="str">
        <f>IFERROR(VLOOKUP(Proc[[#This Row],[App]],Table2[],3,0),"open")</f>
        <v>ok</v>
      </c>
      <c r="C1975" s="93" t="s">
        <v>369</v>
      </c>
      <c r="D1975" t="s">
        <v>3811</v>
      </c>
      <c r="E1975" t="s">
        <v>4069</v>
      </c>
      <c r="F1975" s="117" t="s">
        <v>4069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9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3748</v>
      </c>
      <c r="B1976" s="94" t="str">
        <f>IFERROR(VLOOKUP(Proc[[#This Row],[App]],Table2[],3,0),"open")</f>
        <v>ok</v>
      </c>
      <c r="C1976" s="93" t="s">
        <v>369</v>
      </c>
      <c r="D1976" t="s">
        <v>3812</v>
      </c>
      <c r="E1976" t="s">
        <v>4069</v>
      </c>
      <c r="F1976" s="117" t="s">
        <v>4069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9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3748</v>
      </c>
      <c r="B1977" s="94" t="str">
        <f>IFERROR(VLOOKUP(Proc[[#This Row],[App]],Table2[],3,0),"open")</f>
        <v>ok</v>
      </c>
      <c r="C1977" s="93" t="s">
        <v>369</v>
      </c>
      <c r="D1977" t="s">
        <v>3813</v>
      </c>
      <c r="E1977" t="s">
        <v>4069</v>
      </c>
      <c r="F1977" s="117" t="s">
        <v>4069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9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3748</v>
      </c>
      <c r="B1978" s="94" t="str">
        <f>IFERROR(VLOOKUP(Proc[[#This Row],[App]],Table2[],3,0),"open")</f>
        <v>ok</v>
      </c>
      <c r="C1978" s="93" t="s">
        <v>369</v>
      </c>
      <c r="D1978" t="s">
        <v>3814</v>
      </c>
      <c r="E1978" t="s">
        <v>4069</v>
      </c>
      <c r="F1978" s="117" t="s">
        <v>4069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9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3748</v>
      </c>
      <c r="B1979" s="94" t="str">
        <f>IFERROR(VLOOKUP(Proc[[#This Row],[App]],Table2[],3,0),"open")</f>
        <v>ok</v>
      </c>
      <c r="C1979" s="93" t="s">
        <v>369</v>
      </c>
      <c r="D1979" t="s">
        <v>3815</v>
      </c>
      <c r="E1979" t="s">
        <v>4069</v>
      </c>
      <c r="F1979" s="117" t="s">
        <v>4069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9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3748</v>
      </c>
      <c r="B1980" s="94" t="str">
        <f>IFERROR(VLOOKUP(Proc[[#This Row],[App]],Table2[],3,0),"open")</f>
        <v>ok</v>
      </c>
      <c r="C1980" s="93" t="s">
        <v>369</v>
      </c>
      <c r="D1980" t="s">
        <v>3816</v>
      </c>
      <c r="E1980" t="s">
        <v>4069</v>
      </c>
      <c r="F1980" s="117" t="s">
        <v>4069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9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3748</v>
      </c>
      <c r="B1981" s="94" t="str">
        <f>IFERROR(VLOOKUP(Proc[[#This Row],[App]],Table2[],3,0),"open")</f>
        <v>ok</v>
      </c>
      <c r="C1981" s="93" t="s">
        <v>369</v>
      </c>
      <c r="D1981" t="s">
        <v>3817</v>
      </c>
      <c r="E1981" t="s">
        <v>4069</v>
      </c>
      <c r="F1981" s="117" t="s">
        <v>4069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9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3748</v>
      </c>
      <c r="B1982" s="94" t="str">
        <f>IFERROR(VLOOKUP(Proc[[#This Row],[App]],Table2[],3,0),"open")</f>
        <v>ok</v>
      </c>
      <c r="C1982" s="93" t="s">
        <v>369</v>
      </c>
      <c r="D1982" t="s">
        <v>3818</v>
      </c>
      <c r="E1982" t="s">
        <v>4069</v>
      </c>
      <c r="F1982" s="117" t="s">
        <v>4069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9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3748</v>
      </c>
      <c r="B1983" s="94" t="str">
        <f>IFERROR(VLOOKUP(Proc[[#This Row],[App]],Table2[],3,0),"open")</f>
        <v>ok</v>
      </c>
      <c r="C1983" s="93" t="s">
        <v>369</v>
      </c>
      <c r="D1983" t="s">
        <v>3819</v>
      </c>
      <c r="E1983" t="s">
        <v>4069</v>
      </c>
      <c r="F1983" s="117" t="s">
        <v>4069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9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3748</v>
      </c>
      <c r="B1984" s="94" t="str">
        <f>IFERROR(VLOOKUP(Proc[[#This Row],[App]],Table2[],3,0),"open")</f>
        <v>ok</v>
      </c>
      <c r="C1984" s="93" t="s">
        <v>369</v>
      </c>
      <c r="D1984" t="s">
        <v>3820</v>
      </c>
      <c r="E1984" t="s">
        <v>4069</v>
      </c>
      <c r="F1984" s="117" t="s">
        <v>4069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9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3748</v>
      </c>
      <c r="B1985" s="94" t="str">
        <f>IFERROR(VLOOKUP(Proc[[#This Row],[App]],Table2[],3,0),"open")</f>
        <v>ok</v>
      </c>
      <c r="C1985" s="93" t="s">
        <v>369</v>
      </c>
      <c r="D1985" t="s">
        <v>3821</v>
      </c>
      <c r="E1985" t="s">
        <v>4069</v>
      </c>
      <c r="F1985" s="117" t="s">
        <v>4069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9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3748</v>
      </c>
      <c r="B1986" s="94" t="str">
        <f>IFERROR(VLOOKUP(Proc[[#This Row],[App]],Table2[],3,0),"open")</f>
        <v>ok</v>
      </c>
      <c r="C1986" s="93" t="s">
        <v>369</v>
      </c>
      <c r="D1986" t="s">
        <v>3822</v>
      </c>
      <c r="E1986" t="s">
        <v>4069</v>
      </c>
      <c r="F1986" s="117" t="s">
        <v>4069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9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3748</v>
      </c>
      <c r="B1987" s="94" t="str">
        <f>IFERROR(VLOOKUP(Proc[[#This Row],[App]],Table2[],3,0),"open")</f>
        <v>ok</v>
      </c>
      <c r="C1987" s="93" t="s">
        <v>369</v>
      </c>
      <c r="D1987" t="s">
        <v>3823</v>
      </c>
      <c r="E1987" t="s">
        <v>4069</v>
      </c>
      <c r="F1987" s="117" t="s">
        <v>4069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9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3748</v>
      </c>
      <c r="B1988" s="94" t="str">
        <f>IFERROR(VLOOKUP(Proc[[#This Row],[App]],Table2[],3,0),"open")</f>
        <v>ok</v>
      </c>
      <c r="C1988" s="93" t="s">
        <v>369</v>
      </c>
      <c r="D1988" t="s">
        <v>3824</v>
      </c>
      <c r="E1988" t="s">
        <v>4069</v>
      </c>
      <c r="F1988" s="117" t="s">
        <v>4069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9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3748</v>
      </c>
      <c r="B1989" s="94" t="str">
        <f>IFERROR(VLOOKUP(Proc[[#This Row],[App]],Table2[],3,0),"open")</f>
        <v>ok</v>
      </c>
      <c r="C1989" s="93" t="s">
        <v>369</v>
      </c>
      <c r="D1989" t="s">
        <v>3825</v>
      </c>
      <c r="E1989" t="s">
        <v>4069</v>
      </c>
      <c r="F1989" s="117" t="s">
        <v>4069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9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3748</v>
      </c>
      <c r="B1990" s="94" t="str">
        <f>IFERROR(VLOOKUP(Proc[[#This Row],[App]],Table2[],3,0),"open")</f>
        <v>ok</v>
      </c>
      <c r="C1990" s="93" t="s">
        <v>369</v>
      </c>
      <c r="D1990" t="s">
        <v>3826</v>
      </c>
      <c r="E1990" t="s">
        <v>4069</v>
      </c>
      <c r="F1990" s="117" t="s">
        <v>4069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9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3748</v>
      </c>
      <c r="B1991" s="94" t="str">
        <f>IFERROR(VLOOKUP(Proc[[#This Row],[App]],Table2[],3,0),"open")</f>
        <v>ok</v>
      </c>
      <c r="C1991" s="93" t="s">
        <v>369</v>
      </c>
      <c r="D1991" t="s">
        <v>3827</v>
      </c>
      <c r="E1991" t="s">
        <v>4069</v>
      </c>
      <c r="F1991" s="117" t="s">
        <v>4069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9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3748</v>
      </c>
      <c r="B1992" s="94" t="str">
        <f>IFERROR(VLOOKUP(Proc[[#This Row],[App]],Table2[],3,0),"open")</f>
        <v>ok</v>
      </c>
      <c r="C1992" s="93" t="s">
        <v>369</v>
      </c>
      <c r="D1992" t="s">
        <v>3828</v>
      </c>
      <c r="E1992" t="s">
        <v>4069</v>
      </c>
      <c r="F1992" s="117" t="s">
        <v>4069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9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3748</v>
      </c>
      <c r="B1993" s="94" t="str">
        <f>IFERROR(VLOOKUP(Proc[[#This Row],[App]],Table2[],3,0),"open")</f>
        <v>ok</v>
      </c>
      <c r="C1993" s="93" t="s">
        <v>369</v>
      </c>
      <c r="D1993" t="s">
        <v>3829</v>
      </c>
      <c r="E1993" t="s">
        <v>4069</v>
      </c>
      <c r="F1993" s="117" t="s">
        <v>4069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9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3748</v>
      </c>
      <c r="B1994" s="94" t="str">
        <f>IFERROR(VLOOKUP(Proc[[#This Row],[App]],Table2[],3,0),"open")</f>
        <v>ok</v>
      </c>
      <c r="C1994" s="93" t="s">
        <v>369</v>
      </c>
      <c r="D1994" t="s">
        <v>3830</v>
      </c>
      <c r="E1994" t="s">
        <v>4069</v>
      </c>
      <c r="F1994" s="117" t="s">
        <v>4069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9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3748</v>
      </c>
      <c r="B1995" s="94" t="str">
        <f>IFERROR(VLOOKUP(Proc[[#This Row],[App]],Table2[],3,0),"open")</f>
        <v>ok</v>
      </c>
      <c r="C1995" s="93" t="s">
        <v>369</v>
      </c>
      <c r="D1995" t="s">
        <v>3831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9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3748</v>
      </c>
      <c r="B1996" s="94" t="str">
        <f>IFERROR(VLOOKUP(Proc[[#This Row],[App]],Table2[],3,0),"open")</f>
        <v>ok</v>
      </c>
      <c r="C1996" s="93" t="s">
        <v>369</v>
      </c>
      <c r="D1996" t="s">
        <v>3832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9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3748</v>
      </c>
      <c r="B1997" s="94" t="str">
        <f>IFERROR(VLOOKUP(Proc[[#This Row],[App]],Table2[],3,0),"open")</f>
        <v>ok</v>
      </c>
      <c r="C1997" s="93" t="s">
        <v>369</v>
      </c>
      <c r="D1997" t="s">
        <v>3833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9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3748</v>
      </c>
      <c r="B1998" s="94" t="str">
        <f>IFERROR(VLOOKUP(Proc[[#This Row],[App]],Table2[],3,0),"open")</f>
        <v>ok</v>
      </c>
      <c r="C1998" s="93" t="s">
        <v>369</v>
      </c>
      <c r="D1998" t="s">
        <v>3834</v>
      </c>
      <c r="E1998" t="s">
        <v>4069</v>
      </c>
      <c r="F1998" s="117" t="s">
        <v>4069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9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3748</v>
      </c>
      <c r="B1999" s="94" t="str">
        <f>IFERROR(VLOOKUP(Proc[[#This Row],[App]],Table2[],3,0),"open")</f>
        <v>ok</v>
      </c>
      <c r="C1999" s="93" t="s">
        <v>369</v>
      </c>
      <c r="D1999" t="s">
        <v>3835</v>
      </c>
      <c r="E1999" t="s">
        <v>4069</v>
      </c>
      <c r="F1999" s="117" t="s">
        <v>4069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9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3748</v>
      </c>
      <c r="B2000" s="94" t="str">
        <f>IFERROR(VLOOKUP(Proc[[#This Row],[App]],Table2[],3,0),"open")</f>
        <v>ok</v>
      </c>
      <c r="C2000" s="93" t="s">
        <v>369</v>
      </c>
      <c r="D2000" t="s">
        <v>3836</v>
      </c>
      <c r="E2000" t="s">
        <v>4069</v>
      </c>
      <c r="F2000" s="117" t="s">
        <v>4069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9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3748</v>
      </c>
      <c r="B2001" s="94" t="str">
        <f>IFERROR(VLOOKUP(Proc[[#This Row],[App]],Table2[],3,0),"open")</f>
        <v>ok</v>
      </c>
      <c r="C2001" s="93" t="s">
        <v>369</v>
      </c>
      <c r="D2001" t="s">
        <v>3837</v>
      </c>
      <c r="E2001" t="s">
        <v>4069</v>
      </c>
      <c r="F2001" s="117" t="s">
        <v>4069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9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3748</v>
      </c>
      <c r="B2002" s="94" t="str">
        <f>IFERROR(VLOOKUP(Proc[[#This Row],[App]],Table2[],3,0),"open")</f>
        <v>ok</v>
      </c>
      <c r="C2002" s="93" t="s">
        <v>369</v>
      </c>
      <c r="D2002" t="s">
        <v>3838</v>
      </c>
      <c r="E2002" t="s">
        <v>4069</v>
      </c>
      <c r="F2002" s="117" t="s">
        <v>4069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9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3748</v>
      </c>
      <c r="B2003" s="94" t="str">
        <f>IFERROR(VLOOKUP(Proc[[#This Row],[App]],Table2[],3,0),"open")</f>
        <v>ok</v>
      </c>
      <c r="C2003" s="93" t="s">
        <v>369</v>
      </c>
      <c r="D2003" t="s">
        <v>3839</v>
      </c>
      <c r="E2003" t="s">
        <v>4069</v>
      </c>
      <c r="F2003" s="117" t="s">
        <v>4069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9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3748</v>
      </c>
      <c r="B2004" s="94" t="str">
        <f>IFERROR(VLOOKUP(Proc[[#This Row],[App]],Table2[],3,0),"open")</f>
        <v>ok</v>
      </c>
      <c r="C2004" s="93" t="s">
        <v>369</v>
      </c>
      <c r="D2004" t="s">
        <v>3840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9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3748</v>
      </c>
      <c r="B2005" s="94" t="str">
        <f>IFERROR(VLOOKUP(Proc[[#This Row],[App]],Table2[],3,0),"open")</f>
        <v>ok</v>
      </c>
      <c r="C2005" s="93" t="s">
        <v>369</v>
      </c>
      <c r="D2005" t="s">
        <v>3841</v>
      </c>
      <c r="E2005" t="s">
        <v>4069</v>
      </c>
      <c r="F2005" s="117" t="s">
        <v>4069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9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3748</v>
      </c>
      <c r="B2006" s="94" t="str">
        <f>IFERROR(VLOOKUP(Proc[[#This Row],[App]],Table2[],3,0),"open")</f>
        <v>ok</v>
      </c>
      <c r="C2006" s="93" t="s">
        <v>369</v>
      </c>
      <c r="D2006" t="s">
        <v>3842</v>
      </c>
      <c r="E2006" t="s">
        <v>4069</v>
      </c>
      <c r="F2006" s="117" t="s">
        <v>4069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9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3748</v>
      </c>
      <c r="B2007" s="94" t="str">
        <f>IFERROR(VLOOKUP(Proc[[#This Row],[App]],Table2[],3,0),"open")</f>
        <v>ok</v>
      </c>
      <c r="C2007" s="93" t="s">
        <v>369</v>
      </c>
      <c r="D2007" t="s">
        <v>3843</v>
      </c>
      <c r="E2007" t="s">
        <v>4069</v>
      </c>
      <c r="F2007" s="117" t="s">
        <v>4069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9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3748</v>
      </c>
      <c r="B2008" s="94" t="str">
        <f>IFERROR(VLOOKUP(Proc[[#This Row],[App]],Table2[],3,0),"open")</f>
        <v>ok</v>
      </c>
      <c r="C2008" s="93" t="s">
        <v>369</v>
      </c>
      <c r="D2008" t="s">
        <v>3844</v>
      </c>
      <c r="E2008" t="s">
        <v>4069</v>
      </c>
      <c r="F2008" s="117" t="s">
        <v>4069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9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3748</v>
      </c>
      <c r="B2009" s="94" t="str">
        <f>IFERROR(VLOOKUP(Proc[[#This Row],[App]],Table2[],3,0),"open")</f>
        <v>ok</v>
      </c>
      <c r="C2009" s="93" t="s">
        <v>369</v>
      </c>
      <c r="D2009" t="s">
        <v>3845</v>
      </c>
      <c r="E2009" t="s">
        <v>4069</v>
      </c>
      <c r="F2009" s="117" t="s">
        <v>4069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9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3748</v>
      </c>
      <c r="B2010" s="94" t="str">
        <f>IFERROR(VLOOKUP(Proc[[#This Row],[App]],Table2[],3,0),"open")</f>
        <v>ok</v>
      </c>
      <c r="C2010" s="93" t="s">
        <v>369</v>
      </c>
      <c r="D2010" t="s">
        <v>3846</v>
      </c>
      <c r="E2010" t="s">
        <v>4069</v>
      </c>
      <c r="F2010" s="117" t="s">
        <v>4069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9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3748</v>
      </c>
      <c r="B2011" s="94" t="str">
        <f>IFERROR(VLOOKUP(Proc[[#This Row],[App]],Table2[],3,0),"open")</f>
        <v>ok</v>
      </c>
      <c r="C2011" s="93" t="s">
        <v>369</v>
      </c>
      <c r="D2011" t="s">
        <v>3847</v>
      </c>
      <c r="E2011" t="s">
        <v>4069</v>
      </c>
      <c r="F2011" s="117" t="s">
        <v>4069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9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3748</v>
      </c>
      <c r="B2012" s="94" t="str">
        <f>IFERROR(VLOOKUP(Proc[[#This Row],[App]],Table2[],3,0),"open")</f>
        <v>ok</v>
      </c>
      <c r="C2012" s="93" t="s">
        <v>369</v>
      </c>
      <c r="D2012" t="s">
        <v>3848</v>
      </c>
      <c r="E2012" t="s">
        <v>4069</v>
      </c>
      <c r="F2012" s="117" t="s">
        <v>4069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9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3748</v>
      </c>
      <c r="B2013" s="94" t="str">
        <f>IFERROR(VLOOKUP(Proc[[#This Row],[App]],Table2[],3,0),"open")</f>
        <v>ok</v>
      </c>
      <c r="C2013" s="93" t="s">
        <v>369</v>
      </c>
      <c r="D2013" t="s">
        <v>3849</v>
      </c>
      <c r="E2013" t="s">
        <v>4069</v>
      </c>
      <c r="F2013" s="117" t="s">
        <v>4069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9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3748</v>
      </c>
      <c r="B2014" s="94" t="str">
        <f>IFERROR(VLOOKUP(Proc[[#This Row],[App]],Table2[],3,0),"open")</f>
        <v>ok</v>
      </c>
      <c r="C2014" s="93" t="s">
        <v>369</v>
      </c>
      <c r="D2014" t="s">
        <v>3850</v>
      </c>
      <c r="E2014" t="s">
        <v>4069</v>
      </c>
      <c r="F2014" s="117" t="s">
        <v>4069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9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3748</v>
      </c>
      <c r="B2015" s="94" t="str">
        <f>IFERROR(VLOOKUP(Proc[[#This Row],[App]],Table2[],3,0),"open")</f>
        <v>ok</v>
      </c>
      <c r="C2015" s="93" t="s">
        <v>369</v>
      </c>
      <c r="D2015" t="s">
        <v>3851</v>
      </c>
      <c r="E2015" t="s">
        <v>4069</v>
      </c>
      <c r="F2015" s="117" t="s">
        <v>4069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9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3748</v>
      </c>
      <c r="B2016" s="94" t="str">
        <f>IFERROR(VLOOKUP(Proc[[#This Row],[App]],Table2[],3,0),"open")</f>
        <v>ok</v>
      </c>
      <c r="C2016" s="93" t="s">
        <v>369</v>
      </c>
      <c r="D2016" t="s">
        <v>3852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9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3748</v>
      </c>
      <c r="B2017" s="94" t="str">
        <f>IFERROR(VLOOKUP(Proc[[#This Row],[App]],Table2[],3,0),"open")</f>
        <v>ok</v>
      </c>
      <c r="C2017" s="93" t="s">
        <v>369</v>
      </c>
      <c r="D2017" t="s">
        <v>3853</v>
      </c>
      <c r="E2017" t="s">
        <v>4069</v>
      </c>
      <c r="F2017" s="117" t="s">
        <v>4069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9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3748</v>
      </c>
      <c r="B2018" s="94" t="str">
        <f>IFERROR(VLOOKUP(Proc[[#This Row],[App]],Table2[],3,0),"open")</f>
        <v>ok</v>
      </c>
      <c r="C2018" s="93" t="s">
        <v>369</v>
      </c>
      <c r="D2018" t="s">
        <v>3854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9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3748</v>
      </c>
      <c r="B2019" s="94" t="str">
        <f>IFERROR(VLOOKUP(Proc[[#This Row],[App]],Table2[],3,0),"open")</f>
        <v>ok</v>
      </c>
      <c r="C2019" s="93" t="s">
        <v>369</v>
      </c>
      <c r="D2019" t="s">
        <v>3855</v>
      </c>
      <c r="E2019" t="s">
        <v>4069</v>
      </c>
      <c r="F2019" s="117" t="s">
        <v>4069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9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3748</v>
      </c>
      <c r="B2020" s="94" t="str">
        <f>IFERROR(VLOOKUP(Proc[[#This Row],[App]],Table2[],3,0),"open")</f>
        <v>ok</v>
      </c>
      <c r="C2020" s="93" t="s">
        <v>369</v>
      </c>
      <c r="D2020" t="s">
        <v>3856</v>
      </c>
      <c r="E2020" t="s">
        <v>4069</v>
      </c>
      <c r="F2020" s="117" t="s">
        <v>4069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9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3748</v>
      </c>
      <c r="B2021" s="94" t="str">
        <f>IFERROR(VLOOKUP(Proc[[#This Row],[App]],Table2[],3,0),"open")</f>
        <v>ok</v>
      </c>
      <c r="C2021" s="93" t="s">
        <v>369</v>
      </c>
      <c r="D2021" t="s">
        <v>3857</v>
      </c>
      <c r="E2021" t="s">
        <v>4069</v>
      </c>
      <c r="F2021" s="117" t="s">
        <v>4069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9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3748</v>
      </c>
      <c r="B2022" s="94" t="str">
        <f>IFERROR(VLOOKUP(Proc[[#This Row],[App]],Table2[],3,0),"open")</f>
        <v>ok</v>
      </c>
      <c r="C2022" s="93" t="s">
        <v>369</v>
      </c>
      <c r="D2022" t="s">
        <v>3858</v>
      </c>
      <c r="E2022" t="s">
        <v>4069</v>
      </c>
      <c r="F2022" s="117" t="s">
        <v>4069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9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3748</v>
      </c>
      <c r="B2023" s="94" t="str">
        <f>IFERROR(VLOOKUP(Proc[[#This Row],[App]],Table2[],3,0),"open")</f>
        <v>ok</v>
      </c>
      <c r="C2023" s="93" t="s">
        <v>369</v>
      </c>
      <c r="D2023" t="s">
        <v>3859</v>
      </c>
      <c r="E2023" t="s">
        <v>4069</v>
      </c>
      <c r="F2023" s="117" t="s">
        <v>4069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9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3748</v>
      </c>
      <c r="B2024" s="94" t="str">
        <f>IFERROR(VLOOKUP(Proc[[#This Row],[App]],Table2[],3,0),"open")</f>
        <v>ok</v>
      </c>
      <c r="C2024" s="93" t="s">
        <v>369</v>
      </c>
      <c r="D2024" t="s">
        <v>3860</v>
      </c>
      <c r="E2024" t="s">
        <v>4069</v>
      </c>
      <c r="F2024" s="117" t="s">
        <v>4069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9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3748</v>
      </c>
      <c r="B2025" s="94" t="str">
        <f>IFERROR(VLOOKUP(Proc[[#This Row],[App]],Table2[],3,0),"open")</f>
        <v>ok</v>
      </c>
      <c r="C2025" s="93" t="s">
        <v>369</v>
      </c>
      <c r="D2025" t="s">
        <v>3861</v>
      </c>
      <c r="E2025" t="s">
        <v>4069</v>
      </c>
      <c r="F2025" s="117" t="s">
        <v>4069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9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3748</v>
      </c>
      <c r="B2026" s="94" t="str">
        <f>IFERROR(VLOOKUP(Proc[[#This Row],[App]],Table2[],3,0),"open")</f>
        <v>ok</v>
      </c>
      <c r="C2026" s="93" t="s">
        <v>369</v>
      </c>
      <c r="D2026" t="s">
        <v>3862</v>
      </c>
      <c r="E2026" t="s">
        <v>4069</v>
      </c>
      <c r="F2026" s="117" t="s">
        <v>4069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9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3748</v>
      </c>
      <c r="B2027" s="94" t="str">
        <f>IFERROR(VLOOKUP(Proc[[#This Row],[App]],Table2[],3,0),"open")</f>
        <v>ok</v>
      </c>
      <c r="C2027" s="93" t="s">
        <v>369</v>
      </c>
      <c r="D2027" t="s">
        <v>3863</v>
      </c>
      <c r="E2027" t="s">
        <v>4069</v>
      </c>
      <c r="F2027" s="117" t="s">
        <v>4069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9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3748</v>
      </c>
      <c r="B2028" s="94" t="str">
        <f>IFERROR(VLOOKUP(Proc[[#This Row],[App]],Table2[],3,0),"open")</f>
        <v>ok</v>
      </c>
      <c r="C2028" s="93" t="s">
        <v>369</v>
      </c>
      <c r="D2028" t="s">
        <v>3864</v>
      </c>
      <c r="E2028" t="s">
        <v>4069</v>
      </c>
      <c r="F2028" s="117" t="s">
        <v>4069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9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3748</v>
      </c>
      <c r="B2029" s="94" t="str">
        <f>IFERROR(VLOOKUP(Proc[[#This Row],[App]],Table2[],3,0),"open")</f>
        <v>ok</v>
      </c>
      <c r="C2029" s="93" t="s">
        <v>369</v>
      </c>
      <c r="D2029" t="s">
        <v>3865</v>
      </c>
      <c r="E2029" t="s">
        <v>4069</v>
      </c>
      <c r="F2029" s="117" t="s">
        <v>4069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9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3748</v>
      </c>
      <c r="B2030" s="94" t="str">
        <f>IFERROR(VLOOKUP(Proc[[#This Row],[App]],Table2[],3,0),"open")</f>
        <v>ok</v>
      </c>
      <c r="C2030" s="93" t="s">
        <v>369</v>
      </c>
      <c r="D2030" t="s">
        <v>3866</v>
      </c>
      <c r="E2030" t="s">
        <v>4069</v>
      </c>
      <c r="F2030" s="117" t="s">
        <v>4069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9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3748</v>
      </c>
      <c r="B2031" s="94" t="str">
        <f>IFERROR(VLOOKUP(Proc[[#This Row],[App]],Table2[],3,0),"open")</f>
        <v>ok</v>
      </c>
      <c r="C2031" s="93" t="s">
        <v>369</v>
      </c>
      <c r="D2031" t="s">
        <v>3867</v>
      </c>
      <c r="E2031" t="s">
        <v>4069</v>
      </c>
      <c r="F2031" s="117" t="s">
        <v>4069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9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3748</v>
      </c>
      <c r="B2032" s="94" t="str">
        <f>IFERROR(VLOOKUP(Proc[[#This Row],[App]],Table2[],3,0),"open")</f>
        <v>ok</v>
      </c>
      <c r="C2032" s="93" t="s">
        <v>369</v>
      </c>
      <c r="D2032" t="s">
        <v>3868</v>
      </c>
      <c r="E2032" t="s">
        <v>4069</v>
      </c>
      <c r="F2032" s="117" t="s">
        <v>4069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9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3748</v>
      </c>
      <c r="B2033" s="94" t="str">
        <f>IFERROR(VLOOKUP(Proc[[#This Row],[App]],Table2[],3,0),"open")</f>
        <v>ok</v>
      </c>
      <c r="C2033" s="93" t="s">
        <v>369</v>
      </c>
      <c r="D2033" t="s">
        <v>3869</v>
      </c>
      <c r="E2033" t="s">
        <v>4069</v>
      </c>
      <c r="F2033" s="117" t="s">
        <v>4069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9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3748</v>
      </c>
      <c r="B2034" s="94" t="str">
        <f>IFERROR(VLOOKUP(Proc[[#This Row],[App]],Table2[],3,0),"open")</f>
        <v>ok</v>
      </c>
      <c r="C2034" s="93" t="s">
        <v>369</v>
      </c>
      <c r="D2034" t="s">
        <v>3870</v>
      </c>
      <c r="E2034" t="s">
        <v>4069</v>
      </c>
      <c r="F2034" s="117" t="s">
        <v>4069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9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3748</v>
      </c>
      <c r="B2035" s="94" t="str">
        <f>IFERROR(VLOOKUP(Proc[[#This Row],[App]],Table2[],3,0),"open")</f>
        <v>ok</v>
      </c>
      <c r="C2035" s="93" t="s">
        <v>369</v>
      </c>
      <c r="D2035" t="s">
        <v>3871</v>
      </c>
      <c r="E2035" t="s">
        <v>4069</v>
      </c>
      <c r="F2035" s="117" t="s">
        <v>4069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9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3748</v>
      </c>
      <c r="B2036" s="94" t="str">
        <f>IFERROR(VLOOKUP(Proc[[#This Row],[App]],Table2[],3,0),"open")</f>
        <v>ok</v>
      </c>
      <c r="C2036" s="93" t="s">
        <v>369</v>
      </c>
      <c r="D2036" t="s">
        <v>3872</v>
      </c>
      <c r="E2036" t="s">
        <v>4069</v>
      </c>
      <c r="F2036" s="117" t="s">
        <v>4069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9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3748</v>
      </c>
      <c r="B2037" s="94" t="str">
        <f>IFERROR(VLOOKUP(Proc[[#This Row],[App]],Table2[],3,0),"open")</f>
        <v>ok</v>
      </c>
      <c r="C2037" s="93" t="s">
        <v>369</v>
      </c>
      <c r="D2037" t="s">
        <v>3873</v>
      </c>
      <c r="E2037" t="s">
        <v>4069</v>
      </c>
      <c r="F2037" s="117" t="s">
        <v>4069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9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3748</v>
      </c>
      <c r="B2038" s="94" t="str">
        <f>IFERROR(VLOOKUP(Proc[[#This Row],[App]],Table2[],3,0),"open")</f>
        <v>ok</v>
      </c>
      <c r="C2038" s="93" t="s">
        <v>369</v>
      </c>
      <c r="D2038" t="s">
        <v>3874</v>
      </c>
      <c r="E2038" t="s">
        <v>4069</v>
      </c>
      <c r="F2038" s="117" t="s">
        <v>4069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9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3748</v>
      </c>
      <c r="B2039" s="94" t="str">
        <f>IFERROR(VLOOKUP(Proc[[#This Row],[App]],Table2[],3,0),"open")</f>
        <v>ok</v>
      </c>
      <c r="C2039" s="93" t="s">
        <v>369</v>
      </c>
      <c r="D2039" t="s">
        <v>3875</v>
      </c>
      <c r="E2039" t="s">
        <v>4069</v>
      </c>
      <c r="F2039" s="117" t="s">
        <v>4069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9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3748</v>
      </c>
      <c r="B2040" s="94" t="str">
        <f>IFERROR(VLOOKUP(Proc[[#This Row],[App]],Table2[],3,0),"open")</f>
        <v>ok</v>
      </c>
      <c r="C2040" s="93" t="s">
        <v>369</v>
      </c>
      <c r="D2040" t="s">
        <v>3876</v>
      </c>
      <c r="E2040" t="s">
        <v>4069</v>
      </c>
      <c r="F2040" s="117" t="s">
        <v>4069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9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3748</v>
      </c>
      <c r="B2041" s="94" t="str">
        <f>IFERROR(VLOOKUP(Proc[[#This Row],[App]],Table2[],3,0),"open")</f>
        <v>ok</v>
      </c>
      <c r="C2041" s="93" t="s">
        <v>369</v>
      </c>
      <c r="D2041" t="s">
        <v>3877</v>
      </c>
      <c r="E2041" t="s">
        <v>4069</v>
      </c>
      <c r="F2041" s="117" t="s">
        <v>4069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9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3748</v>
      </c>
      <c r="B2042" s="94" t="str">
        <f>IFERROR(VLOOKUP(Proc[[#This Row],[App]],Table2[],3,0),"open")</f>
        <v>ok</v>
      </c>
      <c r="C2042" s="93" t="s">
        <v>369</v>
      </c>
      <c r="D2042" t="s">
        <v>3878</v>
      </c>
      <c r="E2042" t="s">
        <v>4069</v>
      </c>
      <c r="F2042" s="117" t="s">
        <v>4069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9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3748</v>
      </c>
      <c r="B2043" s="94" t="str">
        <f>IFERROR(VLOOKUP(Proc[[#This Row],[App]],Table2[],3,0),"open")</f>
        <v>ok</v>
      </c>
      <c r="C2043" s="93" t="s">
        <v>369</v>
      </c>
      <c r="D2043" t="s">
        <v>3879</v>
      </c>
      <c r="E2043" t="s">
        <v>4069</v>
      </c>
      <c r="F2043" s="117" t="s">
        <v>4069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9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3748</v>
      </c>
      <c r="B2044" s="94" t="str">
        <f>IFERROR(VLOOKUP(Proc[[#This Row],[App]],Table2[],3,0),"open")</f>
        <v>ok</v>
      </c>
      <c r="C2044" s="93" t="s">
        <v>369</v>
      </c>
      <c r="D2044" t="s">
        <v>3880</v>
      </c>
      <c r="E2044" t="s">
        <v>4069</v>
      </c>
      <c r="F2044" s="117" t="s">
        <v>4069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9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3748</v>
      </c>
      <c r="B2045" s="94" t="str">
        <f>IFERROR(VLOOKUP(Proc[[#This Row],[App]],Table2[],3,0),"open")</f>
        <v>ok</v>
      </c>
      <c r="C2045" s="93" t="s">
        <v>369</v>
      </c>
      <c r="D2045" t="s">
        <v>3881</v>
      </c>
      <c r="E2045" t="s">
        <v>4069</v>
      </c>
      <c r="F2045" s="117" t="s">
        <v>4069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9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3748</v>
      </c>
      <c r="B2046" s="94" t="str">
        <f>IFERROR(VLOOKUP(Proc[[#This Row],[App]],Table2[],3,0),"open")</f>
        <v>ok</v>
      </c>
      <c r="C2046" s="93" t="s">
        <v>369</v>
      </c>
      <c r="D2046" t="s">
        <v>3882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9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3748</v>
      </c>
      <c r="B2047" s="94" t="str">
        <f>IFERROR(VLOOKUP(Proc[[#This Row],[App]],Table2[],3,0),"open")</f>
        <v>ok</v>
      </c>
      <c r="C2047" s="93" t="s">
        <v>369</v>
      </c>
      <c r="D2047" t="s">
        <v>3883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9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3748</v>
      </c>
      <c r="B2048" s="94" t="str">
        <f>IFERROR(VLOOKUP(Proc[[#This Row],[App]],Table2[],3,0),"open")</f>
        <v>ok</v>
      </c>
      <c r="C2048" s="93" t="s">
        <v>369</v>
      </c>
      <c r="D2048" t="s">
        <v>3884</v>
      </c>
      <c r="E2048" t="s">
        <v>4069</v>
      </c>
      <c r="F2048" s="117" t="s">
        <v>4069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9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3748</v>
      </c>
      <c r="B2049" s="94" t="str">
        <f>IFERROR(VLOOKUP(Proc[[#This Row],[App]],Table2[],3,0),"open")</f>
        <v>ok</v>
      </c>
      <c r="C2049" s="93" t="s">
        <v>369</v>
      </c>
      <c r="D2049" t="s">
        <v>3885</v>
      </c>
      <c r="E2049" t="s">
        <v>4069</v>
      </c>
      <c r="F2049" s="117" t="s">
        <v>4069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9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3748</v>
      </c>
      <c r="B2050" s="94" t="str">
        <f>IFERROR(VLOOKUP(Proc[[#This Row],[App]],Table2[],3,0),"open")</f>
        <v>ok</v>
      </c>
      <c r="C2050" s="93" t="s">
        <v>369</v>
      </c>
      <c r="D2050" t="s">
        <v>3886</v>
      </c>
      <c r="E2050" t="s">
        <v>4069</v>
      </c>
      <c r="F2050" s="117" t="s">
        <v>4069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9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3748</v>
      </c>
      <c r="B2051" s="94" t="str">
        <f>IFERROR(VLOOKUP(Proc[[#This Row],[App]],Table2[],3,0),"open")</f>
        <v>ok</v>
      </c>
      <c r="C2051" s="93" t="s">
        <v>369</v>
      </c>
      <c r="D2051" t="s">
        <v>3887</v>
      </c>
      <c r="E2051" t="s">
        <v>4069</v>
      </c>
      <c r="F2051" s="117" t="s">
        <v>4069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9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3748</v>
      </c>
      <c r="B2052" s="94" t="str">
        <f>IFERROR(VLOOKUP(Proc[[#This Row],[App]],Table2[],3,0),"open")</f>
        <v>ok</v>
      </c>
      <c r="C2052" s="93" t="s">
        <v>369</v>
      </c>
      <c r="D2052" t="s">
        <v>3888</v>
      </c>
      <c r="E2052" t="s">
        <v>4069</v>
      </c>
      <c r="F2052" s="117" t="s">
        <v>4069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9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3748</v>
      </c>
      <c r="B2053" s="94" t="str">
        <f>IFERROR(VLOOKUP(Proc[[#This Row],[App]],Table2[],3,0),"open")</f>
        <v>ok</v>
      </c>
      <c r="C2053" s="93" t="s">
        <v>369</v>
      </c>
      <c r="D2053" t="s">
        <v>3889</v>
      </c>
      <c r="E2053" t="s">
        <v>4069</v>
      </c>
      <c r="F2053" s="117" t="s">
        <v>4069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9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3748</v>
      </c>
      <c r="B2054" s="94" t="str">
        <f>IFERROR(VLOOKUP(Proc[[#This Row],[App]],Table2[],3,0),"open")</f>
        <v>ok</v>
      </c>
      <c r="C2054" s="93" t="s">
        <v>369</v>
      </c>
      <c r="D2054" t="s">
        <v>3890</v>
      </c>
      <c r="E2054" t="s">
        <v>4069</v>
      </c>
      <c r="F2054" s="117" t="s">
        <v>4069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9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3748</v>
      </c>
      <c r="B2055" s="94" t="str">
        <f>IFERROR(VLOOKUP(Proc[[#This Row],[App]],Table2[],3,0),"open")</f>
        <v>ok</v>
      </c>
      <c r="C2055" s="93" t="s">
        <v>369</v>
      </c>
      <c r="D2055" t="s">
        <v>3891</v>
      </c>
      <c r="E2055" t="s">
        <v>4069</v>
      </c>
      <c r="F2055" s="117" t="s">
        <v>4069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9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3748</v>
      </c>
      <c r="B2056" s="94" t="str">
        <f>IFERROR(VLOOKUP(Proc[[#This Row],[App]],Table2[],3,0),"open")</f>
        <v>ok</v>
      </c>
      <c r="C2056" s="93" t="s">
        <v>369</v>
      </c>
      <c r="D2056" t="s">
        <v>3892</v>
      </c>
      <c r="E2056" t="s">
        <v>4069</v>
      </c>
      <c r="F2056" s="117" t="s">
        <v>4069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9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3748</v>
      </c>
      <c r="B2057" s="94" t="str">
        <f>IFERROR(VLOOKUP(Proc[[#This Row],[App]],Table2[],3,0),"open")</f>
        <v>ok</v>
      </c>
      <c r="C2057" s="93" t="s">
        <v>369</v>
      </c>
      <c r="D2057" t="s">
        <v>3893</v>
      </c>
      <c r="E2057" t="s">
        <v>4069</v>
      </c>
      <c r="F2057" s="117" t="s">
        <v>4069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9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3748</v>
      </c>
      <c r="B2058" s="94" t="str">
        <f>IFERROR(VLOOKUP(Proc[[#This Row],[App]],Table2[],3,0),"open")</f>
        <v>ok</v>
      </c>
      <c r="C2058" s="93" t="s">
        <v>369</v>
      </c>
      <c r="D2058" t="s">
        <v>3894</v>
      </c>
      <c r="E2058" t="s">
        <v>4069</v>
      </c>
      <c r="F2058" s="117" t="s">
        <v>4069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9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3748</v>
      </c>
      <c r="B2059" s="94" t="str">
        <f>IFERROR(VLOOKUP(Proc[[#This Row],[App]],Table2[],3,0),"open")</f>
        <v>ok</v>
      </c>
      <c r="C2059" s="93" t="s">
        <v>369</v>
      </c>
      <c r="D2059" t="s">
        <v>3895</v>
      </c>
      <c r="E2059" t="s">
        <v>4069</v>
      </c>
      <c r="F2059" s="117" t="s">
        <v>4069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9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3748</v>
      </c>
      <c r="B2060" s="94" t="str">
        <f>IFERROR(VLOOKUP(Proc[[#This Row],[App]],Table2[],3,0),"open")</f>
        <v>ok</v>
      </c>
      <c r="C2060" s="93" t="s">
        <v>369</v>
      </c>
      <c r="D2060" t="s">
        <v>3896</v>
      </c>
      <c r="E2060" t="s">
        <v>4069</v>
      </c>
      <c r="F2060" s="117" t="s">
        <v>4069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9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3748</v>
      </c>
      <c r="B2061" s="94" t="str">
        <f>IFERROR(VLOOKUP(Proc[[#This Row],[App]],Table2[],3,0),"open")</f>
        <v>ok</v>
      </c>
      <c r="C2061" s="93" t="s">
        <v>369</v>
      </c>
      <c r="D2061" t="s">
        <v>3897</v>
      </c>
      <c r="E2061" t="s">
        <v>4069</v>
      </c>
      <c r="F2061" s="117" t="s">
        <v>4069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9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3748</v>
      </c>
      <c r="B2062" s="94" t="str">
        <f>IFERROR(VLOOKUP(Proc[[#This Row],[App]],Table2[],3,0),"open")</f>
        <v>ok</v>
      </c>
      <c r="C2062" s="93" t="s">
        <v>369</v>
      </c>
      <c r="D2062" t="s">
        <v>3898</v>
      </c>
      <c r="E2062" t="s">
        <v>4069</v>
      </c>
      <c r="F2062" s="117" t="s">
        <v>4069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9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3748</v>
      </c>
      <c r="B2063" s="94" t="str">
        <f>IFERROR(VLOOKUP(Proc[[#This Row],[App]],Table2[],3,0),"open")</f>
        <v>ok</v>
      </c>
      <c r="C2063" s="93" t="s">
        <v>369</v>
      </c>
      <c r="D2063" t="s">
        <v>3899</v>
      </c>
      <c r="E2063" t="s">
        <v>4069</v>
      </c>
      <c r="F2063" s="117" t="s">
        <v>4069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9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3748</v>
      </c>
      <c r="B2064" s="94" t="str">
        <f>IFERROR(VLOOKUP(Proc[[#This Row],[App]],Table2[],3,0),"open")</f>
        <v>ok</v>
      </c>
      <c r="C2064" s="93" t="s">
        <v>369</v>
      </c>
      <c r="D2064" t="s">
        <v>3900</v>
      </c>
      <c r="E2064" t="s">
        <v>4069</v>
      </c>
      <c r="F2064" s="117" t="s">
        <v>4069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9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3748</v>
      </c>
      <c r="B2065" s="94" t="str">
        <f>IFERROR(VLOOKUP(Proc[[#This Row],[App]],Table2[],3,0),"open")</f>
        <v>ok</v>
      </c>
      <c r="C2065" s="93" t="s">
        <v>369</v>
      </c>
      <c r="D2065" t="s">
        <v>3901</v>
      </c>
      <c r="E2065" t="s">
        <v>4069</v>
      </c>
      <c r="F2065" s="117" t="s">
        <v>4069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9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3748</v>
      </c>
      <c r="B2066" s="94" t="str">
        <f>IFERROR(VLOOKUP(Proc[[#This Row],[App]],Table2[],3,0),"open")</f>
        <v>ok</v>
      </c>
      <c r="C2066" s="93" t="s">
        <v>369</v>
      </c>
      <c r="D2066" t="s">
        <v>3902</v>
      </c>
      <c r="E2066" t="s">
        <v>4069</v>
      </c>
      <c r="F2066" s="117" t="s">
        <v>4069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9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3748</v>
      </c>
      <c r="B2067" s="94" t="str">
        <f>IFERROR(VLOOKUP(Proc[[#This Row],[App]],Table2[],3,0),"open")</f>
        <v>ok</v>
      </c>
      <c r="C2067" s="93" t="s">
        <v>369</v>
      </c>
      <c r="D2067" t="s">
        <v>3903</v>
      </c>
      <c r="E2067" t="s">
        <v>4069</v>
      </c>
      <c r="F2067" s="117" t="s">
        <v>4069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9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3748</v>
      </c>
      <c r="B2068" s="94" t="str">
        <f>IFERROR(VLOOKUP(Proc[[#This Row],[App]],Table2[],3,0),"open")</f>
        <v>ok</v>
      </c>
      <c r="C2068" s="93" t="s">
        <v>369</v>
      </c>
      <c r="D2068" t="s">
        <v>3904</v>
      </c>
      <c r="E2068" t="s">
        <v>4069</v>
      </c>
      <c r="F2068" s="117" t="s">
        <v>4069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9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3748</v>
      </c>
      <c r="B2069" s="94" t="str">
        <f>IFERROR(VLOOKUP(Proc[[#This Row],[App]],Table2[],3,0),"open")</f>
        <v>ok</v>
      </c>
      <c r="C2069" s="93" t="s">
        <v>369</v>
      </c>
      <c r="D2069" t="s">
        <v>3905</v>
      </c>
      <c r="E2069" t="s">
        <v>4069</v>
      </c>
      <c r="F2069" s="117" t="s">
        <v>4069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9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3748</v>
      </c>
      <c r="B2070" s="94" t="str">
        <f>IFERROR(VLOOKUP(Proc[[#This Row],[App]],Table2[],3,0),"open")</f>
        <v>ok</v>
      </c>
      <c r="C2070" s="93" t="s">
        <v>369</v>
      </c>
      <c r="D2070" t="s">
        <v>3906</v>
      </c>
      <c r="E2070" t="s">
        <v>4069</v>
      </c>
      <c r="F2070" s="117" t="s">
        <v>4069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9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3748</v>
      </c>
      <c r="B2071" s="94" t="str">
        <f>IFERROR(VLOOKUP(Proc[[#This Row],[App]],Table2[],3,0),"open")</f>
        <v>ok</v>
      </c>
      <c r="C2071" s="93" t="s">
        <v>369</v>
      </c>
      <c r="D2071" t="s">
        <v>3907</v>
      </c>
      <c r="E2071" t="s">
        <v>4069</v>
      </c>
      <c r="F2071" s="117" t="s">
        <v>4069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9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3748</v>
      </c>
      <c r="B2072" s="94" t="str">
        <f>IFERROR(VLOOKUP(Proc[[#This Row],[App]],Table2[],3,0),"open")</f>
        <v>ok</v>
      </c>
      <c r="C2072" s="93" t="s">
        <v>369</v>
      </c>
      <c r="D2072" t="s">
        <v>3908</v>
      </c>
      <c r="E2072" t="s">
        <v>4069</v>
      </c>
      <c r="F2072" s="117" t="s">
        <v>4069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9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3748</v>
      </c>
      <c r="B2073" s="94" t="str">
        <f>IFERROR(VLOOKUP(Proc[[#This Row],[App]],Table2[],3,0),"open")</f>
        <v>ok</v>
      </c>
      <c r="C2073" s="93" t="s">
        <v>369</v>
      </c>
      <c r="D2073" t="s">
        <v>3909</v>
      </c>
      <c r="E2073" t="s">
        <v>4069</v>
      </c>
      <c r="F2073" s="117" t="s">
        <v>4069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9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3748</v>
      </c>
      <c r="B2074" s="94" t="str">
        <f>IFERROR(VLOOKUP(Proc[[#This Row],[App]],Table2[],3,0),"open")</f>
        <v>ok</v>
      </c>
      <c r="C2074" s="93" t="s">
        <v>369</v>
      </c>
      <c r="D2074" t="s">
        <v>3910</v>
      </c>
      <c r="E2074" t="s">
        <v>4069</v>
      </c>
      <c r="F2074" s="117" t="s">
        <v>4069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9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3748</v>
      </c>
      <c r="B2075" s="94" t="str">
        <f>IFERROR(VLOOKUP(Proc[[#This Row],[App]],Table2[],3,0),"open")</f>
        <v>ok</v>
      </c>
      <c r="C2075" s="93" t="s">
        <v>369</v>
      </c>
      <c r="D2075" t="s">
        <v>3911</v>
      </c>
      <c r="E2075" t="s">
        <v>4069</v>
      </c>
      <c r="F2075" s="117" t="s">
        <v>4069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9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3748</v>
      </c>
      <c r="B2076" s="94" t="str">
        <f>IFERROR(VLOOKUP(Proc[[#This Row],[App]],Table2[],3,0),"open")</f>
        <v>ok</v>
      </c>
      <c r="C2076" s="93" t="s">
        <v>369</v>
      </c>
      <c r="D2076" t="s">
        <v>3912</v>
      </c>
      <c r="E2076" t="s">
        <v>4069</v>
      </c>
      <c r="F2076" s="117" t="s">
        <v>4069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9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3748</v>
      </c>
      <c r="B2077" s="94" t="str">
        <f>IFERROR(VLOOKUP(Proc[[#This Row],[App]],Table2[],3,0),"open")</f>
        <v>ok</v>
      </c>
      <c r="C2077" s="93" t="s">
        <v>369</v>
      </c>
      <c r="D2077" t="s">
        <v>3913</v>
      </c>
      <c r="E2077" t="s">
        <v>4069</v>
      </c>
      <c r="F2077" s="117" t="s">
        <v>4069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9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3748</v>
      </c>
      <c r="B2078" s="94" t="str">
        <f>IFERROR(VLOOKUP(Proc[[#This Row],[App]],Table2[],3,0),"open")</f>
        <v>ok</v>
      </c>
      <c r="C2078" s="93" t="s">
        <v>369</v>
      </c>
      <c r="D2078" t="s">
        <v>3914</v>
      </c>
      <c r="E2078" t="s">
        <v>4069</v>
      </c>
      <c r="F2078" s="117" t="s">
        <v>4069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9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3748</v>
      </c>
      <c r="B2079" s="94" t="str">
        <f>IFERROR(VLOOKUP(Proc[[#This Row],[App]],Table2[],3,0),"open")</f>
        <v>ok</v>
      </c>
      <c r="C2079" s="93" t="s">
        <v>369</v>
      </c>
      <c r="D2079" t="s">
        <v>3915</v>
      </c>
      <c r="E2079" t="s">
        <v>4069</v>
      </c>
      <c r="F2079" s="117" t="s">
        <v>4069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9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3748</v>
      </c>
      <c r="B2080" s="94" t="str">
        <f>IFERROR(VLOOKUP(Proc[[#This Row],[App]],Table2[],3,0),"open")</f>
        <v>ok</v>
      </c>
      <c r="C2080" s="93" t="s">
        <v>369</v>
      </c>
      <c r="D2080" t="s">
        <v>3916</v>
      </c>
      <c r="E2080" t="s">
        <v>4069</v>
      </c>
      <c r="F2080" s="117" t="s">
        <v>4069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9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3748</v>
      </c>
      <c r="B2081" s="94" t="str">
        <f>IFERROR(VLOOKUP(Proc[[#This Row],[App]],Table2[],3,0),"open")</f>
        <v>ok</v>
      </c>
      <c r="C2081" s="93" t="s">
        <v>369</v>
      </c>
      <c r="D2081" t="s">
        <v>3917</v>
      </c>
      <c r="E2081" t="s">
        <v>4069</v>
      </c>
      <c r="F2081" s="117" t="s">
        <v>4069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9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3748</v>
      </c>
      <c r="B2082" s="94" t="str">
        <f>IFERROR(VLOOKUP(Proc[[#This Row],[App]],Table2[],3,0),"open")</f>
        <v>ok</v>
      </c>
      <c r="C2082" s="93" t="s">
        <v>369</v>
      </c>
      <c r="D2082" t="s">
        <v>3918</v>
      </c>
      <c r="E2082" t="s">
        <v>4069</v>
      </c>
      <c r="F2082" s="117" t="s">
        <v>4069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9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3748</v>
      </c>
      <c r="B2083" s="94" t="str">
        <f>IFERROR(VLOOKUP(Proc[[#This Row],[App]],Table2[],3,0),"open")</f>
        <v>ok</v>
      </c>
      <c r="C2083" s="93" t="s">
        <v>369</v>
      </c>
      <c r="D2083" t="s">
        <v>3919</v>
      </c>
      <c r="E2083" t="s">
        <v>4069</v>
      </c>
      <c r="F2083" s="117" t="s">
        <v>4069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9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3748</v>
      </c>
      <c r="B2084" s="94" t="str">
        <f>IFERROR(VLOOKUP(Proc[[#This Row],[App]],Table2[],3,0),"open")</f>
        <v>ok</v>
      </c>
      <c r="C2084" s="93" t="s">
        <v>369</v>
      </c>
      <c r="D2084" t="s">
        <v>3920</v>
      </c>
      <c r="E2084" t="s">
        <v>4069</v>
      </c>
      <c r="F2084" s="117" t="s">
        <v>4069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9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3748</v>
      </c>
      <c r="B2085" s="94" t="str">
        <f>IFERROR(VLOOKUP(Proc[[#This Row],[App]],Table2[],3,0),"open")</f>
        <v>ok</v>
      </c>
      <c r="C2085" s="93" t="s">
        <v>369</v>
      </c>
      <c r="D2085" t="s">
        <v>3921</v>
      </c>
      <c r="E2085" t="s">
        <v>4069</v>
      </c>
      <c r="F2085" s="117" t="s">
        <v>4069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9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3748</v>
      </c>
      <c r="B2086" s="94" t="str">
        <f>IFERROR(VLOOKUP(Proc[[#This Row],[App]],Table2[],3,0),"open")</f>
        <v>ok</v>
      </c>
      <c r="C2086" s="93" t="s">
        <v>369</v>
      </c>
      <c r="D2086" t="s">
        <v>3922</v>
      </c>
      <c r="E2086" t="s">
        <v>4069</v>
      </c>
      <c r="F2086" s="117" t="s">
        <v>4069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9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3748</v>
      </c>
      <c r="B2087" s="94" t="str">
        <f>IFERROR(VLOOKUP(Proc[[#This Row],[App]],Table2[],3,0),"open")</f>
        <v>ok</v>
      </c>
      <c r="C2087" s="93" t="s">
        <v>369</v>
      </c>
      <c r="D2087" t="s">
        <v>3923</v>
      </c>
      <c r="E2087" t="s">
        <v>4069</v>
      </c>
      <c r="F2087" s="117" t="s">
        <v>4069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9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3748</v>
      </c>
      <c r="B2088" s="94" t="str">
        <f>IFERROR(VLOOKUP(Proc[[#This Row],[App]],Table2[],3,0),"open")</f>
        <v>ok</v>
      </c>
      <c r="C2088" s="93" t="s">
        <v>369</v>
      </c>
      <c r="D2088" t="s">
        <v>3924</v>
      </c>
      <c r="E2088" t="s">
        <v>4069</v>
      </c>
      <c r="F2088" s="117" t="s">
        <v>4069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9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3748</v>
      </c>
      <c r="B2089" s="94" t="str">
        <f>IFERROR(VLOOKUP(Proc[[#This Row],[App]],Table2[],3,0),"open")</f>
        <v>ok</v>
      </c>
      <c r="C2089" s="93" t="s">
        <v>369</v>
      </c>
      <c r="D2089" t="s">
        <v>3925</v>
      </c>
      <c r="E2089" t="s">
        <v>4069</v>
      </c>
      <c r="F2089" s="117" t="s">
        <v>4069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9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3748</v>
      </c>
      <c r="B2090" s="94" t="str">
        <f>IFERROR(VLOOKUP(Proc[[#This Row],[App]],Table2[],3,0),"open")</f>
        <v>ok</v>
      </c>
      <c r="C2090" s="93" t="s">
        <v>369</v>
      </c>
      <c r="D2090" t="s">
        <v>3926</v>
      </c>
      <c r="E2090" t="s">
        <v>4069</v>
      </c>
      <c r="F2090" s="117" t="s">
        <v>4069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9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3748</v>
      </c>
      <c r="B2091" s="94" t="str">
        <f>IFERROR(VLOOKUP(Proc[[#This Row],[App]],Table2[],3,0),"open")</f>
        <v>ok</v>
      </c>
      <c r="C2091" s="93" t="s">
        <v>369</v>
      </c>
      <c r="D2091" t="s">
        <v>3927</v>
      </c>
      <c r="E2091" t="s">
        <v>4069</v>
      </c>
      <c r="F2091" s="117" t="s">
        <v>4069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9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3748</v>
      </c>
      <c r="B2092" s="94" t="str">
        <f>IFERROR(VLOOKUP(Proc[[#This Row],[App]],Table2[],3,0),"open")</f>
        <v>ok</v>
      </c>
      <c r="C2092" s="93" t="s">
        <v>369</v>
      </c>
      <c r="D2092" t="s">
        <v>3928</v>
      </c>
      <c r="E2092" t="s">
        <v>4069</v>
      </c>
      <c r="F2092" s="117" t="s">
        <v>4069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9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3748</v>
      </c>
      <c r="B2093" s="94" t="str">
        <f>IFERROR(VLOOKUP(Proc[[#This Row],[App]],Table2[],3,0),"open")</f>
        <v>ok</v>
      </c>
      <c r="C2093" s="93" t="s">
        <v>369</v>
      </c>
      <c r="D2093" t="s">
        <v>3929</v>
      </c>
      <c r="E2093" t="s">
        <v>4069</v>
      </c>
      <c r="F2093" s="117" t="s">
        <v>4069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9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3748</v>
      </c>
      <c r="B2094" s="94" t="str">
        <f>IFERROR(VLOOKUP(Proc[[#This Row],[App]],Table2[],3,0),"open")</f>
        <v>ok</v>
      </c>
      <c r="C2094" s="93" t="s">
        <v>369</v>
      </c>
      <c r="D2094" t="s">
        <v>3930</v>
      </c>
      <c r="E2094" t="s">
        <v>4069</v>
      </c>
      <c r="F2094" s="117" t="s">
        <v>4069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9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3748</v>
      </c>
      <c r="B2095" s="94" t="str">
        <f>IFERROR(VLOOKUP(Proc[[#This Row],[App]],Table2[],3,0),"open")</f>
        <v>ok</v>
      </c>
      <c r="C2095" s="93" t="s">
        <v>369</v>
      </c>
      <c r="D2095" t="s">
        <v>3931</v>
      </c>
      <c r="E2095" t="s">
        <v>4069</v>
      </c>
      <c r="F2095" s="117" t="s">
        <v>4069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9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3748</v>
      </c>
      <c r="B2096" s="94" t="str">
        <f>IFERROR(VLOOKUP(Proc[[#This Row],[App]],Table2[],3,0),"open")</f>
        <v>ok</v>
      </c>
      <c r="C2096" s="93" t="s">
        <v>369</v>
      </c>
      <c r="D2096" t="s">
        <v>3932</v>
      </c>
      <c r="E2096" t="s">
        <v>4069</v>
      </c>
      <c r="F2096" s="117" t="s">
        <v>4069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9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3748</v>
      </c>
      <c r="B2097" s="94" t="str">
        <f>IFERROR(VLOOKUP(Proc[[#This Row],[App]],Table2[],3,0),"open")</f>
        <v>ok</v>
      </c>
      <c r="C2097" s="93" t="s">
        <v>369</v>
      </c>
      <c r="D2097" t="s">
        <v>3933</v>
      </c>
      <c r="E2097" t="s">
        <v>4069</v>
      </c>
      <c r="F2097" s="117" t="s">
        <v>4069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9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3748</v>
      </c>
      <c r="B2098" s="94" t="str">
        <f>IFERROR(VLOOKUP(Proc[[#This Row],[App]],Table2[],3,0),"open")</f>
        <v>ok</v>
      </c>
      <c r="C2098" s="93" t="s">
        <v>369</v>
      </c>
      <c r="D2098" t="s">
        <v>3934</v>
      </c>
      <c r="E2098" t="s">
        <v>4069</v>
      </c>
      <c r="F2098" s="117" t="s">
        <v>4069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9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3748</v>
      </c>
      <c r="B2099" s="94" t="str">
        <f>IFERROR(VLOOKUP(Proc[[#This Row],[App]],Table2[],3,0),"open")</f>
        <v>ok</v>
      </c>
      <c r="C2099" s="93" t="s">
        <v>369</v>
      </c>
      <c r="D2099" t="s">
        <v>3935</v>
      </c>
      <c r="E2099" t="s">
        <v>4069</v>
      </c>
      <c r="F2099" s="117" t="s">
        <v>4069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9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3748</v>
      </c>
      <c r="B2100" s="94" t="str">
        <f>IFERROR(VLOOKUP(Proc[[#This Row],[App]],Table2[],3,0),"open")</f>
        <v>ok</v>
      </c>
      <c r="C2100" s="93" t="s">
        <v>369</v>
      </c>
      <c r="D2100" t="s">
        <v>3936</v>
      </c>
      <c r="E2100" t="s">
        <v>4069</v>
      </c>
      <c r="F2100" s="117" t="s">
        <v>4069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9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3748</v>
      </c>
      <c r="B2101" s="94" t="str">
        <f>IFERROR(VLOOKUP(Proc[[#This Row],[App]],Table2[],3,0),"open")</f>
        <v>ok</v>
      </c>
      <c r="C2101" s="93" t="s">
        <v>369</v>
      </c>
      <c r="D2101" t="s">
        <v>3937</v>
      </c>
      <c r="E2101" t="s">
        <v>4069</v>
      </c>
      <c r="F2101" s="117" t="s">
        <v>4069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9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3748</v>
      </c>
      <c r="B2102" s="94" t="str">
        <f>IFERROR(VLOOKUP(Proc[[#This Row],[App]],Table2[],3,0),"open")</f>
        <v>ok</v>
      </c>
      <c r="C2102" s="93" t="s">
        <v>369</v>
      </c>
      <c r="D2102" t="s">
        <v>3938</v>
      </c>
      <c r="E2102" t="s">
        <v>4069</v>
      </c>
      <c r="F2102" s="117" t="s">
        <v>4069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9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3748</v>
      </c>
      <c r="B2103" s="94" t="str">
        <f>IFERROR(VLOOKUP(Proc[[#This Row],[App]],Table2[],3,0),"open")</f>
        <v>ok</v>
      </c>
      <c r="C2103" s="93" t="s">
        <v>369</v>
      </c>
      <c r="D2103" t="s">
        <v>3939</v>
      </c>
      <c r="E2103" t="s">
        <v>4069</v>
      </c>
      <c r="F2103" s="117" t="s">
        <v>4069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9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3748</v>
      </c>
      <c r="B2104" s="94" t="str">
        <f>IFERROR(VLOOKUP(Proc[[#This Row],[App]],Table2[],3,0),"open")</f>
        <v>ok</v>
      </c>
      <c r="C2104" s="93" t="s">
        <v>369</v>
      </c>
      <c r="D2104" t="s">
        <v>3940</v>
      </c>
      <c r="E2104" t="s">
        <v>4069</v>
      </c>
      <c r="F2104" s="117" t="s">
        <v>4069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9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3748</v>
      </c>
      <c r="B2105" s="94" t="str">
        <f>IFERROR(VLOOKUP(Proc[[#This Row],[App]],Table2[],3,0),"open")</f>
        <v>ok</v>
      </c>
      <c r="C2105" s="93" t="s">
        <v>369</v>
      </c>
      <c r="D2105" t="s">
        <v>3941</v>
      </c>
      <c r="E2105" t="s">
        <v>4069</v>
      </c>
      <c r="F2105" s="117" t="s">
        <v>4069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9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3748</v>
      </c>
      <c r="B2106" s="94" t="str">
        <f>IFERROR(VLOOKUP(Proc[[#This Row],[App]],Table2[],3,0),"open")</f>
        <v>ok</v>
      </c>
      <c r="C2106" s="93" t="s">
        <v>369</v>
      </c>
      <c r="D2106" t="s">
        <v>3942</v>
      </c>
      <c r="E2106" t="s">
        <v>4069</v>
      </c>
      <c r="F2106" s="117" t="s">
        <v>4069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9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3748</v>
      </c>
      <c r="B2107" s="94" t="str">
        <f>IFERROR(VLOOKUP(Proc[[#This Row],[App]],Table2[],3,0),"open")</f>
        <v>ok</v>
      </c>
      <c r="C2107" s="93" t="s">
        <v>369</v>
      </c>
      <c r="D2107" t="s">
        <v>3943</v>
      </c>
      <c r="E2107" t="s">
        <v>4069</v>
      </c>
      <c r="F2107" s="117" t="s">
        <v>4069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9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3748</v>
      </c>
      <c r="B2108" s="94" t="str">
        <f>IFERROR(VLOOKUP(Proc[[#This Row],[App]],Table2[],3,0),"open")</f>
        <v>ok</v>
      </c>
      <c r="C2108" s="93" t="s">
        <v>369</v>
      </c>
      <c r="D2108" t="s">
        <v>3944</v>
      </c>
      <c r="E2108" t="s">
        <v>4069</v>
      </c>
      <c r="F2108" s="117" t="s">
        <v>4069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9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3748</v>
      </c>
      <c r="B2109" s="94" t="str">
        <f>IFERROR(VLOOKUP(Proc[[#This Row],[App]],Table2[],3,0),"open")</f>
        <v>ok</v>
      </c>
      <c r="C2109" s="93" t="s">
        <v>369</v>
      </c>
      <c r="D2109" t="s">
        <v>3945</v>
      </c>
      <c r="E2109" t="s">
        <v>4069</v>
      </c>
      <c r="F2109" s="117" t="s">
        <v>4069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9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3748</v>
      </c>
      <c r="B2110" s="94" t="str">
        <f>IFERROR(VLOOKUP(Proc[[#This Row],[App]],Table2[],3,0),"open")</f>
        <v>ok</v>
      </c>
      <c r="C2110" s="93" t="s">
        <v>369</v>
      </c>
      <c r="D2110" t="s">
        <v>3946</v>
      </c>
      <c r="E2110" t="s">
        <v>4069</v>
      </c>
      <c r="F2110" s="117" t="s">
        <v>4069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9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3748</v>
      </c>
      <c r="B2111" s="94" t="str">
        <f>IFERROR(VLOOKUP(Proc[[#This Row],[App]],Table2[],3,0),"open")</f>
        <v>ok</v>
      </c>
      <c r="C2111" s="93" t="s">
        <v>369</v>
      </c>
      <c r="D2111" t="s">
        <v>3947</v>
      </c>
      <c r="E2111" t="s">
        <v>4069</v>
      </c>
      <c r="F2111" s="117" t="s">
        <v>4069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9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3748</v>
      </c>
      <c r="B2112" s="94" t="str">
        <f>IFERROR(VLOOKUP(Proc[[#This Row],[App]],Table2[],3,0),"open")</f>
        <v>ok</v>
      </c>
      <c r="C2112" s="93" t="s">
        <v>369</v>
      </c>
      <c r="D2112" t="s">
        <v>3948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9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3748</v>
      </c>
      <c r="B2113" s="94" t="str">
        <f>IFERROR(VLOOKUP(Proc[[#This Row],[App]],Table2[],3,0),"open")</f>
        <v>ok</v>
      </c>
      <c r="C2113" s="93" t="s">
        <v>369</v>
      </c>
      <c r="D2113" t="s">
        <v>3949</v>
      </c>
      <c r="E2113" t="s">
        <v>4069</v>
      </c>
      <c r="F2113" s="117" t="s">
        <v>4069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9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3748</v>
      </c>
      <c r="B2114" s="94" t="str">
        <f>IFERROR(VLOOKUP(Proc[[#This Row],[App]],Table2[],3,0),"open")</f>
        <v>ok</v>
      </c>
      <c r="C2114" s="93" t="s">
        <v>369</v>
      </c>
      <c r="D2114" t="s">
        <v>3950</v>
      </c>
      <c r="E2114" t="s">
        <v>4069</v>
      </c>
      <c r="F2114" s="117" t="s">
        <v>4069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9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3748</v>
      </c>
      <c r="B2115" s="94" t="str">
        <f>IFERROR(VLOOKUP(Proc[[#This Row],[App]],Table2[],3,0),"open")</f>
        <v>ok</v>
      </c>
      <c r="C2115" s="93" t="s">
        <v>369</v>
      </c>
      <c r="D2115" t="s">
        <v>3951</v>
      </c>
      <c r="E2115" t="s">
        <v>4069</v>
      </c>
      <c r="F2115" s="117" t="s">
        <v>4069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9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3748</v>
      </c>
      <c r="B2116" s="94" t="str">
        <f>IFERROR(VLOOKUP(Proc[[#This Row],[App]],Table2[],3,0),"open")</f>
        <v>ok</v>
      </c>
      <c r="C2116" s="93" t="s">
        <v>369</v>
      </c>
      <c r="D2116" t="s">
        <v>3952</v>
      </c>
      <c r="E2116" t="s">
        <v>4069</v>
      </c>
      <c r="F2116" s="117" t="s">
        <v>4069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9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3748</v>
      </c>
      <c r="B2117" s="94" t="str">
        <f>IFERROR(VLOOKUP(Proc[[#This Row],[App]],Table2[],3,0),"open")</f>
        <v>ok</v>
      </c>
      <c r="C2117" s="93" t="s">
        <v>369</v>
      </c>
      <c r="D2117" t="s">
        <v>3953</v>
      </c>
      <c r="E2117" t="s">
        <v>4069</v>
      </c>
      <c r="F2117" s="117" t="s">
        <v>4069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9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3748</v>
      </c>
      <c r="B2118" s="94" t="str">
        <f>IFERROR(VLOOKUP(Proc[[#This Row],[App]],Table2[],3,0),"open")</f>
        <v>ok</v>
      </c>
      <c r="C2118" s="93" t="s">
        <v>369</v>
      </c>
      <c r="D2118" t="s">
        <v>3954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9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3748</v>
      </c>
      <c r="B2119" s="94" t="str">
        <f>IFERROR(VLOOKUP(Proc[[#This Row],[App]],Table2[],3,0),"open")</f>
        <v>ok</v>
      </c>
      <c r="C2119" s="93" t="s">
        <v>369</v>
      </c>
      <c r="D2119" t="s">
        <v>3955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9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3748</v>
      </c>
      <c r="B2120" s="94" t="str">
        <f>IFERROR(VLOOKUP(Proc[[#This Row],[App]],Table2[],3,0),"open")</f>
        <v>ok</v>
      </c>
      <c r="C2120" s="93" t="s">
        <v>369</v>
      </c>
      <c r="D2120" t="s">
        <v>3956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9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3748</v>
      </c>
      <c r="B2121" s="94" t="str">
        <f>IFERROR(VLOOKUP(Proc[[#This Row],[App]],Table2[],3,0),"open")</f>
        <v>ok</v>
      </c>
      <c r="C2121" s="93" t="s">
        <v>369</v>
      </c>
      <c r="D2121" t="s">
        <v>3957</v>
      </c>
      <c r="E2121" t="s">
        <v>4070</v>
      </c>
      <c r="F2121" s="117" t="s">
        <v>4070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9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3748</v>
      </c>
      <c r="B2122" s="94" t="str">
        <f>IFERROR(VLOOKUP(Proc[[#This Row],[App]],Table2[],3,0),"open")</f>
        <v>ok</v>
      </c>
      <c r="C2122" s="93" t="s">
        <v>369</v>
      </c>
      <c r="D2122" t="s">
        <v>3958</v>
      </c>
      <c r="E2122" t="s">
        <v>4069</v>
      </c>
      <c r="F2122" s="117" t="s">
        <v>4069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9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3748</v>
      </c>
      <c r="B2123" s="94" t="str">
        <f>IFERROR(VLOOKUP(Proc[[#This Row],[App]],Table2[],3,0),"open")</f>
        <v>ok</v>
      </c>
      <c r="C2123" s="93" t="s">
        <v>369</v>
      </c>
      <c r="D2123" t="s">
        <v>3959</v>
      </c>
      <c r="E2123" t="s">
        <v>4069</v>
      </c>
      <c r="F2123" s="117" t="s">
        <v>4069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9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3748</v>
      </c>
      <c r="B2124" s="94" t="str">
        <f>IFERROR(VLOOKUP(Proc[[#This Row],[App]],Table2[],3,0),"open")</f>
        <v>ok</v>
      </c>
      <c r="C2124" s="93" t="s">
        <v>369</v>
      </c>
      <c r="D2124" t="s">
        <v>3960</v>
      </c>
      <c r="E2124" t="s">
        <v>4069</v>
      </c>
      <c r="F2124" s="117" t="s">
        <v>4069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9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3748</v>
      </c>
      <c r="B2125" s="94" t="str">
        <f>IFERROR(VLOOKUP(Proc[[#This Row],[App]],Table2[],3,0),"open")</f>
        <v>ok</v>
      </c>
      <c r="C2125" s="93" t="s">
        <v>369</v>
      </c>
      <c r="D2125" t="s">
        <v>3961</v>
      </c>
      <c r="E2125" t="s">
        <v>4069</v>
      </c>
      <c r="F2125" s="117" t="s">
        <v>4069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9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3748</v>
      </c>
      <c r="B2126" s="94" t="str">
        <f>IFERROR(VLOOKUP(Proc[[#This Row],[App]],Table2[],3,0),"open")</f>
        <v>ok</v>
      </c>
      <c r="C2126" s="93" t="s">
        <v>369</v>
      </c>
      <c r="D2126" t="s">
        <v>3962</v>
      </c>
      <c r="E2126" t="s">
        <v>4069</v>
      </c>
      <c r="F2126" s="117" t="s">
        <v>4069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9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3748</v>
      </c>
      <c r="B2127" s="94" t="str">
        <f>IFERROR(VLOOKUP(Proc[[#This Row],[App]],Table2[],3,0),"open")</f>
        <v>ok</v>
      </c>
      <c r="C2127" s="93" t="s">
        <v>369</v>
      </c>
      <c r="D2127" t="s">
        <v>3963</v>
      </c>
      <c r="E2127" t="s">
        <v>4069</v>
      </c>
      <c r="F2127" s="117" t="s">
        <v>4069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9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3748</v>
      </c>
      <c r="B2128" s="94" t="str">
        <f>IFERROR(VLOOKUP(Proc[[#This Row],[App]],Table2[],3,0),"open")</f>
        <v>ok</v>
      </c>
      <c r="C2128" s="93" t="s">
        <v>369</v>
      </c>
      <c r="D2128" t="s">
        <v>3964</v>
      </c>
      <c r="E2128" t="s">
        <v>4069</v>
      </c>
      <c r="F2128" s="117" t="s">
        <v>4069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9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3748</v>
      </c>
      <c r="B2129" s="94" t="str">
        <f>IFERROR(VLOOKUP(Proc[[#This Row],[App]],Table2[],3,0),"open")</f>
        <v>ok</v>
      </c>
      <c r="C2129" s="93" t="s">
        <v>369</v>
      </c>
      <c r="D2129" t="s">
        <v>3965</v>
      </c>
      <c r="E2129" t="s">
        <v>4069</v>
      </c>
      <c r="F2129" s="117" t="s">
        <v>4069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9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3748</v>
      </c>
      <c r="B2130" s="94" t="str">
        <f>IFERROR(VLOOKUP(Proc[[#This Row],[App]],Table2[],3,0),"open")</f>
        <v>ok</v>
      </c>
      <c r="C2130" s="93" t="s">
        <v>369</v>
      </c>
      <c r="D2130" t="s">
        <v>3966</v>
      </c>
      <c r="E2130" t="s">
        <v>4069</v>
      </c>
      <c r="F2130" s="117" t="s">
        <v>4069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9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3748</v>
      </c>
      <c r="B2131" s="94" t="str">
        <f>IFERROR(VLOOKUP(Proc[[#This Row],[App]],Table2[],3,0),"open")</f>
        <v>ok</v>
      </c>
      <c r="C2131" s="93" t="s">
        <v>369</v>
      </c>
      <c r="D2131" t="s">
        <v>3967</v>
      </c>
      <c r="E2131" t="s">
        <v>4069</v>
      </c>
      <c r="F2131" s="117" t="s">
        <v>4069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9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3748</v>
      </c>
      <c r="B2132" s="94" t="str">
        <f>IFERROR(VLOOKUP(Proc[[#This Row],[App]],Table2[],3,0),"open")</f>
        <v>ok</v>
      </c>
      <c r="C2132" s="93" t="s">
        <v>369</v>
      </c>
      <c r="D2132" t="s">
        <v>3968</v>
      </c>
      <c r="E2132" t="s">
        <v>4069</v>
      </c>
      <c r="F2132" s="117" t="s">
        <v>4069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9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3748</v>
      </c>
      <c r="B2133" s="94" t="str">
        <f>IFERROR(VLOOKUP(Proc[[#This Row],[App]],Table2[],3,0),"open")</f>
        <v>ok</v>
      </c>
      <c r="C2133" s="93" t="s">
        <v>369</v>
      </c>
      <c r="D2133" t="s">
        <v>3969</v>
      </c>
      <c r="E2133" t="s">
        <v>4069</v>
      </c>
      <c r="F2133" s="117" t="s">
        <v>4069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9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3748</v>
      </c>
      <c r="B2134" s="94" t="str">
        <f>IFERROR(VLOOKUP(Proc[[#This Row],[App]],Table2[],3,0),"open")</f>
        <v>ok</v>
      </c>
      <c r="C2134" s="93" t="s">
        <v>369</v>
      </c>
      <c r="D2134" t="s">
        <v>3970</v>
      </c>
      <c r="E2134" t="s">
        <v>4069</v>
      </c>
      <c r="F2134" s="117" t="s">
        <v>4069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9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3748</v>
      </c>
      <c r="B2135" s="94" t="str">
        <f>IFERROR(VLOOKUP(Proc[[#This Row],[App]],Table2[],3,0),"open")</f>
        <v>ok</v>
      </c>
      <c r="C2135" s="93" t="s">
        <v>369</v>
      </c>
      <c r="D2135" t="s">
        <v>3971</v>
      </c>
      <c r="E2135" t="s">
        <v>4069</v>
      </c>
      <c r="F2135" s="117" t="s">
        <v>4069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9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3748</v>
      </c>
      <c r="B2136" s="94" t="str">
        <f>IFERROR(VLOOKUP(Proc[[#This Row],[App]],Table2[],3,0),"open")</f>
        <v>ok</v>
      </c>
      <c r="C2136" s="93" t="s">
        <v>369</v>
      </c>
      <c r="D2136" t="s">
        <v>3972</v>
      </c>
      <c r="E2136" t="s">
        <v>4069</v>
      </c>
      <c r="F2136" s="117" t="s">
        <v>4069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9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3748</v>
      </c>
      <c r="B2137" s="94" t="str">
        <f>IFERROR(VLOOKUP(Proc[[#This Row],[App]],Table2[],3,0),"open")</f>
        <v>ok</v>
      </c>
      <c r="C2137" s="93" t="s">
        <v>369</v>
      </c>
      <c r="D2137" t="s">
        <v>3973</v>
      </c>
      <c r="E2137" t="s">
        <v>4069</v>
      </c>
      <c r="F2137" s="117" t="s">
        <v>4069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9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3748</v>
      </c>
      <c r="B2138" s="94" t="str">
        <f>IFERROR(VLOOKUP(Proc[[#This Row],[App]],Table2[],3,0),"open")</f>
        <v>ok</v>
      </c>
      <c r="C2138" s="93" t="s">
        <v>369</v>
      </c>
      <c r="D2138" t="s">
        <v>3974</v>
      </c>
      <c r="E2138" t="s">
        <v>4069</v>
      </c>
      <c r="F2138" s="117" t="s">
        <v>4069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9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3748</v>
      </c>
      <c r="B2139" s="94" t="str">
        <f>IFERROR(VLOOKUP(Proc[[#This Row],[App]],Table2[],3,0),"open")</f>
        <v>ok</v>
      </c>
      <c r="C2139" s="93" t="s">
        <v>369</v>
      </c>
      <c r="D2139" t="s">
        <v>3975</v>
      </c>
      <c r="E2139" t="s">
        <v>4069</v>
      </c>
      <c r="F2139" s="117" t="s">
        <v>4069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9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3748</v>
      </c>
      <c r="B2140" s="94" t="str">
        <f>IFERROR(VLOOKUP(Proc[[#This Row],[App]],Table2[],3,0),"open")</f>
        <v>ok</v>
      </c>
      <c r="C2140" s="93" t="s">
        <v>369</v>
      </c>
      <c r="D2140" t="s">
        <v>3976</v>
      </c>
      <c r="E2140" t="s">
        <v>4069</v>
      </c>
      <c r="F2140" s="117" t="s">
        <v>4069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9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3748</v>
      </c>
      <c r="B2141" s="94" t="str">
        <f>IFERROR(VLOOKUP(Proc[[#This Row],[App]],Table2[],3,0),"open")</f>
        <v>ok</v>
      </c>
      <c r="C2141" s="93" t="s">
        <v>369</v>
      </c>
      <c r="D2141" t="s">
        <v>3977</v>
      </c>
      <c r="E2141" t="s">
        <v>4069</v>
      </c>
      <c r="F2141" s="117" t="s">
        <v>4069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9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3748</v>
      </c>
      <c r="B2142" s="94" t="str">
        <f>IFERROR(VLOOKUP(Proc[[#This Row],[App]],Table2[],3,0),"open")</f>
        <v>ok</v>
      </c>
      <c r="C2142" s="93" t="s">
        <v>369</v>
      </c>
      <c r="D2142" t="s">
        <v>3978</v>
      </c>
      <c r="E2142" t="s">
        <v>4069</v>
      </c>
      <c r="F2142" s="117" t="s">
        <v>4069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9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3748</v>
      </c>
      <c r="B2143" s="94" t="str">
        <f>IFERROR(VLOOKUP(Proc[[#This Row],[App]],Table2[],3,0),"open")</f>
        <v>ok</v>
      </c>
      <c r="C2143" s="93" t="s">
        <v>369</v>
      </c>
      <c r="D2143" t="s">
        <v>3979</v>
      </c>
      <c r="E2143" t="s">
        <v>4069</v>
      </c>
      <c r="F2143" s="117" t="s">
        <v>4069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9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3748</v>
      </c>
      <c r="B2144" s="94" t="str">
        <f>IFERROR(VLOOKUP(Proc[[#This Row],[App]],Table2[],3,0),"open")</f>
        <v>ok</v>
      </c>
      <c r="C2144" s="93" t="s">
        <v>369</v>
      </c>
      <c r="D2144" t="s">
        <v>3980</v>
      </c>
      <c r="E2144" t="s">
        <v>4069</v>
      </c>
      <c r="F2144" s="117" t="s">
        <v>4069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9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3748</v>
      </c>
      <c r="B2145" s="94" t="str">
        <f>IFERROR(VLOOKUP(Proc[[#This Row],[App]],Table2[],3,0),"open")</f>
        <v>ok</v>
      </c>
      <c r="C2145" s="93" t="s">
        <v>369</v>
      </c>
      <c r="D2145" t="s">
        <v>3981</v>
      </c>
      <c r="E2145" t="s">
        <v>4069</v>
      </c>
      <c r="F2145" s="117" t="s">
        <v>4069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9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3748</v>
      </c>
      <c r="B2146" s="94" t="str">
        <f>IFERROR(VLOOKUP(Proc[[#This Row],[App]],Table2[],3,0),"open")</f>
        <v>ok</v>
      </c>
      <c r="C2146" s="93" t="s">
        <v>369</v>
      </c>
      <c r="D2146" t="s">
        <v>3982</v>
      </c>
      <c r="E2146" t="s">
        <v>4069</v>
      </c>
      <c r="F2146" s="117" t="s">
        <v>4069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9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3748</v>
      </c>
      <c r="B2147" s="94" t="str">
        <f>IFERROR(VLOOKUP(Proc[[#This Row],[App]],Table2[],3,0),"open")</f>
        <v>ok</v>
      </c>
      <c r="C2147" s="93" t="s">
        <v>369</v>
      </c>
      <c r="D2147" t="s">
        <v>3983</v>
      </c>
      <c r="E2147" t="s">
        <v>4069</v>
      </c>
      <c r="F2147" s="117" t="s">
        <v>4069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9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3748</v>
      </c>
      <c r="B2148" s="94" t="str">
        <f>IFERROR(VLOOKUP(Proc[[#This Row],[App]],Table2[],3,0),"open")</f>
        <v>ok</v>
      </c>
      <c r="C2148" s="93" t="s">
        <v>369</v>
      </c>
      <c r="D2148" t="s">
        <v>3984</v>
      </c>
      <c r="E2148" t="s">
        <v>4069</v>
      </c>
      <c r="F2148" s="117" t="s">
        <v>4069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9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3748</v>
      </c>
      <c r="B2149" s="94" t="str">
        <f>IFERROR(VLOOKUP(Proc[[#This Row],[App]],Table2[],3,0),"open")</f>
        <v>ok</v>
      </c>
      <c r="C2149" s="93" t="s">
        <v>369</v>
      </c>
      <c r="D2149" t="s">
        <v>3985</v>
      </c>
      <c r="E2149" t="s">
        <v>4069</v>
      </c>
      <c r="F2149" s="117" t="s">
        <v>4069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9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3748</v>
      </c>
      <c r="B2150" s="94" t="str">
        <f>IFERROR(VLOOKUP(Proc[[#This Row],[App]],Table2[],3,0),"open")</f>
        <v>ok</v>
      </c>
      <c r="C2150" s="93" t="s">
        <v>369</v>
      </c>
      <c r="D2150" t="s">
        <v>3986</v>
      </c>
      <c r="E2150" t="s">
        <v>4069</v>
      </c>
      <c r="F2150" s="117" t="s">
        <v>4069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9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3748</v>
      </c>
      <c r="B2151" s="94" t="str">
        <f>IFERROR(VLOOKUP(Proc[[#This Row],[App]],Table2[],3,0),"open")</f>
        <v>ok</v>
      </c>
      <c r="C2151" s="93" t="s">
        <v>369</v>
      </c>
      <c r="D2151" t="s">
        <v>3987</v>
      </c>
      <c r="E2151" t="s">
        <v>4069</v>
      </c>
      <c r="F2151" s="117" t="s">
        <v>4069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9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3748</v>
      </c>
      <c r="B2152" s="94" t="str">
        <f>IFERROR(VLOOKUP(Proc[[#This Row],[App]],Table2[],3,0),"open")</f>
        <v>ok</v>
      </c>
      <c r="C2152" s="93" t="s">
        <v>369</v>
      </c>
      <c r="D2152" t="s">
        <v>3988</v>
      </c>
      <c r="E2152" t="s">
        <v>4069</v>
      </c>
      <c r="F2152" s="117" t="s">
        <v>4069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9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3748</v>
      </c>
      <c r="B2153" s="94" t="str">
        <f>IFERROR(VLOOKUP(Proc[[#This Row],[App]],Table2[],3,0),"open")</f>
        <v>ok</v>
      </c>
      <c r="C2153" s="93" t="s">
        <v>369</v>
      </c>
      <c r="D2153" t="s">
        <v>3989</v>
      </c>
      <c r="E2153" t="s">
        <v>4069</v>
      </c>
      <c r="F2153" s="117" t="s">
        <v>4069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9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3748</v>
      </c>
      <c r="B2154" s="94" t="str">
        <f>IFERROR(VLOOKUP(Proc[[#This Row],[App]],Table2[],3,0),"open")</f>
        <v>ok</v>
      </c>
      <c r="C2154" s="93" t="s">
        <v>369</v>
      </c>
      <c r="D2154" t="s">
        <v>3990</v>
      </c>
      <c r="E2154" t="s">
        <v>4069</v>
      </c>
      <c r="F2154" s="117" t="s">
        <v>4069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9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3748</v>
      </c>
      <c r="B2155" s="94" t="str">
        <f>IFERROR(VLOOKUP(Proc[[#This Row],[App]],Table2[],3,0),"open")</f>
        <v>ok</v>
      </c>
      <c r="C2155" s="93" t="s">
        <v>369</v>
      </c>
      <c r="D2155" t="s">
        <v>3991</v>
      </c>
      <c r="E2155" t="s">
        <v>4069</v>
      </c>
      <c r="F2155" s="117" t="s">
        <v>4069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9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3748</v>
      </c>
      <c r="B2156" s="94" t="str">
        <f>IFERROR(VLOOKUP(Proc[[#This Row],[App]],Table2[],3,0),"open")</f>
        <v>ok</v>
      </c>
      <c r="C2156" s="93" t="s">
        <v>369</v>
      </c>
      <c r="D2156" t="s">
        <v>3992</v>
      </c>
      <c r="E2156" t="s">
        <v>4069</v>
      </c>
      <c r="F2156" s="117" t="s">
        <v>4069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9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3748</v>
      </c>
      <c r="B2157" s="94" t="str">
        <f>IFERROR(VLOOKUP(Proc[[#This Row],[App]],Table2[],3,0),"open")</f>
        <v>ok</v>
      </c>
      <c r="C2157" s="93" t="s">
        <v>369</v>
      </c>
      <c r="D2157" t="s">
        <v>3993</v>
      </c>
      <c r="E2157" t="s">
        <v>4069</v>
      </c>
      <c r="F2157" s="117" t="s">
        <v>4069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9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3748</v>
      </c>
      <c r="B2158" s="94" t="str">
        <f>IFERROR(VLOOKUP(Proc[[#This Row],[App]],Table2[],3,0),"open")</f>
        <v>ok</v>
      </c>
      <c r="C2158" s="93" t="s">
        <v>369</v>
      </c>
      <c r="D2158" t="s">
        <v>3994</v>
      </c>
      <c r="E2158" t="s">
        <v>4069</v>
      </c>
      <c r="F2158" s="117" t="s">
        <v>4069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9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3748</v>
      </c>
      <c r="B2159" s="94" t="str">
        <f>IFERROR(VLOOKUP(Proc[[#This Row],[App]],Table2[],3,0),"open")</f>
        <v>ok</v>
      </c>
      <c r="C2159" s="93" t="s">
        <v>369</v>
      </c>
      <c r="D2159" t="s">
        <v>3995</v>
      </c>
      <c r="E2159" t="s">
        <v>4069</v>
      </c>
      <c r="F2159" s="117" t="s">
        <v>4069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9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3748</v>
      </c>
      <c r="B2160" s="94" t="str">
        <f>IFERROR(VLOOKUP(Proc[[#This Row],[App]],Table2[],3,0),"open")</f>
        <v>ok</v>
      </c>
      <c r="C2160" s="93" t="s">
        <v>369</v>
      </c>
      <c r="D2160" t="s">
        <v>3996</v>
      </c>
      <c r="E2160" t="s">
        <v>4069</v>
      </c>
      <c r="F2160" s="117" t="s">
        <v>4069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9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3748</v>
      </c>
      <c r="B2161" s="94" t="str">
        <f>IFERROR(VLOOKUP(Proc[[#This Row],[App]],Table2[],3,0),"open")</f>
        <v>ok</v>
      </c>
      <c r="C2161" s="93" t="s">
        <v>369</v>
      </c>
      <c r="D2161" t="s">
        <v>3997</v>
      </c>
      <c r="E2161" t="s">
        <v>4069</v>
      </c>
      <c r="F2161" s="117" t="s">
        <v>4069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9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3748</v>
      </c>
      <c r="B2162" s="94" t="str">
        <f>IFERROR(VLOOKUP(Proc[[#This Row],[App]],Table2[],3,0),"open")</f>
        <v>ok</v>
      </c>
      <c r="C2162" s="93" t="s">
        <v>369</v>
      </c>
      <c r="D2162" t="s">
        <v>3998</v>
      </c>
      <c r="E2162" t="s">
        <v>4069</v>
      </c>
      <c r="F2162" s="117" t="s">
        <v>4069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9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3748</v>
      </c>
      <c r="B2163" s="94" t="str">
        <f>IFERROR(VLOOKUP(Proc[[#This Row],[App]],Table2[],3,0),"open")</f>
        <v>ok</v>
      </c>
      <c r="C2163" s="93" t="s">
        <v>369</v>
      </c>
      <c r="D2163" t="s">
        <v>3999</v>
      </c>
      <c r="E2163" t="s">
        <v>4069</v>
      </c>
      <c r="F2163" s="117" t="s">
        <v>4069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9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3748</v>
      </c>
      <c r="B2164" s="94" t="str">
        <f>IFERROR(VLOOKUP(Proc[[#This Row],[App]],Table2[],3,0),"open")</f>
        <v>ok</v>
      </c>
      <c r="C2164" s="93" t="s">
        <v>369</v>
      </c>
      <c r="D2164" t="s">
        <v>4000</v>
      </c>
      <c r="E2164" t="s">
        <v>4069</v>
      </c>
      <c r="F2164" s="117" t="s">
        <v>4069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9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3748</v>
      </c>
      <c r="B2165" s="94" t="str">
        <f>IFERROR(VLOOKUP(Proc[[#This Row],[App]],Table2[],3,0),"open")</f>
        <v>ok</v>
      </c>
      <c r="C2165" s="93" t="s">
        <v>369</v>
      </c>
      <c r="D2165" t="s">
        <v>4001</v>
      </c>
      <c r="E2165" t="s">
        <v>4069</v>
      </c>
      <c r="F2165" s="117" t="s">
        <v>4069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9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3748</v>
      </c>
      <c r="B2166" s="94" t="str">
        <f>IFERROR(VLOOKUP(Proc[[#This Row],[App]],Table2[],3,0),"open")</f>
        <v>ok</v>
      </c>
      <c r="C2166" s="93" t="s">
        <v>369</v>
      </c>
      <c r="D2166" t="s">
        <v>4002</v>
      </c>
      <c r="E2166" t="s">
        <v>4069</v>
      </c>
      <c r="F2166" s="117" t="s">
        <v>4069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9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3748</v>
      </c>
      <c r="B2167" s="94" t="str">
        <f>IFERROR(VLOOKUP(Proc[[#This Row],[App]],Table2[],3,0),"open")</f>
        <v>ok</v>
      </c>
      <c r="C2167" s="93" t="s">
        <v>369</v>
      </c>
      <c r="D2167" t="s">
        <v>4003</v>
      </c>
      <c r="E2167" t="s">
        <v>4069</v>
      </c>
      <c r="F2167" s="117" t="s">
        <v>4069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9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3748</v>
      </c>
      <c r="B2168" s="94" t="str">
        <f>IFERROR(VLOOKUP(Proc[[#This Row],[App]],Table2[],3,0),"open")</f>
        <v>ok</v>
      </c>
      <c r="C2168" s="93" t="s">
        <v>369</v>
      </c>
      <c r="D2168" t="s">
        <v>4004</v>
      </c>
      <c r="E2168" t="s">
        <v>4069</v>
      </c>
      <c r="F2168" s="117" t="s">
        <v>4069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9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3748</v>
      </c>
      <c r="B2169" s="94" t="str">
        <f>IFERROR(VLOOKUP(Proc[[#This Row],[App]],Table2[],3,0),"open")</f>
        <v>ok</v>
      </c>
      <c r="C2169" s="93" t="s">
        <v>369</v>
      </c>
      <c r="D2169" t="s">
        <v>4005</v>
      </c>
      <c r="E2169" t="s">
        <v>4069</v>
      </c>
      <c r="F2169" s="117" t="s">
        <v>4069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9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3748</v>
      </c>
      <c r="B2170" s="94" t="str">
        <f>IFERROR(VLOOKUP(Proc[[#This Row],[App]],Table2[],3,0),"open")</f>
        <v>ok</v>
      </c>
      <c r="C2170" s="93" t="s">
        <v>369</v>
      </c>
      <c r="D2170" t="s">
        <v>4006</v>
      </c>
      <c r="E2170" t="s">
        <v>4069</v>
      </c>
      <c r="F2170" s="117" t="s">
        <v>4069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9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3748</v>
      </c>
      <c r="B2171" s="94" t="str">
        <f>IFERROR(VLOOKUP(Proc[[#This Row],[App]],Table2[],3,0),"open")</f>
        <v>ok</v>
      </c>
      <c r="C2171" s="93" t="s">
        <v>369</v>
      </c>
      <c r="D2171" t="s">
        <v>4007</v>
      </c>
      <c r="E2171" t="s">
        <v>4069</v>
      </c>
      <c r="F2171" s="117" t="s">
        <v>4069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9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3748</v>
      </c>
      <c r="B2172" s="94" t="str">
        <f>IFERROR(VLOOKUP(Proc[[#This Row],[App]],Table2[],3,0),"open")</f>
        <v>ok</v>
      </c>
      <c r="C2172" s="93" t="s">
        <v>369</v>
      </c>
      <c r="D2172" t="s">
        <v>4008</v>
      </c>
      <c r="E2172" t="s">
        <v>4069</v>
      </c>
      <c r="F2172" s="117" t="s">
        <v>4069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9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3748</v>
      </c>
      <c r="B2173" s="94" t="str">
        <f>IFERROR(VLOOKUP(Proc[[#This Row],[App]],Table2[],3,0),"open")</f>
        <v>ok</v>
      </c>
      <c r="C2173" s="93" t="s">
        <v>369</v>
      </c>
      <c r="D2173" t="s">
        <v>4009</v>
      </c>
      <c r="E2173" t="s">
        <v>4069</v>
      </c>
      <c r="F2173" s="117" t="s">
        <v>4069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9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3748</v>
      </c>
      <c r="B2174" s="94" t="str">
        <f>IFERROR(VLOOKUP(Proc[[#This Row],[App]],Table2[],3,0),"open")</f>
        <v>ok</v>
      </c>
      <c r="C2174" s="93" t="s">
        <v>369</v>
      </c>
      <c r="D2174" t="s">
        <v>4010</v>
      </c>
      <c r="E2174" t="s">
        <v>4069</v>
      </c>
      <c r="F2174" s="117" t="s">
        <v>4069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9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3748</v>
      </c>
      <c r="B2175" s="94" t="str">
        <f>IFERROR(VLOOKUP(Proc[[#This Row],[App]],Table2[],3,0),"open")</f>
        <v>ok</v>
      </c>
      <c r="C2175" s="93" t="s">
        <v>369</v>
      </c>
      <c r="D2175" t="s">
        <v>4011</v>
      </c>
      <c r="E2175" t="s">
        <v>4069</v>
      </c>
      <c r="F2175" s="117" t="s">
        <v>4069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9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3748</v>
      </c>
      <c r="B2176" s="94" t="str">
        <f>IFERROR(VLOOKUP(Proc[[#This Row],[App]],Table2[],3,0),"open")</f>
        <v>ok</v>
      </c>
      <c r="C2176" s="93" t="s">
        <v>369</v>
      </c>
      <c r="D2176" t="s">
        <v>4012</v>
      </c>
      <c r="E2176" t="s">
        <v>4069</v>
      </c>
      <c r="F2176" s="117" t="s">
        <v>4069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9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3748</v>
      </c>
      <c r="B2177" s="94" t="str">
        <f>IFERROR(VLOOKUP(Proc[[#This Row],[App]],Table2[],3,0),"open")</f>
        <v>ok</v>
      </c>
      <c r="C2177" s="93" t="s">
        <v>369</v>
      </c>
      <c r="D2177" t="s">
        <v>4013</v>
      </c>
      <c r="E2177" t="s">
        <v>4069</v>
      </c>
      <c r="F2177" s="117" t="s">
        <v>4069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9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3748</v>
      </c>
      <c r="B2178" s="94" t="str">
        <f>IFERROR(VLOOKUP(Proc[[#This Row],[App]],Table2[],3,0),"open")</f>
        <v>ok</v>
      </c>
      <c r="C2178" s="93" t="s">
        <v>369</v>
      </c>
      <c r="D2178" t="s">
        <v>4014</v>
      </c>
      <c r="E2178" t="s">
        <v>4069</v>
      </c>
      <c r="F2178" s="117" t="s">
        <v>4069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9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3748</v>
      </c>
      <c r="B2179" s="94" t="str">
        <f>IFERROR(VLOOKUP(Proc[[#This Row],[App]],Table2[],3,0),"open")</f>
        <v>ok</v>
      </c>
      <c r="C2179" s="93" t="s">
        <v>369</v>
      </c>
      <c r="D2179" t="s">
        <v>4015</v>
      </c>
      <c r="E2179" t="s">
        <v>4069</v>
      </c>
      <c r="F2179" s="117" t="s">
        <v>4069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9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3748</v>
      </c>
      <c r="B2180" s="94" t="str">
        <f>IFERROR(VLOOKUP(Proc[[#This Row],[App]],Table2[],3,0),"open")</f>
        <v>ok</v>
      </c>
      <c r="C2180" s="93" t="s">
        <v>369</v>
      </c>
      <c r="D2180" t="s">
        <v>4016</v>
      </c>
      <c r="E2180" t="s">
        <v>4069</v>
      </c>
      <c r="F2180" s="117" t="s">
        <v>4069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9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3748</v>
      </c>
      <c r="B2181" s="94" t="str">
        <f>IFERROR(VLOOKUP(Proc[[#This Row],[App]],Table2[],3,0),"open")</f>
        <v>ok</v>
      </c>
      <c r="C2181" s="93" t="s">
        <v>369</v>
      </c>
      <c r="D2181" t="s">
        <v>4017</v>
      </c>
      <c r="E2181" t="s">
        <v>4069</v>
      </c>
      <c r="F2181" s="117" t="s">
        <v>4069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9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3748</v>
      </c>
      <c r="B2182" s="94" t="str">
        <f>IFERROR(VLOOKUP(Proc[[#This Row],[App]],Table2[],3,0),"open")</f>
        <v>ok</v>
      </c>
      <c r="C2182" s="93" t="s">
        <v>369</v>
      </c>
      <c r="D2182" t="s">
        <v>4018</v>
      </c>
      <c r="E2182" t="s">
        <v>4069</v>
      </c>
      <c r="F2182" s="117" t="s">
        <v>4069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9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3748</v>
      </c>
      <c r="B2183" s="94" t="str">
        <f>IFERROR(VLOOKUP(Proc[[#This Row],[App]],Table2[],3,0),"open")</f>
        <v>ok</v>
      </c>
      <c r="C2183" s="93" t="s">
        <v>369</v>
      </c>
      <c r="D2183" t="s">
        <v>4019</v>
      </c>
      <c r="E2183" t="s">
        <v>4069</v>
      </c>
      <c r="F2183" s="117" t="s">
        <v>4069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9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3748</v>
      </c>
      <c r="B2184" s="94" t="str">
        <f>IFERROR(VLOOKUP(Proc[[#This Row],[App]],Table2[],3,0),"open")</f>
        <v>ok</v>
      </c>
      <c r="C2184" s="93" t="s">
        <v>369</v>
      </c>
      <c r="D2184" t="s">
        <v>4020</v>
      </c>
      <c r="E2184" t="s">
        <v>4069</v>
      </c>
      <c r="F2184" s="117" t="s">
        <v>4069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9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3748</v>
      </c>
      <c r="B2185" s="94" t="str">
        <f>IFERROR(VLOOKUP(Proc[[#This Row],[App]],Table2[],3,0),"open")</f>
        <v>ok</v>
      </c>
      <c r="C2185" s="93" t="s">
        <v>369</v>
      </c>
      <c r="D2185" t="s">
        <v>4021</v>
      </c>
      <c r="E2185" t="s">
        <v>4069</v>
      </c>
      <c r="F2185" s="117" t="s">
        <v>4069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9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3748</v>
      </c>
      <c r="B2186" s="94" t="str">
        <f>IFERROR(VLOOKUP(Proc[[#This Row],[App]],Table2[],3,0),"open")</f>
        <v>ok</v>
      </c>
      <c r="C2186" s="93" t="s">
        <v>369</v>
      </c>
      <c r="D2186" t="s">
        <v>4022</v>
      </c>
      <c r="E2186" t="s">
        <v>4069</v>
      </c>
      <c r="F2186" s="117" t="s">
        <v>4069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9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3748</v>
      </c>
      <c r="B2187" s="94" t="str">
        <f>IFERROR(VLOOKUP(Proc[[#This Row],[App]],Table2[],3,0),"open")</f>
        <v>ok</v>
      </c>
      <c r="C2187" s="93" t="s">
        <v>369</v>
      </c>
      <c r="D2187" t="s">
        <v>4023</v>
      </c>
      <c r="E2187" t="s">
        <v>4069</v>
      </c>
      <c r="F2187" s="117" t="s">
        <v>4069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9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3748</v>
      </c>
      <c r="B2188" s="94" t="str">
        <f>IFERROR(VLOOKUP(Proc[[#This Row],[App]],Table2[],3,0),"open")</f>
        <v>ok</v>
      </c>
      <c r="C2188" s="93" t="s">
        <v>369</v>
      </c>
      <c r="D2188" t="s">
        <v>4024</v>
      </c>
      <c r="E2188" t="s">
        <v>4069</v>
      </c>
      <c r="F2188" s="117" t="s">
        <v>4069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9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3748</v>
      </c>
      <c r="B2189" s="94" t="str">
        <f>IFERROR(VLOOKUP(Proc[[#This Row],[App]],Table2[],3,0),"open")</f>
        <v>ok</v>
      </c>
      <c r="C2189" s="93" t="s">
        <v>369</v>
      </c>
      <c r="D2189" t="s">
        <v>4025</v>
      </c>
      <c r="E2189" t="s">
        <v>4069</v>
      </c>
      <c r="F2189" s="117" t="s">
        <v>4069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9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3748</v>
      </c>
      <c r="B2190" s="94" t="str">
        <f>IFERROR(VLOOKUP(Proc[[#This Row],[App]],Table2[],3,0),"open")</f>
        <v>ok</v>
      </c>
      <c r="C2190" s="93" t="s">
        <v>369</v>
      </c>
      <c r="D2190" t="s">
        <v>4026</v>
      </c>
      <c r="E2190" t="s">
        <v>4069</v>
      </c>
      <c r="F2190" s="117" t="s">
        <v>4069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9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3748</v>
      </c>
      <c r="B2191" s="94" t="str">
        <f>IFERROR(VLOOKUP(Proc[[#This Row],[App]],Table2[],3,0),"open")</f>
        <v>ok</v>
      </c>
      <c r="C2191" s="93" t="s">
        <v>369</v>
      </c>
      <c r="D2191" t="s">
        <v>4027</v>
      </c>
      <c r="E2191" t="s">
        <v>4069</v>
      </c>
      <c r="F2191" s="117" t="s">
        <v>4069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9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3748</v>
      </c>
      <c r="B2192" s="94" t="str">
        <f>IFERROR(VLOOKUP(Proc[[#This Row],[App]],Table2[],3,0),"open")</f>
        <v>ok</v>
      </c>
      <c r="C2192" s="93" t="s">
        <v>369</v>
      </c>
      <c r="D2192" t="s">
        <v>4028</v>
      </c>
      <c r="E2192" t="s">
        <v>4069</v>
      </c>
      <c r="F2192" s="117" t="s">
        <v>4069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9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3748</v>
      </c>
      <c r="B2193" s="94" t="str">
        <f>IFERROR(VLOOKUP(Proc[[#This Row],[App]],Table2[],3,0),"open")</f>
        <v>ok</v>
      </c>
      <c r="C2193" s="93" t="s">
        <v>369</v>
      </c>
      <c r="D2193" t="s">
        <v>4029</v>
      </c>
      <c r="E2193" t="s">
        <v>4069</v>
      </c>
      <c r="F2193" s="117" t="s">
        <v>4069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9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3748</v>
      </c>
      <c r="B2194" s="94" t="str">
        <f>IFERROR(VLOOKUP(Proc[[#This Row],[App]],Table2[],3,0),"open")</f>
        <v>ok</v>
      </c>
      <c r="C2194" s="93" t="s">
        <v>369</v>
      </c>
      <c r="D2194" t="s">
        <v>4030</v>
      </c>
      <c r="E2194" t="s">
        <v>4069</v>
      </c>
      <c r="F2194" s="117" t="s">
        <v>4069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9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3748</v>
      </c>
      <c r="B2195" s="94" t="str">
        <f>IFERROR(VLOOKUP(Proc[[#This Row],[App]],Table2[],3,0),"open")</f>
        <v>ok</v>
      </c>
      <c r="C2195" s="93" t="s">
        <v>369</v>
      </c>
      <c r="D2195" t="s">
        <v>4031</v>
      </c>
      <c r="E2195" t="s">
        <v>4069</v>
      </c>
      <c r="F2195" s="117" t="s">
        <v>4069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9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3748</v>
      </c>
      <c r="B2196" s="94" t="str">
        <f>IFERROR(VLOOKUP(Proc[[#This Row],[App]],Table2[],3,0),"open")</f>
        <v>ok</v>
      </c>
      <c r="C2196" s="93" t="s">
        <v>369</v>
      </c>
      <c r="D2196" t="s">
        <v>4032</v>
      </c>
      <c r="E2196" t="s">
        <v>4069</v>
      </c>
      <c r="F2196" s="117" t="s">
        <v>4069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9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3748</v>
      </c>
      <c r="B2197" s="94" t="str">
        <f>IFERROR(VLOOKUP(Proc[[#This Row],[App]],Table2[],3,0),"open")</f>
        <v>ok</v>
      </c>
      <c r="C2197" s="93" t="s">
        <v>369</v>
      </c>
      <c r="D2197" t="s">
        <v>4033</v>
      </c>
      <c r="E2197" t="s">
        <v>4069</v>
      </c>
      <c r="F2197" s="117" t="s">
        <v>4069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9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3748</v>
      </c>
      <c r="B2198" s="94" t="str">
        <f>IFERROR(VLOOKUP(Proc[[#This Row],[App]],Table2[],3,0),"open")</f>
        <v>ok</v>
      </c>
      <c r="C2198" s="93" t="s">
        <v>369</v>
      </c>
      <c r="D2198" t="s">
        <v>4034</v>
      </c>
      <c r="E2198" t="s">
        <v>4069</v>
      </c>
      <c r="F2198" s="117" t="s">
        <v>4069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9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3748</v>
      </c>
      <c r="B2199" s="94" t="str">
        <f>IFERROR(VLOOKUP(Proc[[#This Row],[App]],Table2[],3,0),"open")</f>
        <v>ok</v>
      </c>
      <c r="C2199" s="93" t="s">
        <v>369</v>
      </c>
      <c r="D2199" t="s">
        <v>4035</v>
      </c>
      <c r="E2199" t="s">
        <v>4069</v>
      </c>
      <c r="F2199" s="117" t="s">
        <v>4069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9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3748</v>
      </c>
      <c r="B2200" s="94" t="str">
        <f>IFERROR(VLOOKUP(Proc[[#This Row],[App]],Table2[],3,0),"open")</f>
        <v>ok</v>
      </c>
      <c r="C2200" s="93" t="s">
        <v>369</v>
      </c>
      <c r="D2200" t="s">
        <v>4036</v>
      </c>
      <c r="E2200" t="s">
        <v>4069</v>
      </c>
      <c r="F2200" s="117" t="s">
        <v>4069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9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3748</v>
      </c>
      <c r="B2201" s="94" t="str">
        <f>IFERROR(VLOOKUP(Proc[[#This Row],[App]],Table2[],3,0),"open")</f>
        <v>ok</v>
      </c>
      <c r="C2201" s="93" t="s">
        <v>369</v>
      </c>
      <c r="D2201" t="s">
        <v>4037</v>
      </c>
      <c r="E2201" t="s">
        <v>4069</v>
      </c>
      <c r="F2201" s="117" t="s">
        <v>4069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9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3748</v>
      </c>
      <c r="B2202" s="94" t="str">
        <f>IFERROR(VLOOKUP(Proc[[#This Row],[App]],Table2[],3,0),"open")</f>
        <v>ok</v>
      </c>
      <c r="C2202" s="93" t="s">
        <v>369</v>
      </c>
      <c r="D2202" t="s">
        <v>4038</v>
      </c>
      <c r="E2202" t="s">
        <v>4069</v>
      </c>
      <c r="F2202" s="117" t="s">
        <v>4069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9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3748</v>
      </c>
      <c r="B2203" s="94" t="str">
        <f>IFERROR(VLOOKUP(Proc[[#This Row],[App]],Table2[],3,0),"open")</f>
        <v>ok</v>
      </c>
      <c r="C2203" s="93" t="s">
        <v>369</v>
      </c>
      <c r="D2203" t="s">
        <v>4039</v>
      </c>
      <c r="E2203" t="s">
        <v>4069</v>
      </c>
      <c r="F2203" s="117" t="s">
        <v>4069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9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3748</v>
      </c>
      <c r="B2204" s="94" t="str">
        <f>IFERROR(VLOOKUP(Proc[[#This Row],[App]],Table2[],3,0),"open")</f>
        <v>ok</v>
      </c>
      <c r="C2204" s="93" t="s">
        <v>369</v>
      </c>
      <c r="D2204" t="s">
        <v>4040</v>
      </c>
      <c r="E2204" t="s">
        <v>4069</v>
      </c>
      <c r="F2204" s="117" t="s">
        <v>4069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9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3748</v>
      </c>
      <c r="B2205" s="94" t="str">
        <f>IFERROR(VLOOKUP(Proc[[#This Row],[App]],Table2[],3,0),"open")</f>
        <v>ok</v>
      </c>
      <c r="C2205" s="93" t="s">
        <v>369</v>
      </c>
      <c r="D2205" t="s">
        <v>4041</v>
      </c>
      <c r="E2205" t="s">
        <v>4069</v>
      </c>
      <c r="F2205" s="117" t="s">
        <v>4069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9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3748</v>
      </c>
      <c r="B2206" s="94" t="str">
        <f>IFERROR(VLOOKUP(Proc[[#This Row],[App]],Table2[],3,0),"open")</f>
        <v>ok</v>
      </c>
      <c r="C2206" s="93" t="s">
        <v>369</v>
      </c>
      <c r="D2206" t="s">
        <v>4042</v>
      </c>
      <c r="E2206" t="s">
        <v>4069</v>
      </c>
      <c r="F2206" s="117" t="s">
        <v>4069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9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3748</v>
      </c>
      <c r="B2207" s="94" t="str">
        <f>IFERROR(VLOOKUP(Proc[[#This Row],[App]],Table2[],3,0),"open")</f>
        <v>ok</v>
      </c>
      <c r="C2207" s="93" t="s">
        <v>369</v>
      </c>
      <c r="D2207" t="s">
        <v>4043</v>
      </c>
      <c r="E2207" t="s">
        <v>4069</v>
      </c>
      <c r="F2207" s="117" t="s">
        <v>4069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9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3748</v>
      </c>
      <c r="B2208" s="94" t="str">
        <f>IFERROR(VLOOKUP(Proc[[#This Row],[App]],Table2[],3,0),"open")</f>
        <v>ok</v>
      </c>
      <c r="C2208" s="93" t="s">
        <v>369</v>
      </c>
      <c r="D2208" t="s">
        <v>4044</v>
      </c>
      <c r="E2208" t="s">
        <v>4069</v>
      </c>
      <c r="F2208" s="117" t="s">
        <v>4069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9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3748</v>
      </c>
      <c r="B2209" s="94" t="str">
        <f>IFERROR(VLOOKUP(Proc[[#This Row],[App]],Table2[],3,0),"open")</f>
        <v>ok</v>
      </c>
      <c r="C2209" s="93" t="s">
        <v>369</v>
      </c>
      <c r="D2209" t="s">
        <v>4045</v>
      </c>
      <c r="E2209" t="s">
        <v>4069</v>
      </c>
      <c r="F2209" s="117" t="s">
        <v>4069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9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3748</v>
      </c>
      <c r="B2210" s="94" t="str">
        <f>IFERROR(VLOOKUP(Proc[[#This Row],[App]],Table2[],3,0),"open")</f>
        <v>ok</v>
      </c>
      <c r="C2210" s="93" t="s">
        <v>369</v>
      </c>
      <c r="D2210" t="s">
        <v>4046</v>
      </c>
      <c r="E2210" t="s">
        <v>4069</v>
      </c>
      <c r="F2210" s="117" t="s">
        <v>4069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9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3748</v>
      </c>
      <c r="B2211" s="94" t="str">
        <f>IFERROR(VLOOKUP(Proc[[#This Row],[App]],Table2[],3,0),"open")</f>
        <v>ok</v>
      </c>
      <c r="C2211" s="93" t="s">
        <v>369</v>
      </c>
      <c r="D2211" t="s">
        <v>4047</v>
      </c>
      <c r="E2211" t="s">
        <v>4069</v>
      </c>
      <c r="F2211" s="117" t="s">
        <v>4069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9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3748</v>
      </c>
      <c r="B2212" s="94" t="str">
        <f>IFERROR(VLOOKUP(Proc[[#This Row],[App]],Table2[],3,0),"open")</f>
        <v>ok</v>
      </c>
      <c r="C2212" s="93" t="s">
        <v>369</v>
      </c>
      <c r="D2212" t="s">
        <v>4048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9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3748</v>
      </c>
      <c r="B2213" s="94" t="str">
        <f>IFERROR(VLOOKUP(Proc[[#This Row],[App]],Table2[],3,0),"open")</f>
        <v>ok</v>
      </c>
      <c r="C2213" s="93" t="s">
        <v>369</v>
      </c>
      <c r="D2213" t="s">
        <v>4049</v>
      </c>
      <c r="E2213" t="s">
        <v>4069</v>
      </c>
      <c r="F2213" s="117" t="s">
        <v>4069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9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3748</v>
      </c>
      <c r="B2214" s="94" t="str">
        <f>IFERROR(VLOOKUP(Proc[[#This Row],[App]],Table2[],3,0),"open")</f>
        <v>ok</v>
      </c>
      <c r="C2214" s="93" t="s">
        <v>369</v>
      </c>
      <c r="D2214" t="s">
        <v>4050</v>
      </c>
      <c r="E2214" t="s">
        <v>4069</v>
      </c>
      <c r="F2214" s="117" t="s">
        <v>4069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9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3748</v>
      </c>
      <c r="B2215" s="94" t="str">
        <f>IFERROR(VLOOKUP(Proc[[#This Row],[App]],Table2[],3,0),"open")</f>
        <v>ok</v>
      </c>
      <c r="C2215" s="93" t="s">
        <v>369</v>
      </c>
      <c r="D2215" t="s">
        <v>4051</v>
      </c>
      <c r="E2215" t="s">
        <v>4069</v>
      </c>
      <c r="F2215" s="117" t="s">
        <v>4069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9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3748</v>
      </c>
      <c r="B2216" s="94" t="str">
        <f>IFERROR(VLOOKUP(Proc[[#This Row],[App]],Table2[],3,0),"open")</f>
        <v>ok</v>
      </c>
      <c r="C2216" s="93" t="s">
        <v>369</v>
      </c>
      <c r="D2216" t="s">
        <v>4052</v>
      </c>
      <c r="E2216" t="s">
        <v>4069</v>
      </c>
      <c r="F2216" s="117" t="s">
        <v>4069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9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3748</v>
      </c>
      <c r="B2217" s="94" t="str">
        <f>IFERROR(VLOOKUP(Proc[[#This Row],[App]],Table2[],3,0),"open")</f>
        <v>ok</v>
      </c>
      <c r="C2217" s="93" t="s">
        <v>369</v>
      </c>
      <c r="D2217" t="s">
        <v>4053</v>
      </c>
      <c r="E2217" t="s">
        <v>4069</v>
      </c>
      <c r="F2217" s="117" t="s">
        <v>4069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9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3748</v>
      </c>
      <c r="B2218" s="94" t="str">
        <f>IFERROR(VLOOKUP(Proc[[#This Row],[App]],Table2[],3,0),"open")</f>
        <v>ok</v>
      </c>
      <c r="C2218" s="93" t="s">
        <v>369</v>
      </c>
      <c r="D2218" t="s">
        <v>4054</v>
      </c>
      <c r="E2218" t="s">
        <v>4069</v>
      </c>
      <c r="F2218" s="117" t="s">
        <v>4069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9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3748</v>
      </c>
      <c r="B2219" s="94" t="str">
        <f>IFERROR(VLOOKUP(Proc[[#This Row],[App]],Table2[],3,0),"open")</f>
        <v>ok</v>
      </c>
      <c r="C2219" s="93" t="s">
        <v>369</v>
      </c>
      <c r="D2219" t="s">
        <v>4055</v>
      </c>
      <c r="E2219" t="s">
        <v>4069</v>
      </c>
      <c r="F2219" s="117" t="s">
        <v>4069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9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3748</v>
      </c>
      <c r="B2220" s="94" t="str">
        <f>IFERROR(VLOOKUP(Proc[[#This Row],[App]],Table2[],3,0),"open")</f>
        <v>ok</v>
      </c>
      <c r="C2220" s="93" t="s">
        <v>369</v>
      </c>
      <c r="D2220" t="s">
        <v>4056</v>
      </c>
      <c r="E2220" t="s">
        <v>4069</v>
      </c>
      <c r="F2220" s="117" t="s">
        <v>4069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9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3748</v>
      </c>
      <c r="B2221" s="94" t="str">
        <f>IFERROR(VLOOKUP(Proc[[#This Row],[App]],Table2[],3,0),"open")</f>
        <v>ok</v>
      </c>
      <c r="C2221" s="93" t="s">
        <v>369</v>
      </c>
      <c r="D2221" t="s">
        <v>4057</v>
      </c>
      <c r="E2221" t="s">
        <v>4069</v>
      </c>
      <c r="F2221" s="117" t="s">
        <v>4069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9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3748</v>
      </c>
      <c r="B2222" s="94" t="str">
        <f>IFERROR(VLOOKUP(Proc[[#This Row],[App]],Table2[],3,0),"open")</f>
        <v>ok</v>
      </c>
      <c r="C2222" s="93" t="s">
        <v>369</v>
      </c>
      <c r="D2222" t="s">
        <v>4058</v>
      </c>
      <c r="E2222" t="s">
        <v>4069</v>
      </c>
      <c r="F2222" s="117" t="s">
        <v>4069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9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3748</v>
      </c>
      <c r="B2223" s="94" t="str">
        <f>IFERROR(VLOOKUP(Proc[[#This Row],[App]],Table2[],3,0),"open")</f>
        <v>ok</v>
      </c>
      <c r="C2223" s="93" t="s">
        <v>369</v>
      </c>
      <c r="D2223" t="s">
        <v>4059</v>
      </c>
      <c r="E2223" t="s">
        <v>4069</v>
      </c>
      <c r="F2223" s="117" t="s">
        <v>4069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9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3748</v>
      </c>
      <c r="B2224" s="94" t="str">
        <f>IFERROR(VLOOKUP(Proc[[#This Row],[App]],Table2[],3,0),"open")</f>
        <v>ok</v>
      </c>
      <c r="C2224" s="93" t="s">
        <v>369</v>
      </c>
      <c r="D2224" t="s">
        <v>4060</v>
      </c>
      <c r="E2224" t="s">
        <v>4069</v>
      </c>
      <c r="F2224" s="117" t="s">
        <v>4069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9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3748</v>
      </c>
      <c r="B2225" s="94" t="str">
        <f>IFERROR(VLOOKUP(Proc[[#This Row],[App]],Table2[],3,0),"open")</f>
        <v>ok</v>
      </c>
      <c r="C2225" s="93" t="s">
        <v>369</v>
      </c>
      <c r="D2225" t="s">
        <v>4061</v>
      </c>
      <c r="E2225" t="s">
        <v>4069</v>
      </c>
      <c r="F2225" s="117" t="s">
        <v>4069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9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3748</v>
      </c>
      <c r="B2226" s="94" t="str">
        <f>IFERROR(VLOOKUP(Proc[[#This Row],[App]],Table2[],3,0),"open")</f>
        <v>ok</v>
      </c>
      <c r="C2226" s="93" t="s">
        <v>369</v>
      </c>
      <c r="D2226" t="s">
        <v>4062</v>
      </c>
      <c r="E2226" t="s">
        <v>4069</v>
      </c>
      <c r="F2226" s="117" t="s">
        <v>4069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9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3748</v>
      </c>
      <c r="B2227" s="94" t="str">
        <f>IFERROR(VLOOKUP(Proc[[#This Row],[App]],Table2[],3,0),"open")</f>
        <v>ok</v>
      </c>
      <c r="C2227" s="93" t="s">
        <v>369</v>
      </c>
      <c r="D2227" t="s">
        <v>4063</v>
      </c>
      <c r="E2227" t="s">
        <v>4069</v>
      </c>
      <c r="F2227" s="117" t="s">
        <v>4069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9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3748</v>
      </c>
      <c r="B2228" s="94" t="str">
        <f>IFERROR(VLOOKUP(Proc[[#This Row],[App]],Table2[],3,0),"open")</f>
        <v>ok</v>
      </c>
      <c r="C2228" s="93" t="s">
        <v>369</v>
      </c>
      <c r="D2228" t="s">
        <v>4064</v>
      </c>
      <c r="E2228" t="s">
        <v>4069</v>
      </c>
      <c r="F2228" s="117" t="s">
        <v>4069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9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3748</v>
      </c>
      <c r="B2229" s="94" t="str">
        <f>IFERROR(VLOOKUP(Proc[[#This Row],[App]],Table2[],3,0),"open")</f>
        <v>ok</v>
      </c>
      <c r="C2229" s="93" t="s">
        <v>369</v>
      </c>
      <c r="D2229" t="s">
        <v>4065</v>
      </c>
      <c r="E2229" t="s">
        <v>4069</v>
      </c>
      <c r="F2229" s="117" t="s">
        <v>4069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9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3748</v>
      </c>
      <c r="B2230" s="94" t="str">
        <f>IFERROR(VLOOKUP(Proc[[#This Row],[App]],Table2[],3,0),"open")</f>
        <v>ok</v>
      </c>
      <c r="C2230" s="93" t="s">
        <v>369</v>
      </c>
      <c r="D2230" t="s">
        <v>4066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9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3625</v>
      </c>
      <c r="B2231" s="94" t="str">
        <f>IFERROR(VLOOKUP(Proc[[#This Row],[App]],Table2[],3,0),"open")</f>
        <v>ok</v>
      </c>
      <c r="C2231" s="93" t="s">
        <v>369</v>
      </c>
      <c r="D2231" t="s">
        <v>4073</v>
      </c>
      <c r="E2231" t="s">
        <v>3626</v>
      </c>
      <c r="F2231" s="117" t="s">
        <v>3626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9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4075</v>
      </c>
      <c r="B2232" s="94" t="str">
        <f>IFERROR(VLOOKUP(Proc[[#This Row],[App]],Table2[],3,0),"open")</f>
        <v>ok</v>
      </c>
      <c r="C2232" t="s">
        <v>369</v>
      </c>
      <c r="D2232" t="s">
        <v>4076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9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4077</v>
      </c>
      <c r="B2233" s="94" t="str">
        <f>IFERROR(VLOOKUP(Proc[[#This Row],[App]],Table2[],3,0),"open")</f>
        <v>ok</v>
      </c>
      <c r="C2233" t="s">
        <v>369</v>
      </c>
      <c r="D2233" t="s">
        <v>4078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4083</v>
      </c>
      <c r="J2233" s="94" t="b">
        <f>Proc[[#This Row],[Requested]]=Proc[[#This Row],[CurrentParent]]</f>
        <v>1</v>
      </c>
      <c r="K2233" s="9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4077</v>
      </c>
      <c r="B2234" s="94" t="str">
        <f>IFERROR(VLOOKUP(Proc[[#This Row],[App]],Table2[],3,0),"open")</f>
        <v>ok</v>
      </c>
      <c r="C2234" s="93" t="s">
        <v>369</v>
      </c>
      <c r="D2234" t="s">
        <v>4079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4083</v>
      </c>
      <c r="J2234" s="94" t="b">
        <f>Proc[[#This Row],[Requested]]=Proc[[#This Row],[CurrentParent]]</f>
        <v>1</v>
      </c>
      <c r="K2234" s="9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4077</v>
      </c>
      <c r="B2235" s="94" t="str">
        <f>IFERROR(VLOOKUP(Proc[[#This Row],[App]],Table2[],3,0),"open")</f>
        <v>ok</v>
      </c>
      <c r="C2235" s="93" t="s">
        <v>369</v>
      </c>
      <c r="D2235" t="s">
        <v>4080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4083</v>
      </c>
      <c r="J2235" s="94" t="b">
        <f>Proc[[#This Row],[Requested]]=Proc[[#This Row],[CurrentParent]]</f>
        <v>1</v>
      </c>
      <c r="K2235" s="9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4077</v>
      </c>
      <c r="B2236" s="94" t="str">
        <f>IFERROR(VLOOKUP(Proc[[#This Row],[App]],Table2[],3,0),"open")</f>
        <v>ok</v>
      </c>
      <c r="C2236" s="93" t="s">
        <v>369</v>
      </c>
      <c r="D2236" t="s">
        <v>4079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4083</v>
      </c>
      <c r="J2236" s="94" t="b">
        <f>Proc[[#This Row],[Requested]]=Proc[[#This Row],[CurrentParent]]</f>
        <v>1</v>
      </c>
      <c r="K2236" s="9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4077</v>
      </c>
      <c r="B2237" s="94" t="str">
        <f>IFERROR(VLOOKUP(Proc[[#This Row],[App]],Table2[],3,0),"open")</f>
        <v>ok</v>
      </c>
      <c r="C2237" s="93" t="s">
        <v>369</v>
      </c>
      <c r="D2237" t="s">
        <v>4081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4083</v>
      </c>
      <c r="J2237" s="94" t="b">
        <f>Proc[[#This Row],[Requested]]=Proc[[#This Row],[CurrentParent]]</f>
        <v>1</v>
      </c>
      <c r="K2237" s="9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4084</v>
      </c>
      <c r="B2238" s="94" t="str">
        <f>IFERROR(VLOOKUP(Proc[[#This Row],[App]],Table2[],3,0),"open")</f>
        <v>ok</v>
      </c>
      <c r="C2238" t="s">
        <v>369</v>
      </c>
      <c r="D2238" t="s">
        <v>4092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9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4084</v>
      </c>
      <c r="B2239" s="94" t="str">
        <f>IFERROR(VLOOKUP(Proc[[#This Row],[App]],Table2[],3,0),"open")</f>
        <v>ok</v>
      </c>
      <c r="C2239" s="93" t="s">
        <v>369</v>
      </c>
      <c r="D2239" t="s">
        <v>4085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4091</v>
      </c>
      <c r="J2239" s="94" t="b">
        <f>Proc[[#This Row],[Requested]]=Proc[[#This Row],[CurrentParent]]</f>
        <v>1</v>
      </c>
      <c r="K2239" s="9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4084</v>
      </c>
      <c r="B2240" s="94" t="str">
        <f>IFERROR(VLOOKUP(Proc[[#This Row],[App]],Table2[],3,0),"open")</f>
        <v>ok</v>
      </c>
      <c r="C2240" s="93" t="s">
        <v>369</v>
      </c>
      <c r="D2240" t="s">
        <v>4086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4091</v>
      </c>
      <c r="J2240" s="94" t="b">
        <f>Proc[[#This Row],[Requested]]=Proc[[#This Row],[CurrentParent]]</f>
        <v>1</v>
      </c>
      <c r="K2240" s="9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4084</v>
      </c>
      <c r="B2241" s="94" t="str">
        <f>IFERROR(VLOOKUP(Proc[[#This Row],[App]],Table2[],3,0),"open")</f>
        <v>ok</v>
      </c>
      <c r="C2241" s="93" t="s">
        <v>369</v>
      </c>
      <c r="D2241" t="s">
        <v>4087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9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4084</v>
      </c>
      <c r="B2242" s="94" t="str">
        <f>IFERROR(VLOOKUP(Proc[[#This Row],[App]],Table2[],3,0),"open")</f>
        <v>ok</v>
      </c>
      <c r="C2242" s="93" t="s">
        <v>369</v>
      </c>
      <c r="D2242" t="s">
        <v>4088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9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4084</v>
      </c>
      <c r="B2243" s="94" t="str">
        <f>IFERROR(VLOOKUP(Proc[[#This Row],[App]],Table2[],3,0),"open")</f>
        <v>ok</v>
      </c>
      <c r="C2243" s="93" t="s">
        <v>369</v>
      </c>
      <c r="D2243" t="s">
        <v>4089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9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4084</v>
      </c>
      <c r="B2244" s="94" t="str">
        <f>IFERROR(VLOOKUP(Proc[[#This Row],[App]],Table2[],3,0),"open")</f>
        <v>ok</v>
      </c>
      <c r="C2244" s="93" t="s">
        <v>369</v>
      </c>
      <c r="D2244" t="s">
        <v>4090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9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4093</v>
      </c>
      <c r="B2245" s="94" t="str">
        <f>IFERROR(VLOOKUP(Proc[[#This Row],[App]],Table2[],3,0),"open")</f>
        <v>ok</v>
      </c>
      <c r="C2245" t="s">
        <v>369</v>
      </c>
      <c r="D2245" t="s">
        <v>4094</v>
      </c>
      <c r="E2245" t="s">
        <v>4095</v>
      </c>
      <c r="F2245" s="117" t="s">
        <v>4095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9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53</v>
      </c>
      <c r="R2245" s="95" t="s">
        <v>764</v>
      </c>
      <c r="S2245" s="94"/>
    </row>
    <row r="2246" spans="1:19" hidden="1">
      <c r="A2246" t="s">
        <v>4098</v>
      </c>
      <c r="B2246" s="94" t="str">
        <f>IFERROR(VLOOKUP(Proc[[#This Row],[App]],Table2[],3,0),"open")</f>
        <v>ok</v>
      </c>
      <c r="C2246" s="97" t="s">
        <v>369</v>
      </c>
      <c r="D2246" s="97" t="s">
        <v>4096</v>
      </c>
      <c r="E2246" s="97" t="s">
        <v>4097</v>
      </c>
      <c r="F2246" s="117" t="s">
        <v>4097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9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53</v>
      </c>
      <c r="R2246" s="95" t="s">
        <v>515</v>
      </c>
      <c r="S2246" s="94"/>
    </row>
    <row r="2247" spans="1:19" hidden="1">
      <c r="A2247" t="s">
        <v>4099</v>
      </c>
      <c r="B2247" s="94" t="str">
        <f>IFERROR(VLOOKUP(Proc[[#This Row],[App]],Table2[],3,0),"open")</f>
        <v>ok</v>
      </c>
      <c r="C2247" s="103" t="s">
        <v>369</v>
      </c>
      <c r="D2247" t="s">
        <v>4100</v>
      </c>
      <c r="E2247" t="s">
        <v>4101</v>
      </c>
      <c r="F2247" s="117" t="s">
        <v>4101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9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4104</v>
      </c>
      <c r="B2248" s="94" t="str">
        <f>IFERROR(VLOOKUP(Proc[[#This Row],[App]],Table2[],3,0),"open")</f>
        <v>ok</v>
      </c>
      <c r="C2248" s="97" t="s">
        <v>369</v>
      </c>
      <c r="D2248" t="s">
        <v>4105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9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 hidden="1">
      <c r="A2249" t="s">
        <v>4104</v>
      </c>
      <c r="B2249" s="94" t="str">
        <f>IFERROR(VLOOKUP(Proc[[#This Row],[App]],Table2[],3,0),"open")</f>
        <v>ok</v>
      </c>
      <c r="C2249" s="97" t="s">
        <v>377</v>
      </c>
      <c r="D2249" t="s">
        <v>4102</v>
      </c>
      <c r="E2249" t="s">
        <v>4103</v>
      </c>
      <c r="F2249" s="103" t="s">
        <v>4103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9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 hidden="1">
      <c r="A2250" t="s">
        <v>4116</v>
      </c>
      <c r="B2250" s="94" t="str">
        <f>IFERROR(VLOOKUP(Proc[[#This Row],[App]],Table2[],3,0),"open")</f>
        <v>ok</v>
      </c>
      <c r="C2250" s="103" t="s">
        <v>369</v>
      </c>
      <c r="D2250" t="s">
        <v>4106</v>
      </c>
      <c r="E2250" t="s">
        <v>4114</v>
      </c>
      <c r="F2250" s="117" t="s">
        <v>4114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4117</v>
      </c>
      <c r="J2250" s="94" t="b">
        <f>Proc[[#This Row],[Requested]]=Proc[[#This Row],[CurrentParent]]</f>
        <v>1</v>
      </c>
      <c r="K2250" s="9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4116</v>
      </c>
      <c r="B2251" s="94" t="str">
        <f>IFERROR(VLOOKUP(Proc[[#This Row],[App]],Table2[],3,0),"open")</f>
        <v>ok</v>
      </c>
      <c r="C2251" s="103" t="s">
        <v>369</v>
      </c>
      <c r="D2251" t="s">
        <v>4107</v>
      </c>
      <c r="E2251" t="s">
        <v>4115</v>
      </c>
      <c r="F2251" s="117" t="s">
        <v>4115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4117</v>
      </c>
      <c r="J2251" s="94" t="b">
        <f>Proc[[#This Row],[Requested]]=Proc[[#This Row],[CurrentParent]]</f>
        <v>1</v>
      </c>
      <c r="K2251" s="9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4116</v>
      </c>
      <c r="B2252" s="94" t="str">
        <f>IFERROR(VLOOKUP(Proc[[#This Row],[App]],Table2[],3,0),"open")</f>
        <v>ok</v>
      </c>
      <c r="C2252" s="103" t="s">
        <v>369</v>
      </c>
      <c r="D2252" t="s">
        <v>4108</v>
      </c>
      <c r="E2252" t="s">
        <v>3383</v>
      </c>
      <c r="F2252" s="117" t="s">
        <v>3383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4117</v>
      </c>
      <c r="J2252" s="94" t="b">
        <f>Proc[[#This Row],[Requested]]=Proc[[#This Row],[CurrentParent]]</f>
        <v>1</v>
      </c>
      <c r="K2252" s="9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4116</v>
      </c>
      <c r="B2253" s="94" t="str">
        <f>IFERROR(VLOOKUP(Proc[[#This Row],[App]],Table2[],3,0),"open")</f>
        <v>ok</v>
      </c>
      <c r="C2253" s="103" t="s">
        <v>369</v>
      </c>
      <c r="D2253" t="s">
        <v>4109</v>
      </c>
      <c r="E2253" t="s">
        <v>3383</v>
      </c>
      <c r="F2253" s="117" t="s">
        <v>3383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4117</v>
      </c>
      <c r="J2253" s="94" t="b">
        <f>Proc[[#This Row],[Requested]]=Proc[[#This Row],[CurrentParent]]</f>
        <v>1</v>
      </c>
      <c r="K2253" s="9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4116</v>
      </c>
      <c r="B2254" s="94" t="str">
        <f>IFERROR(VLOOKUP(Proc[[#This Row],[App]],Table2[],3,0),"open")</f>
        <v>ok</v>
      </c>
      <c r="C2254" s="103" t="s">
        <v>369</v>
      </c>
      <c r="D2254" t="s">
        <v>4110</v>
      </c>
      <c r="E2254" t="s">
        <v>3383</v>
      </c>
      <c r="F2254" s="117" t="s">
        <v>3383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4117</v>
      </c>
      <c r="J2254" s="94" t="b">
        <f>Proc[[#This Row],[Requested]]=Proc[[#This Row],[CurrentParent]]</f>
        <v>1</v>
      </c>
      <c r="K2254" s="9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4116</v>
      </c>
      <c r="B2255" s="94" t="str">
        <f>IFERROR(VLOOKUP(Proc[[#This Row],[App]],Table2[],3,0),"open")</f>
        <v>ok</v>
      </c>
      <c r="C2255" s="103" t="s">
        <v>369</v>
      </c>
      <c r="D2255" t="s">
        <v>4111</v>
      </c>
      <c r="E2255" t="s">
        <v>3382</v>
      </c>
      <c r="F2255" s="117" t="s">
        <v>3382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4117</v>
      </c>
      <c r="J2255" s="94" t="b">
        <f>Proc[[#This Row],[Requested]]=Proc[[#This Row],[CurrentParent]]</f>
        <v>1</v>
      </c>
      <c r="K2255" s="9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4116</v>
      </c>
      <c r="B2256" s="94" t="str">
        <f>IFERROR(VLOOKUP(Proc[[#This Row],[App]],Table2[],3,0),"open")</f>
        <v>ok</v>
      </c>
      <c r="C2256" s="103" t="s">
        <v>369</v>
      </c>
      <c r="D2256" t="s">
        <v>4112</v>
      </c>
      <c r="E2256" t="s">
        <v>3382</v>
      </c>
      <c r="F2256" s="117" t="s">
        <v>3382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4117</v>
      </c>
      <c r="J2256" s="94" t="b">
        <f>Proc[[#This Row],[Requested]]=Proc[[#This Row],[CurrentParent]]</f>
        <v>1</v>
      </c>
      <c r="K2256" s="9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4116</v>
      </c>
      <c r="B2257" s="94" t="str">
        <f>IFERROR(VLOOKUP(Proc[[#This Row],[App]],Table2[],3,0),"open")</f>
        <v>ok</v>
      </c>
      <c r="C2257" s="103" t="s">
        <v>369</v>
      </c>
      <c r="D2257" t="s">
        <v>4113</v>
      </c>
      <c r="E2257" t="s">
        <v>3382</v>
      </c>
      <c r="F2257" s="117" t="s">
        <v>3382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4117</v>
      </c>
      <c r="J2257" s="94" t="b">
        <f>Proc[[#This Row],[Requested]]=Proc[[#This Row],[CurrentParent]]</f>
        <v>1</v>
      </c>
      <c r="K2257" s="9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4119</v>
      </c>
      <c r="B2258" s="94" t="str">
        <f>IFERROR(VLOOKUP(Proc[[#This Row],[App]],Table2[],3,0),"open")</f>
        <v>ok</v>
      </c>
      <c r="C2258" s="103" t="s">
        <v>369</v>
      </c>
      <c r="D2258" s="99" t="s">
        <v>4118</v>
      </c>
      <c r="E2258" t="s">
        <v>4101</v>
      </c>
      <c r="F2258" s="117" t="s">
        <v>4101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9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4120</v>
      </c>
      <c r="B2259" s="94" t="str">
        <f>IFERROR(VLOOKUP(Proc[[#This Row],[App]],Table2[],3,0),"open")</f>
        <v>ok</v>
      </c>
      <c r="C2259" s="103" t="s">
        <v>369</v>
      </c>
      <c r="D2259" s="101" t="s">
        <v>4180</v>
      </c>
      <c r="E2259" t="s">
        <v>4121</v>
      </c>
      <c r="F2259" s="117" t="s">
        <v>4121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9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48</v>
      </c>
      <c r="R2259" s="98" t="s">
        <v>515</v>
      </c>
      <c r="S2259" s="94"/>
    </row>
    <row r="2260" spans="1:19" hidden="1">
      <c r="A2260" s="101" t="s">
        <v>4120</v>
      </c>
      <c r="B2260" s="94" t="str">
        <f>IFERROR(VLOOKUP(Proc[[#This Row],[App]],Table2[],3,0),"open")</f>
        <v>ok</v>
      </c>
      <c r="C2260" s="101" t="s">
        <v>369</v>
      </c>
      <c r="D2260" s="102" t="s">
        <v>4179</v>
      </c>
      <c r="E2260" t="s">
        <v>4122</v>
      </c>
      <c r="F2260" s="117" t="s">
        <v>4122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9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48</v>
      </c>
      <c r="R2260" s="98" t="s">
        <v>515</v>
      </c>
      <c r="S2260" s="94"/>
    </row>
    <row r="2261" spans="1:19" hidden="1">
      <c r="A2261" t="s">
        <v>4124</v>
      </c>
      <c r="B2261" s="94" t="str">
        <f>IFERROR(VLOOKUP(Proc[[#This Row],[App]],Table2[],3,0),"open")</f>
        <v>ok</v>
      </c>
      <c r="C2261" s="103" t="s">
        <v>369</v>
      </c>
      <c r="D2261" s="99" t="s">
        <v>4123</v>
      </c>
      <c r="E2261" s="103" t="s">
        <v>3265</v>
      </c>
      <c r="F2261" s="117" t="s">
        <v>3265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9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4134</v>
      </c>
      <c r="B2262" s="94" t="str">
        <f>IFERROR(VLOOKUP(Proc[[#This Row],[App]],Table2[],3,0),"open")</f>
        <v>ok</v>
      </c>
      <c r="C2262" t="s">
        <v>369</v>
      </c>
      <c r="D2262" t="s">
        <v>4125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9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4134</v>
      </c>
      <c r="B2263" s="94" t="str">
        <f>IFERROR(VLOOKUP(Proc[[#This Row],[App]],Table2[],3,0),"open")</f>
        <v>ok</v>
      </c>
      <c r="C2263" s="103" t="s">
        <v>369</v>
      </c>
      <c r="D2263" t="s">
        <v>4126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9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4134</v>
      </c>
      <c r="B2264" s="94" t="str">
        <f>IFERROR(VLOOKUP(Proc[[#This Row],[App]],Table2[],3,0),"open")</f>
        <v>ok</v>
      </c>
      <c r="C2264" s="103" t="s">
        <v>369</v>
      </c>
      <c r="D2264" t="s">
        <v>4127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9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4134</v>
      </c>
      <c r="B2265" s="94" t="str">
        <f>IFERROR(VLOOKUP(Proc[[#This Row],[App]],Table2[],3,0),"open")</f>
        <v>ok</v>
      </c>
      <c r="C2265" s="103" t="s">
        <v>369</v>
      </c>
      <c r="D2265" t="s">
        <v>4128</v>
      </c>
      <c r="E2265" t="s">
        <v>4132</v>
      </c>
      <c r="F2265" s="117" t="s">
        <v>4132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9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4134</v>
      </c>
      <c r="B2266" s="94" t="str">
        <f>IFERROR(VLOOKUP(Proc[[#This Row],[App]],Table2[],3,0),"open")</f>
        <v>ok</v>
      </c>
      <c r="C2266" s="103" t="s">
        <v>369</v>
      </c>
      <c r="D2266" t="s">
        <v>4129</v>
      </c>
      <c r="E2266" t="s">
        <v>4132</v>
      </c>
      <c r="F2266" s="117" t="s">
        <v>4132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9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4134</v>
      </c>
      <c r="B2267" s="94" t="str">
        <f>IFERROR(VLOOKUP(Proc[[#This Row],[App]],Table2[],3,0),"open")</f>
        <v>ok</v>
      </c>
      <c r="C2267" s="103" t="s">
        <v>369</v>
      </c>
      <c r="D2267" t="s">
        <v>4130</v>
      </c>
      <c r="E2267" t="s">
        <v>4133</v>
      </c>
      <c r="F2267" s="117" t="s">
        <v>4133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9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4134</v>
      </c>
      <c r="B2268" s="94" t="str">
        <f>IFERROR(VLOOKUP(Proc[[#This Row],[App]],Table2[],3,0),"open")</f>
        <v>ok</v>
      </c>
      <c r="C2268" s="103" t="s">
        <v>369</v>
      </c>
      <c r="D2268" t="s">
        <v>4131</v>
      </c>
      <c r="E2268" t="s">
        <v>4133</v>
      </c>
      <c r="F2268" s="117" t="s">
        <v>4133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9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4140</v>
      </c>
      <c r="B2269" s="94" t="str">
        <f>IFERROR(VLOOKUP(Proc[[#This Row],[App]],Table2[],3,0),"open")</f>
        <v>ok</v>
      </c>
      <c r="C2269" s="103" t="s">
        <v>369</v>
      </c>
      <c r="D2269" t="s">
        <v>4141</v>
      </c>
      <c r="E2269" t="s">
        <v>4174</v>
      </c>
      <c r="F2269" s="117" t="s">
        <v>4174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9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4140</v>
      </c>
      <c r="B2270" s="94" t="str">
        <f>IFERROR(VLOOKUP(Proc[[#This Row],[App]],Table2[],3,0),"open")</f>
        <v>ok</v>
      </c>
      <c r="C2270" s="103" t="s">
        <v>369</v>
      </c>
      <c r="D2270" t="s">
        <v>4142</v>
      </c>
      <c r="E2270" t="s">
        <v>4175</v>
      </c>
      <c r="F2270" s="117" t="s">
        <v>4175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9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4140</v>
      </c>
      <c r="B2271" s="94" t="str">
        <f>IFERROR(VLOOKUP(Proc[[#This Row],[App]],Table2[],3,0),"open")</f>
        <v>ok</v>
      </c>
      <c r="C2271" s="103" t="s">
        <v>369</v>
      </c>
      <c r="D2271" t="s">
        <v>4143</v>
      </c>
      <c r="E2271" t="s">
        <v>4175</v>
      </c>
      <c r="F2271" s="117" t="s">
        <v>4175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9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4140</v>
      </c>
      <c r="B2272" s="94" t="str">
        <f>IFERROR(VLOOKUP(Proc[[#This Row],[App]],Table2[],3,0),"open")</f>
        <v>ok</v>
      </c>
      <c r="C2272" s="103" t="s">
        <v>369</v>
      </c>
      <c r="D2272" t="s">
        <v>4144</v>
      </c>
      <c r="E2272" t="s">
        <v>4175</v>
      </c>
      <c r="F2272" s="117" t="s">
        <v>4175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9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4140</v>
      </c>
      <c r="B2273" s="94" t="str">
        <f>IFERROR(VLOOKUP(Proc[[#This Row],[App]],Table2[],3,0),"open")</f>
        <v>ok</v>
      </c>
      <c r="C2273" s="103" t="s">
        <v>369</v>
      </c>
      <c r="D2273" t="s">
        <v>4145</v>
      </c>
      <c r="E2273" t="s">
        <v>4174</v>
      </c>
      <c r="F2273" s="117" t="s">
        <v>4174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9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4140</v>
      </c>
      <c r="B2274" s="94" t="str">
        <f>IFERROR(VLOOKUP(Proc[[#This Row],[App]],Table2[],3,0),"open")</f>
        <v>ok</v>
      </c>
      <c r="C2274" s="103" t="s">
        <v>369</v>
      </c>
      <c r="D2274" t="s">
        <v>4146</v>
      </c>
      <c r="E2274" t="s">
        <v>4174</v>
      </c>
      <c r="F2274" s="117" t="s">
        <v>4174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9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4140</v>
      </c>
      <c r="B2275" s="94" t="str">
        <f>IFERROR(VLOOKUP(Proc[[#This Row],[App]],Table2[],3,0),"open")</f>
        <v>ok</v>
      </c>
      <c r="C2275" s="103" t="s">
        <v>369</v>
      </c>
      <c r="D2275" t="s">
        <v>4147</v>
      </c>
      <c r="E2275" t="s">
        <v>4174</v>
      </c>
      <c r="F2275" s="117" t="s">
        <v>4174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9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4140</v>
      </c>
      <c r="B2276" s="94" t="str">
        <f>IFERROR(VLOOKUP(Proc[[#This Row],[App]],Table2[],3,0),"open")</f>
        <v>ok</v>
      </c>
      <c r="C2276" s="103" t="s">
        <v>369</v>
      </c>
      <c r="D2276" t="s">
        <v>4148</v>
      </c>
      <c r="E2276" t="s">
        <v>4082</v>
      </c>
      <c r="F2276" s="117" t="s">
        <v>4082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9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4140</v>
      </c>
      <c r="B2277" s="94" t="str">
        <f>IFERROR(VLOOKUP(Proc[[#This Row],[App]],Table2[],3,0),"open")</f>
        <v>ok</v>
      </c>
      <c r="C2277" s="103" t="s">
        <v>369</v>
      </c>
      <c r="D2277" t="s">
        <v>4149</v>
      </c>
      <c r="E2277" t="s">
        <v>4175</v>
      </c>
      <c r="F2277" s="117" t="s">
        <v>4175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9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4140</v>
      </c>
      <c r="B2278" s="94" t="str">
        <f>IFERROR(VLOOKUP(Proc[[#This Row],[App]],Table2[],3,0),"open")</f>
        <v>ok</v>
      </c>
      <c r="C2278" s="103" t="s">
        <v>369</v>
      </c>
      <c r="D2278" t="s">
        <v>4150</v>
      </c>
      <c r="E2278" t="s">
        <v>4174</v>
      </c>
      <c r="F2278" s="117" t="s">
        <v>4174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9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4140</v>
      </c>
      <c r="B2279" s="94" t="str">
        <f>IFERROR(VLOOKUP(Proc[[#This Row],[App]],Table2[],3,0),"open")</f>
        <v>ok</v>
      </c>
      <c r="C2279" s="103" t="s">
        <v>369</v>
      </c>
      <c r="D2279" t="s">
        <v>4151</v>
      </c>
      <c r="E2279" t="s">
        <v>4174</v>
      </c>
      <c r="F2279" s="117" t="s">
        <v>4174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9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4140</v>
      </c>
      <c r="B2280" s="94" t="str">
        <f>IFERROR(VLOOKUP(Proc[[#This Row],[App]],Table2[],3,0),"open")</f>
        <v>ok</v>
      </c>
      <c r="C2280" s="103" t="s">
        <v>369</v>
      </c>
      <c r="D2280" t="s">
        <v>4152</v>
      </c>
      <c r="E2280" t="s">
        <v>4174</v>
      </c>
      <c r="F2280" s="117" t="s">
        <v>4174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9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4140</v>
      </c>
      <c r="B2281" s="94" t="str">
        <f>IFERROR(VLOOKUP(Proc[[#This Row],[App]],Table2[],3,0),"open")</f>
        <v>ok</v>
      </c>
      <c r="C2281" s="103" t="s">
        <v>369</v>
      </c>
      <c r="D2281" t="s">
        <v>4153</v>
      </c>
      <c r="E2281" t="s">
        <v>4174</v>
      </c>
      <c r="F2281" s="117" t="s">
        <v>4174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9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4140</v>
      </c>
      <c r="B2282" s="94" t="str">
        <f>IFERROR(VLOOKUP(Proc[[#This Row],[App]],Table2[],3,0),"open")</f>
        <v>ok</v>
      </c>
      <c r="C2282" s="103" t="s">
        <v>369</v>
      </c>
      <c r="D2282" t="s">
        <v>4154</v>
      </c>
      <c r="E2282" t="s">
        <v>4174</v>
      </c>
      <c r="F2282" s="117" t="s">
        <v>4174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9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4140</v>
      </c>
      <c r="B2283" s="94" t="str">
        <f>IFERROR(VLOOKUP(Proc[[#This Row],[App]],Table2[],3,0),"open")</f>
        <v>ok</v>
      </c>
      <c r="C2283" s="103" t="s">
        <v>369</v>
      </c>
      <c r="D2283" t="s">
        <v>4155</v>
      </c>
      <c r="E2283" t="s">
        <v>4174</v>
      </c>
      <c r="F2283" s="117" t="s">
        <v>4174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9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4140</v>
      </c>
      <c r="B2284" s="94" t="str">
        <f>IFERROR(VLOOKUP(Proc[[#This Row],[App]],Table2[],3,0),"open")</f>
        <v>ok</v>
      </c>
      <c r="C2284" s="103" t="s">
        <v>369</v>
      </c>
      <c r="D2284" t="s">
        <v>4156</v>
      </c>
      <c r="E2284" t="s">
        <v>4174</v>
      </c>
      <c r="F2284" s="117" t="s">
        <v>4174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9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4140</v>
      </c>
      <c r="B2285" s="94" t="str">
        <f>IFERROR(VLOOKUP(Proc[[#This Row],[App]],Table2[],3,0),"open")</f>
        <v>ok</v>
      </c>
      <c r="C2285" s="103" t="s">
        <v>369</v>
      </c>
      <c r="D2285" t="s">
        <v>4157</v>
      </c>
      <c r="E2285" t="s">
        <v>4174</v>
      </c>
      <c r="F2285" s="117" t="s">
        <v>4174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9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4140</v>
      </c>
      <c r="B2286" s="94" t="str">
        <f>IFERROR(VLOOKUP(Proc[[#This Row],[App]],Table2[],3,0),"open")</f>
        <v>ok</v>
      </c>
      <c r="C2286" s="103" t="s">
        <v>369</v>
      </c>
      <c r="D2286" t="s">
        <v>4158</v>
      </c>
      <c r="E2286" t="s">
        <v>4174</v>
      </c>
      <c r="F2286" s="117" t="s">
        <v>4174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9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4140</v>
      </c>
      <c r="B2287" s="94" t="str">
        <f>IFERROR(VLOOKUP(Proc[[#This Row],[App]],Table2[],3,0),"open")</f>
        <v>ok</v>
      </c>
      <c r="C2287" s="103" t="s">
        <v>369</v>
      </c>
      <c r="D2287" t="s">
        <v>4159</v>
      </c>
      <c r="E2287" t="s">
        <v>4174</v>
      </c>
      <c r="F2287" s="117" t="s">
        <v>4174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9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4140</v>
      </c>
      <c r="B2288" s="94" t="str">
        <f>IFERROR(VLOOKUP(Proc[[#This Row],[App]],Table2[],3,0),"open")</f>
        <v>ok</v>
      </c>
      <c r="C2288" s="103" t="s">
        <v>369</v>
      </c>
      <c r="D2288" t="s">
        <v>4160</v>
      </c>
      <c r="E2288" t="s">
        <v>4174</v>
      </c>
      <c r="F2288" s="117" t="s">
        <v>4174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9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4140</v>
      </c>
      <c r="B2289" s="94" t="str">
        <f>IFERROR(VLOOKUP(Proc[[#This Row],[App]],Table2[],3,0),"open")</f>
        <v>ok</v>
      </c>
      <c r="C2289" s="103" t="s">
        <v>369</v>
      </c>
      <c r="D2289" t="s">
        <v>4161</v>
      </c>
      <c r="E2289" t="s">
        <v>4174</v>
      </c>
      <c r="F2289" s="117" t="s">
        <v>4174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9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4140</v>
      </c>
      <c r="B2290" s="94" t="str">
        <f>IFERROR(VLOOKUP(Proc[[#This Row],[App]],Table2[],3,0),"open")</f>
        <v>ok</v>
      </c>
      <c r="C2290" s="103" t="s">
        <v>369</v>
      </c>
      <c r="D2290" t="s">
        <v>4162</v>
      </c>
      <c r="E2290" t="s">
        <v>4174</v>
      </c>
      <c r="F2290" s="117" t="s">
        <v>4174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9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4140</v>
      </c>
      <c r="B2291" s="94" t="str">
        <f>IFERROR(VLOOKUP(Proc[[#This Row],[App]],Table2[],3,0),"open")</f>
        <v>ok</v>
      </c>
      <c r="C2291" s="103" t="s">
        <v>369</v>
      </c>
      <c r="D2291" t="s">
        <v>4163</v>
      </c>
      <c r="E2291" t="s">
        <v>4174</v>
      </c>
      <c r="F2291" s="117" t="s">
        <v>4174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9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4140</v>
      </c>
      <c r="B2292" s="94" t="str">
        <f>IFERROR(VLOOKUP(Proc[[#This Row],[App]],Table2[],3,0),"open")</f>
        <v>ok</v>
      </c>
      <c r="C2292" s="103" t="s">
        <v>369</v>
      </c>
      <c r="D2292" t="s">
        <v>4164</v>
      </c>
      <c r="E2292" t="s">
        <v>4174</v>
      </c>
      <c r="F2292" s="117" t="s">
        <v>4174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9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4140</v>
      </c>
      <c r="B2293" s="94" t="str">
        <f>IFERROR(VLOOKUP(Proc[[#This Row],[App]],Table2[],3,0),"open")</f>
        <v>ok</v>
      </c>
      <c r="C2293" s="103" t="s">
        <v>369</v>
      </c>
      <c r="D2293" t="s">
        <v>4165</v>
      </c>
      <c r="E2293" t="s">
        <v>4175</v>
      </c>
      <c r="F2293" s="117" t="s">
        <v>4175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9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4140</v>
      </c>
      <c r="B2294" s="94" t="str">
        <f>IFERROR(VLOOKUP(Proc[[#This Row],[App]],Table2[],3,0),"open")</f>
        <v>ok</v>
      </c>
      <c r="C2294" s="103" t="s">
        <v>369</v>
      </c>
      <c r="D2294" t="s">
        <v>4166</v>
      </c>
      <c r="E2294" t="s">
        <v>4175</v>
      </c>
      <c r="F2294" s="117" t="s">
        <v>4175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9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4140</v>
      </c>
      <c r="B2295" s="94" t="str">
        <f>IFERROR(VLOOKUP(Proc[[#This Row],[App]],Table2[],3,0),"open")</f>
        <v>ok</v>
      </c>
      <c r="C2295" s="103" t="s">
        <v>369</v>
      </c>
      <c r="D2295" t="s">
        <v>4167</v>
      </c>
      <c r="E2295" t="s">
        <v>4175</v>
      </c>
      <c r="F2295" s="117" t="s">
        <v>4175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9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4140</v>
      </c>
      <c r="B2296" s="94" t="str">
        <f>IFERROR(VLOOKUP(Proc[[#This Row],[App]],Table2[],3,0),"open")</f>
        <v>ok</v>
      </c>
      <c r="C2296" s="103" t="s">
        <v>369</v>
      </c>
      <c r="D2296" t="s">
        <v>4168</v>
      </c>
      <c r="E2296" t="s">
        <v>4175</v>
      </c>
      <c r="F2296" s="117" t="s">
        <v>4175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9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4140</v>
      </c>
      <c r="B2297" s="94" t="str">
        <f>IFERROR(VLOOKUP(Proc[[#This Row],[App]],Table2[],3,0),"open")</f>
        <v>ok</v>
      </c>
      <c r="C2297" s="103" t="s">
        <v>369</v>
      </c>
      <c r="D2297" t="s">
        <v>4169</v>
      </c>
      <c r="E2297" t="s">
        <v>4175</v>
      </c>
      <c r="F2297" s="117" t="s">
        <v>4175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9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4140</v>
      </c>
      <c r="B2298" s="94" t="str">
        <f>IFERROR(VLOOKUP(Proc[[#This Row],[App]],Table2[],3,0),"open")</f>
        <v>ok</v>
      </c>
      <c r="C2298" s="103" t="s">
        <v>369</v>
      </c>
      <c r="D2298" t="s">
        <v>4170</v>
      </c>
      <c r="E2298" t="s">
        <v>4174</v>
      </c>
      <c r="F2298" s="117" t="s">
        <v>4174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9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4140</v>
      </c>
      <c r="B2299" s="94" t="str">
        <f>IFERROR(VLOOKUP(Proc[[#This Row],[App]],Table2[],3,0),"open")</f>
        <v>ok</v>
      </c>
      <c r="C2299" s="103" t="s">
        <v>369</v>
      </c>
      <c r="D2299" t="s">
        <v>4171</v>
      </c>
      <c r="E2299" t="s">
        <v>4174</v>
      </c>
      <c r="F2299" s="117" t="s">
        <v>4174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9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4140</v>
      </c>
      <c r="B2300" s="94" t="str">
        <f>IFERROR(VLOOKUP(Proc[[#This Row],[App]],Table2[],3,0),"open")</f>
        <v>ok</v>
      </c>
      <c r="C2300" s="103" t="s">
        <v>369</v>
      </c>
      <c r="D2300" t="s">
        <v>4172</v>
      </c>
      <c r="E2300" t="s">
        <v>4175</v>
      </c>
      <c r="F2300" s="117" t="s">
        <v>4175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9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4140</v>
      </c>
      <c r="B2301" s="94" t="str">
        <f>IFERROR(VLOOKUP(Proc[[#This Row],[App]],Table2[],3,0),"open")</f>
        <v>ok</v>
      </c>
      <c r="C2301" s="103" t="s">
        <v>369</v>
      </c>
      <c r="D2301" t="s">
        <v>4173</v>
      </c>
      <c r="E2301" t="s">
        <v>4176</v>
      </c>
      <c r="F2301" s="117" t="s">
        <v>4176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9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4140</v>
      </c>
      <c r="B2302" s="94" t="str">
        <f>IFERROR(VLOOKUP(Proc[[#This Row],[App]],Table2[],3,0),"open")</f>
        <v>ok</v>
      </c>
      <c r="C2302" s="103" t="s">
        <v>369</v>
      </c>
      <c r="D2302" t="s">
        <v>4177</v>
      </c>
      <c r="E2302" t="s">
        <v>4174</v>
      </c>
      <c r="F2302" s="117" t="s">
        <v>4174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9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43</v>
      </c>
      <c r="R2302" s="104" t="s">
        <v>410</v>
      </c>
      <c r="S2302" s="94"/>
    </row>
    <row r="2303" spans="1:19" hidden="1">
      <c r="A2303" s="103" t="s">
        <v>4140</v>
      </c>
      <c r="B2303" s="94" t="str">
        <f>IFERROR(VLOOKUP(Proc[[#This Row],[App]],Table2[],3,0),"open")</f>
        <v>ok</v>
      </c>
      <c r="C2303" s="103" t="s">
        <v>369</v>
      </c>
      <c r="D2303" t="s">
        <v>4178</v>
      </c>
      <c r="E2303" t="s">
        <v>4174</v>
      </c>
      <c r="F2303" s="117" t="s">
        <v>4174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9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43</v>
      </c>
      <c r="R2303" s="104" t="s">
        <v>410</v>
      </c>
      <c r="S2303" s="94"/>
    </row>
    <row r="2304" spans="1:19" hidden="1">
      <c r="A2304" t="s">
        <v>4181</v>
      </c>
      <c r="B2304" s="94" t="str">
        <f>IFERROR(VLOOKUP(Proc[[#This Row],[App]],Table2[],3,0),"open")</f>
        <v>ok</v>
      </c>
      <c r="C2304" s="103" t="s">
        <v>369</v>
      </c>
      <c r="D2304" t="s">
        <v>4182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9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43</v>
      </c>
      <c r="R2304" s="106" t="s">
        <v>955</v>
      </c>
      <c r="S2304" s="94"/>
    </row>
    <row r="2305" spans="1:19" hidden="1">
      <c r="A2305" t="s">
        <v>4188</v>
      </c>
      <c r="B2305" s="94" t="str">
        <f>IFERROR(VLOOKUP(Proc[[#This Row],[App]],Table2[],3,0),"open")</f>
        <v>ok</v>
      </c>
      <c r="C2305" s="103" t="s">
        <v>369</v>
      </c>
      <c r="D2305" t="s">
        <v>4183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9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43</v>
      </c>
      <c r="R2305" s="106" t="s">
        <v>972</v>
      </c>
      <c r="S2305" s="94"/>
    </row>
    <row r="2306" spans="1:19" hidden="1">
      <c r="A2306" s="103" t="s">
        <v>4188</v>
      </c>
      <c r="B2306" s="94" t="str">
        <f>IFERROR(VLOOKUP(Proc[[#This Row],[App]],Table2[],3,0),"open")</f>
        <v>ok</v>
      </c>
      <c r="C2306" s="103" t="s">
        <v>369</v>
      </c>
      <c r="D2306" t="s">
        <v>4184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9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43</v>
      </c>
      <c r="R2306" s="106" t="s">
        <v>972</v>
      </c>
      <c r="S2306" s="94"/>
    </row>
    <row r="2307" spans="1:19" hidden="1">
      <c r="A2307" s="103" t="s">
        <v>4188</v>
      </c>
      <c r="B2307" s="94" t="str">
        <f>IFERROR(VLOOKUP(Proc[[#This Row],[App]],Table2[],3,0),"open")</f>
        <v>ok</v>
      </c>
      <c r="C2307" s="103" t="s">
        <v>369</v>
      </c>
      <c r="D2307" t="s">
        <v>4185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9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43</v>
      </c>
      <c r="R2307" s="106" t="s">
        <v>972</v>
      </c>
      <c r="S2307" s="94"/>
    </row>
    <row r="2308" spans="1:19" hidden="1">
      <c r="A2308" s="103" t="s">
        <v>4188</v>
      </c>
      <c r="B2308" s="94" t="str">
        <f>IFERROR(VLOOKUP(Proc[[#This Row],[App]],Table2[],3,0),"open")</f>
        <v>ok</v>
      </c>
      <c r="C2308" s="103" t="s">
        <v>369</v>
      </c>
      <c r="D2308" t="s">
        <v>4186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9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43</v>
      </c>
      <c r="R2308" s="106" t="s">
        <v>972</v>
      </c>
      <c r="S2308" s="94"/>
    </row>
    <row r="2309" spans="1:19" hidden="1">
      <c r="A2309" s="103" t="s">
        <v>4188</v>
      </c>
      <c r="B2309" s="94" t="str">
        <f>IFERROR(VLOOKUP(Proc[[#This Row],[App]],Table2[],3,0),"open")</f>
        <v>ok</v>
      </c>
      <c r="C2309" s="103" t="s">
        <v>369</v>
      </c>
      <c r="D2309" t="s">
        <v>4187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9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43</v>
      </c>
      <c r="R2309" s="106" t="s">
        <v>972</v>
      </c>
      <c r="S2309" s="94"/>
    </row>
    <row r="2310" spans="1:19" hidden="1">
      <c r="A2310" t="s">
        <v>4189</v>
      </c>
      <c r="B2310" s="94" t="str">
        <f>IFERROR(VLOOKUP(Proc[[#This Row],[App]],Table2[],3,0),"open")</f>
        <v>ok</v>
      </c>
      <c r="C2310" s="103" t="s">
        <v>369</v>
      </c>
      <c r="D2310" t="s">
        <v>4190</v>
      </c>
      <c r="E2310" t="s">
        <v>4246</v>
      </c>
      <c r="F2310" s="117" t="s">
        <v>4246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9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43</v>
      </c>
      <c r="R2310" s="106" t="s">
        <v>780</v>
      </c>
      <c r="S2310" s="94"/>
    </row>
    <row r="2311" spans="1:19" hidden="1">
      <c r="A2311" s="103" t="s">
        <v>4189</v>
      </c>
      <c r="B2311" s="94" t="str">
        <f>IFERROR(VLOOKUP(Proc[[#This Row],[App]],Table2[],3,0),"open")</f>
        <v>ok</v>
      </c>
      <c r="C2311" s="103" t="s">
        <v>369</v>
      </c>
      <c r="D2311" t="s">
        <v>4191</v>
      </c>
      <c r="E2311" t="s">
        <v>4246</v>
      </c>
      <c r="F2311" s="117" t="s">
        <v>4246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9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43</v>
      </c>
      <c r="R2311" s="106" t="s">
        <v>780</v>
      </c>
      <c r="S2311" s="94"/>
    </row>
    <row r="2312" spans="1:19" hidden="1">
      <c r="A2312" s="103" t="s">
        <v>4189</v>
      </c>
      <c r="B2312" s="94" t="str">
        <f>IFERROR(VLOOKUP(Proc[[#This Row],[App]],Table2[],3,0),"open")</f>
        <v>ok</v>
      </c>
      <c r="C2312" s="103" t="s">
        <v>369</v>
      </c>
      <c r="D2312" t="s">
        <v>4192</v>
      </c>
      <c r="E2312" t="s">
        <v>4246</v>
      </c>
      <c r="F2312" s="117" t="s">
        <v>4246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9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43</v>
      </c>
      <c r="R2312" s="106" t="s">
        <v>780</v>
      </c>
      <c r="S2312" s="94"/>
    </row>
    <row r="2313" spans="1:19" hidden="1">
      <c r="A2313" s="103" t="s">
        <v>4189</v>
      </c>
      <c r="B2313" s="94" t="str">
        <f>IFERROR(VLOOKUP(Proc[[#This Row],[App]],Table2[],3,0),"open")</f>
        <v>ok</v>
      </c>
      <c r="C2313" s="103" t="s">
        <v>369</v>
      </c>
      <c r="D2313" t="s">
        <v>4193</v>
      </c>
      <c r="E2313" t="s">
        <v>4246</v>
      </c>
      <c r="F2313" s="117" t="s">
        <v>4246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9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43</v>
      </c>
      <c r="R2313" s="106" t="s">
        <v>780</v>
      </c>
      <c r="S2313" s="94"/>
    </row>
    <row r="2314" spans="1:19" hidden="1">
      <c r="A2314" s="103" t="s">
        <v>4189</v>
      </c>
      <c r="B2314" s="94" t="str">
        <f>IFERROR(VLOOKUP(Proc[[#This Row],[App]],Table2[],3,0),"open")</f>
        <v>ok</v>
      </c>
      <c r="C2314" s="103" t="s">
        <v>369</v>
      </c>
      <c r="D2314" t="s">
        <v>4194</v>
      </c>
      <c r="E2314" t="s">
        <v>4246</v>
      </c>
      <c r="F2314" s="117" t="s">
        <v>4246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9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43</v>
      </c>
      <c r="R2314" s="106" t="s">
        <v>780</v>
      </c>
      <c r="S2314" s="94"/>
    </row>
    <row r="2315" spans="1:19" hidden="1">
      <c r="A2315" s="103" t="s">
        <v>4189</v>
      </c>
      <c r="B2315" s="94" t="str">
        <f>IFERROR(VLOOKUP(Proc[[#This Row],[App]],Table2[],3,0),"open")</f>
        <v>ok</v>
      </c>
      <c r="C2315" s="103" t="s">
        <v>369</v>
      </c>
      <c r="D2315" t="s">
        <v>4195</v>
      </c>
      <c r="E2315" t="s">
        <v>4246</v>
      </c>
      <c r="F2315" s="117" t="s">
        <v>4246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9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43</v>
      </c>
      <c r="R2315" s="106" t="s">
        <v>780</v>
      </c>
      <c r="S2315" s="94"/>
    </row>
    <row r="2316" spans="1:19" hidden="1">
      <c r="A2316" s="103" t="s">
        <v>4189</v>
      </c>
      <c r="B2316" s="94" t="str">
        <f>IFERROR(VLOOKUP(Proc[[#This Row],[App]],Table2[],3,0),"open")</f>
        <v>ok</v>
      </c>
      <c r="C2316" s="103" t="s">
        <v>369</v>
      </c>
      <c r="D2316" t="s">
        <v>4196</v>
      </c>
      <c r="E2316" t="s">
        <v>4246</v>
      </c>
      <c r="F2316" s="117" t="s">
        <v>4246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9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43</v>
      </c>
      <c r="R2316" s="106" t="s">
        <v>780</v>
      </c>
      <c r="S2316" s="94"/>
    </row>
    <row r="2317" spans="1:19" hidden="1">
      <c r="A2317" s="103" t="s">
        <v>4189</v>
      </c>
      <c r="B2317" s="94" t="str">
        <f>IFERROR(VLOOKUP(Proc[[#This Row],[App]],Table2[],3,0),"open")</f>
        <v>ok</v>
      </c>
      <c r="C2317" s="103" t="s">
        <v>369</v>
      </c>
      <c r="D2317" t="s">
        <v>4197</v>
      </c>
      <c r="E2317" t="s">
        <v>4247</v>
      </c>
      <c r="F2317" s="117" t="s">
        <v>4247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9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43</v>
      </c>
      <c r="R2317" s="106" t="s">
        <v>780</v>
      </c>
      <c r="S2317" s="94"/>
    </row>
    <row r="2318" spans="1:19" hidden="1">
      <c r="A2318" s="103" t="s">
        <v>4189</v>
      </c>
      <c r="B2318" s="94" t="str">
        <f>IFERROR(VLOOKUP(Proc[[#This Row],[App]],Table2[],3,0),"open")</f>
        <v>ok</v>
      </c>
      <c r="C2318" s="103" t="s">
        <v>369</v>
      </c>
      <c r="D2318" t="s">
        <v>4198</v>
      </c>
      <c r="E2318" t="s">
        <v>4247</v>
      </c>
      <c r="F2318" s="117" t="s">
        <v>4247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9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43</v>
      </c>
      <c r="R2318" s="106" t="s">
        <v>780</v>
      </c>
      <c r="S2318" s="94"/>
    </row>
    <row r="2319" spans="1:19" hidden="1">
      <c r="A2319" s="103" t="s">
        <v>4189</v>
      </c>
      <c r="B2319" s="94" t="str">
        <f>IFERROR(VLOOKUP(Proc[[#This Row],[App]],Table2[],3,0),"open")</f>
        <v>ok</v>
      </c>
      <c r="C2319" s="103" t="s">
        <v>369</v>
      </c>
      <c r="D2319" t="s">
        <v>4199</v>
      </c>
      <c r="E2319" t="s">
        <v>4247</v>
      </c>
      <c r="F2319" s="117" t="s">
        <v>4247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9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43</v>
      </c>
      <c r="R2319" s="106" t="s">
        <v>780</v>
      </c>
      <c r="S2319" s="94"/>
    </row>
    <row r="2320" spans="1:19" hidden="1">
      <c r="A2320" s="103" t="s">
        <v>4189</v>
      </c>
      <c r="B2320" s="94" t="str">
        <f>IFERROR(VLOOKUP(Proc[[#This Row],[App]],Table2[],3,0),"open")</f>
        <v>ok</v>
      </c>
      <c r="C2320" s="103" t="s">
        <v>369</v>
      </c>
      <c r="D2320" t="s">
        <v>4200</v>
      </c>
      <c r="E2320" t="s">
        <v>4247</v>
      </c>
      <c r="F2320" s="117" t="s">
        <v>4247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9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43</v>
      </c>
      <c r="R2320" s="106" t="s">
        <v>780</v>
      </c>
      <c r="S2320" s="94"/>
    </row>
    <row r="2321" spans="1:19" hidden="1">
      <c r="A2321" s="103" t="s">
        <v>4189</v>
      </c>
      <c r="B2321" s="94" t="str">
        <f>IFERROR(VLOOKUP(Proc[[#This Row],[App]],Table2[],3,0),"open")</f>
        <v>ok</v>
      </c>
      <c r="C2321" s="103" t="s">
        <v>369</v>
      </c>
      <c r="D2321" t="s">
        <v>4201</v>
      </c>
      <c r="E2321" t="s">
        <v>4247</v>
      </c>
      <c r="F2321" s="117" t="s">
        <v>4247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9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43</v>
      </c>
      <c r="R2321" s="106" t="s">
        <v>780</v>
      </c>
      <c r="S2321" s="94"/>
    </row>
    <row r="2322" spans="1:19" hidden="1">
      <c r="A2322" s="103" t="s">
        <v>4189</v>
      </c>
      <c r="B2322" s="94" t="str">
        <f>IFERROR(VLOOKUP(Proc[[#This Row],[App]],Table2[],3,0),"open")</f>
        <v>ok</v>
      </c>
      <c r="C2322" s="103" t="s">
        <v>369</v>
      </c>
      <c r="D2322" t="s">
        <v>4202</v>
      </c>
      <c r="E2322" t="s">
        <v>4247</v>
      </c>
      <c r="F2322" s="117" t="s">
        <v>4247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9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43</v>
      </c>
      <c r="R2322" s="106" t="s">
        <v>780</v>
      </c>
      <c r="S2322" s="94"/>
    </row>
    <row r="2323" spans="1:19" hidden="1">
      <c r="A2323" s="103" t="s">
        <v>4189</v>
      </c>
      <c r="B2323" s="94" t="str">
        <f>IFERROR(VLOOKUP(Proc[[#This Row],[App]],Table2[],3,0),"open")</f>
        <v>ok</v>
      </c>
      <c r="C2323" s="103" t="s">
        <v>369</v>
      </c>
      <c r="D2323" t="s">
        <v>4203</v>
      </c>
      <c r="E2323" t="s">
        <v>4247</v>
      </c>
      <c r="F2323" s="117" t="s">
        <v>4247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9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43</v>
      </c>
      <c r="R2323" s="106" t="s">
        <v>780</v>
      </c>
      <c r="S2323" s="94"/>
    </row>
    <row r="2324" spans="1:19" hidden="1">
      <c r="A2324" s="103" t="s">
        <v>4189</v>
      </c>
      <c r="B2324" s="94" t="str">
        <f>IFERROR(VLOOKUP(Proc[[#This Row],[App]],Table2[],3,0),"open")</f>
        <v>ok</v>
      </c>
      <c r="C2324" s="103" t="s">
        <v>369</v>
      </c>
      <c r="D2324" t="s">
        <v>4204</v>
      </c>
      <c r="E2324" t="s">
        <v>4247</v>
      </c>
      <c r="F2324" s="117" t="s">
        <v>4247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9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43</v>
      </c>
      <c r="R2324" s="106" t="s">
        <v>780</v>
      </c>
      <c r="S2324" s="94"/>
    </row>
    <row r="2325" spans="1:19" hidden="1">
      <c r="A2325" s="103" t="s">
        <v>4189</v>
      </c>
      <c r="B2325" s="94" t="str">
        <f>IFERROR(VLOOKUP(Proc[[#This Row],[App]],Table2[],3,0),"open")</f>
        <v>ok</v>
      </c>
      <c r="C2325" s="103" t="s">
        <v>369</v>
      </c>
      <c r="D2325" t="s">
        <v>4205</v>
      </c>
      <c r="E2325" t="s">
        <v>4247</v>
      </c>
      <c r="F2325" s="117" t="s">
        <v>4247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9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43</v>
      </c>
      <c r="R2325" s="106" t="s">
        <v>780</v>
      </c>
      <c r="S2325" s="94"/>
    </row>
    <row r="2326" spans="1:19" hidden="1">
      <c r="A2326" s="103" t="s">
        <v>4189</v>
      </c>
      <c r="B2326" s="94" t="str">
        <f>IFERROR(VLOOKUP(Proc[[#This Row],[App]],Table2[],3,0),"open")</f>
        <v>ok</v>
      </c>
      <c r="C2326" s="103" t="s">
        <v>369</v>
      </c>
      <c r="D2326" t="s">
        <v>4206</v>
      </c>
      <c r="E2326" t="s">
        <v>4247</v>
      </c>
      <c r="F2326" s="117" t="s">
        <v>4247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9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43</v>
      </c>
      <c r="R2326" s="106" t="s">
        <v>780</v>
      </c>
      <c r="S2326" s="94"/>
    </row>
    <row r="2327" spans="1:19" hidden="1">
      <c r="A2327" s="103" t="s">
        <v>4189</v>
      </c>
      <c r="B2327" s="94" t="str">
        <f>IFERROR(VLOOKUP(Proc[[#This Row],[App]],Table2[],3,0),"open")</f>
        <v>ok</v>
      </c>
      <c r="C2327" s="103" t="s">
        <v>369</v>
      </c>
      <c r="D2327" t="s">
        <v>4207</v>
      </c>
      <c r="E2327" t="s">
        <v>4247</v>
      </c>
      <c r="F2327" s="117" t="s">
        <v>4247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9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43</v>
      </c>
      <c r="R2327" s="106" t="s">
        <v>780</v>
      </c>
      <c r="S2327" s="94"/>
    </row>
    <row r="2328" spans="1:19" hidden="1">
      <c r="A2328" s="103" t="s">
        <v>4189</v>
      </c>
      <c r="B2328" s="94" t="str">
        <f>IFERROR(VLOOKUP(Proc[[#This Row],[App]],Table2[],3,0),"open")</f>
        <v>ok</v>
      </c>
      <c r="C2328" s="103" t="s">
        <v>369</v>
      </c>
      <c r="D2328" t="s">
        <v>4208</v>
      </c>
      <c r="E2328" t="s">
        <v>4247</v>
      </c>
      <c r="F2328" s="117" t="s">
        <v>4247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9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43</v>
      </c>
      <c r="R2328" s="106" t="s">
        <v>780</v>
      </c>
      <c r="S2328" s="94"/>
    </row>
    <row r="2329" spans="1:19" hidden="1">
      <c r="A2329" s="103" t="s">
        <v>4189</v>
      </c>
      <c r="B2329" s="94" t="str">
        <f>IFERROR(VLOOKUP(Proc[[#This Row],[App]],Table2[],3,0),"open")</f>
        <v>ok</v>
      </c>
      <c r="C2329" s="103" t="s">
        <v>369</v>
      </c>
      <c r="D2329" t="s">
        <v>4209</v>
      </c>
      <c r="E2329" t="s">
        <v>4247</v>
      </c>
      <c r="F2329" s="117" t="s">
        <v>4247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9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43</v>
      </c>
      <c r="R2329" s="106" t="s">
        <v>780</v>
      </c>
      <c r="S2329" s="94"/>
    </row>
    <row r="2330" spans="1:19" hidden="1">
      <c r="A2330" s="103" t="s">
        <v>4189</v>
      </c>
      <c r="B2330" s="94" t="str">
        <f>IFERROR(VLOOKUP(Proc[[#This Row],[App]],Table2[],3,0),"open")</f>
        <v>ok</v>
      </c>
      <c r="C2330" s="103" t="s">
        <v>369</v>
      </c>
      <c r="D2330" t="s">
        <v>4210</v>
      </c>
      <c r="E2330" t="s">
        <v>4247</v>
      </c>
      <c r="F2330" s="117" t="s">
        <v>4247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9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43</v>
      </c>
      <c r="R2330" s="106" t="s">
        <v>780</v>
      </c>
      <c r="S2330" s="94"/>
    </row>
    <row r="2331" spans="1:19" hidden="1">
      <c r="A2331" s="103" t="s">
        <v>4189</v>
      </c>
      <c r="B2331" s="94" t="str">
        <f>IFERROR(VLOOKUP(Proc[[#This Row],[App]],Table2[],3,0),"open")</f>
        <v>ok</v>
      </c>
      <c r="C2331" s="103" t="s">
        <v>369</v>
      </c>
      <c r="D2331" t="s">
        <v>4211</v>
      </c>
      <c r="E2331" t="s">
        <v>4247</v>
      </c>
      <c r="F2331" s="117" t="s">
        <v>4247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9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43</v>
      </c>
      <c r="R2331" s="106" t="s">
        <v>780</v>
      </c>
      <c r="S2331" s="94"/>
    </row>
    <row r="2332" spans="1:19" hidden="1">
      <c r="A2332" s="103" t="s">
        <v>4189</v>
      </c>
      <c r="B2332" s="94" t="str">
        <f>IFERROR(VLOOKUP(Proc[[#This Row],[App]],Table2[],3,0),"open")</f>
        <v>ok</v>
      </c>
      <c r="C2332" s="103" t="s">
        <v>369</v>
      </c>
      <c r="D2332" t="s">
        <v>4212</v>
      </c>
      <c r="E2332" t="s">
        <v>4247</v>
      </c>
      <c r="F2332" s="117" t="s">
        <v>4247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9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43</v>
      </c>
      <c r="R2332" s="106" t="s">
        <v>780</v>
      </c>
      <c r="S2332" s="94"/>
    </row>
    <row r="2333" spans="1:19" hidden="1">
      <c r="A2333" s="103" t="s">
        <v>4189</v>
      </c>
      <c r="B2333" s="94" t="str">
        <f>IFERROR(VLOOKUP(Proc[[#This Row],[App]],Table2[],3,0),"open")</f>
        <v>ok</v>
      </c>
      <c r="C2333" s="103" t="s">
        <v>369</v>
      </c>
      <c r="D2333" t="s">
        <v>4213</v>
      </c>
      <c r="E2333" t="s">
        <v>4247</v>
      </c>
      <c r="F2333" s="117" t="s">
        <v>4247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9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43</v>
      </c>
      <c r="R2333" s="106" t="s">
        <v>780</v>
      </c>
      <c r="S2333" s="94"/>
    </row>
    <row r="2334" spans="1:19" hidden="1">
      <c r="A2334" s="103" t="s">
        <v>4189</v>
      </c>
      <c r="B2334" s="94" t="str">
        <f>IFERROR(VLOOKUP(Proc[[#This Row],[App]],Table2[],3,0),"open")</f>
        <v>ok</v>
      </c>
      <c r="C2334" s="103" t="s">
        <v>369</v>
      </c>
      <c r="D2334" t="s">
        <v>4214</v>
      </c>
      <c r="E2334" t="s">
        <v>4247</v>
      </c>
      <c r="F2334" s="117" t="s">
        <v>4247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9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43</v>
      </c>
      <c r="R2334" s="106" t="s">
        <v>780</v>
      </c>
      <c r="S2334" s="94"/>
    </row>
    <row r="2335" spans="1:19" hidden="1">
      <c r="A2335" s="103" t="s">
        <v>4189</v>
      </c>
      <c r="B2335" s="94" t="str">
        <f>IFERROR(VLOOKUP(Proc[[#This Row],[App]],Table2[],3,0),"open")</f>
        <v>ok</v>
      </c>
      <c r="C2335" s="103" t="s">
        <v>369</v>
      </c>
      <c r="D2335" t="s">
        <v>4215</v>
      </c>
      <c r="E2335" t="s">
        <v>4246</v>
      </c>
      <c r="F2335" s="117" t="s">
        <v>4246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9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43</v>
      </c>
      <c r="R2335" s="106" t="s">
        <v>780</v>
      </c>
      <c r="S2335" s="94"/>
    </row>
    <row r="2336" spans="1:19" hidden="1">
      <c r="A2336" s="103" t="s">
        <v>4189</v>
      </c>
      <c r="B2336" s="94" t="str">
        <f>IFERROR(VLOOKUP(Proc[[#This Row],[App]],Table2[],3,0),"open")</f>
        <v>ok</v>
      </c>
      <c r="C2336" s="103" t="s">
        <v>369</v>
      </c>
      <c r="D2336" t="s">
        <v>4216</v>
      </c>
      <c r="E2336" t="s">
        <v>4246</v>
      </c>
      <c r="F2336" s="117" t="s">
        <v>4246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9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43</v>
      </c>
      <c r="R2336" s="106" t="s">
        <v>780</v>
      </c>
      <c r="S2336" s="94"/>
    </row>
    <row r="2337" spans="1:19" hidden="1">
      <c r="A2337" s="103" t="s">
        <v>4189</v>
      </c>
      <c r="B2337" s="94" t="str">
        <f>IFERROR(VLOOKUP(Proc[[#This Row],[App]],Table2[],3,0),"open")</f>
        <v>ok</v>
      </c>
      <c r="C2337" s="103" t="s">
        <v>369</v>
      </c>
      <c r="D2337" t="s">
        <v>4217</v>
      </c>
      <c r="E2337" t="s">
        <v>4246</v>
      </c>
      <c r="F2337" s="117" t="s">
        <v>4246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9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43</v>
      </c>
      <c r="R2337" s="106" t="s">
        <v>780</v>
      </c>
      <c r="S2337" s="94"/>
    </row>
    <row r="2338" spans="1:19" hidden="1">
      <c r="A2338" s="103" t="s">
        <v>4189</v>
      </c>
      <c r="B2338" s="94" t="str">
        <f>IFERROR(VLOOKUP(Proc[[#This Row],[App]],Table2[],3,0),"open")</f>
        <v>ok</v>
      </c>
      <c r="C2338" s="103" t="s">
        <v>369</v>
      </c>
      <c r="D2338" t="s">
        <v>4218</v>
      </c>
      <c r="E2338" t="s">
        <v>4246</v>
      </c>
      <c r="F2338" s="117" t="s">
        <v>4246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9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43</v>
      </c>
      <c r="R2338" s="106" t="s">
        <v>780</v>
      </c>
      <c r="S2338" s="94"/>
    </row>
    <row r="2339" spans="1:19" hidden="1">
      <c r="A2339" s="103" t="s">
        <v>4189</v>
      </c>
      <c r="B2339" s="94" t="str">
        <f>IFERROR(VLOOKUP(Proc[[#This Row],[App]],Table2[],3,0),"open")</f>
        <v>ok</v>
      </c>
      <c r="C2339" s="103" t="s">
        <v>369</v>
      </c>
      <c r="D2339" t="s">
        <v>4219</v>
      </c>
      <c r="E2339" t="s">
        <v>4246</v>
      </c>
      <c r="F2339" s="117" t="s">
        <v>4246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9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43</v>
      </c>
      <c r="R2339" s="106" t="s">
        <v>780</v>
      </c>
      <c r="S2339" s="94"/>
    </row>
    <row r="2340" spans="1:19" hidden="1">
      <c r="A2340" s="103" t="s">
        <v>4189</v>
      </c>
      <c r="B2340" s="94" t="str">
        <f>IFERROR(VLOOKUP(Proc[[#This Row],[App]],Table2[],3,0),"open")</f>
        <v>ok</v>
      </c>
      <c r="C2340" s="103" t="s">
        <v>369</v>
      </c>
      <c r="D2340" t="s">
        <v>4220</v>
      </c>
      <c r="E2340" t="s">
        <v>4246</v>
      </c>
      <c r="F2340" s="117" t="s">
        <v>4246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9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43</v>
      </c>
      <c r="R2340" s="106" t="s">
        <v>780</v>
      </c>
      <c r="S2340" s="94"/>
    </row>
    <row r="2341" spans="1:19" hidden="1">
      <c r="A2341" s="103" t="s">
        <v>4189</v>
      </c>
      <c r="B2341" s="94" t="str">
        <f>IFERROR(VLOOKUP(Proc[[#This Row],[App]],Table2[],3,0),"open")</f>
        <v>ok</v>
      </c>
      <c r="C2341" s="103" t="s">
        <v>369</v>
      </c>
      <c r="D2341" t="s">
        <v>4221</v>
      </c>
      <c r="E2341" t="s">
        <v>4246</v>
      </c>
      <c r="F2341" s="117" t="s">
        <v>4246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9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43</v>
      </c>
      <c r="R2341" s="106" t="s">
        <v>780</v>
      </c>
      <c r="S2341" s="94"/>
    </row>
    <row r="2342" spans="1:19" hidden="1">
      <c r="A2342" s="103" t="s">
        <v>4189</v>
      </c>
      <c r="B2342" s="94" t="str">
        <f>IFERROR(VLOOKUP(Proc[[#This Row],[App]],Table2[],3,0),"open")</f>
        <v>ok</v>
      </c>
      <c r="C2342" s="103" t="s">
        <v>369</v>
      </c>
      <c r="D2342" t="s">
        <v>4222</v>
      </c>
      <c r="E2342" t="s">
        <v>4246</v>
      </c>
      <c r="F2342" s="117" t="s">
        <v>4246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9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43</v>
      </c>
      <c r="R2342" s="106" t="s">
        <v>780</v>
      </c>
      <c r="S2342" s="94"/>
    </row>
    <row r="2343" spans="1:19" hidden="1">
      <c r="A2343" s="103" t="s">
        <v>4189</v>
      </c>
      <c r="B2343" s="94" t="str">
        <f>IFERROR(VLOOKUP(Proc[[#This Row],[App]],Table2[],3,0),"open")</f>
        <v>ok</v>
      </c>
      <c r="C2343" s="103" t="s">
        <v>369</v>
      </c>
      <c r="D2343" t="s">
        <v>4223</v>
      </c>
      <c r="E2343" t="s">
        <v>4247</v>
      </c>
      <c r="F2343" s="117" t="s">
        <v>4247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9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43</v>
      </c>
      <c r="R2343" s="106" t="s">
        <v>780</v>
      </c>
      <c r="S2343" s="94"/>
    </row>
    <row r="2344" spans="1:19" hidden="1">
      <c r="A2344" s="103" t="s">
        <v>4189</v>
      </c>
      <c r="B2344" s="94" t="str">
        <f>IFERROR(VLOOKUP(Proc[[#This Row],[App]],Table2[],3,0),"open")</f>
        <v>ok</v>
      </c>
      <c r="C2344" s="103" t="s">
        <v>369</v>
      </c>
      <c r="D2344" t="s">
        <v>4224</v>
      </c>
      <c r="E2344" t="s">
        <v>4247</v>
      </c>
      <c r="F2344" s="117" t="s">
        <v>4247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9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43</v>
      </c>
      <c r="R2344" s="106" t="s">
        <v>780</v>
      </c>
      <c r="S2344" s="94"/>
    </row>
    <row r="2345" spans="1:19" hidden="1">
      <c r="A2345" s="103" t="s">
        <v>4189</v>
      </c>
      <c r="B2345" s="94" t="str">
        <f>IFERROR(VLOOKUP(Proc[[#This Row],[App]],Table2[],3,0),"open")</f>
        <v>ok</v>
      </c>
      <c r="C2345" s="103" t="s">
        <v>369</v>
      </c>
      <c r="D2345" t="s">
        <v>4225</v>
      </c>
      <c r="E2345" t="s">
        <v>4247</v>
      </c>
      <c r="F2345" s="117" t="s">
        <v>4247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9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43</v>
      </c>
      <c r="R2345" s="106" t="s">
        <v>780</v>
      </c>
      <c r="S2345" s="94"/>
    </row>
    <row r="2346" spans="1:19" hidden="1">
      <c r="A2346" s="103" t="s">
        <v>4189</v>
      </c>
      <c r="B2346" s="94" t="str">
        <f>IFERROR(VLOOKUP(Proc[[#This Row],[App]],Table2[],3,0),"open")</f>
        <v>ok</v>
      </c>
      <c r="C2346" s="103" t="s">
        <v>369</v>
      </c>
      <c r="D2346" t="s">
        <v>4226</v>
      </c>
      <c r="E2346" t="s">
        <v>4247</v>
      </c>
      <c r="F2346" s="117" t="s">
        <v>4247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9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43</v>
      </c>
      <c r="R2346" s="106" t="s">
        <v>780</v>
      </c>
      <c r="S2346" s="94"/>
    </row>
    <row r="2347" spans="1:19" hidden="1">
      <c r="A2347" s="103" t="s">
        <v>4189</v>
      </c>
      <c r="B2347" s="94" t="str">
        <f>IFERROR(VLOOKUP(Proc[[#This Row],[App]],Table2[],3,0),"open")</f>
        <v>ok</v>
      </c>
      <c r="C2347" s="103" t="s">
        <v>369</v>
      </c>
      <c r="D2347" t="s">
        <v>4227</v>
      </c>
      <c r="E2347" t="s">
        <v>4247</v>
      </c>
      <c r="F2347" s="117" t="s">
        <v>4247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9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43</v>
      </c>
      <c r="R2347" s="106" t="s">
        <v>780</v>
      </c>
      <c r="S2347" s="94"/>
    </row>
    <row r="2348" spans="1:19" hidden="1">
      <c r="A2348" s="103" t="s">
        <v>4189</v>
      </c>
      <c r="B2348" s="94" t="str">
        <f>IFERROR(VLOOKUP(Proc[[#This Row],[App]],Table2[],3,0),"open")</f>
        <v>ok</v>
      </c>
      <c r="C2348" s="103" t="s">
        <v>369</v>
      </c>
      <c r="D2348" t="s">
        <v>4228</v>
      </c>
      <c r="E2348" t="s">
        <v>4247</v>
      </c>
      <c r="F2348" s="117" t="s">
        <v>4247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9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43</v>
      </c>
      <c r="R2348" s="106" t="s">
        <v>780</v>
      </c>
      <c r="S2348" s="94"/>
    </row>
    <row r="2349" spans="1:19" hidden="1">
      <c r="A2349" s="103" t="s">
        <v>4189</v>
      </c>
      <c r="B2349" s="94" t="str">
        <f>IFERROR(VLOOKUP(Proc[[#This Row],[App]],Table2[],3,0),"open")</f>
        <v>ok</v>
      </c>
      <c r="C2349" s="103" t="s">
        <v>369</v>
      </c>
      <c r="D2349" t="s">
        <v>4229</v>
      </c>
      <c r="E2349" t="s">
        <v>4247</v>
      </c>
      <c r="F2349" s="117" t="s">
        <v>4247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9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43</v>
      </c>
      <c r="R2349" s="106" t="s">
        <v>780</v>
      </c>
      <c r="S2349" s="94"/>
    </row>
    <row r="2350" spans="1:19" hidden="1">
      <c r="A2350" s="103" t="s">
        <v>4189</v>
      </c>
      <c r="B2350" s="94" t="str">
        <f>IFERROR(VLOOKUP(Proc[[#This Row],[App]],Table2[],3,0),"open")</f>
        <v>ok</v>
      </c>
      <c r="C2350" s="103" t="s">
        <v>369</v>
      </c>
      <c r="D2350" t="s">
        <v>4230</v>
      </c>
      <c r="E2350" t="s">
        <v>4247</v>
      </c>
      <c r="F2350" s="117" t="s">
        <v>4247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9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43</v>
      </c>
      <c r="R2350" s="106" t="s">
        <v>780</v>
      </c>
      <c r="S2350" s="94"/>
    </row>
    <row r="2351" spans="1:19" hidden="1">
      <c r="A2351" s="103" t="s">
        <v>4189</v>
      </c>
      <c r="B2351" s="94" t="str">
        <f>IFERROR(VLOOKUP(Proc[[#This Row],[App]],Table2[],3,0),"open")</f>
        <v>ok</v>
      </c>
      <c r="C2351" s="103" t="s">
        <v>369</v>
      </c>
      <c r="D2351" t="s">
        <v>4231</v>
      </c>
      <c r="E2351" t="s">
        <v>4247</v>
      </c>
      <c r="F2351" s="117" t="s">
        <v>4247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9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43</v>
      </c>
      <c r="R2351" s="106" t="s">
        <v>780</v>
      </c>
      <c r="S2351" s="94"/>
    </row>
    <row r="2352" spans="1:19" hidden="1">
      <c r="A2352" s="103" t="s">
        <v>4189</v>
      </c>
      <c r="B2352" s="94" t="str">
        <f>IFERROR(VLOOKUP(Proc[[#This Row],[App]],Table2[],3,0),"open")</f>
        <v>ok</v>
      </c>
      <c r="C2352" s="103" t="s">
        <v>369</v>
      </c>
      <c r="D2352" t="s">
        <v>4232</v>
      </c>
      <c r="E2352" t="s">
        <v>4247</v>
      </c>
      <c r="F2352" s="117" t="s">
        <v>4247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9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43</v>
      </c>
      <c r="R2352" s="106" t="s">
        <v>780</v>
      </c>
      <c r="S2352" s="94"/>
    </row>
    <row r="2353" spans="1:19" hidden="1">
      <c r="A2353" s="103" t="s">
        <v>4189</v>
      </c>
      <c r="B2353" s="94" t="str">
        <f>IFERROR(VLOOKUP(Proc[[#This Row],[App]],Table2[],3,0),"open")</f>
        <v>ok</v>
      </c>
      <c r="C2353" s="103" t="s">
        <v>369</v>
      </c>
      <c r="D2353" t="s">
        <v>4233</v>
      </c>
      <c r="E2353" t="s">
        <v>4247</v>
      </c>
      <c r="F2353" s="117" t="s">
        <v>4247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9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43</v>
      </c>
      <c r="R2353" s="106" t="s">
        <v>780</v>
      </c>
      <c r="S2353" s="94"/>
    </row>
    <row r="2354" spans="1:19" hidden="1">
      <c r="A2354" s="103" t="s">
        <v>4189</v>
      </c>
      <c r="B2354" s="94" t="str">
        <f>IFERROR(VLOOKUP(Proc[[#This Row],[App]],Table2[],3,0),"open")</f>
        <v>ok</v>
      </c>
      <c r="C2354" s="103" t="s">
        <v>369</v>
      </c>
      <c r="D2354" t="s">
        <v>4234</v>
      </c>
      <c r="E2354" t="s">
        <v>4247</v>
      </c>
      <c r="F2354" s="117" t="s">
        <v>4247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9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43</v>
      </c>
      <c r="R2354" s="106" t="s">
        <v>780</v>
      </c>
      <c r="S2354" s="94"/>
    </row>
    <row r="2355" spans="1:19" hidden="1">
      <c r="A2355" s="103" t="s">
        <v>4189</v>
      </c>
      <c r="B2355" s="94" t="str">
        <f>IFERROR(VLOOKUP(Proc[[#This Row],[App]],Table2[],3,0),"open")</f>
        <v>ok</v>
      </c>
      <c r="C2355" s="103" t="s">
        <v>369</v>
      </c>
      <c r="D2355" t="s">
        <v>4235</v>
      </c>
      <c r="E2355" t="s">
        <v>4247</v>
      </c>
      <c r="F2355" s="117" t="s">
        <v>4247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9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43</v>
      </c>
      <c r="R2355" s="106" t="s">
        <v>780</v>
      </c>
      <c r="S2355" s="94"/>
    </row>
    <row r="2356" spans="1:19" hidden="1">
      <c r="A2356" s="103" t="s">
        <v>4189</v>
      </c>
      <c r="B2356" s="94" t="str">
        <f>IFERROR(VLOOKUP(Proc[[#This Row],[App]],Table2[],3,0),"open")</f>
        <v>ok</v>
      </c>
      <c r="C2356" s="103" t="s">
        <v>369</v>
      </c>
      <c r="D2356" t="s">
        <v>4236</v>
      </c>
      <c r="E2356" t="s">
        <v>4247</v>
      </c>
      <c r="F2356" s="117" t="s">
        <v>4247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9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43</v>
      </c>
      <c r="R2356" s="106" t="s">
        <v>780</v>
      </c>
      <c r="S2356" s="94"/>
    </row>
    <row r="2357" spans="1:19" hidden="1">
      <c r="A2357" s="103" t="s">
        <v>4189</v>
      </c>
      <c r="B2357" s="94" t="str">
        <f>IFERROR(VLOOKUP(Proc[[#This Row],[App]],Table2[],3,0),"open")</f>
        <v>ok</v>
      </c>
      <c r="C2357" s="103" t="s">
        <v>369</v>
      </c>
      <c r="D2357" t="s">
        <v>4237</v>
      </c>
      <c r="E2357" t="s">
        <v>4247</v>
      </c>
      <c r="F2357" s="117" t="s">
        <v>4247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9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43</v>
      </c>
      <c r="R2357" s="106" t="s">
        <v>780</v>
      </c>
      <c r="S2357" s="94"/>
    </row>
    <row r="2358" spans="1:19" hidden="1">
      <c r="A2358" s="103" t="s">
        <v>4189</v>
      </c>
      <c r="B2358" s="94" t="str">
        <f>IFERROR(VLOOKUP(Proc[[#This Row],[App]],Table2[],3,0),"open")</f>
        <v>ok</v>
      </c>
      <c r="C2358" s="103" t="s">
        <v>369</v>
      </c>
      <c r="D2358" t="s">
        <v>4238</v>
      </c>
      <c r="E2358" t="s">
        <v>4247</v>
      </c>
      <c r="F2358" s="117" t="s">
        <v>4247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9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43</v>
      </c>
      <c r="R2358" s="106" t="s">
        <v>780</v>
      </c>
      <c r="S2358" s="94"/>
    </row>
    <row r="2359" spans="1:19" hidden="1">
      <c r="A2359" s="103" t="s">
        <v>4189</v>
      </c>
      <c r="B2359" s="94" t="str">
        <f>IFERROR(VLOOKUP(Proc[[#This Row],[App]],Table2[],3,0),"open")</f>
        <v>ok</v>
      </c>
      <c r="C2359" s="103" t="s">
        <v>369</v>
      </c>
      <c r="D2359" t="s">
        <v>4239</v>
      </c>
      <c r="E2359" t="s">
        <v>4247</v>
      </c>
      <c r="F2359" s="117" t="s">
        <v>4247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9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43</v>
      </c>
      <c r="R2359" s="106" t="s">
        <v>780</v>
      </c>
      <c r="S2359" s="94"/>
    </row>
    <row r="2360" spans="1:19" hidden="1">
      <c r="A2360" s="103" t="s">
        <v>4189</v>
      </c>
      <c r="B2360" s="94" t="str">
        <f>IFERROR(VLOOKUP(Proc[[#This Row],[App]],Table2[],3,0),"open")</f>
        <v>ok</v>
      </c>
      <c r="C2360" s="103" t="s">
        <v>369</v>
      </c>
      <c r="D2360" t="s">
        <v>4240</v>
      </c>
      <c r="E2360" t="s">
        <v>4247</v>
      </c>
      <c r="F2360" s="117" t="s">
        <v>4247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9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43</v>
      </c>
      <c r="R2360" s="106" t="s">
        <v>780</v>
      </c>
      <c r="S2360" s="94"/>
    </row>
    <row r="2361" spans="1:19" hidden="1">
      <c r="A2361" s="103" t="s">
        <v>4189</v>
      </c>
      <c r="B2361" s="94" t="str">
        <f>IFERROR(VLOOKUP(Proc[[#This Row],[App]],Table2[],3,0),"open")</f>
        <v>ok</v>
      </c>
      <c r="C2361" s="103" t="s">
        <v>369</v>
      </c>
      <c r="D2361" t="s">
        <v>4241</v>
      </c>
      <c r="E2361" t="s">
        <v>4247</v>
      </c>
      <c r="F2361" s="117" t="s">
        <v>4247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9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43</v>
      </c>
      <c r="R2361" s="106" t="s">
        <v>780</v>
      </c>
      <c r="S2361" s="94"/>
    </row>
    <row r="2362" spans="1:19" hidden="1">
      <c r="A2362" s="103" t="s">
        <v>4189</v>
      </c>
      <c r="B2362" s="94" t="str">
        <f>IFERROR(VLOOKUP(Proc[[#This Row],[App]],Table2[],3,0),"open")</f>
        <v>ok</v>
      </c>
      <c r="C2362" s="103" t="s">
        <v>369</v>
      </c>
      <c r="D2362" t="s">
        <v>4242</v>
      </c>
      <c r="E2362" t="s">
        <v>4247</v>
      </c>
      <c r="F2362" s="117" t="s">
        <v>4247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9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43</v>
      </c>
      <c r="R2362" s="106" t="s">
        <v>780</v>
      </c>
      <c r="S2362" s="94"/>
    </row>
    <row r="2363" spans="1:19" hidden="1">
      <c r="A2363" s="103" t="s">
        <v>4189</v>
      </c>
      <c r="B2363" s="94" t="str">
        <f>IFERROR(VLOOKUP(Proc[[#This Row],[App]],Table2[],3,0),"open")</f>
        <v>ok</v>
      </c>
      <c r="C2363" s="103" t="s">
        <v>369</v>
      </c>
      <c r="D2363" t="s">
        <v>4243</v>
      </c>
      <c r="E2363" t="s">
        <v>4247</v>
      </c>
      <c r="F2363" s="117" t="s">
        <v>4247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9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43</v>
      </c>
      <c r="R2363" s="106" t="s">
        <v>780</v>
      </c>
      <c r="S2363" s="94"/>
    </row>
    <row r="2364" spans="1:19" hidden="1">
      <c r="A2364" s="103" t="s">
        <v>4189</v>
      </c>
      <c r="B2364" s="94" t="str">
        <f>IFERROR(VLOOKUP(Proc[[#This Row],[App]],Table2[],3,0),"open")</f>
        <v>ok</v>
      </c>
      <c r="C2364" s="103" t="s">
        <v>369</v>
      </c>
      <c r="D2364" t="s">
        <v>4244</v>
      </c>
      <c r="E2364" t="s">
        <v>4246</v>
      </c>
      <c r="F2364" s="117" t="s">
        <v>4246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9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43</v>
      </c>
      <c r="R2364" s="106" t="s">
        <v>780</v>
      </c>
      <c r="S2364" s="94"/>
    </row>
    <row r="2365" spans="1:19" hidden="1">
      <c r="A2365" s="103" t="s">
        <v>4189</v>
      </c>
      <c r="B2365" s="94" t="str">
        <f>IFERROR(VLOOKUP(Proc[[#This Row],[App]],Table2[],3,0),"open")</f>
        <v>ok</v>
      </c>
      <c r="C2365" s="103" t="s">
        <v>369</v>
      </c>
      <c r="D2365" t="s">
        <v>4245</v>
      </c>
      <c r="E2365" t="s">
        <v>4247</v>
      </c>
      <c r="F2365" s="117" t="s">
        <v>4247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9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43</v>
      </c>
      <c r="R2365" s="106" t="s">
        <v>780</v>
      </c>
      <c r="S2365" s="94"/>
    </row>
    <row r="2366" spans="1:19" hidden="1">
      <c r="A2366" s="103" t="s">
        <v>4189</v>
      </c>
      <c r="B2366" s="94" t="str">
        <f>IFERROR(VLOOKUP(Proc[[#This Row],[App]],Table2[],3,0),"open")</f>
        <v>ok</v>
      </c>
      <c r="C2366" s="103" t="s">
        <v>369</v>
      </c>
      <c r="D2366" t="s">
        <v>4248</v>
      </c>
      <c r="E2366" t="s">
        <v>4246</v>
      </c>
      <c r="F2366" s="117" t="s">
        <v>4246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4289</v>
      </c>
      <c r="J2366" s="94" t="b">
        <f>Proc[[#This Row],[Requested]]=Proc[[#This Row],[CurrentParent]]</f>
        <v>1</v>
      </c>
      <c r="K2366" s="9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43</v>
      </c>
      <c r="R2366" s="106" t="s">
        <v>780</v>
      </c>
      <c r="S2366" s="94"/>
    </row>
    <row r="2367" spans="1:19" hidden="1">
      <c r="A2367" s="103" t="s">
        <v>4189</v>
      </c>
      <c r="B2367" s="94" t="str">
        <f>IFERROR(VLOOKUP(Proc[[#This Row],[App]],Table2[],3,0),"open")</f>
        <v>ok</v>
      </c>
      <c r="C2367" s="103" t="s">
        <v>369</v>
      </c>
      <c r="D2367" t="s">
        <v>4249</v>
      </c>
      <c r="E2367" t="s">
        <v>4246</v>
      </c>
      <c r="F2367" s="117" t="s">
        <v>4246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4289</v>
      </c>
      <c r="J2367" s="94" t="b">
        <f>Proc[[#This Row],[Requested]]=Proc[[#This Row],[CurrentParent]]</f>
        <v>1</v>
      </c>
      <c r="K2367" s="9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43</v>
      </c>
      <c r="R2367" s="106" t="s">
        <v>780</v>
      </c>
      <c r="S2367" s="94"/>
    </row>
    <row r="2368" spans="1:19" hidden="1">
      <c r="A2368" s="103" t="s">
        <v>4189</v>
      </c>
      <c r="B2368" s="94" t="str">
        <f>IFERROR(VLOOKUP(Proc[[#This Row],[App]],Table2[],3,0),"open")</f>
        <v>ok</v>
      </c>
      <c r="C2368" s="103" t="s">
        <v>369</v>
      </c>
      <c r="D2368" t="s">
        <v>4250</v>
      </c>
      <c r="E2368" t="s">
        <v>4246</v>
      </c>
      <c r="F2368" s="117" t="s">
        <v>4246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4289</v>
      </c>
      <c r="J2368" s="94" t="b">
        <f>Proc[[#This Row],[Requested]]=Proc[[#This Row],[CurrentParent]]</f>
        <v>1</v>
      </c>
      <c r="K2368" s="9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43</v>
      </c>
      <c r="R2368" s="106" t="s">
        <v>780</v>
      </c>
      <c r="S2368" s="94"/>
    </row>
    <row r="2369" spans="1:19" hidden="1">
      <c r="A2369" s="103" t="s">
        <v>4189</v>
      </c>
      <c r="B2369" s="94" t="str">
        <f>IFERROR(VLOOKUP(Proc[[#This Row],[App]],Table2[],3,0),"open")</f>
        <v>ok</v>
      </c>
      <c r="C2369" s="103" t="s">
        <v>369</v>
      </c>
      <c r="D2369" t="s">
        <v>4251</v>
      </c>
      <c r="E2369" t="s">
        <v>4246</v>
      </c>
      <c r="F2369" s="117" t="s">
        <v>4246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4289</v>
      </c>
      <c r="J2369" s="94" t="b">
        <f>Proc[[#This Row],[Requested]]=Proc[[#This Row],[CurrentParent]]</f>
        <v>1</v>
      </c>
      <c r="K2369" s="9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43</v>
      </c>
      <c r="R2369" s="106" t="s">
        <v>780</v>
      </c>
      <c r="S2369" s="94"/>
    </row>
    <row r="2370" spans="1:19" hidden="1">
      <c r="A2370" s="103" t="s">
        <v>4189</v>
      </c>
      <c r="B2370" s="94" t="str">
        <f>IFERROR(VLOOKUP(Proc[[#This Row],[App]],Table2[],3,0),"open")</f>
        <v>ok</v>
      </c>
      <c r="C2370" s="103" t="s">
        <v>369</v>
      </c>
      <c r="D2370" t="s">
        <v>4252</v>
      </c>
      <c r="E2370" t="s">
        <v>4246</v>
      </c>
      <c r="F2370" s="117" t="s">
        <v>4246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4289</v>
      </c>
      <c r="J2370" s="94" t="b">
        <f>Proc[[#This Row],[Requested]]=Proc[[#This Row],[CurrentParent]]</f>
        <v>1</v>
      </c>
      <c r="K2370" s="9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43</v>
      </c>
      <c r="R2370" s="106" t="s">
        <v>780</v>
      </c>
      <c r="S2370" s="94"/>
    </row>
    <row r="2371" spans="1:19" hidden="1">
      <c r="A2371" s="103" t="s">
        <v>4189</v>
      </c>
      <c r="B2371" s="94" t="str">
        <f>IFERROR(VLOOKUP(Proc[[#This Row],[App]],Table2[],3,0),"open")</f>
        <v>ok</v>
      </c>
      <c r="C2371" s="103" t="s">
        <v>369</v>
      </c>
      <c r="D2371" t="s">
        <v>4253</v>
      </c>
      <c r="E2371" t="s">
        <v>4246</v>
      </c>
      <c r="F2371" s="117" t="s">
        <v>4246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4289</v>
      </c>
      <c r="J2371" s="94" t="b">
        <f>Proc[[#This Row],[Requested]]=Proc[[#This Row],[CurrentParent]]</f>
        <v>1</v>
      </c>
      <c r="K2371" s="9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43</v>
      </c>
      <c r="R2371" s="106" t="s">
        <v>780</v>
      </c>
      <c r="S2371" s="94"/>
    </row>
    <row r="2372" spans="1:19" hidden="1">
      <c r="A2372" s="103" t="s">
        <v>4189</v>
      </c>
      <c r="B2372" s="94" t="str">
        <f>IFERROR(VLOOKUP(Proc[[#This Row],[App]],Table2[],3,0),"open")</f>
        <v>ok</v>
      </c>
      <c r="C2372" s="103" t="s">
        <v>369</v>
      </c>
      <c r="D2372" t="s">
        <v>4254</v>
      </c>
      <c r="E2372" t="s">
        <v>4246</v>
      </c>
      <c r="F2372" s="117" t="s">
        <v>4246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4289</v>
      </c>
      <c r="J2372" s="94" t="b">
        <f>Proc[[#This Row],[Requested]]=Proc[[#This Row],[CurrentParent]]</f>
        <v>1</v>
      </c>
      <c r="K2372" s="9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43</v>
      </c>
      <c r="R2372" s="106" t="s">
        <v>780</v>
      </c>
      <c r="S2372" s="94"/>
    </row>
    <row r="2373" spans="1:19" hidden="1">
      <c r="A2373" s="103" t="s">
        <v>4189</v>
      </c>
      <c r="B2373" s="94" t="str">
        <f>IFERROR(VLOOKUP(Proc[[#This Row],[App]],Table2[],3,0),"open")</f>
        <v>ok</v>
      </c>
      <c r="C2373" s="103" t="s">
        <v>369</v>
      </c>
      <c r="D2373" t="s">
        <v>4255</v>
      </c>
      <c r="E2373" t="s">
        <v>4246</v>
      </c>
      <c r="F2373" s="117" t="s">
        <v>4246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4289</v>
      </c>
      <c r="J2373" s="94" t="b">
        <f>Proc[[#This Row],[Requested]]=Proc[[#This Row],[CurrentParent]]</f>
        <v>1</v>
      </c>
      <c r="K2373" s="9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43</v>
      </c>
      <c r="R2373" s="106" t="s">
        <v>780</v>
      </c>
      <c r="S2373" s="94"/>
    </row>
    <row r="2374" spans="1:19" hidden="1">
      <c r="A2374" s="103" t="s">
        <v>4189</v>
      </c>
      <c r="B2374" s="94" t="str">
        <f>IFERROR(VLOOKUP(Proc[[#This Row],[App]],Table2[],3,0),"open")</f>
        <v>ok</v>
      </c>
      <c r="C2374" s="103" t="s">
        <v>369</v>
      </c>
      <c r="D2374" t="s">
        <v>4256</v>
      </c>
      <c r="E2374" t="s">
        <v>4247</v>
      </c>
      <c r="F2374" s="117" t="s">
        <v>4247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4289</v>
      </c>
      <c r="J2374" s="94" t="b">
        <f>Proc[[#This Row],[Requested]]=Proc[[#This Row],[CurrentParent]]</f>
        <v>1</v>
      </c>
      <c r="K2374" s="9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43</v>
      </c>
      <c r="R2374" s="106" t="s">
        <v>780</v>
      </c>
      <c r="S2374" s="94"/>
    </row>
    <row r="2375" spans="1:19" hidden="1">
      <c r="A2375" s="103" t="s">
        <v>4189</v>
      </c>
      <c r="B2375" s="94" t="str">
        <f>IFERROR(VLOOKUP(Proc[[#This Row],[App]],Table2[],3,0),"open")</f>
        <v>ok</v>
      </c>
      <c r="C2375" s="103" t="s">
        <v>369</v>
      </c>
      <c r="D2375" t="s">
        <v>4257</v>
      </c>
      <c r="E2375" t="s">
        <v>4247</v>
      </c>
      <c r="F2375" s="117" t="s">
        <v>4247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4289</v>
      </c>
      <c r="J2375" s="94" t="b">
        <f>Proc[[#This Row],[Requested]]=Proc[[#This Row],[CurrentParent]]</f>
        <v>1</v>
      </c>
      <c r="K2375" s="9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43</v>
      </c>
      <c r="R2375" s="106" t="s">
        <v>780</v>
      </c>
      <c r="S2375" s="94"/>
    </row>
    <row r="2376" spans="1:19" hidden="1">
      <c r="A2376" s="103" t="s">
        <v>4189</v>
      </c>
      <c r="B2376" s="94" t="str">
        <f>IFERROR(VLOOKUP(Proc[[#This Row],[App]],Table2[],3,0),"open")</f>
        <v>ok</v>
      </c>
      <c r="C2376" s="103" t="s">
        <v>369</v>
      </c>
      <c r="D2376" t="s">
        <v>4258</v>
      </c>
      <c r="E2376" t="s">
        <v>4247</v>
      </c>
      <c r="F2376" s="117" t="s">
        <v>4247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4289</v>
      </c>
      <c r="J2376" s="94" t="b">
        <f>Proc[[#This Row],[Requested]]=Proc[[#This Row],[CurrentParent]]</f>
        <v>1</v>
      </c>
      <c r="K2376" s="9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43</v>
      </c>
      <c r="R2376" s="106" t="s">
        <v>780</v>
      </c>
      <c r="S2376" s="94"/>
    </row>
    <row r="2377" spans="1:19" hidden="1">
      <c r="A2377" s="103" t="s">
        <v>4189</v>
      </c>
      <c r="B2377" s="94" t="str">
        <f>IFERROR(VLOOKUP(Proc[[#This Row],[App]],Table2[],3,0),"open")</f>
        <v>ok</v>
      </c>
      <c r="C2377" s="103" t="s">
        <v>369</v>
      </c>
      <c r="D2377" t="s">
        <v>4259</v>
      </c>
      <c r="E2377" t="s">
        <v>4247</v>
      </c>
      <c r="F2377" s="117" t="s">
        <v>4247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4289</v>
      </c>
      <c r="J2377" s="94" t="b">
        <f>Proc[[#This Row],[Requested]]=Proc[[#This Row],[CurrentParent]]</f>
        <v>1</v>
      </c>
      <c r="K2377" s="9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43</v>
      </c>
      <c r="R2377" s="106" t="s">
        <v>780</v>
      </c>
      <c r="S2377" s="94"/>
    </row>
    <row r="2378" spans="1:19" hidden="1">
      <c r="A2378" s="103" t="s">
        <v>4189</v>
      </c>
      <c r="B2378" s="94" t="str">
        <f>IFERROR(VLOOKUP(Proc[[#This Row],[App]],Table2[],3,0),"open")</f>
        <v>ok</v>
      </c>
      <c r="C2378" s="103" t="s">
        <v>369</v>
      </c>
      <c r="D2378" t="s">
        <v>4260</v>
      </c>
      <c r="E2378" t="s">
        <v>4247</v>
      </c>
      <c r="F2378" s="117" t="s">
        <v>4247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4289</v>
      </c>
      <c r="J2378" s="94" t="b">
        <f>Proc[[#This Row],[Requested]]=Proc[[#This Row],[CurrentParent]]</f>
        <v>1</v>
      </c>
      <c r="K2378" s="9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43</v>
      </c>
      <c r="R2378" s="106" t="s">
        <v>780</v>
      </c>
      <c r="S2378" s="94"/>
    </row>
    <row r="2379" spans="1:19" hidden="1">
      <c r="A2379" s="103" t="s">
        <v>4189</v>
      </c>
      <c r="B2379" s="94" t="str">
        <f>IFERROR(VLOOKUP(Proc[[#This Row],[App]],Table2[],3,0),"open")</f>
        <v>ok</v>
      </c>
      <c r="C2379" s="103" t="s">
        <v>369</v>
      </c>
      <c r="D2379" t="s">
        <v>4261</v>
      </c>
      <c r="E2379" t="s">
        <v>4247</v>
      </c>
      <c r="F2379" s="117" t="s">
        <v>4247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4289</v>
      </c>
      <c r="J2379" s="94" t="b">
        <f>Proc[[#This Row],[Requested]]=Proc[[#This Row],[CurrentParent]]</f>
        <v>1</v>
      </c>
      <c r="K2379" s="9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43</v>
      </c>
      <c r="R2379" s="106" t="s">
        <v>780</v>
      </c>
      <c r="S2379" s="94"/>
    </row>
    <row r="2380" spans="1:19" hidden="1">
      <c r="A2380" s="103" t="s">
        <v>4189</v>
      </c>
      <c r="B2380" s="94" t="str">
        <f>IFERROR(VLOOKUP(Proc[[#This Row],[App]],Table2[],3,0),"open")</f>
        <v>ok</v>
      </c>
      <c r="C2380" s="103" t="s">
        <v>369</v>
      </c>
      <c r="D2380" t="s">
        <v>4262</v>
      </c>
      <c r="E2380" t="s">
        <v>4247</v>
      </c>
      <c r="F2380" s="117" t="s">
        <v>4247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4289</v>
      </c>
      <c r="J2380" s="94" t="b">
        <f>Proc[[#This Row],[Requested]]=Proc[[#This Row],[CurrentParent]]</f>
        <v>1</v>
      </c>
      <c r="K2380" s="9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43</v>
      </c>
      <c r="R2380" s="106" t="s">
        <v>780</v>
      </c>
      <c r="S2380" s="94"/>
    </row>
    <row r="2381" spans="1:19" hidden="1">
      <c r="A2381" s="103" t="s">
        <v>4189</v>
      </c>
      <c r="B2381" s="94" t="str">
        <f>IFERROR(VLOOKUP(Proc[[#This Row],[App]],Table2[],3,0),"open")</f>
        <v>ok</v>
      </c>
      <c r="C2381" s="103" t="s">
        <v>369</v>
      </c>
      <c r="D2381" t="s">
        <v>4263</v>
      </c>
      <c r="E2381" t="s">
        <v>4247</v>
      </c>
      <c r="F2381" s="117" t="s">
        <v>4247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4289</v>
      </c>
      <c r="J2381" s="94" t="b">
        <f>Proc[[#This Row],[Requested]]=Proc[[#This Row],[CurrentParent]]</f>
        <v>1</v>
      </c>
      <c r="K2381" s="9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43</v>
      </c>
      <c r="R2381" s="106" t="s">
        <v>780</v>
      </c>
      <c r="S2381" s="94"/>
    </row>
    <row r="2382" spans="1:19" hidden="1">
      <c r="A2382" s="103" t="s">
        <v>4189</v>
      </c>
      <c r="B2382" s="94" t="str">
        <f>IFERROR(VLOOKUP(Proc[[#This Row],[App]],Table2[],3,0),"open")</f>
        <v>ok</v>
      </c>
      <c r="C2382" s="103" t="s">
        <v>369</v>
      </c>
      <c r="D2382" t="s">
        <v>4264</v>
      </c>
      <c r="E2382" t="s">
        <v>4247</v>
      </c>
      <c r="F2382" s="117" t="s">
        <v>4247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4289</v>
      </c>
      <c r="J2382" s="94" t="b">
        <f>Proc[[#This Row],[Requested]]=Proc[[#This Row],[CurrentParent]]</f>
        <v>1</v>
      </c>
      <c r="K2382" s="9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43</v>
      </c>
      <c r="R2382" s="106" t="s">
        <v>780</v>
      </c>
      <c r="S2382" s="94"/>
    </row>
    <row r="2383" spans="1:19" hidden="1">
      <c r="A2383" s="103" t="s">
        <v>4189</v>
      </c>
      <c r="B2383" s="94" t="str">
        <f>IFERROR(VLOOKUP(Proc[[#This Row],[App]],Table2[],3,0),"open")</f>
        <v>ok</v>
      </c>
      <c r="C2383" s="103" t="s">
        <v>369</v>
      </c>
      <c r="D2383" t="s">
        <v>4265</v>
      </c>
      <c r="E2383" t="s">
        <v>4247</v>
      </c>
      <c r="F2383" s="117" t="s">
        <v>4247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4289</v>
      </c>
      <c r="J2383" s="94" t="b">
        <f>Proc[[#This Row],[Requested]]=Proc[[#This Row],[CurrentParent]]</f>
        <v>1</v>
      </c>
      <c r="K2383" s="9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43</v>
      </c>
      <c r="R2383" s="106" t="s">
        <v>780</v>
      </c>
      <c r="S2383" s="94"/>
    </row>
    <row r="2384" spans="1:19" hidden="1">
      <c r="A2384" s="103" t="s">
        <v>4189</v>
      </c>
      <c r="B2384" s="94" t="str">
        <f>IFERROR(VLOOKUP(Proc[[#This Row],[App]],Table2[],3,0),"open")</f>
        <v>ok</v>
      </c>
      <c r="C2384" s="103" t="s">
        <v>369</v>
      </c>
      <c r="D2384" t="s">
        <v>4266</v>
      </c>
      <c r="E2384" t="s">
        <v>4247</v>
      </c>
      <c r="F2384" s="117" t="s">
        <v>4247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4289</v>
      </c>
      <c r="J2384" s="94" t="b">
        <f>Proc[[#This Row],[Requested]]=Proc[[#This Row],[CurrentParent]]</f>
        <v>1</v>
      </c>
      <c r="K2384" s="9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43</v>
      </c>
      <c r="R2384" s="106" t="s">
        <v>780</v>
      </c>
      <c r="S2384" s="94"/>
    </row>
    <row r="2385" spans="1:19" hidden="1">
      <c r="A2385" s="103" t="s">
        <v>4189</v>
      </c>
      <c r="B2385" s="94" t="str">
        <f>IFERROR(VLOOKUP(Proc[[#This Row],[App]],Table2[],3,0),"open")</f>
        <v>ok</v>
      </c>
      <c r="C2385" s="103" t="s">
        <v>369</v>
      </c>
      <c r="D2385" t="s">
        <v>4267</v>
      </c>
      <c r="E2385" t="s">
        <v>4247</v>
      </c>
      <c r="F2385" s="117" t="s">
        <v>4247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4289</v>
      </c>
      <c r="J2385" s="94" t="b">
        <f>Proc[[#This Row],[Requested]]=Proc[[#This Row],[CurrentParent]]</f>
        <v>1</v>
      </c>
      <c r="K2385" s="9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43</v>
      </c>
      <c r="R2385" s="106" t="s">
        <v>780</v>
      </c>
      <c r="S2385" s="94"/>
    </row>
    <row r="2386" spans="1:19" hidden="1">
      <c r="A2386" s="103" t="s">
        <v>4189</v>
      </c>
      <c r="B2386" s="94" t="str">
        <f>IFERROR(VLOOKUP(Proc[[#This Row],[App]],Table2[],3,0),"open")</f>
        <v>ok</v>
      </c>
      <c r="C2386" s="103" t="s">
        <v>369</v>
      </c>
      <c r="D2386" t="s">
        <v>4268</v>
      </c>
      <c r="E2386" t="s">
        <v>4247</v>
      </c>
      <c r="F2386" s="117" t="s">
        <v>4247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4289</v>
      </c>
      <c r="J2386" s="94" t="b">
        <f>Proc[[#This Row],[Requested]]=Proc[[#This Row],[CurrentParent]]</f>
        <v>1</v>
      </c>
      <c r="K2386" s="9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43</v>
      </c>
      <c r="R2386" s="106" t="s">
        <v>780</v>
      </c>
      <c r="S2386" s="94"/>
    </row>
    <row r="2387" spans="1:19" hidden="1">
      <c r="A2387" s="103" t="s">
        <v>4189</v>
      </c>
      <c r="B2387" s="94" t="str">
        <f>IFERROR(VLOOKUP(Proc[[#This Row],[App]],Table2[],3,0),"open")</f>
        <v>ok</v>
      </c>
      <c r="C2387" s="103" t="s">
        <v>369</v>
      </c>
      <c r="D2387" t="s">
        <v>4269</v>
      </c>
      <c r="E2387" t="s">
        <v>4247</v>
      </c>
      <c r="F2387" s="117" t="s">
        <v>4247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4289</v>
      </c>
      <c r="J2387" s="94" t="b">
        <f>Proc[[#This Row],[Requested]]=Proc[[#This Row],[CurrentParent]]</f>
        <v>1</v>
      </c>
      <c r="K2387" s="9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43</v>
      </c>
      <c r="R2387" s="106" t="s">
        <v>780</v>
      </c>
      <c r="S2387" s="94"/>
    </row>
    <row r="2388" spans="1:19" hidden="1">
      <c r="A2388" s="103" t="s">
        <v>4189</v>
      </c>
      <c r="B2388" s="94" t="str">
        <f>IFERROR(VLOOKUP(Proc[[#This Row],[App]],Table2[],3,0),"open")</f>
        <v>ok</v>
      </c>
      <c r="C2388" s="103" t="s">
        <v>369</v>
      </c>
      <c r="D2388" t="s">
        <v>4270</v>
      </c>
      <c r="E2388" t="s">
        <v>4247</v>
      </c>
      <c r="F2388" s="117" t="s">
        <v>4247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4289</v>
      </c>
      <c r="J2388" s="94" t="b">
        <f>Proc[[#This Row],[Requested]]=Proc[[#This Row],[CurrentParent]]</f>
        <v>1</v>
      </c>
      <c r="K2388" s="9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43</v>
      </c>
      <c r="R2388" s="106" t="s">
        <v>780</v>
      </c>
      <c r="S2388" s="94"/>
    </row>
    <row r="2389" spans="1:19" hidden="1">
      <c r="A2389" s="103" t="s">
        <v>4189</v>
      </c>
      <c r="B2389" s="94" t="str">
        <f>IFERROR(VLOOKUP(Proc[[#This Row],[App]],Table2[],3,0),"open")</f>
        <v>ok</v>
      </c>
      <c r="C2389" s="103" t="s">
        <v>369</v>
      </c>
      <c r="D2389" t="s">
        <v>4271</v>
      </c>
      <c r="E2389" t="s">
        <v>4247</v>
      </c>
      <c r="F2389" s="117" t="s">
        <v>4247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4289</v>
      </c>
      <c r="J2389" s="94" t="b">
        <f>Proc[[#This Row],[Requested]]=Proc[[#This Row],[CurrentParent]]</f>
        <v>1</v>
      </c>
      <c r="K2389" s="9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43</v>
      </c>
      <c r="R2389" s="106" t="s">
        <v>780</v>
      </c>
      <c r="S2389" s="94"/>
    </row>
    <row r="2390" spans="1:19" hidden="1">
      <c r="A2390" s="103" t="s">
        <v>4189</v>
      </c>
      <c r="B2390" s="94" t="str">
        <f>IFERROR(VLOOKUP(Proc[[#This Row],[App]],Table2[],3,0),"open")</f>
        <v>ok</v>
      </c>
      <c r="C2390" s="103" t="s">
        <v>369</v>
      </c>
      <c r="D2390" t="s">
        <v>4272</v>
      </c>
      <c r="E2390" t="s">
        <v>4247</v>
      </c>
      <c r="F2390" s="117" t="s">
        <v>4247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4289</v>
      </c>
      <c r="J2390" s="94" t="b">
        <f>Proc[[#This Row],[Requested]]=Proc[[#This Row],[CurrentParent]]</f>
        <v>1</v>
      </c>
      <c r="K2390" s="9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43</v>
      </c>
      <c r="R2390" s="106" t="s">
        <v>780</v>
      </c>
      <c r="S2390" s="94"/>
    </row>
    <row r="2391" spans="1:19" hidden="1">
      <c r="A2391" s="103" t="s">
        <v>4189</v>
      </c>
      <c r="B2391" s="94" t="str">
        <f>IFERROR(VLOOKUP(Proc[[#This Row],[App]],Table2[],3,0),"open")</f>
        <v>ok</v>
      </c>
      <c r="C2391" s="103" t="s">
        <v>369</v>
      </c>
      <c r="D2391" t="s">
        <v>4273</v>
      </c>
      <c r="E2391" t="s">
        <v>4247</v>
      </c>
      <c r="F2391" s="117" t="s">
        <v>4247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4289</v>
      </c>
      <c r="J2391" s="94" t="b">
        <f>Proc[[#This Row],[Requested]]=Proc[[#This Row],[CurrentParent]]</f>
        <v>1</v>
      </c>
      <c r="K2391" s="9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43</v>
      </c>
      <c r="R2391" s="106" t="s">
        <v>780</v>
      </c>
      <c r="S2391" s="94"/>
    </row>
    <row r="2392" spans="1:19" hidden="1">
      <c r="A2392" t="s">
        <v>4288</v>
      </c>
      <c r="B2392" s="94" t="str">
        <f>IFERROR(VLOOKUP(Proc[[#This Row],[App]],Table2[],3,0),"open")</f>
        <v>ok</v>
      </c>
      <c r="C2392" s="103" t="s">
        <v>369</v>
      </c>
      <c r="D2392" t="s">
        <v>4274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9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43</v>
      </c>
      <c r="R2392" s="106" t="s">
        <v>780</v>
      </c>
      <c r="S2392" s="94"/>
    </row>
    <row r="2393" spans="1:19" hidden="1">
      <c r="A2393" s="103" t="s">
        <v>4288</v>
      </c>
      <c r="B2393" s="94" t="str">
        <f>IFERROR(VLOOKUP(Proc[[#This Row],[App]],Table2[],3,0),"open")</f>
        <v>ok</v>
      </c>
      <c r="C2393" s="103" t="s">
        <v>369</v>
      </c>
      <c r="D2393" t="s">
        <v>4275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9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43</v>
      </c>
      <c r="R2393" s="106" t="s">
        <v>780</v>
      </c>
      <c r="S2393" s="94"/>
    </row>
    <row r="2394" spans="1:19" hidden="1">
      <c r="A2394" s="103" t="s">
        <v>4288</v>
      </c>
      <c r="B2394" s="94" t="str">
        <f>IFERROR(VLOOKUP(Proc[[#This Row],[App]],Table2[],3,0),"open")</f>
        <v>ok</v>
      </c>
      <c r="C2394" s="103" t="s">
        <v>369</v>
      </c>
      <c r="D2394" t="s">
        <v>4276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9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43</v>
      </c>
      <c r="R2394" s="106" t="s">
        <v>780</v>
      </c>
      <c r="S2394" s="94"/>
    </row>
    <row r="2395" spans="1:19" hidden="1">
      <c r="A2395" s="103" t="s">
        <v>4288</v>
      </c>
      <c r="B2395" s="94" t="str">
        <f>IFERROR(VLOOKUP(Proc[[#This Row],[App]],Table2[],3,0),"open")</f>
        <v>ok</v>
      </c>
      <c r="C2395" s="103" t="s">
        <v>369</v>
      </c>
      <c r="D2395" t="s">
        <v>4277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9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43</v>
      </c>
      <c r="R2395" s="106" t="s">
        <v>780</v>
      </c>
      <c r="S2395" s="94"/>
    </row>
    <row r="2396" spans="1:19" hidden="1">
      <c r="A2396" s="103" t="s">
        <v>4288</v>
      </c>
      <c r="B2396" s="94" t="str">
        <f>IFERROR(VLOOKUP(Proc[[#This Row],[App]],Table2[],3,0),"open")</f>
        <v>ok</v>
      </c>
      <c r="C2396" s="103" t="s">
        <v>369</v>
      </c>
      <c r="D2396" t="s">
        <v>4278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9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43</v>
      </c>
      <c r="R2396" s="106" t="s">
        <v>780</v>
      </c>
      <c r="S2396" s="94"/>
    </row>
    <row r="2397" spans="1:19" hidden="1">
      <c r="A2397" s="103" t="s">
        <v>4288</v>
      </c>
      <c r="B2397" s="94" t="str">
        <f>IFERROR(VLOOKUP(Proc[[#This Row],[App]],Table2[],3,0),"open")</f>
        <v>ok</v>
      </c>
      <c r="C2397" s="103" t="s">
        <v>369</v>
      </c>
      <c r="D2397" t="s">
        <v>4279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9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43</v>
      </c>
      <c r="R2397" s="106" t="s">
        <v>780</v>
      </c>
      <c r="S2397" s="94"/>
    </row>
    <row r="2398" spans="1:19" hidden="1">
      <c r="A2398" s="103" t="s">
        <v>4288</v>
      </c>
      <c r="B2398" s="94" t="str">
        <f>IFERROR(VLOOKUP(Proc[[#This Row],[App]],Table2[],3,0),"open")</f>
        <v>ok</v>
      </c>
      <c r="C2398" s="103" t="s">
        <v>369</v>
      </c>
      <c r="D2398" t="s">
        <v>4280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9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43</v>
      </c>
      <c r="R2398" s="106" t="s">
        <v>780</v>
      </c>
      <c r="S2398" s="94"/>
    </row>
    <row r="2399" spans="1:19" hidden="1">
      <c r="A2399" s="103" t="s">
        <v>4288</v>
      </c>
      <c r="B2399" s="94" t="str">
        <f>IFERROR(VLOOKUP(Proc[[#This Row],[App]],Table2[],3,0),"open")</f>
        <v>ok</v>
      </c>
      <c r="C2399" s="103" t="s">
        <v>369</v>
      </c>
      <c r="D2399" t="s">
        <v>4281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9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43</v>
      </c>
      <c r="R2399" s="106" t="s">
        <v>780</v>
      </c>
      <c r="S2399" s="94"/>
    </row>
    <row r="2400" spans="1:19" hidden="1">
      <c r="A2400" s="103" t="s">
        <v>4288</v>
      </c>
      <c r="B2400" s="94" t="str">
        <f>IFERROR(VLOOKUP(Proc[[#This Row],[App]],Table2[],3,0),"open")</f>
        <v>ok</v>
      </c>
      <c r="C2400" s="103" t="s">
        <v>369</v>
      </c>
      <c r="D2400" t="s">
        <v>4282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9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43</v>
      </c>
      <c r="R2400" s="106" t="s">
        <v>780</v>
      </c>
      <c r="S2400" s="94"/>
    </row>
    <row r="2401" spans="1:19" hidden="1">
      <c r="A2401" s="103" t="s">
        <v>4288</v>
      </c>
      <c r="B2401" s="94" t="str">
        <f>IFERROR(VLOOKUP(Proc[[#This Row],[App]],Table2[],3,0),"open")</f>
        <v>ok</v>
      </c>
      <c r="C2401" s="103" t="s">
        <v>369</v>
      </c>
      <c r="D2401" t="s">
        <v>4283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9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43</v>
      </c>
      <c r="R2401" s="106" t="s">
        <v>780</v>
      </c>
      <c r="S2401" s="94"/>
    </row>
    <row r="2402" spans="1:19" hidden="1">
      <c r="A2402" s="103" t="s">
        <v>4288</v>
      </c>
      <c r="B2402" s="94" t="str">
        <f>IFERROR(VLOOKUP(Proc[[#This Row],[App]],Table2[],3,0),"open")</f>
        <v>ok</v>
      </c>
      <c r="C2402" s="103" t="s">
        <v>369</v>
      </c>
      <c r="D2402" t="s">
        <v>4284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9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43</v>
      </c>
      <c r="R2402" s="106" t="s">
        <v>780</v>
      </c>
      <c r="S2402" s="94"/>
    </row>
    <row r="2403" spans="1:19" hidden="1">
      <c r="A2403" s="103" t="s">
        <v>4288</v>
      </c>
      <c r="B2403" s="94" t="str">
        <f>IFERROR(VLOOKUP(Proc[[#This Row],[App]],Table2[],3,0),"open")</f>
        <v>ok</v>
      </c>
      <c r="C2403" s="103" t="s">
        <v>369</v>
      </c>
      <c r="D2403" t="s">
        <v>4285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9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43</v>
      </c>
      <c r="R2403" s="106" t="s">
        <v>780</v>
      </c>
      <c r="S2403" s="94"/>
    </row>
    <row r="2404" spans="1:19" hidden="1">
      <c r="A2404" s="103" t="s">
        <v>4288</v>
      </c>
      <c r="B2404" s="94" t="str">
        <f>IFERROR(VLOOKUP(Proc[[#This Row],[App]],Table2[],3,0),"open")</f>
        <v>ok</v>
      </c>
      <c r="C2404" s="103" t="s">
        <v>369</v>
      </c>
      <c r="D2404" t="s">
        <v>4286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9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43</v>
      </c>
      <c r="R2404" s="106" t="s">
        <v>780</v>
      </c>
      <c r="S2404" s="94"/>
    </row>
    <row r="2405" spans="1:19" hidden="1">
      <c r="A2405" s="103" t="s">
        <v>4288</v>
      </c>
      <c r="B2405" s="94" t="str">
        <f>IFERROR(VLOOKUP(Proc[[#This Row],[App]],Table2[],3,0),"open")</f>
        <v>ok</v>
      </c>
      <c r="C2405" s="103" t="s">
        <v>369</v>
      </c>
      <c r="D2405" t="s">
        <v>4287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9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43</v>
      </c>
      <c r="R2405" s="106" t="s">
        <v>780</v>
      </c>
      <c r="S2405" s="94"/>
    </row>
    <row r="2406" spans="1:19" hidden="1">
      <c r="A2406" t="s">
        <v>4291</v>
      </c>
      <c r="B2406" s="94" t="str">
        <f>IFERROR(VLOOKUP(Proc[[#This Row],[App]],Table2[],3,0),"open")</f>
        <v>ok</v>
      </c>
      <c r="C2406" s="103" t="s">
        <v>369</v>
      </c>
      <c r="D2406" t="s">
        <v>4290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9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43</v>
      </c>
      <c r="R2406" s="106" t="s">
        <v>3640</v>
      </c>
      <c r="S2406" s="94"/>
    </row>
    <row r="2407" spans="1:19" hidden="1">
      <c r="A2407" t="s">
        <v>4294</v>
      </c>
      <c r="B2407" s="94" t="str">
        <f>IFERROR(VLOOKUP(Proc[[#This Row],[App]],Table2[],3,0),"open")</f>
        <v>ok</v>
      </c>
      <c r="C2407" t="s">
        <v>377</v>
      </c>
      <c r="D2407" t="s">
        <v>4292</v>
      </c>
      <c r="E2407" t="s">
        <v>4293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9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4295</v>
      </c>
      <c r="B2408" s="94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9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4303</v>
      </c>
      <c r="B2409" s="94" t="str">
        <f>IFERROR(VLOOKUP(Proc[[#This Row],[App]],Table2[],3,0),"open")</f>
        <v>ok</v>
      </c>
      <c r="C2409" t="s">
        <v>377</v>
      </c>
      <c r="D2409" t="s">
        <v>4297</v>
      </c>
      <c r="E2409" t="s">
        <v>4301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4304</v>
      </c>
      <c r="J2409" s="94" t="b">
        <f>Proc[[#This Row],[Requested]]=Proc[[#This Row],[CurrentParent]]</f>
        <v>0</v>
      </c>
      <c r="K2409" s="9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40</v>
      </c>
      <c r="R2409" s="108" t="s">
        <v>415</v>
      </c>
      <c r="S2409" s="94"/>
    </row>
    <row r="2410" spans="1:19" hidden="1">
      <c r="A2410" s="103" t="s">
        <v>4303</v>
      </c>
      <c r="B2410" s="94" t="str">
        <f>IFERROR(VLOOKUP(Proc[[#This Row],[App]],Table2[],3,0),"open")</f>
        <v>ok</v>
      </c>
      <c r="C2410" s="103" t="s">
        <v>369</v>
      </c>
      <c r="D2410" t="s">
        <v>4298</v>
      </c>
      <c r="E2410" t="s">
        <v>4302</v>
      </c>
      <c r="F2410" s="120" t="s">
        <v>4302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9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40</v>
      </c>
      <c r="R2410" s="108" t="s">
        <v>415</v>
      </c>
      <c r="S2410" s="94"/>
    </row>
    <row r="2411" spans="1:19" hidden="1">
      <c r="A2411" s="103" t="s">
        <v>4303</v>
      </c>
      <c r="B2411" s="94" t="str">
        <f>IFERROR(VLOOKUP(Proc[[#This Row],[App]],Table2[],3,0),"open")</f>
        <v>ok</v>
      </c>
      <c r="C2411" s="103" t="s">
        <v>369</v>
      </c>
      <c r="D2411" t="s">
        <v>4299</v>
      </c>
      <c r="E2411" t="s">
        <v>4302</v>
      </c>
      <c r="F2411" s="120" t="s">
        <v>4302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9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40</v>
      </c>
      <c r="R2411" s="108" t="s">
        <v>415</v>
      </c>
      <c r="S2411" s="94"/>
    </row>
    <row r="2412" spans="1:19" hidden="1">
      <c r="A2412" s="103" t="s">
        <v>4303</v>
      </c>
      <c r="B2412" s="94" t="str">
        <f>IFERROR(VLOOKUP(Proc[[#This Row],[App]],Table2[],3,0),"open")</f>
        <v>ok</v>
      </c>
      <c r="C2412" s="117" t="s">
        <v>369</v>
      </c>
      <c r="D2412" t="s">
        <v>4300</v>
      </c>
      <c r="E2412" t="s">
        <v>4302</v>
      </c>
      <c r="F2412" s="120" t="s">
        <v>4302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9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40</v>
      </c>
      <c r="R2412" s="108" t="s">
        <v>415</v>
      </c>
      <c r="S2412" s="94"/>
    </row>
    <row r="2413" spans="1:19" hidden="1">
      <c r="A2413" t="s">
        <v>4294</v>
      </c>
      <c r="B2413" s="94" t="str">
        <f>IFERROR(VLOOKUP(Proc[[#This Row],[App]],Table2[],3,0),"open")</f>
        <v>ok</v>
      </c>
      <c r="C2413" s="103" t="s">
        <v>369</v>
      </c>
      <c r="D2413" s="103" t="s">
        <v>4305</v>
      </c>
      <c r="E2413" s="103" t="s">
        <v>4293</v>
      </c>
      <c r="F2413" s="120" t="s">
        <v>4293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9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41</v>
      </c>
      <c r="R2413" s="108" t="s">
        <v>972</v>
      </c>
      <c r="S2413" s="94"/>
    </row>
    <row r="2414" spans="1:19" hidden="1">
      <c r="A2414" t="s">
        <v>4306</v>
      </c>
      <c r="B2414" s="94" t="str">
        <f>IFERROR(VLOOKUP(Proc[[#This Row],[App]],Table2[],3,0),"open")</f>
        <v>ok</v>
      </c>
      <c r="C2414" t="s">
        <v>369</v>
      </c>
      <c r="D2414" t="s">
        <v>4307</v>
      </c>
      <c r="E2414" t="s">
        <v>4309</v>
      </c>
      <c r="F2414" s="120" t="s">
        <v>4309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9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4306</v>
      </c>
      <c r="B2415" s="94" t="str">
        <f>IFERROR(VLOOKUP(Proc[[#This Row],[App]],Table2[],3,0),"open")</f>
        <v>ok</v>
      </c>
      <c r="C2415" s="103" t="s">
        <v>369</v>
      </c>
      <c r="D2415" t="s">
        <v>4308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9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 hidden="1">
      <c r="A2416" t="s">
        <v>4310</v>
      </c>
      <c r="B2416" s="94" t="str">
        <f>IFERROR(VLOOKUP(Proc[[#This Row],[App]],Table2[],3,0),"open")</f>
        <v>ok</v>
      </c>
      <c r="C2416" s="117" t="s">
        <v>369</v>
      </c>
      <c r="D2416" t="s">
        <v>4830</v>
      </c>
      <c r="E2416" t="s">
        <v>4312</v>
      </c>
      <c r="F2416" s="117" t="s">
        <v>4312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4313</v>
      </c>
      <c r="J2416" s="94" t="b">
        <f>Proc[[#This Row],[Requested]]=Proc[[#This Row],[CurrentParent]]</f>
        <v>1</v>
      </c>
      <c r="K2416" s="9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38</v>
      </c>
      <c r="R2416" s="110" t="s">
        <v>515</v>
      </c>
      <c r="S2416" s="94"/>
    </row>
    <row r="2417" spans="1:19" hidden="1">
      <c r="A2417" s="103" t="s">
        <v>4310</v>
      </c>
      <c r="B2417" s="94" t="str">
        <f>IFERROR(VLOOKUP(Proc[[#This Row],[App]],Table2[],3,0),"open")</f>
        <v>ok</v>
      </c>
      <c r="C2417" s="103" t="s">
        <v>369</v>
      </c>
      <c r="D2417" t="s">
        <v>4311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4313</v>
      </c>
      <c r="J2417" s="94" t="b">
        <f>Proc[[#This Row],[Requested]]=Proc[[#This Row],[CurrentParent]]</f>
        <v>1</v>
      </c>
      <c r="K2417" s="9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38</v>
      </c>
      <c r="R2417" s="110" t="s">
        <v>515</v>
      </c>
      <c r="S2417" s="94"/>
    </row>
    <row r="2418" spans="1:19" hidden="1">
      <c r="A2418" t="s">
        <v>4314</v>
      </c>
      <c r="B2418" s="94" t="str">
        <f>IFERROR(VLOOKUP(Proc[[#This Row],[App]],Table2[],3,0),"open")</f>
        <v>ok</v>
      </c>
      <c r="C2418" s="103" t="s">
        <v>369</v>
      </c>
      <c r="D2418" t="s">
        <v>4315</v>
      </c>
      <c r="E2418" t="s">
        <v>4324</v>
      </c>
      <c r="F2418" s="120" t="s">
        <v>4324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4327</v>
      </c>
      <c r="J2418" s="94" t="b">
        <f>Proc[[#This Row],[Requested]]=Proc[[#This Row],[CurrentParent]]</f>
        <v>1</v>
      </c>
      <c r="K2418" s="9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4314</v>
      </c>
      <c r="B2419" s="94" t="str">
        <f>IFERROR(VLOOKUP(Proc[[#This Row],[App]],Table2[],3,0),"open")</f>
        <v>ok</v>
      </c>
      <c r="C2419" s="103" t="s">
        <v>369</v>
      </c>
      <c r="D2419" t="s">
        <v>4316</v>
      </c>
      <c r="E2419" t="s">
        <v>4324</v>
      </c>
      <c r="F2419" s="120" t="s">
        <v>4324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4327</v>
      </c>
      <c r="J2419" s="94" t="b">
        <f>Proc[[#This Row],[Requested]]=Proc[[#This Row],[CurrentParent]]</f>
        <v>1</v>
      </c>
      <c r="K2419" s="9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4314</v>
      </c>
      <c r="B2420" s="94" t="str">
        <f>IFERROR(VLOOKUP(Proc[[#This Row],[App]],Table2[],3,0),"open")</f>
        <v>ok</v>
      </c>
      <c r="C2420" s="103" t="s">
        <v>369</v>
      </c>
      <c r="D2420" t="s">
        <v>4317</v>
      </c>
      <c r="E2420" t="s">
        <v>4324</v>
      </c>
      <c r="F2420" s="120" t="s">
        <v>4324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4327</v>
      </c>
      <c r="J2420" s="94" t="b">
        <f>Proc[[#This Row],[Requested]]=Proc[[#This Row],[CurrentParent]]</f>
        <v>1</v>
      </c>
      <c r="K2420" s="9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4314</v>
      </c>
      <c r="B2421" s="94" t="str">
        <f>IFERROR(VLOOKUP(Proc[[#This Row],[App]],Table2[],3,0),"open")</f>
        <v>ok</v>
      </c>
      <c r="C2421" s="103" t="s">
        <v>369</v>
      </c>
      <c r="D2421" t="s">
        <v>4318</v>
      </c>
      <c r="E2421" t="s">
        <v>4324</v>
      </c>
      <c r="F2421" s="120" t="s">
        <v>4324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4327</v>
      </c>
      <c r="J2421" s="94" t="b">
        <f>Proc[[#This Row],[Requested]]=Proc[[#This Row],[CurrentParent]]</f>
        <v>1</v>
      </c>
      <c r="K2421" s="9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4314</v>
      </c>
      <c r="B2422" s="94" t="str">
        <f>IFERROR(VLOOKUP(Proc[[#This Row],[App]],Table2[],3,0),"open")</f>
        <v>ok</v>
      </c>
      <c r="C2422" s="103" t="s">
        <v>369</v>
      </c>
      <c r="D2422" t="s">
        <v>4319</v>
      </c>
      <c r="E2422" t="s">
        <v>4324</v>
      </c>
      <c r="F2422" s="120" t="s">
        <v>4324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4327</v>
      </c>
      <c r="J2422" s="94" t="b">
        <f>Proc[[#This Row],[Requested]]=Proc[[#This Row],[CurrentParent]]</f>
        <v>1</v>
      </c>
      <c r="K2422" s="9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4314</v>
      </c>
      <c r="B2423" s="94" t="str">
        <f>IFERROR(VLOOKUP(Proc[[#This Row],[App]],Table2[],3,0),"open")</f>
        <v>ok</v>
      </c>
      <c r="C2423" s="103" t="s">
        <v>369</v>
      </c>
      <c r="D2423" t="s">
        <v>4320</v>
      </c>
      <c r="E2423" t="s">
        <v>4324</v>
      </c>
      <c r="F2423" s="120" t="s">
        <v>4324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4327</v>
      </c>
      <c r="J2423" s="94" t="b">
        <f>Proc[[#This Row],[Requested]]=Proc[[#This Row],[CurrentParent]]</f>
        <v>1</v>
      </c>
      <c r="K2423" s="9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4314</v>
      </c>
      <c r="B2424" s="94" t="str">
        <f>IFERROR(VLOOKUP(Proc[[#This Row],[App]],Table2[],3,0),"open")</f>
        <v>ok</v>
      </c>
      <c r="C2424" s="103" t="s">
        <v>369</v>
      </c>
      <c r="D2424" t="s">
        <v>4323</v>
      </c>
      <c r="E2424" t="s">
        <v>4324</v>
      </c>
      <c r="F2424" s="120" t="s">
        <v>4324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4327</v>
      </c>
      <c r="J2424" s="94" t="b">
        <f>Proc[[#This Row],[Requested]]=Proc[[#This Row],[CurrentParent]]</f>
        <v>1</v>
      </c>
      <c r="K2424" s="9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4314</v>
      </c>
      <c r="B2425" s="94" t="str">
        <f>IFERROR(VLOOKUP(Proc[[#This Row],[App]],Table2[],3,0),"open")</f>
        <v>ok</v>
      </c>
      <c r="C2425" s="103" t="s">
        <v>377</v>
      </c>
      <c r="D2425" t="s">
        <v>4321</v>
      </c>
      <c r="E2425" t="s">
        <v>4324</v>
      </c>
      <c r="F2425" s="94" t="s">
        <v>4325</v>
      </c>
      <c r="G2425" s="103" t="s">
        <v>400</v>
      </c>
      <c r="H2425" s="94" t="str">
        <f>IF(Proc[[#This Row],[type]]="LFF (MDG-F)",MID(Proc[[#This Row],[Obj]],13,10),"")</f>
        <v/>
      </c>
      <c r="I2425" t="s">
        <v>4326</v>
      </c>
      <c r="J2425" s="94" t="b">
        <f>Proc[[#This Row],[Requested]]=Proc[[#This Row],[CurrentParent]]</f>
        <v>0</v>
      </c>
      <c r="K2425" s="9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4314</v>
      </c>
      <c r="B2426" s="94" t="str">
        <f>IFERROR(VLOOKUP(Proc[[#This Row],[App]],Table2[],3,0),"open")</f>
        <v>ok</v>
      </c>
      <c r="C2426" s="103" t="s">
        <v>377</v>
      </c>
      <c r="D2426" t="s">
        <v>4322</v>
      </c>
      <c r="E2426" t="s">
        <v>4324</v>
      </c>
      <c r="F2426" s="94" t="s">
        <v>4325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4326</v>
      </c>
      <c r="J2426" s="94" t="b">
        <f>Proc[[#This Row],[Requested]]=Proc[[#This Row],[CurrentParent]]</f>
        <v>0</v>
      </c>
      <c r="K2426" s="9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4330</v>
      </c>
      <c r="B2427" s="94" t="str">
        <f>IFERROR(VLOOKUP(Proc[[#This Row],[App]],Table2[],3,0),"open")</f>
        <v>ok</v>
      </c>
      <c r="C2427" t="s">
        <v>369</v>
      </c>
      <c r="D2427" t="s">
        <v>4329</v>
      </c>
      <c r="E2427" t="s">
        <v>4332</v>
      </c>
      <c r="F2427" s="120" t="s">
        <v>4332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9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4330</v>
      </c>
      <c r="B2428" s="94" t="str">
        <f>IFERROR(VLOOKUP(Proc[[#This Row],[App]],Table2[],3,0),"open")</f>
        <v>ok</v>
      </c>
      <c r="C2428" s="103" t="s">
        <v>369</v>
      </c>
      <c r="D2428" t="s">
        <v>4331</v>
      </c>
      <c r="E2428" t="s">
        <v>4333</v>
      </c>
      <c r="F2428" s="120" t="s">
        <v>4333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9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4336</v>
      </c>
      <c r="B2429" s="94" t="str">
        <f>IFERROR(VLOOKUP(Proc[[#This Row],[App]],Table2[],3,0),"open")</f>
        <v>ok</v>
      </c>
      <c r="C2429" t="s">
        <v>369</v>
      </c>
      <c r="D2429" t="s">
        <v>4334</v>
      </c>
      <c r="E2429" t="s">
        <v>4335</v>
      </c>
      <c r="F2429" s="120" t="s">
        <v>4335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94" t="str">
        <f>IF(Proc[[#This Row],[Author]]="Marcela Urrego",VLOOKUP(LEFT(Proc[[#This Row],[Requested]],1),Table3[#All],2,0),VLOOKUP(Proc[[#This Row],[Author]],Table4[],2,0))</f>
        <v>HC</v>
      </c>
      <c r="L2429" s="94" t="s">
        <v>4896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4337</v>
      </c>
      <c r="B2430" s="94" t="str">
        <f>IFERROR(VLOOKUP(Proc[[#This Row],[App]],Table2[],3,0),"open")</f>
        <v>ok</v>
      </c>
      <c r="C2430" s="103" t="s">
        <v>369</v>
      </c>
      <c r="D2430" t="s">
        <v>4338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9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4337</v>
      </c>
      <c r="B2431" s="94" t="str">
        <f>IFERROR(VLOOKUP(Proc[[#This Row],[App]],Table2[],3,0),"open")</f>
        <v>ok</v>
      </c>
      <c r="C2431" s="103" t="s">
        <v>369</v>
      </c>
      <c r="D2431" t="s">
        <v>4339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9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4337</v>
      </c>
      <c r="B2432" s="94" t="str">
        <f>IFERROR(VLOOKUP(Proc[[#This Row],[App]],Table2[],3,0),"open")</f>
        <v>ok</v>
      </c>
      <c r="C2432" s="103" t="s">
        <v>369</v>
      </c>
      <c r="D2432" t="s">
        <v>4340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9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4337</v>
      </c>
      <c r="B2433" s="94" t="str">
        <f>IFERROR(VLOOKUP(Proc[[#This Row],[App]],Table2[],3,0),"open")</f>
        <v>ok</v>
      </c>
      <c r="C2433" s="103" t="s">
        <v>369</v>
      </c>
      <c r="D2433" t="s">
        <v>4341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9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4337</v>
      </c>
      <c r="B2434" s="94" t="str">
        <f>IFERROR(VLOOKUP(Proc[[#This Row],[App]],Table2[],3,0),"open")</f>
        <v>ok</v>
      </c>
      <c r="C2434" s="103" t="s">
        <v>369</v>
      </c>
      <c r="D2434" t="s">
        <v>4342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9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4337</v>
      </c>
      <c r="B2435" s="94" t="str">
        <f>IFERROR(VLOOKUP(Proc[[#This Row],[App]],Table2[],3,0),"open")</f>
        <v>ok</v>
      </c>
      <c r="C2435" s="103" t="s">
        <v>369</v>
      </c>
      <c r="D2435" t="s">
        <v>4343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9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4337</v>
      </c>
      <c r="B2436" s="94" t="str">
        <f>IFERROR(VLOOKUP(Proc[[#This Row],[App]],Table2[],3,0),"open")</f>
        <v>ok</v>
      </c>
      <c r="C2436" s="103" t="s">
        <v>369</v>
      </c>
      <c r="D2436" t="s">
        <v>4344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9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4337</v>
      </c>
      <c r="B2437" s="94" t="str">
        <f>IFERROR(VLOOKUP(Proc[[#This Row],[App]],Table2[],3,0),"open")</f>
        <v>ok</v>
      </c>
      <c r="C2437" s="103" t="s">
        <v>369</v>
      </c>
      <c r="D2437" t="s">
        <v>4345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9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4337</v>
      </c>
      <c r="B2438" s="94" t="str">
        <f>IFERROR(VLOOKUP(Proc[[#This Row],[App]],Table2[],3,0),"open")</f>
        <v>ok</v>
      </c>
      <c r="C2438" s="103" t="s">
        <v>369</v>
      </c>
      <c r="D2438" t="s">
        <v>4346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9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4337</v>
      </c>
      <c r="B2439" s="94" t="str">
        <f>IFERROR(VLOOKUP(Proc[[#This Row],[App]],Table2[],3,0),"open")</f>
        <v>ok</v>
      </c>
      <c r="C2439" s="103" t="s">
        <v>369</v>
      </c>
      <c r="D2439" t="s">
        <v>4347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9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4337</v>
      </c>
      <c r="B2440" s="94" t="str">
        <f>IFERROR(VLOOKUP(Proc[[#This Row],[App]],Table2[],3,0),"open")</f>
        <v>ok</v>
      </c>
      <c r="C2440" s="103" t="s">
        <v>369</v>
      </c>
      <c r="D2440" t="s">
        <v>4348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9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4337</v>
      </c>
      <c r="B2441" s="94" t="str">
        <f>IFERROR(VLOOKUP(Proc[[#This Row],[App]],Table2[],3,0),"open")</f>
        <v>ok</v>
      </c>
      <c r="C2441" s="103" t="s">
        <v>369</v>
      </c>
      <c r="D2441" t="s">
        <v>4349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9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4337</v>
      </c>
      <c r="B2442" s="94" t="str">
        <f>IFERROR(VLOOKUP(Proc[[#This Row],[App]],Table2[],3,0),"open")</f>
        <v>ok</v>
      </c>
      <c r="C2442" s="103" t="s">
        <v>369</v>
      </c>
      <c r="D2442" t="s">
        <v>4350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9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4337</v>
      </c>
      <c r="B2443" s="94" t="str">
        <f>IFERROR(VLOOKUP(Proc[[#This Row],[App]],Table2[],3,0),"open")</f>
        <v>ok</v>
      </c>
      <c r="C2443" s="103" t="s">
        <v>369</v>
      </c>
      <c r="D2443" t="s">
        <v>4351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9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4337</v>
      </c>
      <c r="B2444" s="94" t="str">
        <f>IFERROR(VLOOKUP(Proc[[#This Row],[App]],Table2[],3,0),"open")</f>
        <v>ok</v>
      </c>
      <c r="C2444" s="103" t="s">
        <v>369</v>
      </c>
      <c r="D2444" t="s">
        <v>4352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9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4337</v>
      </c>
      <c r="B2445" s="94" t="str">
        <f>IFERROR(VLOOKUP(Proc[[#This Row],[App]],Table2[],3,0),"open")</f>
        <v>ok</v>
      </c>
      <c r="C2445" s="103" t="s">
        <v>369</v>
      </c>
      <c r="D2445" t="s">
        <v>4353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9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4337</v>
      </c>
      <c r="B2446" s="94" t="str">
        <f>IFERROR(VLOOKUP(Proc[[#This Row],[App]],Table2[],3,0),"open")</f>
        <v>ok</v>
      </c>
      <c r="C2446" s="103" t="s">
        <v>369</v>
      </c>
      <c r="D2446" t="s">
        <v>4354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9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4337</v>
      </c>
      <c r="B2447" s="94" t="str">
        <f>IFERROR(VLOOKUP(Proc[[#This Row],[App]],Table2[],3,0),"open")</f>
        <v>ok</v>
      </c>
      <c r="C2447" s="103" t="s">
        <v>369</v>
      </c>
      <c r="D2447" t="s">
        <v>4355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9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4337</v>
      </c>
      <c r="B2448" s="94" t="str">
        <f>IFERROR(VLOOKUP(Proc[[#This Row],[App]],Table2[],3,0),"open")</f>
        <v>ok</v>
      </c>
      <c r="C2448" s="103" t="s">
        <v>369</v>
      </c>
      <c r="D2448" t="s">
        <v>4356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9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4337</v>
      </c>
      <c r="B2449" s="94" t="str">
        <f>IFERROR(VLOOKUP(Proc[[#This Row],[App]],Table2[],3,0),"open")</f>
        <v>ok</v>
      </c>
      <c r="C2449" s="103" t="s">
        <v>369</v>
      </c>
      <c r="D2449" t="s">
        <v>4357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9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4337</v>
      </c>
      <c r="B2450" s="94" t="str">
        <f>IFERROR(VLOOKUP(Proc[[#This Row],[App]],Table2[],3,0),"open")</f>
        <v>ok</v>
      </c>
      <c r="C2450" s="103" t="s">
        <v>369</v>
      </c>
      <c r="D2450" t="s">
        <v>4358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9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4337</v>
      </c>
      <c r="B2451" s="94" t="str">
        <f>IFERROR(VLOOKUP(Proc[[#This Row],[App]],Table2[],3,0),"open")</f>
        <v>ok</v>
      </c>
      <c r="C2451" s="103" t="s">
        <v>369</v>
      </c>
      <c r="D2451" t="s">
        <v>4359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9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4337</v>
      </c>
      <c r="B2452" s="94" t="str">
        <f>IFERROR(VLOOKUP(Proc[[#This Row],[App]],Table2[],3,0),"open")</f>
        <v>ok</v>
      </c>
      <c r="C2452" s="103" t="s">
        <v>369</v>
      </c>
      <c r="D2452" t="s">
        <v>4360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9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4337</v>
      </c>
      <c r="B2453" s="94" t="str">
        <f>IFERROR(VLOOKUP(Proc[[#This Row],[App]],Table2[],3,0),"open")</f>
        <v>ok</v>
      </c>
      <c r="C2453" s="103" t="s">
        <v>369</v>
      </c>
      <c r="D2453" t="s">
        <v>4361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9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4337</v>
      </c>
      <c r="B2454" s="94" t="str">
        <f>IFERROR(VLOOKUP(Proc[[#This Row],[App]],Table2[],3,0),"open")</f>
        <v>ok</v>
      </c>
      <c r="C2454" s="103" t="s">
        <v>369</v>
      </c>
      <c r="D2454" t="s">
        <v>4362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9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4337</v>
      </c>
      <c r="B2455" s="94" t="str">
        <f>IFERROR(VLOOKUP(Proc[[#This Row],[App]],Table2[],3,0),"open")</f>
        <v>ok</v>
      </c>
      <c r="C2455" s="103" t="s">
        <v>369</v>
      </c>
      <c r="D2455" t="s">
        <v>4363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9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4337</v>
      </c>
      <c r="B2456" s="94" t="str">
        <f>IFERROR(VLOOKUP(Proc[[#This Row],[App]],Table2[],3,0),"open")</f>
        <v>ok</v>
      </c>
      <c r="C2456" s="103" t="s">
        <v>369</v>
      </c>
      <c r="D2456" t="s">
        <v>4364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9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4337</v>
      </c>
      <c r="B2457" s="94" t="str">
        <f>IFERROR(VLOOKUP(Proc[[#This Row],[App]],Table2[],3,0),"open")</f>
        <v>ok</v>
      </c>
      <c r="C2457" s="103" t="s">
        <v>369</v>
      </c>
      <c r="D2457" t="s">
        <v>4365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9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4337</v>
      </c>
      <c r="B2458" s="94" t="str">
        <f>IFERROR(VLOOKUP(Proc[[#This Row],[App]],Table2[],3,0),"open")</f>
        <v>ok</v>
      </c>
      <c r="C2458" s="103" t="s">
        <v>369</v>
      </c>
      <c r="D2458" t="s">
        <v>4366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9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4337</v>
      </c>
      <c r="B2459" s="94" t="str">
        <f>IFERROR(VLOOKUP(Proc[[#This Row],[App]],Table2[],3,0),"open")</f>
        <v>ok</v>
      </c>
      <c r="C2459" s="103" t="s">
        <v>369</v>
      </c>
      <c r="D2459" t="s">
        <v>4367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9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4337</v>
      </c>
      <c r="B2460" s="94" t="str">
        <f>IFERROR(VLOOKUP(Proc[[#This Row],[App]],Table2[],3,0),"open")</f>
        <v>ok</v>
      </c>
      <c r="C2460" s="103" t="s">
        <v>369</v>
      </c>
      <c r="D2460" t="s">
        <v>4368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9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4337</v>
      </c>
      <c r="B2461" s="94" t="str">
        <f>IFERROR(VLOOKUP(Proc[[#This Row],[App]],Table2[],3,0),"open")</f>
        <v>ok</v>
      </c>
      <c r="C2461" s="103" t="s">
        <v>369</v>
      </c>
      <c r="D2461" t="s">
        <v>4369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9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4337</v>
      </c>
      <c r="B2462" s="94" t="str">
        <f>IFERROR(VLOOKUP(Proc[[#This Row],[App]],Table2[],3,0),"open")</f>
        <v>ok</v>
      </c>
      <c r="C2462" s="103" t="s">
        <v>369</v>
      </c>
      <c r="D2462" t="s">
        <v>4370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9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4337</v>
      </c>
      <c r="B2463" s="94" t="str">
        <f>IFERROR(VLOOKUP(Proc[[#This Row],[App]],Table2[],3,0),"open")</f>
        <v>ok</v>
      </c>
      <c r="C2463" s="103" t="s">
        <v>369</v>
      </c>
      <c r="D2463" t="s">
        <v>4371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9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4337</v>
      </c>
      <c r="B2464" s="94" t="str">
        <f>IFERROR(VLOOKUP(Proc[[#This Row],[App]],Table2[],3,0),"open")</f>
        <v>ok</v>
      </c>
      <c r="C2464" s="103" t="s">
        <v>369</v>
      </c>
      <c r="D2464" t="s">
        <v>4372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9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4337</v>
      </c>
      <c r="B2465" s="94" t="str">
        <f>IFERROR(VLOOKUP(Proc[[#This Row],[App]],Table2[],3,0),"open")</f>
        <v>ok</v>
      </c>
      <c r="C2465" s="103" t="s">
        <v>369</v>
      </c>
      <c r="D2465" t="s">
        <v>4373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9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4337</v>
      </c>
      <c r="B2466" s="94" t="str">
        <f>IFERROR(VLOOKUP(Proc[[#This Row],[App]],Table2[],3,0),"open")</f>
        <v>ok</v>
      </c>
      <c r="C2466" s="103" t="s">
        <v>369</v>
      </c>
      <c r="D2466" t="s">
        <v>4374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9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4337</v>
      </c>
      <c r="B2467" s="94" t="str">
        <f>IFERROR(VLOOKUP(Proc[[#This Row],[App]],Table2[],3,0),"open")</f>
        <v>ok</v>
      </c>
      <c r="C2467" s="103" t="s">
        <v>369</v>
      </c>
      <c r="D2467" t="s">
        <v>4375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9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4337</v>
      </c>
      <c r="B2468" s="94" t="str">
        <f>IFERROR(VLOOKUP(Proc[[#This Row],[App]],Table2[],3,0),"open")</f>
        <v>ok</v>
      </c>
      <c r="C2468" s="103" t="s">
        <v>369</v>
      </c>
      <c r="D2468" t="s">
        <v>4376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9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4337</v>
      </c>
      <c r="B2469" s="94" t="str">
        <f>IFERROR(VLOOKUP(Proc[[#This Row],[App]],Table2[],3,0),"open")</f>
        <v>ok</v>
      </c>
      <c r="C2469" s="103" t="s">
        <v>369</v>
      </c>
      <c r="D2469" t="s">
        <v>4377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9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4337</v>
      </c>
      <c r="B2470" s="94" t="str">
        <f>IFERROR(VLOOKUP(Proc[[#This Row],[App]],Table2[],3,0),"open")</f>
        <v>ok</v>
      </c>
      <c r="C2470" s="103" t="s">
        <v>369</v>
      </c>
      <c r="D2470" t="s">
        <v>4378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9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4337</v>
      </c>
      <c r="B2471" s="94" t="str">
        <f>IFERROR(VLOOKUP(Proc[[#This Row],[App]],Table2[],3,0),"open")</f>
        <v>ok</v>
      </c>
      <c r="C2471" s="103" t="s">
        <v>369</v>
      </c>
      <c r="D2471" t="s">
        <v>4379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9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4337</v>
      </c>
      <c r="B2472" s="94" t="str">
        <f>IFERROR(VLOOKUP(Proc[[#This Row],[App]],Table2[],3,0),"open")</f>
        <v>ok</v>
      </c>
      <c r="C2472" s="103" t="s">
        <v>369</v>
      </c>
      <c r="D2472" t="s">
        <v>4380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9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4337</v>
      </c>
      <c r="B2473" s="94" t="str">
        <f>IFERROR(VLOOKUP(Proc[[#This Row],[App]],Table2[],3,0),"open")</f>
        <v>ok</v>
      </c>
      <c r="C2473" s="103" t="s">
        <v>369</v>
      </c>
      <c r="D2473" t="s">
        <v>4381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9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4337</v>
      </c>
      <c r="B2474" s="94" t="str">
        <f>IFERROR(VLOOKUP(Proc[[#This Row],[App]],Table2[],3,0),"open")</f>
        <v>ok</v>
      </c>
      <c r="C2474" s="103" t="s">
        <v>369</v>
      </c>
      <c r="D2474" t="s">
        <v>4382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9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4337</v>
      </c>
      <c r="B2475" s="94" t="str">
        <f>IFERROR(VLOOKUP(Proc[[#This Row],[App]],Table2[],3,0),"open")</f>
        <v>ok</v>
      </c>
      <c r="C2475" s="103" t="s">
        <v>369</v>
      </c>
      <c r="D2475" t="s">
        <v>4383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9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4337</v>
      </c>
      <c r="B2476" s="94" t="str">
        <f>IFERROR(VLOOKUP(Proc[[#This Row],[App]],Table2[],3,0),"open")</f>
        <v>ok</v>
      </c>
      <c r="C2476" s="103" t="s">
        <v>369</v>
      </c>
      <c r="D2476" t="s">
        <v>4384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9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4337</v>
      </c>
      <c r="B2477" s="94" t="str">
        <f>IFERROR(VLOOKUP(Proc[[#This Row],[App]],Table2[],3,0),"open")</f>
        <v>ok</v>
      </c>
      <c r="C2477" s="103" t="s">
        <v>369</v>
      </c>
      <c r="D2477" t="s">
        <v>4385</v>
      </c>
      <c r="E2477" t="s">
        <v>4386</v>
      </c>
      <c r="F2477" s="120" t="s">
        <v>4386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9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4337</v>
      </c>
      <c r="B2478" s="94" t="str">
        <f>IFERROR(VLOOKUP(Proc[[#This Row],[App]],Table2[],3,0),"open")</f>
        <v>ok</v>
      </c>
      <c r="C2478" s="103" t="s">
        <v>369</v>
      </c>
      <c r="D2478" t="s">
        <v>4387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9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4337</v>
      </c>
      <c r="B2479" s="94" t="str">
        <f>IFERROR(VLOOKUP(Proc[[#This Row],[App]],Table2[],3,0),"open")</f>
        <v>ok</v>
      </c>
      <c r="C2479" s="103" t="s">
        <v>369</v>
      </c>
      <c r="D2479" t="s">
        <v>4388</v>
      </c>
      <c r="E2479" t="s">
        <v>4389</v>
      </c>
      <c r="F2479" s="120" t="s">
        <v>4389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9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4337</v>
      </c>
      <c r="B2480" s="94" t="str">
        <f>IFERROR(VLOOKUP(Proc[[#This Row],[App]],Table2[],3,0),"open")</f>
        <v>ok</v>
      </c>
      <c r="C2480" s="103" t="s">
        <v>369</v>
      </c>
      <c r="D2480" t="s">
        <v>4390</v>
      </c>
      <c r="E2480" t="s">
        <v>4391</v>
      </c>
      <c r="F2480" s="120" t="s">
        <v>4391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9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4337</v>
      </c>
      <c r="B2481" s="94" t="str">
        <f>IFERROR(VLOOKUP(Proc[[#This Row],[App]],Table2[],3,0),"open")</f>
        <v>ok</v>
      </c>
      <c r="C2481" s="103" t="s">
        <v>369</v>
      </c>
      <c r="D2481" t="s">
        <v>4392</v>
      </c>
      <c r="E2481" t="s">
        <v>4393</v>
      </c>
      <c r="F2481" s="120" t="s">
        <v>4393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9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4337</v>
      </c>
      <c r="B2482" s="94" t="str">
        <f>IFERROR(VLOOKUP(Proc[[#This Row],[App]],Table2[],3,0),"open")</f>
        <v>ok</v>
      </c>
      <c r="C2482" s="103" t="s">
        <v>369</v>
      </c>
      <c r="D2482" t="s">
        <v>4394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9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4337</v>
      </c>
      <c r="B2483" s="94" t="str">
        <f>IFERROR(VLOOKUP(Proc[[#This Row],[App]],Table2[],3,0),"open")</f>
        <v>ok</v>
      </c>
      <c r="C2483" s="103" t="s">
        <v>369</v>
      </c>
      <c r="D2483" t="s">
        <v>4395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9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4337</v>
      </c>
      <c r="B2484" s="94" t="str">
        <f>IFERROR(VLOOKUP(Proc[[#This Row],[App]],Table2[],3,0),"open")</f>
        <v>ok</v>
      </c>
      <c r="C2484" s="103" t="s">
        <v>369</v>
      </c>
      <c r="D2484" t="s">
        <v>4396</v>
      </c>
      <c r="E2484" t="s">
        <v>4397</v>
      </c>
      <c r="F2484" s="120" t="s">
        <v>4397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9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4337</v>
      </c>
      <c r="B2485" s="94" t="str">
        <f>IFERROR(VLOOKUP(Proc[[#This Row],[App]],Table2[],3,0),"open")</f>
        <v>ok</v>
      </c>
      <c r="C2485" s="103" t="s">
        <v>369</v>
      </c>
      <c r="D2485" t="s">
        <v>4398</v>
      </c>
      <c r="E2485" t="s">
        <v>3529</v>
      </c>
      <c r="F2485" s="120" t="s">
        <v>3529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9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4337</v>
      </c>
      <c r="B2486" s="94" t="str">
        <f>IFERROR(VLOOKUP(Proc[[#This Row],[App]],Table2[],3,0),"open")</f>
        <v>ok</v>
      </c>
      <c r="C2486" s="103" t="s">
        <v>369</v>
      </c>
      <c r="D2486" t="s">
        <v>4399</v>
      </c>
      <c r="E2486" t="s">
        <v>3529</v>
      </c>
      <c r="F2486" s="120" t="s">
        <v>3529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9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4337</v>
      </c>
      <c r="B2487" s="94" t="str">
        <f>IFERROR(VLOOKUP(Proc[[#This Row],[App]],Table2[],3,0),"open")</f>
        <v>ok</v>
      </c>
      <c r="C2487" s="103" t="s">
        <v>369</v>
      </c>
      <c r="D2487" t="s">
        <v>4400</v>
      </c>
      <c r="E2487" t="s">
        <v>4401</v>
      </c>
      <c r="F2487" s="120" t="s">
        <v>4401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9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 hidden="1">
      <c r="A2488" t="s">
        <v>4414</v>
      </c>
      <c r="B2488" s="94" t="str">
        <f>IFERROR(VLOOKUP(Proc[[#This Row],[App]],Table2[],3,0),"open")</f>
        <v>open</v>
      </c>
      <c r="C2488" s="117" t="s">
        <v>369</v>
      </c>
      <c r="D2488" t="s">
        <v>4402</v>
      </c>
      <c r="E2488" t="s">
        <v>4411</v>
      </c>
      <c r="F2488" s="117" t="s">
        <v>4411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4415</v>
      </c>
      <c r="J2488" s="94" t="b">
        <f>Proc[[#This Row],[Requested]]=Proc[[#This Row],[CurrentParent]]</f>
        <v>1</v>
      </c>
      <c r="K2488" s="94" t="str">
        <f>IF(Proc[[#This Row],[Author]]="Marcela Urrego",VLOOKUP(LEFT(Proc[[#This Row],[Requested]],1),Table3[#All],2,0),VLOOKUP(Proc[[#This Row],[Author]],Table4[],2,0))</f>
        <v>MGF</v>
      </c>
      <c r="L2488" s="125" t="s">
        <v>4896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33</v>
      </c>
      <c r="R2488" s="110" t="s">
        <v>1459</v>
      </c>
      <c r="S2488" s="94"/>
    </row>
    <row r="2489" spans="1:19" hidden="1">
      <c r="A2489" s="103" t="s">
        <v>4414</v>
      </c>
      <c r="B2489" s="94" t="str">
        <f>IFERROR(VLOOKUP(Proc[[#This Row],[App]],Table2[],3,0),"open")</f>
        <v>open</v>
      </c>
      <c r="C2489" s="117" t="s">
        <v>692</v>
      </c>
      <c r="D2489" t="s">
        <v>2319</v>
      </c>
      <c r="E2489" t="s">
        <v>430</v>
      </c>
      <c r="F2489" s="94" t="s">
        <v>5571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4834</v>
      </c>
      <c r="J2489" s="94" t="b">
        <f>Proc[[#This Row],[Requested]]=Proc[[#This Row],[CurrentParent]]</f>
        <v>0</v>
      </c>
      <c r="K2489" s="94" t="str">
        <f>IF(Proc[[#This Row],[Author]]="Marcela Urrego",VLOOKUP(LEFT(Proc[[#This Row],[Requested]],1),Table3[#All],2,0),VLOOKUP(Proc[[#This Row],[Author]],Table4[],2,0))</f>
        <v>MGF</v>
      </c>
      <c r="L2489" s="125" t="s">
        <v>4896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33</v>
      </c>
      <c r="R2489" s="110" t="s">
        <v>1459</v>
      </c>
      <c r="S2489" s="94"/>
    </row>
    <row r="2490" spans="1:19" hidden="1">
      <c r="A2490" s="103" t="s">
        <v>4414</v>
      </c>
      <c r="B2490" s="94" t="str">
        <f>IFERROR(VLOOKUP(Proc[[#This Row],[App]],Table2[],3,0),"open")</f>
        <v>open</v>
      </c>
      <c r="C2490" s="124" t="s">
        <v>369</v>
      </c>
      <c r="D2490" t="s">
        <v>4403</v>
      </c>
      <c r="E2490" t="s">
        <v>4412</v>
      </c>
      <c r="F2490" s="124" t="s">
        <v>4412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4415</v>
      </c>
      <c r="J2490" s="94" t="b">
        <f>Proc[[#This Row],[Requested]]=Proc[[#This Row],[CurrentParent]]</f>
        <v>1</v>
      </c>
      <c r="K2490" s="94" t="str">
        <f>IF(Proc[[#This Row],[Author]]="Marcela Urrego",VLOOKUP(LEFT(Proc[[#This Row],[Requested]],1),Table3[#All],2,0),VLOOKUP(Proc[[#This Row],[Author]],Table4[],2,0))</f>
        <v>MGF</v>
      </c>
      <c r="L2490" s="125" t="s">
        <v>4896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33</v>
      </c>
      <c r="R2490" s="110" t="s">
        <v>1459</v>
      </c>
      <c r="S2490" s="94"/>
    </row>
    <row r="2491" spans="1:19" hidden="1">
      <c r="A2491" s="103" t="s">
        <v>4414</v>
      </c>
      <c r="B2491" s="94" t="str">
        <f>IFERROR(VLOOKUP(Proc[[#This Row],[App]],Table2[],3,0),"open")</f>
        <v>open</v>
      </c>
      <c r="C2491" s="124" t="s">
        <v>369</v>
      </c>
      <c r="D2491" t="s">
        <v>4404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4415</v>
      </c>
      <c r="J2491" s="94" t="b">
        <f>Proc[[#This Row],[Requested]]=Proc[[#This Row],[CurrentParent]]</f>
        <v>1</v>
      </c>
      <c r="K2491" s="94" t="str">
        <f>IF(Proc[[#This Row],[Author]]="Marcela Urrego",VLOOKUP(LEFT(Proc[[#This Row],[Requested]],1),Table3[#All],2,0),VLOOKUP(Proc[[#This Row],[Author]],Table4[],2,0))</f>
        <v>MGF</v>
      </c>
      <c r="L2491" s="125" t="s">
        <v>4896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33</v>
      </c>
      <c r="R2491" s="110" t="s">
        <v>1459</v>
      </c>
      <c r="S2491" s="94"/>
    </row>
    <row r="2492" spans="1:19" hidden="1">
      <c r="A2492" s="103" t="s">
        <v>4414</v>
      </c>
      <c r="B2492" s="94" t="str">
        <f>IFERROR(VLOOKUP(Proc[[#This Row],[App]],Table2[],3,0),"open")</f>
        <v>open</v>
      </c>
      <c r="C2492" s="124" t="s">
        <v>369</v>
      </c>
      <c r="D2492" t="s">
        <v>4405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94" t="str">
        <f>IF(Proc[[#This Row],[Author]]="Marcela Urrego",VLOOKUP(LEFT(Proc[[#This Row],[Requested]],1),Table3[#All],2,0),VLOOKUP(Proc[[#This Row],[Author]],Table4[],2,0))</f>
        <v>MGF</v>
      </c>
      <c r="L2492" s="125" t="s">
        <v>4896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33</v>
      </c>
      <c r="R2492" s="110" t="s">
        <v>1459</v>
      </c>
      <c r="S2492" s="94"/>
    </row>
    <row r="2493" spans="1:19" hidden="1">
      <c r="A2493" s="103" t="s">
        <v>4414</v>
      </c>
      <c r="B2493" s="94" t="str">
        <f>IFERROR(VLOOKUP(Proc[[#This Row],[App]],Table2[],3,0),"open")</f>
        <v>open</v>
      </c>
      <c r="C2493" s="124" t="s">
        <v>369</v>
      </c>
      <c r="D2493" t="s">
        <v>4406</v>
      </c>
      <c r="E2493" t="s">
        <v>4413</v>
      </c>
      <c r="F2493" s="124" t="s">
        <v>4413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94" t="str">
        <f>IF(Proc[[#This Row],[Author]]="Marcela Urrego",VLOOKUP(LEFT(Proc[[#This Row],[Requested]],1),Table3[#All],2,0),VLOOKUP(Proc[[#This Row],[Author]],Table4[],2,0))</f>
        <v>MGF</v>
      </c>
      <c r="L2493" s="125" t="s">
        <v>4896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33</v>
      </c>
      <c r="R2493" s="110" t="s">
        <v>1459</v>
      </c>
      <c r="S2493" s="94"/>
    </row>
    <row r="2494" spans="1:19" hidden="1">
      <c r="A2494" s="103" t="s">
        <v>4414</v>
      </c>
      <c r="B2494" s="94" t="str">
        <f>IFERROR(VLOOKUP(Proc[[#This Row],[App]],Table2[],3,0),"open")</f>
        <v>open</v>
      </c>
      <c r="C2494" s="124" t="s">
        <v>369</v>
      </c>
      <c r="D2494" t="s">
        <v>4407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94" t="str">
        <f>IF(Proc[[#This Row],[Author]]="Marcela Urrego",VLOOKUP(LEFT(Proc[[#This Row],[Requested]],1),Table3[#All],2,0),VLOOKUP(Proc[[#This Row],[Author]],Table4[],2,0))</f>
        <v>MGF</v>
      </c>
      <c r="L2494" s="125" t="s">
        <v>4896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33</v>
      </c>
      <c r="R2494" s="110" t="s">
        <v>1459</v>
      </c>
      <c r="S2494" s="94"/>
    </row>
    <row r="2495" spans="1:19" hidden="1">
      <c r="A2495" s="103" t="s">
        <v>4414</v>
      </c>
      <c r="B2495" s="94" t="str">
        <f>IFERROR(VLOOKUP(Proc[[#This Row],[App]],Table2[],3,0),"open")</f>
        <v>open</v>
      </c>
      <c r="C2495" s="124" t="s">
        <v>369</v>
      </c>
      <c r="D2495" t="s">
        <v>4408</v>
      </c>
      <c r="E2495" t="s">
        <v>4413</v>
      </c>
      <c r="F2495" s="124" t="s">
        <v>4413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94" t="str">
        <f>IF(Proc[[#This Row],[Author]]="Marcela Urrego",VLOOKUP(LEFT(Proc[[#This Row],[Requested]],1),Table3[#All],2,0),VLOOKUP(Proc[[#This Row],[Author]],Table4[],2,0))</f>
        <v>MGF</v>
      </c>
      <c r="L2495" s="125" t="s">
        <v>4896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33</v>
      </c>
      <c r="R2495" s="110" t="s">
        <v>1459</v>
      </c>
      <c r="S2495" s="94"/>
    </row>
    <row r="2496" spans="1:19" hidden="1">
      <c r="A2496" s="103" t="s">
        <v>4414</v>
      </c>
      <c r="B2496" s="94" t="str">
        <f>IFERROR(VLOOKUP(Proc[[#This Row],[App]],Table2[],3,0),"open")</f>
        <v>open</v>
      </c>
      <c r="C2496" s="124" t="s">
        <v>369</v>
      </c>
      <c r="D2496" t="s">
        <v>4409</v>
      </c>
      <c r="E2496" t="s">
        <v>4413</v>
      </c>
      <c r="F2496" s="124" t="s">
        <v>4413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94" t="str">
        <f>IF(Proc[[#This Row],[Author]]="Marcela Urrego",VLOOKUP(LEFT(Proc[[#This Row],[Requested]],1),Table3[#All],2,0),VLOOKUP(Proc[[#This Row],[Author]],Table4[],2,0))</f>
        <v>MGF</v>
      </c>
      <c r="L2496" s="125" t="s">
        <v>4896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33</v>
      </c>
      <c r="R2496" s="110" t="s">
        <v>1459</v>
      </c>
      <c r="S2496" s="94"/>
    </row>
    <row r="2497" spans="1:19" hidden="1">
      <c r="A2497" s="103" t="s">
        <v>4414</v>
      </c>
      <c r="B2497" s="94" t="str">
        <f>IFERROR(VLOOKUP(Proc[[#This Row],[App]],Table2[],3,0),"open")</f>
        <v>open</v>
      </c>
      <c r="C2497" s="124" t="s">
        <v>369</v>
      </c>
      <c r="D2497" t="s">
        <v>4410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94" t="str">
        <f>IF(Proc[[#This Row],[Author]]="Marcela Urrego",VLOOKUP(LEFT(Proc[[#This Row],[Requested]],1),Table3[#All],2,0),VLOOKUP(Proc[[#This Row],[Author]],Table4[],2,0))</f>
        <v>MGF</v>
      </c>
      <c r="L2497" s="125" t="s">
        <v>4896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33</v>
      </c>
      <c r="R2497" s="110" t="s">
        <v>1459</v>
      </c>
      <c r="S2497" s="94"/>
    </row>
    <row r="2498" spans="1:19" hidden="1">
      <c r="A2498" s="103" t="s">
        <v>4414</v>
      </c>
      <c r="B2498" s="94" t="str">
        <f>IFERROR(VLOOKUP(Proc[[#This Row],[App]],Table2[],3,0),"open")</f>
        <v>open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94" t="str">
        <f>IF(Proc[[#This Row],[Author]]="Marcela Urrego",VLOOKUP(LEFT(Proc[[#This Row],[Requested]],1),Table3[#All],2,0),VLOOKUP(Proc[[#This Row],[Author]],Table4[],2,0))</f>
        <v>MGF</v>
      </c>
      <c r="L2498" s="125" t="s">
        <v>4896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33</v>
      </c>
      <c r="R2498" s="110" t="s">
        <v>1459</v>
      </c>
      <c r="S2498" s="94"/>
    </row>
    <row r="2499" spans="1:19" hidden="1">
      <c r="A2499" t="s">
        <v>4417</v>
      </c>
      <c r="B2499" s="94" t="str">
        <f>IFERROR(VLOOKUP(Proc[[#This Row],[App]],Table2[],3,0),"open")</f>
        <v>ok</v>
      </c>
      <c r="C2499" s="103" t="s">
        <v>369</v>
      </c>
      <c r="D2499" t="s">
        <v>4416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94" t="str">
        <f>IF(Proc[[#This Row],[Author]]="Marcela Urrego",VLOOKUP(LEFT(Proc[[#This Row],[Requested]],1),Table3[#All],2,0),VLOOKUP(Proc[[#This Row],[Author]],Table4[],2,0))</f>
        <v>HC</v>
      </c>
      <c r="L2499" s="125" t="s">
        <v>4896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4418</v>
      </c>
      <c r="S2499" s="94"/>
    </row>
    <row r="2500" spans="1:19" hidden="1">
      <c r="A2500" t="s">
        <v>4420</v>
      </c>
      <c r="B2500" s="94" t="str">
        <f>IFERROR(VLOOKUP(Proc[[#This Row],[App]],Table2[],3,0),"open")</f>
        <v>ok</v>
      </c>
      <c r="C2500" s="103" t="s">
        <v>369</v>
      </c>
      <c r="D2500" t="s">
        <v>4419</v>
      </c>
      <c r="E2500" t="s">
        <v>4805</v>
      </c>
      <c r="F2500" s="94" t="s">
        <v>4805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94" t="str">
        <f>IF(Proc[[#This Row],[Author]]="Marcela Urrego",VLOOKUP(LEFT(Proc[[#This Row],[Requested]],1),Table3[#All],2,0),VLOOKUP(Proc[[#This Row],[Author]],Table4[],2,0))</f>
        <v>LS</v>
      </c>
      <c r="L2500" s="125" t="s">
        <v>4896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31</v>
      </c>
      <c r="R2500" s="110" t="s">
        <v>489</v>
      </c>
      <c r="S2500" s="94"/>
    </row>
    <row r="2501" spans="1:19" hidden="1">
      <c r="A2501" t="s">
        <v>4422</v>
      </c>
      <c r="B2501" s="94" t="str">
        <f>IFERROR(VLOOKUP(Proc[[#This Row],[App]],Table2[],3,0),"open")</f>
        <v>ok</v>
      </c>
      <c r="C2501" s="103" t="s">
        <v>369</v>
      </c>
      <c r="D2501" t="s">
        <v>4421</v>
      </c>
      <c r="E2501" t="s">
        <v>4423</v>
      </c>
      <c r="F2501" s="94" t="s">
        <v>4423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94" t="str">
        <f>IF(Proc[[#This Row],[Author]]="Marcela Urrego",VLOOKUP(LEFT(Proc[[#This Row],[Requested]],1),Table3[#All],2,0),VLOOKUP(Proc[[#This Row],[Author]],Table4[],2,0))</f>
        <v>LS</v>
      </c>
      <c r="L2501" s="125" t="s">
        <v>4896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31</v>
      </c>
      <c r="R2501" s="110" t="s">
        <v>489</v>
      </c>
      <c r="S2501" s="94"/>
    </row>
    <row r="2502" spans="1:19" hidden="1">
      <c r="A2502" t="s">
        <v>4424</v>
      </c>
      <c r="B2502" s="94" t="str">
        <f>IFERROR(VLOOKUP(Proc[[#This Row],[App]],Table2[],3,0),"open")</f>
        <v>ok</v>
      </c>
      <c r="C2502" s="117" t="s">
        <v>369</v>
      </c>
      <c r="D2502" t="s">
        <v>4425</v>
      </c>
      <c r="E2502" t="s">
        <v>4736</v>
      </c>
      <c r="F2502" s="94" t="s">
        <v>4736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4786</v>
      </c>
      <c r="J2502" s="94" t="b">
        <f>Proc[[#This Row],[Requested]]=Proc[[#This Row],[CurrentParent]]</f>
        <v>1</v>
      </c>
      <c r="K2502" s="94" t="str">
        <f>IF(Proc[[#This Row],[Author]]="Marcela Urrego",VLOOKUP(LEFT(Proc[[#This Row],[Requested]],1),Table3[#All],2,0),VLOOKUP(Proc[[#This Row],[Author]],Table4[],2,0))</f>
        <v>MGF</v>
      </c>
      <c r="L2502" s="125" t="s">
        <v>4896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31</v>
      </c>
      <c r="R2502" s="110" t="s">
        <v>485</v>
      </c>
      <c r="S2502" s="94"/>
    </row>
    <row r="2503" spans="1:19" hidden="1">
      <c r="A2503" s="103" t="s">
        <v>4424</v>
      </c>
      <c r="B2503" s="94" t="str">
        <f>IFERROR(VLOOKUP(Proc[[#This Row],[App]],Table2[],3,0),"open")</f>
        <v>ok</v>
      </c>
      <c r="C2503" s="117" t="s">
        <v>369</v>
      </c>
      <c r="D2503" t="s">
        <v>4426</v>
      </c>
      <c r="E2503" t="s">
        <v>4736</v>
      </c>
      <c r="F2503" s="94" t="s">
        <v>4736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4786</v>
      </c>
      <c r="J2503" s="94" t="b">
        <f>Proc[[#This Row],[Requested]]=Proc[[#This Row],[CurrentParent]]</f>
        <v>1</v>
      </c>
      <c r="K2503" s="94" t="str">
        <f>IF(Proc[[#This Row],[Author]]="Marcela Urrego",VLOOKUP(LEFT(Proc[[#This Row],[Requested]],1),Table3[#All],2,0),VLOOKUP(Proc[[#This Row],[Author]],Table4[],2,0))</f>
        <v>MGF</v>
      </c>
      <c r="L2503" s="125" t="s">
        <v>4896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31</v>
      </c>
      <c r="R2503" s="110" t="s">
        <v>485</v>
      </c>
      <c r="S2503" s="94"/>
    </row>
    <row r="2504" spans="1:19" hidden="1">
      <c r="A2504" s="103" t="s">
        <v>4424</v>
      </c>
      <c r="B2504" s="94" t="str">
        <f>IFERROR(VLOOKUP(Proc[[#This Row],[App]],Table2[],3,0),"open")</f>
        <v>ok</v>
      </c>
      <c r="C2504" s="117" t="s">
        <v>369</v>
      </c>
      <c r="D2504" t="s">
        <v>4427</v>
      </c>
      <c r="E2504" t="s">
        <v>4737</v>
      </c>
      <c r="F2504" s="94" t="s">
        <v>4737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4786</v>
      </c>
      <c r="J2504" s="94" t="b">
        <f>Proc[[#This Row],[Requested]]=Proc[[#This Row],[CurrentParent]]</f>
        <v>1</v>
      </c>
      <c r="K2504" s="94" t="str">
        <f>IF(Proc[[#This Row],[Author]]="Marcela Urrego",VLOOKUP(LEFT(Proc[[#This Row],[Requested]],1),Table3[#All],2,0),VLOOKUP(Proc[[#This Row],[Author]],Table4[],2,0))</f>
        <v>MGF</v>
      </c>
      <c r="L2504" s="125" t="s">
        <v>4896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31</v>
      </c>
      <c r="R2504" s="110" t="s">
        <v>485</v>
      </c>
      <c r="S2504" s="94"/>
    </row>
    <row r="2505" spans="1:19" hidden="1">
      <c r="A2505" s="103" t="s">
        <v>4424</v>
      </c>
      <c r="B2505" s="94" t="str">
        <f>IFERROR(VLOOKUP(Proc[[#This Row],[App]],Table2[],3,0),"open")</f>
        <v>ok</v>
      </c>
      <c r="C2505" s="117" t="s">
        <v>369</v>
      </c>
      <c r="D2505" t="s">
        <v>4428</v>
      </c>
      <c r="E2505" t="s">
        <v>4737</v>
      </c>
      <c r="F2505" s="94" t="s">
        <v>4737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4786</v>
      </c>
      <c r="J2505" s="94" t="b">
        <f>Proc[[#This Row],[Requested]]=Proc[[#This Row],[CurrentParent]]</f>
        <v>1</v>
      </c>
      <c r="K2505" s="94" t="str">
        <f>IF(Proc[[#This Row],[Author]]="Marcela Urrego",VLOOKUP(LEFT(Proc[[#This Row],[Requested]],1),Table3[#All],2,0),VLOOKUP(Proc[[#This Row],[Author]],Table4[],2,0))</f>
        <v>MGF</v>
      </c>
      <c r="L2505" s="125" t="s">
        <v>4896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31</v>
      </c>
      <c r="R2505" s="110" t="s">
        <v>485</v>
      </c>
      <c r="S2505" s="94"/>
    </row>
    <row r="2506" spans="1:19" hidden="1">
      <c r="A2506" s="103" t="s">
        <v>4424</v>
      </c>
      <c r="B2506" s="94" t="str">
        <f>IFERROR(VLOOKUP(Proc[[#This Row],[App]],Table2[],3,0),"open")</f>
        <v>ok</v>
      </c>
      <c r="C2506" s="117" t="s">
        <v>369</v>
      </c>
      <c r="D2506" t="s">
        <v>4429</v>
      </c>
      <c r="E2506" t="s">
        <v>4737</v>
      </c>
      <c r="F2506" s="94" t="s">
        <v>4737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4786</v>
      </c>
      <c r="J2506" s="94" t="b">
        <f>Proc[[#This Row],[Requested]]=Proc[[#This Row],[CurrentParent]]</f>
        <v>1</v>
      </c>
      <c r="K2506" s="94" t="str">
        <f>IF(Proc[[#This Row],[Author]]="Marcela Urrego",VLOOKUP(LEFT(Proc[[#This Row],[Requested]],1),Table3[#All],2,0),VLOOKUP(Proc[[#This Row],[Author]],Table4[],2,0))</f>
        <v>MGF</v>
      </c>
      <c r="L2506" s="125" t="s">
        <v>4896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31</v>
      </c>
      <c r="R2506" s="110" t="s">
        <v>485</v>
      </c>
      <c r="S2506" s="94"/>
    </row>
    <row r="2507" spans="1:19" hidden="1">
      <c r="A2507" s="103" t="s">
        <v>4424</v>
      </c>
      <c r="B2507" s="94" t="str">
        <f>IFERROR(VLOOKUP(Proc[[#This Row],[App]],Table2[],3,0),"open")</f>
        <v>ok</v>
      </c>
      <c r="C2507" s="117" t="s">
        <v>369</v>
      </c>
      <c r="D2507" t="s">
        <v>4430</v>
      </c>
      <c r="E2507" t="s">
        <v>4738</v>
      </c>
      <c r="F2507" s="94" t="s">
        <v>4738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4786</v>
      </c>
      <c r="J2507" s="94" t="b">
        <f>Proc[[#This Row],[Requested]]=Proc[[#This Row],[CurrentParent]]</f>
        <v>1</v>
      </c>
      <c r="K2507" s="94" t="str">
        <f>IF(Proc[[#This Row],[Author]]="Marcela Urrego",VLOOKUP(LEFT(Proc[[#This Row],[Requested]],1),Table3[#All],2,0),VLOOKUP(Proc[[#This Row],[Author]],Table4[],2,0))</f>
        <v>MGF</v>
      </c>
      <c r="L2507" s="125" t="s">
        <v>4896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31</v>
      </c>
      <c r="R2507" s="110" t="s">
        <v>485</v>
      </c>
      <c r="S2507" s="94"/>
    </row>
    <row r="2508" spans="1:19" hidden="1">
      <c r="A2508" s="103" t="s">
        <v>4424</v>
      </c>
      <c r="B2508" s="94" t="str">
        <f>IFERROR(VLOOKUP(Proc[[#This Row],[App]],Table2[],3,0),"open")</f>
        <v>ok</v>
      </c>
      <c r="C2508" s="117" t="s">
        <v>369</v>
      </c>
      <c r="D2508" t="s">
        <v>4431</v>
      </c>
      <c r="E2508" t="s">
        <v>4738</v>
      </c>
      <c r="F2508" s="94" t="s">
        <v>4738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4786</v>
      </c>
      <c r="J2508" s="94" t="b">
        <f>Proc[[#This Row],[Requested]]=Proc[[#This Row],[CurrentParent]]</f>
        <v>1</v>
      </c>
      <c r="K2508" s="94" t="str">
        <f>IF(Proc[[#This Row],[Author]]="Marcela Urrego",VLOOKUP(LEFT(Proc[[#This Row],[Requested]],1),Table3[#All],2,0),VLOOKUP(Proc[[#This Row],[Author]],Table4[],2,0))</f>
        <v>MGF</v>
      </c>
      <c r="L2508" s="125" t="s">
        <v>4896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31</v>
      </c>
      <c r="R2508" s="110" t="s">
        <v>485</v>
      </c>
      <c r="S2508" s="94"/>
    </row>
    <row r="2509" spans="1:19" hidden="1">
      <c r="A2509" s="103" t="s">
        <v>4424</v>
      </c>
      <c r="B2509" s="94" t="str">
        <f>IFERROR(VLOOKUP(Proc[[#This Row],[App]],Table2[],3,0),"open")</f>
        <v>ok</v>
      </c>
      <c r="C2509" s="117" t="s">
        <v>369</v>
      </c>
      <c r="D2509" t="s">
        <v>4432</v>
      </c>
      <c r="E2509" t="s">
        <v>4738</v>
      </c>
      <c r="F2509" s="94" t="s">
        <v>4738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4786</v>
      </c>
      <c r="J2509" s="94" t="b">
        <f>Proc[[#This Row],[Requested]]=Proc[[#This Row],[CurrentParent]]</f>
        <v>1</v>
      </c>
      <c r="K2509" s="94" t="str">
        <f>IF(Proc[[#This Row],[Author]]="Marcela Urrego",VLOOKUP(LEFT(Proc[[#This Row],[Requested]],1),Table3[#All],2,0),VLOOKUP(Proc[[#This Row],[Author]],Table4[],2,0))</f>
        <v>MGF</v>
      </c>
      <c r="L2509" s="125" t="s">
        <v>4896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31</v>
      </c>
      <c r="R2509" s="110" t="s">
        <v>485</v>
      </c>
      <c r="S2509" s="94"/>
    </row>
    <row r="2510" spans="1:19" hidden="1">
      <c r="A2510" s="103" t="s">
        <v>4424</v>
      </c>
      <c r="B2510" s="94" t="str">
        <f>IFERROR(VLOOKUP(Proc[[#This Row],[App]],Table2[],3,0),"open")</f>
        <v>ok</v>
      </c>
      <c r="C2510" s="117" t="s">
        <v>369</v>
      </c>
      <c r="D2510" t="s">
        <v>4433</v>
      </c>
      <c r="E2510" t="s">
        <v>4738</v>
      </c>
      <c r="F2510" s="94" t="s">
        <v>4738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4786</v>
      </c>
      <c r="J2510" s="94" t="b">
        <f>Proc[[#This Row],[Requested]]=Proc[[#This Row],[CurrentParent]]</f>
        <v>1</v>
      </c>
      <c r="K2510" s="94" t="str">
        <f>IF(Proc[[#This Row],[Author]]="Marcela Urrego",VLOOKUP(LEFT(Proc[[#This Row],[Requested]],1),Table3[#All],2,0),VLOOKUP(Proc[[#This Row],[Author]],Table4[],2,0))</f>
        <v>MGF</v>
      </c>
      <c r="L2510" s="125" t="s">
        <v>4896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31</v>
      </c>
      <c r="R2510" s="110" t="s">
        <v>485</v>
      </c>
      <c r="S2510" s="94"/>
    </row>
    <row r="2511" spans="1:19" hidden="1">
      <c r="A2511" s="103" t="s">
        <v>4424</v>
      </c>
      <c r="B2511" s="94" t="str">
        <f>IFERROR(VLOOKUP(Proc[[#This Row],[App]],Table2[],3,0),"open")</f>
        <v>ok</v>
      </c>
      <c r="C2511" s="117" t="s">
        <v>369</v>
      </c>
      <c r="D2511" t="s">
        <v>4434</v>
      </c>
      <c r="E2511" t="s">
        <v>4738</v>
      </c>
      <c r="F2511" s="94" t="s">
        <v>4738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4786</v>
      </c>
      <c r="J2511" s="94" t="b">
        <f>Proc[[#This Row],[Requested]]=Proc[[#This Row],[CurrentParent]]</f>
        <v>1</v>
      </c>
      <c r="K2511" s="94" t="str">
        <f>IF(Proc[[#This Row],[Author]]="Marcela Urrego",VLOOKUP(LEFT(Proc[[#This Row],[Requested]],1),Table3[#All],2,0),VLOOKUP(Proc[[#This Row],[Author]],Table4[],2,0))</f>
        <v>MGF</v>
      </c>
      <c r="L2511" s="125" t="s">
        <v>4896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31</v>
      </c>
      <c r="R2511" s="110" t="s">
        <v>485</v>
      </c>
      <c r="S2511" s="94"/>
    </row>
    <row r="2512" spans="1:19" hidden="1">
      <c r="A2512" s="103" t="s">
        <v>4424</v>
      </c>
      <c r="B2512" s="94" t="str">
        <f>IFERROR(VLOOKUP(Proc[[#This Row],[App]],Table2[],3,0),"open")</f>
        <v>ok</v>
      </c>
      <c r="C2512" s="117" t="s">
        <v>369</v>
      </c>
      <c r="D2512" t="s">
        <v>4435</v>
      </c>
      <c r="E2512" t="s">
        <v>4738</v>
      </c>
      <c r="F2512" s="94" t="s">
        <v>4738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4786</v>
      </c>
      <c r="J2512" s="94" t="b">
        <f>Proc[[#This Row],[Requested]]=Proc[[#This Row],[CurrentParent]]</f>
        <v>1</v>
      </c>
      <c r="K2512" s="94" t="str">
        <f>IF(Proc[[#This Row],[Author]]="Marcela Urrego",VLOOKUP(LEFT(Proc[[#This Row],[Requested]],1),Table3[#All],2,0),VLOOKUP(Proc[[#This Row],[Author]],Table4[],2,0))</f>
        <v>MGF</v>
      </c>
      <c r="L2512" s="125" t="s">
        <v>4896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31</v>
      </c>
      <c r="R2512" s="110" t="s">
        <v>485</v>
      </c>
      <c r="S2512" s="94"/>
    </row>
    <row r="2513" spans="1:19" hidden="1">
      <c r="A2513" s="103" t="s">
        <v>4424</v>
      </c>
      <c r="B2513" s="94" t="str">
        <f>IFERROR(VLOOKUP(Proc[[#This Row],[App]],Table2[],3,0),"open")</f>
        <v>ok</v>
      </c>
      <c r="C2513" s="117" t="s">
        <v>369</v>
      </c>
      <c r="D2513" t="s">
        <v>4436</v>
      </c>
      <c r="E2513" t="s">
        <v>4738</v>
      </c>
      <c r="F2513" s="94" t="s">
        <v>4738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4786</v>
      </c>
      <c r="J2513" s="94" t="b">
        <f>Proc[[#This Row],[Requested]]=Proc[[#This Row],[CurrentParent]]</f>
        <v>1</v>
      </c>
      <c r="K2513" s="94" t="str">
        <f>IF(Proc[[#This Row],[Author]]="Marcela Urrego",VLOOKUP(LEFT(Proc[[#This Row],[Requested]],1),Table3[#All],2,0),VLOOKUP(Proc[[#This Row],[Author]],Table4[],2,0))</f>
        <v>MGF</v>
      </c>
      <c r="L2513" s="125" t="s">
        <v>4896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31</v>
      </c>
      <c r="R2513" s="110" t="s">
        <v>485</v>
      </c>
      <c r="S2513" s="94"/>
    </row>
    <row r="2514" spans="1:19" hidden="1">
      <c r="A2514" s="103" t="s">
        <v>4424</v>
      </c>
      <c r="B2514" s="94" t="str">
        <f>IFERROR(VLOOKUP(Proc[[#This Row],[App]],Table2[],3,0),"open")</f>
        <v>ok</v>
      </c>
      <c r="C2514" s="117" t="s">
        <v>369</v>
      </c>
      <c r="D2514" t="s">
        <v>4437</v>
      </c>
      <c r="E2514" t="s">
        <v>4739</v>
      </c>
      <c r="F2514" s="94" t="s">
        <v>4739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4786</v>
      </c>
      <c r="J2514" s="94" t="b">
        <f>Proc[[#This Row],[Requested]]=Proc[[#This Row],[CurrentParent]]</f>
        <v>1</v>
      </c>
      <c r="K2514" s="94" t="str">
        <f>IF(Proc[[#This Row],[Author]]="Marcela Urrego",VLOOKUP(LEFT(Proc[[#This Row],[Requested]],1),Table3[#All],2,0),VLOOKUP(Proc[[#This Row],[Author]],Table4[],2,0))</f>
        <v>MGF</v>
      </c>
      <c r="L2514" s="125" t="s">
        <v>4896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31</v>
      </c>
      <c r="R2514" s="110" t="s">
        <v>485</v>
      </c>
      <c r="S2514" s="94"/>
    </row>
    <row r="2515" spans="1:19" hidden="1">
      <c r="A2515" s="103" t="s">
        <v>4424</v>
      </c>
      <c r="B2515" s="94" t="str">
        <f>IFERROR(VLOOKUP(Proc[[#This Row],[App]],Table2[],3,0),"open")</f>
        <v>ok</v>
      </c>
      <c r="C2515" s="117" t="s">
        <v>369</v>
      </c>
      <c r="D2515" t="s">
        <v>4438</v>
      </c>
      <c r="E2515" t="s">
        <v>4739</v>
      </c>
      <c r="F2515" s="94" t="s">
        <v>4739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4786</v>
      </c>
      <c r="J2515" s="94" t="b">
        <f>Proc[[#This Row],[Requested]]=Proc[[#This Row],[CurrentParent]]</f>
        <v>1</v>
      </c>
      <c r="K2515" s="94" t="str">
        <f>IF(Proc[[#This Row],[Author]]="Marcela Urrego",VLOOKUP(LEFT(Proc[[#This Row],[Requested]],1),Table3[#All],2,0),VLOOKUP(Proc[[#This Row],[Author]],Table4[],2,0))</f>
        <v>MGF</v>
      </c>
      <c r="L2515" s="125" t="s">
        <v>4896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31</v>
      </c>
      <c r="R2515" s="110" t="s">
        <v>485</v>
      </c>
      <c r="S2515" s="94"/>
    </row>
    <row r="2516" spans="1:19" hidden="1">
      <c r="A2516" s="103" t="s">
        <v>4424</v>
      </c>
      <c r="B2516" s="94" t="str">
        <f>IFERROR(VLOOKUP(Proc[[#This Row],[App]],Table2[],3,0),"open")</f>
        <v>ok</v>
      </c>
      <c r="C2516" s="117" t="s">
        <v>369</v>
      </c>
      <c r="D2516" t="s">
        <v>4439</v>
      </c>
      <c r="E2516" t="s">
        <v>4739</v>
      </c>
      <c r="F2516" s="94" t="s">
        <v>4739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4786</v>
      </c>
      <c r="J2516" s="94" t="b">
        <f>Proc[[#This Row],[Requested]]=Proc[[#This Row],[CurrentParent]]</f>
        <v>1</v>
      </c>
      <c r="K2516" s="94" t="str">
        <f>IF(Proc[[#This Row],[Author]]="Marcela Urrego",VLOOKUP(LEFT(Proc[[#This Row],[Requested]],1),Table3[#All],2,0),VLOOKUP(Proc[[#This Row],[Author]],Table4[],2,0))</f>
        <v>MGF</v>
      </c>
      <c r="L2516" s="125" t="s">
        <v>4896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31</v>
      </c>
      <c r="R2516" s="110" t="s">
        <v>485</v>
      </c>
      <c r="S2516" s="94"/>
    </row>
    <row r="2517" spans="1:19" hidden="1">
      <c r="A2517" s="103" t="s">
        <v>4424</v>
      </c>
      <c r="B2517" s="94" t="str">
        <f>IFERROR(VLOOKUP(Proc[[#This Row],[App]],Table2[],3,0),"open")</f>
        <v>ok</v>
      </c>
      <c r="C2517" s="117" t="s">
        <v>369</v>
      </c>
      <c r="D2517" t="s">
        <v>4440</v>
      </c>
      <c r="E2517" t="s">
        <v>4740</v>
      </c>
      <c r="F2517" s="94" t="s">
        <v>4740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4786</v>
      </c>
      <c r="J2517" s="94" t="b">
        <f>Proc[[#This Row],[Requested]]=Proc[[#This Row],[CurrentParent]]</f>
        <v>1</v>
      </c>
      <c r="K2517" s="94" t="str">
        <f>IF(Proc[[#This Row],[Author]]="Marcela Urrego",VLOOKUP(LEFT(Proc[[#This Row],[Requested]],1),Table3[#All],2,0),VLOOKUP(Proc[[#This Row],[Author]],Table4[],2,0))</f>
        <v>MGF</v>
      </c>
      <c r="L2517" s="125" t="s">
        <v>4896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31</v>
      </c>
      <c r="R2517" s="110" t="s">
        <v>485</v>
      </c>
      <c r="S2517" s="94"/>
    </row>
    <row r="2518" spans="1:19" hidden="1">
      <c r="A2518" s="103" t="s">
        <v>4424</v>
      </c>
      <c r="B2518" s="94" t="str">
        <f>IFERROR(VLOOKUP(Proc[[#This Row],[App]],Table2[],3,0),"open")</f>
        <v>ok</v>
      </c>
      <c r="C2518" s="117" t="s">
        <v>369</v>
      </c>
      <c r="D2518" t="s">
        <v>4441</v>
      </c>
      <c r="E2518" t="s">
        <v>4739</v>
      </c>
      <c r="F2518" s="94" t="s">
        <v>4739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4786</v>
      </c>
      <c r="J2518" s="94" t="b">
        <f>Proc[[#This Row],[Requested]]=Proc[[#This Row],[CurrentParent]]</f>
        <v>1</v>
      </c>
      <c r="K2518" s="94" t="str">
        <f>IF(Proc[[#This Row],[Author]]="Marcela Urrego",VLOOKUP(LEFT(Proc[[#This Row],[Requested]],1),Table3[#All],2,0),VLOOKUP(Proc[[#This Row],[Author]],Table4[],2,0))</f>
        <v>MGF</v>
      </c>
      <c r="L2518" s="125" t="s">
        <v>4896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31</v>
      </c>
      <c r="R2518" s="110" t="s">
        <v>485</v>
      </c>
      <c r="S2518" s="94"/>
    </row>
    <row r="2519" spans="1:19" hidden="1">
      <c r="A2519" s="103" t="s">
        <v>4424</v>
      </c>
      <c r="B2519" s="94" t="str">
        <f>IFERROR(VLOOKUP(Proc[[#This Row],[App]],Table2[],3,0),"open")</f>
        <v>ok</v>
      </c>
      <c r="C2519" s="117" t="s">
        <v>369</v>
      </c>
      <c r="D2519" t="s">
        <v>4442</v>
      </c>
      <c r="E2519" t="s">
        <v>4740</v>
      </c>
      <c r="F2519" s="94" t="s">
        <v>4740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4786</v>
      </c>
      <c r="J2519" s="94" t="b">
        <f>Proc[[#This Row],[Requested]]=Proc[[#This Row],[CurrentParent]]</f>
        <v>1</v>
      </c>
      <c r="K2519" s="94" t="str">
        <f>IF(Proc[[#This Row],[Author]]="Marcela Urrego",VLOOKUP(LEFT(Proc[[#This Row],[Requested]],1),Table3[#All],2,0),VLOOKUP(Proc[[#This Row],[Author]],Table4[],2,0))</f>
        <v>MGF</v>
      </c>
      <c r="L2519" s="125" t="s">
        <v>4896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31</v>
      </c>
      <c r="R2519" s="110" t="s">
        <v>485</v>
      </c>
      <c r="S2519" s="94"/>
    </row>
    <row r="2520" spans="1:19" hidden="1">
      <c r="A2520" s="103" t="s">
        <v>4424</v>
      </c>
      <c r="B2520" s="94" t="str">
        <f>IFERROR(VLOOKUP(Proc[[#This Row],[App]],Table2[],3,0),"open")</f>
        <v>ok</v>
      </c>
      <c r="C2520" s="117" t="s">
        <v>369</v>
      </c>
      <c r="D2520" t="s">
        <v>4443</v>
      </c>
      <c r="E2520" t="s">
        <v>4741</v>
      </c>
      <c r="F2520" s="94" t="s">
        <v>4741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4786</v>
      </c>
      <c r="J2520" s="94" t="b">
        <f>Proc[[#This Row],[Requested]]=Proc[[#This Row],[CurrentParent]]</f>
        <v>1</v>
      </c>
      <c r="K2520" s="94" t="str">
        <f>IF(Proc[[#This Row],[Author]]="Marcela Urrego",VLOOKUP(LEFT(Proc[[#This Row],[Requested]],1),Table3[#All],2,0),VLOOKUP(Proc[[#This Row],[Author]],Table4[],2,0))</f>
        <v>MGF</v>
      </c>
      <c r="L2520" s="125" t="s">
        <v>4896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31</v>
      </c>
      <c r="R2520" s="110" t="s">
        <v>485</v>
      </c>
      <c r="S2520" s="94"/>
    </row>
    <row r="2521" spans="1:19" hidden="1">
      <c r="A2521" s="103" t="s">
        <v>4424</v>
      </c>
      <c r="B2521" s="94" t="str">
        <f>IFERROR(VLOOKUP(Proc[[#This Row],[App]],Table2[],3,0),"open")</f>
        <v>ok</v>
      </c>
      <c r="C2521" s="117" t="s">
        <v>369</v>
      </c>
      <c r="D2521" t="s">
        <v>4444</v>
      </c>
      <c r="E2521" t="s">
        <v>4740</v>
      </c>
      <c r="F2521" s="94" t="s">
        <v>4740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4786</v>
      </c>
      <c r="J2521" s="94" t="b">
        <f>Proc[[#This Row],[Requested]]=Proc[[#This Row],[CurrentParent]]</f>
        <v>1</v>
      </c>
      <c r="K2521" s="94" t="str">
        <f>IF(Proc[[#This Row],[Author]]="Marcela Urrego",VLOOKUP(LEFT(Proc[[#This Row],[Requested]],1),Table3[#All],2,0),VLOOKUP(Proc[[#This Row],[Author]],Table4[],2,0))</f>
        <v>MGF</v>
      </c>
      <c r="L2521" s="125" t="s">
        <v>4896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31</v>
      </c>
      <c r="R2521" s="110" t="s">
        <v>485</v>
      </c>
      <c r="S2521" s="94"/>
    </row>
    <row r="2522" spans="1:19" hidden="1">
      <c r="A2522" s="103" t="s">
        <v>4424</v>
      </c>
      <c r="B2522" s="94" t="str">
        <f>IFERROR(VLOOKUP(Proc[[#This Row],[App]],Table2[],3,0),"open")</f>
        <v>ok</v>
      </c>
      <c r="C2522" s="117" t="s">
        <v>369</v>
      </c>
      <c r="D2522" t="s">
        <v>4445</v>
      </c>
      <c r="E2522" t="s">
        <v>4740</v>
      </c>
      <c r="F2522" s="94" t="s">
        <v>4740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4786</v>
      </c>
      <c r="J2522" s="94" t="b">
        <f>Proc[[#This Row],[Requested]]=Proc[[#This Row],[CurrentParent]]</f>
        <v>1</v>
      </c>
      <c r="K2522" s="94" t="str">
        <f>IF(Proc[[#This Row],[Author]]="Marcela Urrego",VLOOKUP(LEFT(Proc[[#This Row],[Requested]],1),Table3[#All],2,0),VLOOKUP(Proc[[#This Row],[Author]],Table4[],2,0))</f>
        <v>MGF</v>
      </c>
      <c r="L2522" s="125" t="s">
        <v>4896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31</v>
      </c>
      <c r="R2522" s="110" t="s">
        <v>485</v>
      </c>
      <c r="S2522" s="94"/>
    </row>
    <row r="2523" spans="1:19" hidden="1">
      <c r="A2523" s="103" t="s">
        <v>4424</v>
      </c>
      <c r="B2523" s="94" t="str">
        <f>IFERROR(VLOOKUP(Proc[[#This Row],[App]],Table2[],3,0),"open")</f>
        <v>ok</v>
      </c>
      <c r="C2523" s="117" t="s">
        <v>369</v>
      </c>
      <c r="D2523" t="s">
        <v>4446</v>
      </c>
      <c r="E2523" t="s">
        <v>4739</v>
      </c>
      <c r="F2523" s="94" t="s">
        <v>4739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4786</v>
      </c>
      <c r="J2523" s="94" t="b">
        <f>Proc[[#This Row],[Requested]]=Proc[[#This Row],[CurrentParent]]</f>
        <v>1</v>
      </c>
      <c r="K2523" s="94" t="str">
        <f>IF(Proc[[#This Row],[Author]]="Marcela Urrego",VLOOKUP(LEFT(Proc[[#This Row],[Requested]],1),Table3[#All],2,0),VLOOKUP(Proc[[#This Row],[Author]],Table4[],2,0))</f>
        <v>MGF</v>
      </c>
      <c r="L2523" s="125" t="s">
        <v>4896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31</v>
      </c>
      <c r="R2523" s="110" t="s">
        <v>485</v>
      </c>
      <c r="S2523" s="94"/>
    </row>
    <row r="2524" spans="1:19" hidden="1">
      <c r="A2524" s="103" t="s">
        <v>4424</v>
      </c>
      <c r="B2524" s="94" t="str">
        <f>IFERROR(VLOOKUP(Proc[[#This Row],[App]],Table2[],3,0),"open")</f>
        <v>ok</v>
      </c>
      <c r="C2524" s="117" t="s">
        <v>369</v>
      </c>
      <c r="D2524" t="s">
        <v>4447</v>
      </c>
      <c r="E2524" t="s">
        <v>4739</v>
      </c>
      <c r="F2524" s="94" t="s">
        <v>4739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4786</v>
      </c>
      <c r="J2524" s="94" t="b">
        <f>Proc[[#This Row],[Requested]]=Proc[[#This Row],[CurrentParent]]</f>
        <v>1</v>
      </c>
      <c r="K2524" s="94" t="str">
        <f>IF(Proc[[#This Row],[Author]]="Marcela Urrego",VLOOKUP(LEFT(Proc[[#This Row],[Requested]],1),Table3[#All],2,0),VLOOKUP(Proc[[#This Row],[Author]],Table4[],2,0))</f>
        <v>MGF</v>
      </c>
      <c r="L2524" s="125" t="s">
        <v>4896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31</v>
      </c>
      <c r="R2524" s="110" t="s">
        <v>485</v>
      </c>
      <c r="S2524" s="94"/>
    </row>
    <row r="2525" spans="1:19" hidden="1">
      <c r="A2525" s="103" t="s">
        <v>4424</v>
      </c>
      <c r="B2525" s="94" t="str">
        <f>IFERROR(VLOOKUP(Proc[[#This Row],[App]],Table2[],3,0),"open")</f>
        <v>ok</v>
      </c>
      <c r="C2525" s="117" t="s">
        <v>369</v>
      </c>
      <c r="D2525" t="s">
        <v>4448</v>
      </c>
      <c r="E2525" t="s">
        <v>4739</v>
      </c>
      <c r="F2525" s="94" t="s">
        <v>4739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4786</v>
      </c>
      <c r="J2525" s="94" t="b">
        <f>Proc[[#This Row],[Requested]]=Proc[[#This Row],[CurrentParent]]</f>
        <v>1</v>
      </c>
      <c r="K2525" s="94" t="str">
        <f>IF(Proc[[#This Row],[Author]]="Marcela Urrego",VLOOKUP(LEFT(Proc[[#This Row],[Requested]],1),Table3[#All],2,0),VLOOKUP(Proc[[#This Row],[Author]],Table4[],2,0))</f>
        <v>MGF</v>
      </c>
      <c r="L2525" s="125" t="s">
        <v>4896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31</v>
      </c>
      <c r="R2525" s="110" t="s">
        <v>485</v>
      </c>
      <c r="S2525" s="94"/>
    </row>
    <row r="2526" spans="1:19" hidden="1">
      <c r="A2526" s="103" t="s">
        <v>4424</v>
      </c>
      <c r="B2526" s="94" t="str">
        <f>IFERROR(VLOOKUP(Proc[[#This Row],[App]],Table2[],3,0),"open")</f>
        <v>ok</v>
      </c>
      <c r="C2526" s="117" t="s">
        <v>369</v>
      </c>
      <c r="D2526" t="s">
        <v>4449</v>
      </c>
      <c r="E2526" t="s">
        <v>4739</v>
      </c>
      <c r="F2526" s="94" t="s">
        <v>4739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4786</v>
      </c>
      <c r="J2526" s="94" t="b">
        <f>Proc[[#This Row],[Requested]]=Proc[[#This Row],[CurrentParent]]</f>
        <v>1</v>
      </c>
      <c r="K2526" s="94" t="str">
        <f>IF(Proc[[#This Row],[Author]]="Marcela Urrego",VLOOKUP(LEFT(Proc[[#This Row],[Requested]],1),Table3[#All],2,0),VLOOKUP(Proc[[#This Row],[Author]],Table4[],2,0))</f>
        <v>MGF</v>
      </c>
      <c r="L2526" s="125" t="s">
        <v>4896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31</v>
      </c>
      <c r="R2526" s="110" t="s">
        <v>485</v>
      </c>
      <c r="S2526" s="94"/>
    </row>
    <row r="2527" spans="1:19" hidden="1">
      <c r="A2527" s="103" t="s">
        <v>4424</v>
      </c>
      <c r="B2527" s="94" t="str">
        <f>IFERROR(VLOOKUP(Proc[[#This Row],[App]],Table2[],3,0),"open")</f>
        <v>ok</v>
      </c>
      <c r="C2527" s="117" t="s">
        <v>369</v>
      </c>
      <c r="D2527" t="s">
        <v>4450</v>
      </c>
      <c r="E2527" t="s">
        <v>4739</v>
      </c>
      <c r="F2527" s="94" t="s">
        <v>4739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4786</v>
      </c>
      <c r="J2527" s="94" t="b">
        <f>Proc[[#This Row],[Requested]]=Proc[[#This Row],[CurrentParent]]</f>
        <v>1</v>
      </c>
      <c r="K2527" s="94" t="str">
        <f>IF(Proc[[#This Row],[Author]]="Marcela Urrego",VLOOKUP(LEFT(Proc[[#This Row],[Requested]],1),Table3[#All],2,0),VLOOKUP(Proc[[#This Row],[Author]],Table4[],2,0))</f>
        <v>MGF</v>
      </c>
      <c r="L2527" s="125" t="s">
        <v>4896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31</v>
      </c>
      <c r="R2527" s="110" t="s">
        <v>485</v>
      </c>
      <c r="S2527" s="94"/>
    </row>
    <row r="2528" spans="1:19" hidden="1">
      <c r="A2528" s="103" t="s">
        <v>4424</v>
      </c>
      <c r="B2528" s="94" t="str">
        <f>IFERROR(VLOOKUP(Proc[[#This Row],[App]],Table2[],3,0),"open")</f>
        <v>ok</v>
      </c>
      <c r="C2528" s="117" t="s">
        <v>369</v>
      </c>
      <c r="D2528" t="s">
        <v>4451</v>
      </c>
      <c r="E2528" t="s">
        <v>4741</v>
      </c>
      <c r="F2528" s="94" t="s">
        <v>4741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4786</v>
      </c>
      <c r="J2528" s="94" t="b">
        <f>Proc[[#This Row],[Requested]]=Proc[[#This Row],[CurrentParent]]</f>
        <v>1</v>
      </c>
      <c r="K2528" s="94" t="str">
        <f>IF(Proc[[#This Row],[Author]]="Marcela Urrego",VLOOKUP(LEFT(Proc[[#This Row],[Requested]],1),Table3[#All],2,0),VLOOKUP(Proc[[#This Row],[Author]],Table4[],2,0))</f>
        <v>MGF</v>
      </c>
      <c r="L2528" s="125" t="s">
        <v>4896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31</v>
      </c>
      <c r="R2528" s="110" t="s">
        <v>485</v>
      </c>
      <c r="S2528" s="94"/>
    </row>
    <row r="2529" spans="1:19" hidden="1">
      <c r="A2529" s="103" t="s">
        <v>4424</v>
      </c>
      <c r="B2529" s="94" t="str">
        <f>IFERROR(VLOOKUP(Proc[[#This Row],[App]],Table2[],3,0),"open")</f>
        <v>ok</v>
      </c>
      <c r="C2529" s="117" t="s">
        <v>369</v>
      </c>
      <c r="D2529" t="s">
        <v>4452</v>
      </c>
      <c r="E2529" t="s">
        <v>4739</v>
      </c>
      <c r="F2529" s="94" t="s">
        <v>4739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4786</v>
      </c>
      <c r="J2529" s="94" t="b">
        <f>Proc[[#This Row],[Requested]]=Proc[[#This Row],[CurrentParent]]</f>
        <v>1</v>
      </c>
      <c r="K2529" s="94" t="str">
        <f>IF(Proc[[#This Row],[Author]]="Marcela Urrego",VLOOKUP(LEFT(Proc[[#This Row],[Requested]],1),Table3[#All],2,0),VLOOKUP(Proc[[#This Row],[Author]],Table4[],2,0))</f>
        <v>MGF</v>
      </c>
      <c r="L2529" s="125" t="s">
        <v>4896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31</v>
      </c>
      <c r="R2529" s="110" t="s">
        <v>485</v>
      </c>
      <c r="S2529" s="94"/>
    </row>
    <row r="2530" spans="1:19" hidden="1">
      <c r="A2530" s="103" t="s">
        <v>4424</v>
      </c>
      <c r="B2530" s="94" t="str">
        <f>IFERROR(VLOOKUP(Proc[[#This Row],[App]],Table2[],3,0),"open")</f>
        <v>ok</v>
      </c>
      <c r="C2530" s="117" t="s">
        <v>369</v>
      </c>
      <c r="D2530" t="s">
        <v>4453</v>
      </c>
      <c r="E2530" t="s">
        <v>4739</v>
      </c>
      <c r="F2530" s="94" t="s">
        <v>4739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4786</v>
      </c>
      <c r="J2530" s="94" t="b">
        <f>Proc[[#This Row],[Requested]]=Proc[[#This Row],[CurrentParent]]</f>
        <v>1</v>
      </c>
      <c r="K2530" s="94" t="str">
        <f>IF(Proc[[#This Row],[Author]]="Marcela Urrego",VLOOKUP(LEFT(Proc[[#This Row],[Requested]],1),Table3[#All],2,0),VLOOKUP(Proc[[#This Row],[Author]],Table4[],2,0))</f>
        <v>MGF</v>
      </c>
      <c r="L2530" s="125" t="s">
        <v>4896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31</v>
      </c>
      <c r="R2530" s="110" t="s">
        <v>485</v>
      </c>
      <c r="S2530" s="94"/>
    </row>
    <row r="2531" spans="1:19" hidden="1">
      <c r="A2531" s="103" t="s">
        <v>4424</v>
      </c>
      <c r="B2531" s="94" t="str">
        <f>IFERROR(VLOOKUP(Proc[[#This Row],[App]],Table2[],3,0),"open")</f>
        <v>ok</v>
      </c>
      <c r="C2531" s="117" t="s">
        <v>369</v>
      </c>
      <c r="D2531" t="s">
        <v>4454</v>
      </c>
      <c r="E2531" t="s">
        <v>4739</v>
      </c>
      <c r="F2531" s="94" t="s">
        <v>4739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4786</v>
      </c>
      <c r="J2531" s="94" t="b">
        <f>Proc[[#This Row],[Requested]]=Proc[[#This Row],[CurrentParent]]</f>
        <v>1</v>
      </c>
      <c r="K2531" s="94" t="str">
        <f>IF(Proc[[#This Row],[Author]]="Marcela Urrego",VLOOKUP(LEFT(Proc[[#This Row],[Requested]],1),Table3[#All],2,0),VLOOKUP(Proc[[#This Row],[Author]],Table4[],2,0))</f>
        <v>MGF</v>
      </c>
      <c r="L2531" s="125" t="s">
        <v>4896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31</v>
      </c>
      <c r="R2531" s="110" t="s">
        <v>485</v>
      </c>
      <c r="S2531" s="94"/>
    </row>
    <row r="2532" spans="1:19" hidden="1">
      <c r="A2532" s="103" t="s">
        <v>4424</v>
      </c>
      <c r="B2532" s="94" t="str">
        <f>IFERROR(VLOOKUP(Proc[[#This Row],[App]],Table2[],3,0),"open")</f>
        <v>ok</v>
      </c>
      <c r="C2532" s="117" t="s">
        <v>369</v>
      </c>
      <c r="D2532" t="s">
        <v>4455</v>
      </c>
      <c r="E2532" t="s">
        <v>4741</v>
      </c>
      <c r="F2532" s="94" t="s">
        <v>4741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4786</v>
      </c>
      <c r="J2532" s="94" t="b">
        <f>Proc[[#This Row],[Requested]]=Proc[[#This Row],[CurrentParent]]</f>
        <v>1</v>
      </c>
      <c r="K2532" s="94" t="str">
        <f>IF(Proc[[#This Row],[Author]]="Marcela Urrego",VLOOKUP(LEFT(Proc[[#This Row],[Requested]],1),Table3[#All],2,0),VLOOKUP(Proc[[#This Row],[Author]],Table4[],2,0))</f>
        <v>MGF</v>
      </c>
      <c r="L2532" s="125" t="s">
        <v>4896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31</v>
      </c>
      <c r="R2532" s="110" t="s">
        <v>485</v>
      </c>
      <c r="S2532" s="94"/>
    </row>
    <row r="2533" spans="1:19" hidden="1">
      <c r="A2533" s="103" t="s">
        <v>4424</v>
      </c>
      <c r="B2533" s="94" t="str">
        <f>IFERROR(VLOOKUP(Proc[[#This Row],[App]],Table2[],3,0),"open")</f>
        <v>ok</v>
      </c>
      <c r="C2533" s="117" t="s">
        <v>369</v>
      </c>
      <c r="D2533" t="s">
        <v>4456</v>
      </c>
      <c r="E2533" t="s">
        <v>4739</v>
      </c>
      <c r="F2533" s="94" t="s">
        <v>4739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4786</v>
      </c>
      <c r="J2533" s="94" t="b">
        <f>Proc[[#This Row],[Requested]]=Proc[[#This Row],[CurrentParent]]</f>
        <v>1</v>
      </c>
      <c r="K2533" s="94" t="str">
        <f>IF(Proc[[#This Row],[Author]]="Marcela Urrego",VLOOKUP(LEFT(Proc[[#This Row],[Requested]],1),Table3[#All],2,0),VLOOKUP(Proc[[#This Row],[Author]],Table4[],2,0))</f>
        <v>MGF</v>
      </c>
      <c r="L2533" s="125" t="s">
        <v>4896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31</v>
      </c>
      <c r="R2533" s="110" t="s">
        <v>485</v>
      </c>
      <c r="S2533" s="94"/>
    </row>
    <row r="2534" spans="1:19" hidden="1">
      <c r="A2534" s="103" t="s">
        <v>4424</v>
      </c>
      <c r="B2534" s="94" t="str">
        <f>IFERROR(VLOOKUP(Proc[[#This Row],[App]],Table2[],3,0),"open")</f>
        <v>ok</v>
      </c>
      <c r="C2534" s="117" t="s">
        <v>369</v>
      </c>
      <c r="D2534" t="s">
        <v>4457</v>
      </c>
      <c r="E2534" t="s">
        <v>4739</v>
      </c>
      <c r="F2534" s="94" t="s">
        <v>4739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4786</v>
      </c>
      <c r="J2534" s="94" t="b">
        <f>Proc[[#This Row],[Requested]]=Proc[[#This Row],[CurrentParent]]</f>
        <v>1</v>
      </c>
      <c r="K2534" s="94" t="str">
        <f>IF(Proc[[#This Row],[Author]]="Marcela Urrego",VLOOKUP(LEFT(Proc[[#This Row],[Requested]],1),Table3[#All],2,0),VLOOKUP(Proc[[#This Row],[Author]],Table4[],2,0))</f>
        <v>MGF</v>
      </c>
      <c r="L2534" s="125" t="s">
        <v>4896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31</v>
      </c>
      <c r="R2534" s="110" t="s">
        <v>485</v>
      </c>
      <c r="S2534" s="94"/>
    </row>
    <row r="2535" spans="1:19" hidden="1">
      <c r="A2535" s="103" t="s">
        <v>4424</v>
      </c>
      <c r="B2535" s="94" t="str">
        <f>IFERROR(VLOOKUP(Proc[[#This Row],[App]],Table2[],3,0),"open")</f>
        <v>ok</v>
      </c>
      <c r="C2535" s="117" t="s">
        <v>369</v>
      </c>
      <c r="D2535" t="s">
        <v>4458</v>
      </c>
      <c r="E2535" t="s">
        <v>4739</v>
      </c>
      <c r="F2535" s="94" t="s">
        <v>4739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4786</v>
      </c>
      <c r="J2535" s="94" t="b">
        <f>Proc[[#This Row],[Requested]]=Proc[[#This Row],[CurrentParent]]</f>
        <v>1</v>
      </c>
      <c r="K2535" s="94" t="str">
        <f>IF(Proc[[#This Row],[Author]]="Marcela Urrego",VLOOKUP(LEFT(Proc[[#This Row],[Requested]],1),Table3[#All],2,0),VLOOKUP(Proc[[#This Row],[Author]],Table4[],2,0))</f>
        <v>MGF</v>
      </c>
      <c r="L2535" s="125" t="s">
        <v>4896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31</v>
      </c>
      <c r="R2535" s="110" t="s">
        <v>485</v>
      </c>
      <c r="S2535" s="94"/>
    </row>
    <row r="2536" spans="1:19" hidden="1">
      <c r="A2536" s="103" t="s">
        <v>4424</v>
      </c>
      <c r="B2536" s="94" t="str">
        <f>IFERROR(VLOOKUP(Proc[[#This Row],[App]],Table2[],3,0),"open")</f>
        <v>ok</v>
      </c>
      <c r="C2536" s="117" t="s">
        <v>369</v>
      </c>
      <c r="D2536" t="s">
        <v>4459</v>
      </c>
      <c r="E2536" t="s">
        <v>4740</v>
      </c>
      <c r="F2536" s="94" t="s">
        <v>4740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4786</v>
      </c>
      <c r="J2536" s="94" t="b">
        <f>Proc[[#This Row],[Requested]]=Proc[[#This Row],[CurrentParent]]</f>
        <v>1</v>
      </c>
      <c r="K2536" s="94" t="str">
        <f>IF(Proc[[#This Row],[Author]]="Marcela Urrego",VLOOKUP(LEFT(Proc[[#This Row],[Requested]],1),Table3[#All],2,0),VLOOKUP(Proc[[#This Row],[Author]],Table4[],2,0))</f>
        <v>MGF</v>
      </c>
      <c r="L2536" s="125" t="s">
        <v>4896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31</v>
      </c>
      <c r="R2536" s="110" t="s">
        <v>485</v>
      </c>
      <c r="S2536" s="94"/>
    </row>
    <row r="2537" spans="1:19" hidden="1">
      <c r="A2537" s="103" t="s">
        <v>4424</v>
      </c>
      <c r="B2537" s="94" t="str">
        <f>IFERROR(VLOOKUP(Proc[[#This Row],[App]],Table2[],3,0),"open")</f>
        <v>ok</v>
      </c>
      <c r="C2537" s="117" t="s">
        <v>369</v>
      </c>
      <c r="D2537" t="s">
        <v>4460</v>
      </c>
      <c r="E2537" t="s">
        <v>4739</v>
      </c>
      <c r="F2537" s="94" t="s">
        <v>4739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4786</v>
      </c>
      <c r="J2537" s="94" t="b">
        <f>Proc[[#This Row],[Requested]]=Proc[[#This Row],[CurrentParent]]</f>
        <v>1</v>
      </c>
      <c r="K2537" s="94" t="str">
        <f>IF(Proc[[#This Row],[Author]]="Marcela Urrego",VLOOKUP(LEFT(Proc[[#This Row],[Requested]],1),Table3[#All],2,0),VLOOKUP(Proc[[#This Row],[Author]],Table4[],2,0))</f>
        <v>MGF</v>
      </c>
      <c r="L2537" s="125" t="s">
        <v>4896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31</v>
      </c>
      <c r="R2537" s="110" t="s">
        <v>485</v>
      </c>
      <c r="S2537" s="94"/>
    </row>
    <row r="2538" spans="1:19" hidden="1">
      <c r="A2538" s="103" t="s">
        <v>4424</v>
      </c>
      <c r="B2538" s="94" t="str">
        <f>IFERROR(VLOOKUP(Proc[[#This Row],[App]],Table2[],3,0),"open")</f>
        <v>ok</v>
      </c>
      <c r="C2538" s="117" t="s">
        <v>369</v>
      </c>
      <c r="D2538" t="s">
        <v>4461</v>
      </c>
      <c r="E2538" t="s">
        <v>4741</v>
      </c>
      <c r="F2538" s="94" t="s">
        <v>4741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4786</v>
      </c>
      <c r="J2538" s="94" t="b">
        <f>Proc[[#This Row],[Requested]]=Proc[[#This Row],[CurrentParent]]</f>
        <v>1</v>
      </c>
      <c r="K2538" s="94" t="str">
        <f>IF(Proc[[#This Row],[Author]]="Marcela Urrego",VLOOKUP(LEFT(Proc[[#This Row],[Requested]],1),Table3[#All],2,0),VLOOKUP(Proc[[#This Row],[Author]],Table4[],2,0))</f>
        <v>MGF</v>
      </c>
      <c r="L2538" s="125" t="s">
        <v>4896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31</v>
      </c>
      <c r="R2538" s="110" t="s">
        <v>485</v>
      </c>
      <c r="S2538" s="94"/>
    </row>
    <row r="2539" spans="1:19" hidden="1">
      <c r="A2539" s="103" t="s">
        <v>4424</v>
      </c>
      <c r="B2539" s="94" t="str">
        <f>IFERROR(VLOOKUP(Proc[[#This Row],[App]],Table2[],3,0),"open")</f>
        <v>ok</v>
      </c>
      <c r="C2539" s="117" t="s">
        <v>369</v>
      </c>
      <c r="D2539" t="s">
        <v>4462</v>
      </c>
      <c r="E2539" t="s">
        <v>4741</v>
      </c>
      <c r="F2539" s="94" t="s">
        <v>4741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4786</v>
      </c>
      <c r="J2539" s="94" t="b">
        <f>Proc[[#This Row],[Requested]]=Proc[[#This Row],[CurrentParent]]</f>
        <v>1</v>
      </c>
      <c r="K2539" s="94" t="str">
        <f>IF(Proc[[#This Row],[Author]]="Marcela Urrego",VLOOKUP(LEFT(Proc[[#This Row],[Requested]],1),Table3[#All],2,0),VLOOKUP(Proc[[#This Row],[Author]],Table4[],2,0))</f>
        <v>MGF</v>
      </c>
      <c r="L2539" s="125" t="s">
        <v>4896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31</v>
      </c>
      <c r="R2539" s="110" t="s">
        <v>485</v>
      </c>
      <c r="S2539" s="94"/>
    </row>
    <row r="2540" spans="1:19" hidden="1">
      <c r="A2540" s="103" t="s">
        <v>4424</v>
      </c>
      <c r="B2540" s="94" t="str">
        <f>IFERROR(VLOOKUP(Proc[[#This Row],[App]],Table2[],3,0),"open")</f>
        <v>ok</v>
      </c>
      <c r="C2540" s="117" t="s">
        <v>369</v>
      </c>
      <c r="D2540" t="s">
        <v>4463</v>
      </c>
      <c r="E2540" t="s">
        <v>4739</v>
      </c>
      <c r="F2540" s="94" t="s">
        <v>4739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4786</v>
      </c>
      <c r="J2540" s="94" t="b">
        <f>Proc[[#This Row],[Requested]]=Proc[[#This Row],[CurrentParent]]</f>
        <v>1</v>
      </c>
      <c r="K2540" s="94" t="str">
        <f>IF(Proc[[#This Row],[Author]]="Marcela Urrego",VLOOKUP(LEFT(Proc[[#This Row],[Requested]],1),Table3[#All],2,0),VLOOKUP(Proc[[#This Row],[Author]],Table4[],2,0))</f>
        <v>MGF</v>
      </c>
      <c r="L2540" s="125" t="s">
        <v>4896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31</v>
      </c>
      <c r="R2540" s="110" t="s">
        <v>485</v>
      </c>
      <c r="S2540" s="94"/>
    </row>
    <row r="2541" spans="1:19" hidden="1">
      <c r="A2541" s="103" t="s">
        <v>4424</v>
      </c>
      <c r="B2541" s="94" t="str">
        <f>IFERROR(VLOOKUP(Proc[[#This Row],[App]],Table2[],3,0),"open")</f>
        <v>ok</v>
      </c>
      <c r="C2541" s="117" t="s">
        <v>369</v>
      </c>
      <c r="D2541" t="s">
        <v>4464</v>
      </c>
      <c r="E2541" t="s">
        <v>4739</v>
      </c>
      <c r="F2541" s="94" t="s">
        <v>4739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4786</v>
      </c>
      <c r="J2541" s="94" t="b">
        <f>Proc[[#This Row],[Requested]]=Proc[[#This Row],[CurrentParent]]</f>
        <v>1</v>
      </c>
      <c r="K2541" s="94" t="str">
        <f>IF(Proc[[#This Row],[Author]]="Marcela Urrego",VLOOKUP(LEFT(Proc[[#This Row],[Requested]],1),Table3[#All],2,0),VLOOKUP(Proc[[#This Row],[Author]],Table4[],2,0))</f>
        <v>MGF</v>
      </c>
      <c r="L2541" s="125" t="s">
        <v>4896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31</v>
      </c>
      <c r="R2541" s="110" t="s">
        <v>485</v>
      </c>
      <c r="S2541" s="94"/>
    </row>
    <row r="2542" spans="1:19" hidden="1">
      <c r="A2542" s="103" t="s">
        <v>4424</v>
      </c>
      <c r="B2542" s="94" t="str">
        <f>IFERROR(VLOOKUP(Proc[[#This Row],[App]],Table2[],3,0),"open")</f>
        <v>ok</v>
      </c>
      <c r="C2542" s="117" t="s">
        <v>369</v>
      </c>
      <c r="D2542" t="s">
        <v>4465</v>
      </c>
      <c r="E2542" t="s">
        <v>4739</v>
      </c>
      <c r="F2542" s="94" t="s">
        <v>4739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4786</v>
      </c>
      <c r="J2542" s="94" t="b">
        <f>Proc[[#This Row],[Requested]]=Proc[[#This Row],[CurrentParent]]</f>
        <v>1</v>
      </c>
      <c r="K2542" s="94" t="str">
        <f>IF(Proc[[#This Row],[Author]]="Marcela Urrego",VLOOKUP(LEFT(Proc[[#This Row],[Requested]],1),Table3[#All],2,0),VLOOKUP(Proc[[#This Row],[Author]],Table4[],2,0))</f>
        <v>MGF</v>
      </c>
      <c r="L2542" s="125" t="s">
        <v>4896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31</v>
      </c>
      <c r="R2542" s="110" t="s">
        <v>485</v>
      </c>
      <c r="S2542" s="94"/>
    </row>
    <row r="2543" spans="1:19" hidden="1">
      <c r="A2543" s="103" t="s">
        <v>4424</v>
      </c>
      <c r="B2543" s="94" t="str">
        <f>IFERROR(VLOOKUP(Proc[[#This Row],[App]],Table2[],3,0),"open")</f>
        <v>ok</v>
      </c>
      <c r="C2543" s="117" t="s">
        <v>369</v>
      </c>
      <c r="D2543" t="s">
        <v>4466</v>
      </c>
      <c r="E2543" t="s">
        <v>4740</v>
      </c>
      <c r="F2543" s="94" t="s">
        <v>4740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4786</v>
      </c>
      <c r="J2543" s="94" t="b">
        <f>Proc[[#This Row],[Requested]]=Proc[[#This Row],[CurrentParent]]</f>
        <v>1</v>
      </c>
      <c r="K2543" s="94" t="str">
        <f>IF(Proc[[#This Row],[Author]]="Marcela Urrego",VLOOKUP(LEFT(Proc[[#This Row],[Requested]],1),Table3[#All],2,0),VLOOKUP(Proc[[#This Row],[Author]],Table4[],2,0))</f>
        <v>MGF</v>
      </c>
      <c r="L2543" s="125" t="s">
        <v>4896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31</v>
      </c>
      <c r="R2543" s="110" t="s">
        <v>485</v>
      </c>
      <c r="S2543" s="94"/>
    </row>
    <row r="2544" spans="1:19" hidden="1">
      <c r="A2544" s="103" t="s">
        <v>4424</v>
      </c>
      <c r="B2544" s="94" t="str">
        <f>IFERROR(VLOOKUP(Proc[[#This Row],[App]],Table2[],3,0),"open")</f>
        <v>ok</v>
      </c>
      <c r="C2544" s="117" t="s">
        <v>369</v>
      </c>
      <c r="D2544" t="s">
        <v>4467</v>
      </c>
      <c r="E2544" t="s">
        <v>4740</v>
      </c>
      <c r="F2544" s="94" t="s">
        <v>4740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4786</v>
      </c>
      <c r="J2544" s="94" t="b">
        <f>Proc[[#This Row],[Requested]]=Proc[[#This Row],[CurrentParent]]</f>
        <v>1</v>
      </c>
      <c r="K2544" s="94" t="str">
        <f>IF(Proc[[#This Row],[Author]]="Marcela Urrego",VLOOKUP(LEFT(Proc[[#This Row],[Requested]],1),Table3[#All],2,0),VLOOKUP(Proc[[#This Row],[Author]],Table4[],2,0))</f>
        <v>MGF</v>
      </c>
      <c r="L2544" s="125" t="s">
        <v>4896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31</v>
      </c>
      <c r="R2544" s="110" t="s">
        <v>485</v>
      </c>
      <c r="S2544" s="94"/>
    </row>
    <row r="2545" spans="1:19" hidden="1">
      <c r="A2545" s="103" t="s">
        <v>4424</v>
      </c>
      <c r="B2545" s="94" t="str">
        <f>IFERROR(VLOOKUP(Proc[[#This Row],[App]],Table2[],3,0),"open")</f>
        <v>ok</v>
      </c>
      <c r="C2545" s="117" t="s">
        <v>369</v>
      </c>
      <c r="D2545" t="s">
        <v>4468</v>
      </c>
      <c r="E2545" t="s">
        <v>4740</v>
      </c>
      <c r="F2545" s="94" t="s">
        <v>4740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4786</v>
      </c>
      <c r="J2545" s="94" t="b">
        <f>Proc[[#This Row],[Requested]]=Proc[[#This Row],[CurrentParent]]</f>
        <v>1</v>
      </c>
      <c r="K2545" s="94" t="str">
        <f>IF(Proc[[#This Row],[Author]]="Marcela Urrego",VLOOKUP(LEFT(Proc[[#This Row],[Requested]],1),Table3[#All],2,0),VLOOKUP(Proc[[#This Row],[Author]],Table4[],2,0))</f>
        <v>MGF</v>
      </c>
      <c r="L2545" s="125" t="s">
        <v>4896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31</v>
      </c>
      <c r="R2545" s="110" t="s">
        <v>485</v>
      </c>
      <c r="S2545" s="94"/>
    </row>
    <row r="2546" spans="1:19" hidden="1">
      <c r="A2546" s="103" t="s">
        <v>4424</v>
      </c>
      <c r="B2546" s="94" t="str">
        <f>IFERROR(VLOOKUP(Proc[[#This Row],[App]],Table2[],3,0),"open")</f>
        <v>ok</v>
      </c>
      <c r="C2546" s="117" t="s">
        <v>369</v>
      </c>
      <c r="D2546" t="s">
        <v>4469</v>
      </c>
      <c r="E2546" t="s">
        <v>4740</v>
      </c>
      <c r="F2546" s="94" t="s">
        <v>4740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4786</v>
      </c>
      <c r="J2546" s="94" t="b">
        <f>Proc[[#This Row],[Requested]]=Proc[[#This Row],[CurrentParent]]</f>
        <v>1</v>
      </c>
      <c r="K2546" s="94" t="str">
        <f>IF(Proc[[#This Row],[Author]]="Marcela Urrego",VLOOKUP(LEFT(Proc[[#This Row],[Requested]],1),Table3[#All],2,0),VLOOKUP(Proc[[#This Row],[Author]],Table4[],2,0))</f>
        <v>MGF</v>
      </c>
      <c r="L2546" s="125" t="s">
        <v>4896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31</v>
      </c>
      <c r="R2546" s="110" t="s">
        <v>485</v>
      </c>
      <c r="S2546" s="94"/>
    </row>
    <row r="2547" spans="1:19" hidden="1">
      <c r="A2547" s="103" t="s">
        <v>4424</v>
      </c>
      <c r="B2547" s="94" t="str">
        <f>IFERROR(VLOOKUP(Proc[[#This Row],[App]],Table2[],3,0),"open")</f>
        <v>ok</v>
      </c>
      <c r="C2547" s="117" t="s">
        <v>369</v>
      </c>
      <c r="D2547" t="s">
        <v>4470</v>
      </c>
      <c r="E2547" t="s">
        <v>4740</v>
      </c>
      <c r="F2547" s="94" t="s">
        <v>4740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4786</v>
      </c>
      <c r="J2547" s="94" t="b">
        <f>Proc[[#This Row],[Requested]]=Proc[[#This Row],[CurrentParent]]</f>
        <v>1</v>
      </c>
      <c r="K2547" s="94" t="str">
        <f>IF(Proc[[#This Row],[Author]]="Marcela Urrego",VLOOKUP(LEFT(Proc[[#This Row],[Requested]],1),Table3[#All],2,0),VLOOKUP(Proc[[#This Row],[Author]],Table4[],2,0))</f>
        <v>MGF</v>
      </c>
      <c r="L2547" s="125" t="s">
        <v>4896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31</v>
      </c>
      <c r="R2547" s="110" t="s">
        <v>485</v>
      </c>
      <c r="S2547" s="94"/>
    </row>
    <row r="2548" spans="1:19" hidden="1">
      <c r="A2548" s="103" t="s">
        <v>4424</v>
      </c>
      <c r="B2548" s="94" t="str">
        <f>IFERROR(VLOOKUP(Proc[[#This Row],[App]],Table2[],3,0),"open")</f>
        <v>ok</v>
      </c>
      <c r="C2548" s="117" t="s">
        <v>369</v>
      </c>
      <c r="D2548" t="s">
        <v>4471</v>
      </c>
      <c r="E2548" t="s">
        <v>4740</v>
      </c>
      <c r="F2548" s="94" t="s">
        <v>4740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4786</v>
      </c>
      <c r="J2548" s="94" t="b">
        <f>Proc[[#This Row],[Requested]]=Proc[[#This Row],[CurrentParent]]</f>
        <v>1</v>
      </c>
      <c r="K2548" s="94" t="str">
        <f>IF(Proc[[#This Row],[Author]]="Marcela Urrego",VLOOKUP(LEFT(Proc[[#This Row],[Requested]],1),Table3[#All],2,0),VLOOKUP(Proc[[#This Row],[Author]],Table4[],2,0))</f>
        <v>MGF</v>
      </c>
      <c r="L2548" s="125" t="s">
        <v>4896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31</v>
      </c>
      <c r="R2548" s="110" t="s">
        <v>485</v>
      </c>
      <c r="S2548" s="94"/>
    </row>
    <row r="2549" spans="1:19" hidden="1">
      <c r="A2549" s="103" t="s">
        <v>4424</v>
      </c>
      <c r="B2549" s="94" t="str">
        <f>IFERROR(VLOOKUP(Proc[[#This Row],[App]],Table2[],3,0),"open")</f>
        <v>ok</v>
      </c>
      <c r="C2549" s="117" t="s">
        <v>369</v>
      </c>
      <c r="D2549" t="s">
        <v>4472</v>
      </c>
      <c r="E2549" t="s">
        <v>4740</v>
      </c>
      <c r="F2549" s="94" t="s">
        <v>4740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4786</v>
      </c>
      <c r="J2549" s="94" t="b">
        <f>Proc[[#This Row],[Requested]]=Proc[[#This Row],[CurrentParent]]</f>
        <v>1</v>
      </c>
      <c r="K2549" s="94" t="str">
        <f>IF(Proc[[#This Row],[Author]]="Marcela Urrego",VLOOKUP(LEFT(Proc[[#This Row],[Requested]],1),Table3[#All],2,0),VLOOKUP(Proc[[#This Row],[Author]],Table4[],2,0))</f>
        <v>MGF</v>
      </c>
      <c r="L2549" s="125" t="s">
        <v>4896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31</v>
      </c>
      <c r="R2549" s="110" t="s">
        <v>485</v>
      </c>
      <c r="S2549" s="94"/>
    </row>
    <row r="2550" spans="1:19" hidden="1">
      <c r="A2550" s="103" t="s">
        <v>4424</v>
      </c>
      <c r="B2550" s="94" t="str">
        <f>IFERROR(VLOOKUP(Proc[[#This Row],[App]],Table2[],3,0),"open")</f>
        <v>ok</v>
      </c>
      <c r="C2550" s="117" t="s">
        <v>369</v>
      </c>
      <c r="D2550" t="s">
        <v>4473</v>
      </c>
      <c r="E2550" t="s">
        <v>4740</v>
      </c>
      <c r="F2550" s="94" t="s">
        <v>4740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4786</v>
      </c>
      <c r="J2550" s="94" t="b">
        <f>Proc[[#This Row],[Requested]]=Proc[[#This Row],[CurrentParent]]</f>
        <v>1</v>
      </c>
      <c r="K2550" s="94" t="str">
        <f>IF(Proc[[#This Row],[Author]]="Marcela Urrego",VLOOKUP(LEFT(Proc[[#This Row],[Requested]],1),Table3[#All],2,0),VLOOKUP(Proc[[#This Row],[Author]],Table4[],2,0))</f>
        <v>MGF</v>
      </c>
      <c r="L2550" s="125" t="s">
        <v>4896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31</v>
      </c>
      <c r="R2550" s="110" t="s">
        <v>485</v>
      </c>
      <c r="S2550" s="94"/>
    </row>
    <row r="2551" spans="1:19" hidden="1">
      <c r="A2551" s="103" t="s">
        <v>4424</v>
      </c>
      <c r="B2551" s="94" t="str">
        <f>IFERROR(VLOOKUP(Proc[[#This Row],[App]],Table2[],3,0),"open")</f>
        <v>ok</v>
      </c>
      <c r="C2551" s="117" t="s">
        <v>369</v>
      </c>
      <c r="D2551" t="s">
        <v>4474</v>
      </c>
      <c r="E2551" t="s">
        <v>4740</v>
      </c>
      <c r="F2551" s="94" t="s">
        <v>4740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4786</v>
      </c>
      <c r="J2551" s="94" t="b">
        <f>Proc[[#This Row],[Requested]]=Proc[[#This Row],[CurrentParent]]</f>
        <v>1</v>
      </c>
      <c r="K2551" s="94" t="str">
        <f>IF(Proc[[#This Row],[Author]]="Marcela Urrego",VLOOKUP(LEFT(Proc[[#This Row],[Requested]],1),Table3[#All],2,0),VLOOKUP(Proc[[#This Row],[Author]],Table4[],2,0))</f>
        <v>MGF</v>
      </c>
      <c r="L2551" s="125" t="s">
        <v>4896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31</v>
      </c>
      <c r="R2551" s="110" t="s">
        <v>485</v>
      </c>
      <c r="S2551" s="94"/>
    </row>
    <row r="2552" spans="1:19" hidden="1">
      <c r="A2552" s="103" t="s">
        <v>4424</v>
      </c>
      <c r="B2552" s="94" t="str">
        <f>IFERROR(VLOOKUP(Proc[[#This Row],[App]],Table2[],3,0),"open")</f>
        <v>ok</v>
      </c>
      <c r="C2552" s="117" t="s">
        <v>369</v>
      </c>
      <c r="D2552" t="s">
        <v>4475</v>
      </c>
      <c r="E2552" t="s">
        <v>4740</v>
      </c>
      <c r="F2552" s="94" t="s">
        <v>4740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4786</v>
      </c>
      <c r="J2552" s="94" t="b">
        <f>Proc[[#This Row],[Requested]]=Proc[[#This Row],[CurrentParent]]</f>
        <v>1</v>
      </c>
      <c r="K2552" s="94" t="str">
        <f>IF(Proc[[#This Row],[Author]]="Marcela Urrego",VLOOKUP(LEFT(Proc[[#This Row],[Requested]],1),Table3[#All],2,0),VLOOKUP(Proc[[#This Row],[Author]],Table4[],2,0))</f>
        <v>MGF</v>
      </c>
      <c r="L2552" s="125" t="s">
        <v>4896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31</v>
      </c>
      <c r="R2552" s="110" t="s">
        <v>485</v>
      </c>
      <c r="S2552" s="94"/>
    </row>
    <row r="2553" spans="1:19" hidden="1">
      <c r="A2553" s="103" t="s">
        <v>4424</v>
      </c>
      <c r="B2553" s="94" t="str">
        <f>IFERROR(VLOOKUP(Proc[[#This Row],[App]],Table2[],3,0),"open")</f>
        <v>ok</v>
      </c>
      <c r="C2553" s="117" t="s">
        <v>369</v>
      </c>
      <c r="D2553" t="s">
        <v>4476</v>
      </c>
      <c r="E2553" t="s">
        <v>4740</v>
      </c>
      <c r="F2553" s="94" t="s">
        <v>4740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4786</v>
      </c>
      <c r="J2553" s="94" t="b">
        <f>Proc[[#This Row],[Requested]]=Proc[[#This Row],[CurrentParent]]</f>
        <v>1</v>
      </c>
      <c r="K2553" s="94" t="str">
        <f>IF(Proc[[#This Row],[Author]]="Marcela Urrego",VLOOKUP(LEFT(Proc[[#This Row],[Requested]],1),Table3[#All],2,0),VLOOKUP(Proc[[#This Row],[Author]],Table4[],2,0))</f>
        <v>MGF</v>
      </c>
      <c r="L2553" s="125" t="s">
        <v>4896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31</v>
      </c>
      <c r="R2553" s="110" t="s">
        <v>485</v>
      </c>
      <c r="S2553" s="94"/>
    </row>
    <row r="2554" spans="1:19" hidden="1">
      <c r="A2554" s="103" t="s">
        <v>4424</v>
      </c>
      <c r="B2554" s="94" t="str">
        <f>IFERROR(VLOOKUP(Proc[[#This Row],[App]],Table2[],3,0),"open")</f>
        <v>ok</v>
      </c>
      <c r="C2554" s="117" t="s">
        <v>369</v>
      </c>
      <c r="D2554" t="s">
        <v>4477</v>
      </c>
      <c r="E2554" t="s">
        <v>4740</v>
      </c>
      <c r="F2554" s="94" t="s">
        <v>4740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4786</v>
      </c>
      <c r="J2554" s="94" t="b">
        <f>Proc[[#This Row],[Requested]]=Proc[[#This Row],[CurrentParent]]</f>
        <v>1</v>
      </c>
      <c r="K2554" s="94" t="str">
        <f>IF(Proc[[#This Row],[Author]]="Marcela Urrego",VLOOKUP(LEFT(Proc[[#This Row],[Requested]],1),Table3[#All],2,0),VLOOKUP(Proc[[#This Row],[Author]],Table4[],2,0))</f>
        <v>MGF</v>
      </c>
      <c r="L2554" s="125" t="s">
        <v>4896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31</v>
      </c>
      <c r="R2554" s="110" t="s">
        <v>485</v>
      </c>
      <c r="S2554" s="94"/>
    </row>
    <row r="2555" spans="1:19" hidden="1">
      <c r="A2555" s="103" t="s">
        <v>4424</v>
      </c>
      <c r="B2555" s="94" t="str">
        <f>IFERROR(VLOOKUP(Proc[[#This Row],[App]],Table2[],3,0),"open")</f>
        <v>ok</v>
      </c>
      <c r="C2555" s="117" t="s">
        <v>369</v>
      </c>
      <c r="D2555" t="s">
        <v>4478</v>
      </c>
      <c r="E2555" t="s">
        <v>4740</v>
      </c>
      <c r="F2555" s="94" t="s">
        <v>4740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4786</v>
      </c>
      <c r="J2555" s="94" t="b">
        <f>Proc[[#This Row],[Requested]]=Proc[[#This Row],[CurrentParent]]</f>
        <v>1</v>
      </c>
      <c r="K2555" s="94" t="str">
        <f>IF(Proc[[#This Row],[Author]]="Marcela Urrego",VLOOKUP(LEFT(Proc[[#This Row],[Requested]],1),Table3[#All],2,0),VLOOKUP(Proc[[#This Row],[Author]],Table4[],2,0))</f>
        <v>MGF</v>
      </c>
      <c r="L2555" s="125" t="s">
        <v>4896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31</v>
      </c>
      <c r="R2555" s="110" t="s">
        <v>485</v>
      </c>
      <c r="S2555" s="94"/>
    </row>
    <row r="2556" spans="1:19" hidden="1">
      <c r="A2556" s="103" t="s">
        <v>4424</v>
      </c>
      <c r="B2556" s="94" t="str">
        <f>IFERROR(VLOOKUP(Proc[[#This Row],[App]],Table2[],3,0),"open")</f>
        <v>ok</v>
      </c>
      <c r="C2556" s="117" t="s">
        <v>369</v>
      </c>
      <c r="D2556" t="s">
        <v>4479</v>
      </c>
      <c r="E2556" t="s">
        <v>4740</v>
      </c>
      <c r="F2556" s="94" t="s">
        <v>4740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4786</v>
      </c>
      <c r="J2556" s="94" t="b">
        <f>Proc[[#This Row],[Requested]]=Proc[[#This Row],[CurrentParent]]</f>
        <v>1</v>
      </c>
      <c r="K2556" s="94" t="str">
        <f>IF(Proc[[#This Row],[Author]]="Marcela Urrego",VLOOKUP(LEFT(Proc[[#This Row],[Requested]],1),Table3[#All],2,0),VLOOKUP(Proc[[#This Row],[Author]],Table4[],2,0))</f>
        <v>MGF</v>
      </c>
      <c r="L2556" s="125" t="s">
        <v>4896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31</v>
      </c>
      <c r="R2556" s="110" t="s">
        <v>485</v>
      </c>
      <c r="S2556" s="94"/>
    </row>
    <row r="2557" spans="1:19" hidden="1">
      <c r="A2557" s="103" t="s">
        <v>4424</v>
      </c>
      <c r="B2557" s="94" t="str">
        <f>IFERROR(VLOOKUP(Proc[[#This Row],[App]],Table2[],3,0),"open")</f>
        <v>ok</v>
      </c>
      <c r="C2557" s="117" t="s">
        <v>369</v>
      </c>
      <c r="D2557" t="s">
        <v>4480</v>
      </c>
      <c r="E2557" t="s">
        <v>4739</v>
      </c>
      <c r="F2557" s="94" t="s">
        <v>4739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4786</v>
      </c>
      <c r="J2557" s="94" t="b">
        <f>Proc[[#This Row],[Requested]]=Proc[[#This Row],[CurrentParent]]</f>
        <v>1</v>
      </c>
      <c r="K2557" s="94" t="str">
        <f>IF(Proc[[#This Row],[Author]]="Marcela Urrego",VLOOKUP(LEFT(Proc[[#This Row],[Requested]],1),Table3[#All],2,0),VLOOKUP(Proc[[#This Row],[Author]],Table4[],2,0))</f>
        <v>MGF</v>
      </c>
      <c r="L2557" s="125" t="s">
        <v>4896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31</v>
      </c>
      <c r="R2557" s="110" t="s">
        <v>485</v>
      </c>
      <c r="S2557" s="94"/>
    </row>
    <row r="2558" spans="1:19" hidden="1">
      <c r="A2558" s="103" t="s">
        <v>4424</v>
      </c>
      <c r="B2558" s="94" t="str">
        <f>IFERROR(VLOOKUP(Proc[[#This Row],[App]],Table2[],3,0),"open")</f>
        <v>ok</v>
      </c>
      <c r="C2558" s="117" t="s">
        <v>369</v>
      </c>
      <c r="D2558" t="s">
        <v>4481</v>
      </c>
      <c r="E2558" t="s">
        <v>4739</v>
      </c>
      <c r="F2558" s="94" t="s">
        <v>4739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4786</v>
      </c>
      <c r="J2558" s="94" t="b">
        <f>Proc[[#This Row],[Requested]]=Proc[[#This Row],[CurrentParent]]</f>
        <v>1</v>
      </c>
      <c r="K2558" s="94" t="str">
        <f>IF(Proc[[#This Row],[Author]]="Marcela Urrego",VLOOKUP(LEFT(Proc[[#This Row],[Requested]],1),Table3[#All],2,0),VLOOKUP(Proc[[#This Row],[Author]],Table4[],2,0))</f>
        <v>MGF</v>
      </c>
      <c r="L2558" s="125" t="s">
        <v>4896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31</v>
      </c>
      <c r="R2558" s="110" t="s">
        <v>485</v>
      </c>
      <c r="S2558" s="94"/>
    </row>
    <row r="2559" spans="1:19" hidden="1">
      <c r="A2559" s="103" t="s">
        <v>4424</v>
      </c>
      <c r="B2559" s="94" t="str">
        <f>IFERROR(VLOOKUP(Proc[[#This Row],[App]],Table2[],3,0),"open")</f>
        <v>ok</v>
      </c>
      <c r="C2559" s="117" t="s">
        <v>369</v>
      </c>
      <c r="D2559" t="s">
        <v>4482</v>
      </c>
      <c r="E2559" t="s">
        <v>4739</v>
      </c>
      <c r="F2559" s="94" t="s">
        <v>4739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4786</v>
      </c>
      <c r="J2559" s="94" t="b">
        <f>Proc[[#This Row],[Requested]]=Proc[[#This Row],[CurrentParent]]</f>
        <v>1</v>
      </c>
      <c r="K2559" s="94" t="str">
        <f>IF(Proc[[#This Row],[Author]]="Marcela Urrego",VLOOKUP(LEFT(Proc[[#This Row],[Requested]],1),Table3[#All],2,0),VLOOKUP(Proc[[#This Row],[Author]],Table4[],2,0))</f>
        <v>MGF</v>
      </c>
      <c r="L2559" s="125" t="s">
        <v>4896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31</v>
      </c>
      <c r="R2559" s="110" t="s">
        <v>485</v>
      </c>
      <c r="S2559" s="94"/>
    </row>
    <row r="2560" spans="1:19" hidden="1">
      <c r="A2560" s="103" t="s">
        <v>4424</v>
      </c>
      <c r="B2560" s="94" t="str">
        <f>IFERROR(VLOOKUP(Proc[[#This Row],[App]],Table2[],3,0),"open")</f>
        <v>ok</v>
      </c>
      <c r="C2560" s="117" t="s">
        <v>369</v>
      </c>
      <c r="D2560" t="s">
        <v>4483</v>
      </c>
      <c r="E2560" t="s">
        <v>4740</v>
      </c>
      <c r="F2560" s="94" t="s">
        <v>4740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4786</v>
      </c>
      <c r="J2560" s="94" t="b">
        <f>Proc[[#This Row],[Requested]]=Proc[[#This Row],[CurrentParent]]</f>
        <v>1</v>
      </c>
      <c r="K2560" s="94" t="str">
        <f>IF(Proc[[#This Row],[Author]]="Marcela Urrego",VLOOKUP(LEFT(Proc[[#This Row],[Requested]],1),Table3[#All],2,0),VLOOKUP(Proc[[#This Row],[Author]],Table4[],2,0))</f>
        <v>MGF</v>
      </c>
      <c r="L2560" s="125" t="s">
        <v>4896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31</v>
      </c>
      <c r="R2560" s="110" t="s">
        <v>485</v>
      </c>
      <c r="S2560" s="94"/>
    </row>
    <row r="2561" spans="1:19" hidden="1">
      <c r="A2561" s="103" t="s">
        <v>4424</v>
      </c>
      <c r="B2561" s="94" t="str">
        <f>IFERROR(VLOOKUP(Proc[[#This Row],[App]],Table2[],3,0),"open")</f>
        <v>ok</v>
      </c>
      <c r="C2561" s="117" t="s">
        <v>369</v>
      </c>
      <c r="D2561" t="s">
        <v>4484</v>
      </c>
      <c r="E2561" t="s">
        <v>4740</v>
      </c>
      <c r="F2561" s="94" t="s">
        <v>4740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4786</v>
      </c>
      <c r="J2561" s="94" t="b">
        <f>Proc[[#This Row],[Requested]]=Proc[[#This Row],[CurrentParent]]</f>
        <v>1</v>
      </c>
      <c r="K2561" s="94" t="str">
        <f>IF(Proc[[#This Row],[Author]]="Marcela Urrego",VLOOKUP(LEFT(Proc[[#This Row],[Requested]],1),Table3[#All],2,0),VLOOKUP(Proc[[#This Row],[Author]],Table4[],2,0))</f>
        <v>MGF</v>
      </c>
      <c r="L2561" s="125" t="s">
        <v>4896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31</v>
      </c>
      <c r="R2561" s="110" t="s">
        <v>485</v>
      </c>
      <c r="S2561" s="94"/>
    </row>
    <row r="2562" spans="1:19" hidden="1">
      <c r="A2562" s="103" t="s">
        <v>4424</v>
      </c>
      <c r="B2562" s="94" t="str">
        <f>IFERROR(VLOOKUP(Proc[[#This Row],[App]],Table2[],3,0),"open")</f>
        <v>ok</v>
      </c>
      <c r="C2562" s="117" t="s">
        <v>369</v>
      </c>
      <c r="D2562" t="s">
        <v>4485</v>
      </c>
      <c r="E2562" t="s">
        <v>4740</v>
      </c>
      <c r="F2562" s="94" t="s">
        <v>4740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4786</v>
      </c>
      <c r="J2562" s="94" t="b">
        <f>Proc[[#This Row],[Requested]]=Proc[[#This Row],[CurrentParent]]</f>
        <v>1</v>
      </c>
      <c r="K2562" s="94" t="str">
        <f>IF(Proc[[#This Row],[Author]]="Marcela Urrego",VLOOKUP(LEFT(Proc[[#This Row],[Requested]],1),Table3[#All],2,0),VLOOKUP(Proc[[#This Row],[Author]],Table4[],2,0))</f>
        <v>MGF</v>
      </c>
      <c r="L2562" s="125" t="s">
        <v>4896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31</v>
      </c>
      <c r="R2562" s="110" t="s">
        <v>485</v>
      </c>
      <c r="S2562" s="94"/>
    </row>
    <row r="2563" spans="1:19" hidden="1">
      <c r="A2563" s="103" t="s">
        <v>4424</v>
      </c>
      <c r="B2563" s="94" t="str">
        <f>IFERROR(VLOOKUP(Proc[[#This Row],[App]],Table2[],3,0),"open")</f>
        <v>ok</v>
      </c>
      <c r="C2563" s="117" t="s">
        <v>369</v>
      </c>
      <c r="D2563" t="s">
        <v>4486</v>
      </c>
      <c r="E2563" t="s">
        <v>4740</v>
      </c>
      <c r="F2563" s="94" t="s">
        <v>4740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4786</v>
      </c>
      <c r="J2563" s="94" t="b">
        <f>Proc[[#This Row],[Requested]]=Proc[[#This Row],[CurrentParent]]</f>
        <v>1</v>
      </c>
      <c r="K2563" s="94" t="str">
        <f>IF(Proc[[#This Row],[Author]]="Marcela Urrego",VLOOKUP(LEFT(Proc[[#This Row],[Requested]],1),Table3[#All],2,0),VLOOKUP(Proc[[#This Row],[Author]],Table4[],2,0))</f>
        <v>MGF</v>
      </c>
      <c r="L2563" s="125" t="s">
        <v>4896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31</v>
      </c>
      <c r="R2563" s="110" t="s">
        <v>485</v>
      </c>
      <c r="S2563" s="94"/>
    </row>
    <row r="2564" spans="1:19" hidden="1">
      <c r="A2564" s="103" t="s">
        <v>4424</v>
      </c>
      <c r="B2564" s="94" t="str">
        <f>IFERROR(VLOOKUP(Proc[[#This Row],[App]],Table2[],3,0),"open")</f>
        <v>ok</v>
      </c>
      <c r="C2564" s="117" t="s">
        <v>369</v>
      </c>
      <c r="D2564" t="s">
        <v>4487</v>
      </c>
      <c r="E2564" t="s">
        <v>4740</v>
      </c>
      <c r="F2564" s="94" t="s">
        <v>4740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4786</v>
      </c>
      <c r="J2564" s="94" t="b">
        <f>Proc[[#This Row],[Requested]]=Proc[[#This Row],[CurrentParent]]</f>
        <v>1</v>
      </c>
      <c r="K2564" s="94" t="str">
        <f>IF(Proc[[#This Row],[Author]]="Marcela Urrego",VLOOKUP(LEFT(Proc[[#This Row],[Requested]],1),Table3[#All],2,0),VLOOKUP(Proc[[#This Row],[Author]],Table4[],2,0))</f>
        <v>MGF</v>
      </c>
      <c r="L2564" s="125" t="s">
        <v>4896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31</v>
      </c>
      <c r="R2564" s="110" t="s">
        <v>485</v>
      </c>
      <c r="S2564" s="94"/>
    </row>
    <row r="2565" spans="1:19" hidden="1">
      <c r="A2565" s="103" t="s">
        <v>4424</v>
      </c>
      <c r="B2565" s="94" t="str">
        <f>IFERROR(VLOOKUP(Proc[[#This Row],[App]],Table2[],3,0),"open")</f>
        <v>ok</v>
      </c>
      <c r="C2565" s="117" t="s">
        <v>369</v>
      </c>
      <c r="D2565" t="s">
        <v>4488</v>
      </c>
      <c r="E2565" t="s">
        <v>4740</v>
      </c>
      <c r="F2565" s="94" t="s">
        <v>4740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4786</v>
      </c>
      <c r="J2565" s="94" t="b">
        <f>Proc[[#This Row],[Requested]]=Proc[[#This Row],[CurrentParent]]</f>
        <v>1</v>
      </c>
      <c r="K2565" s="94" t="str">
        <f>IF(Proc[[#This Row],[Author]]="Marcela Urrego",VLOOKUP(LEFT(Proc[[#This Row],[Requested]],1),Table3[#All],2,0),VLOOKUP(Proc[[#This Row],[Author]],Table4[],2,0))</f>
        <v>MGF</v>
      </c>
      <c r="L2565" s="125" t="s">
        <v>4896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31</v>
      </c>
      <c r="R2565" s="110" t="s">
        <v>485</v>
      </c>
      <c r="S2565" s="94"/>
    </row>
    <row r="2566" spans="1:19" hidden="1">
      <c r="A2566" s="103" t="s">
        <v>4424</v>
      </c>
      <c r="B2566" s="94" t="str">
        <f>IFERROR(VLOOKUP(Proc[[#This Row],[App]],Table2[],3,0),"open")</f>
        <v>ok</v>
      </c>
      <c r="C2566" s="117" t="s">
        <v>369</v>
      </c>
      <c r="D2566" t="s">
        <v>4489</v>
      </c>
      <c r="E2566" t="s">
        <v>4740</v>
      </c>
      <c r="F2566" s="94" t="s">
        <v>4740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4786</v>
      </c>
      <c r="J2566" s="94" t="b">
        <f>Proc[[#This Row],[Requested]]=Proc[[#This Row],[CurrentParent]]</f>
        <v>1</v>
      </c>
      <c r="K2566" s="94" t="str">
        <f>IF(Proc[[#This Row],[Author]]="Marcela Urrego",VLOOKUP(LEFT(Proc[[#This Row],[Requested]],1),Table3[#All],2,0),VLOOKUP(Proc[[#This Row],[Author]],Table4[],2,0))</f>
        <v>MGF</v>
      </c>
      <c r="L2566" s="125" t="s">
        <v>4896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31</v>
      </c>
      <c r="R2566" s="110" t="s">
        <v>485</v>
      </c>
      <c r="S2566" s="94"/>
    </row>
    <row r="2567" spans="1:19" hidden="1">
      <c r="A2567" s="103" t="s">
        <v>4424</v>
      </c>
      <c r="B2567" s="94" t="str">
        <f>IFERROR(VLOOKUP(Proc[[#This Row],[App]],Table2[],3,0),"open")</f>
        <v>ok</v>
      </c>
      <c r="C2567" s="117" t="s">
        <v>369</v>
      </c>
      <c r="D2567" t="s">
        <v>4490</v>
      </c>
      <c r="E2567" t="s">
        <v>4740</v>
      </c>
      <c r="F2567" s="94" t="s">
        <v>4740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4786</v>
      </c>
      <c r="J2567" s="94" t="b">
        <f>Proc[[#This Row],[Requested]]=Proc[[#This Row],[CurrentParent]]</f>
        <v>1</v>
      </c>
      <c r="K2567" s="94" t="str">
        <f>IF(Proc[[#This Row],[Author]]="Marcela Urrego",VLOOKUP(LEFT(Proc[[#This Row],[Requested]],1),Table3[#All],2,0),VLOOKUP(Proc[[#This Row],[Author]],Table4[],2,0))</f>
        <v>MGF</v>
      </c>
      <c r="L2567" s="125" t="s">
        <v>4896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31</v>
      </c>
      <c r="R2567" s="110" t="s">
        <v>485</v>
      </c>
      <c r="S2567" s="94"/>
    </row>
    <row r="2568" spans="1:19" hidden="1">
      <c r="A2568" s="103" t="s">
        <v>4424</v>
      </c>
      <c r="B2568" s="94" t="str">
        <f>IFERROR(VLOOKUP(Proc[[#This Row],[App]],Table2[],3,0),"open")</f>
        <v>ok</v>
      </c>
      <c r="C2568" s="117" t="s">
        <v>369</v>
      </c>
      <c r="D2568" t="s">
        <v>4491</v>
      </c>
      <c r="E2568" t="s">
        <v>4740</v>
      </c>
      <c r="F2568" s="94" t="s">
        <v>4740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4786</v>
      </c>
      <c r="J2568" s="94" t="b">
        <f>Proc[[#This Row],[Requested]]=Proc[[#This Row],[CurrentParent]]</f>
        <v>1</v>
      </c>
      <c r="K2568" s="94" t="str">
        <f>IF(Proc[[#This Row],[Author]]="Marcela Urrego",VLOOKUP(LEFT(Proc[[#This Row],[Requested]],1),Table3[#All],2,0),VLOOKUP(Proc[[#This Row],[Author]],Table4[],2,0))</f>
        <v>MGF</v>
      </c>
      <c r="L2568" s="125" t="s">
        <v>4896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31</v>
      </c>
      <c r="R2568" s="110" t="s">
        <v>485</v>
      </c>
      <c r="S2568" s="94"/>
    </row>
    <row r="2569" spans="1:19" hidden="1">
      <c r="A2569" s="103" t="s">
        <v>4424</v>
      </c>
      <c r="B2569" s="94" t="str">
        <f>IFERROR(VLOOKUP(Proc[[#This Row],[App]],Table2[],3,0),"open")</f>
        <v>ok</v>
      </c>
      <c r="C2569" s="117" t="s">
        <v>369</v>
      </c>
      <c r="D2569" t="s">
        <v>4492</v>
      </c>
      <c r="E2569" t="s">
        <v>4740</v>
      </c>
      <c r="F2569" s="94" t="s">
        <v>4740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4786</v>
      </c>
      <c r="J2569" s="94" t="b">
        <f>Proc[[#This Row],[Requested]]=Proc[[#This Row],[CurrentParent]]</f>
        <v>1</v>
      </c>
      <c r="K2569" s="94" t="str">
        <f>IF(Proc[[#This Row],[Author]]="Marcela Urrego",VLOOKUP(LEFT(Proc[[#This Row],[Requested]],1),Table3[#All],2,0),VLOOKUP(Proc[[#This Row],[Author]],Table4[],2,0))</f>
        <v>MGF</v>
      </c>
      <c r="L2569" s="125" t="s">
        <v>4896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31</v>
      </c>
      <c r="R2569" s="110" t="s">
        <v>485</v>
      </c>
      <c r="S2569" s="94"/>
    </row>
    <row r="2570" spans="1:19" hidden="1">
      <c r="A2570" s="103" t="s">
        <v>4424</v>
      </c>
      <c r="B2570" s="94" t="str">
        <f>IFERROR(VLOOKUP(Proc[[#This Row],[App]],Table2[],3,0),"open")</f>
        <v>ok</v>
      </c>
      <c r="C2570" s="117" t="s">
        <v>369</v>
      </c>
      <c r="D2570" t="s">
        <v>4493</v>
      </c>
      <c r="E2570" t="s">
        <v>4740</v>
      </c>
      <c r="F2570" s="94" t="s">
        <v>4740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4786</v>
      </c>
      <c r="J2570" s="94" t="b">
        <f>Proc[[#This Row],[Requested]]=Proc[[#This Row],[CurrentParent]]</f>
        <v>1</v>
      </c>
      <c r="K2570" s="94" t="str">
        <f>IF(Proc[[#This Row],[Author]]="Marcela Urrego",VLOOKUP(LEFT(Proc[[#This Row],[Requested]],1),Table3[#All],2,0),VLOOKUP(Proc[[#This Row],[Author]],Table4[],2,0))</f>
        <v>MGF</v>
      </c>
      <c r="L2570" s="125" t="s">
        <v>4896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31</v>
      </c>
      <c r="R2570" s="110" t="s">
        <v>485</v>
      </c>
      <c r="S2570" s="94"/>
    </row>
    <row r="2571" spans="1:19" hidden="1">
      <c r="A2571" s="103" t="s">
        <v>4424</v>
      </c>
      <c r="B2571" s="94" t="str">
        <f>IFERROR(VLOOKUP(Proc[[#This Row],[App]],Table2[],3,0),"open")</f>
        <v>ok</v>
      </c>
      <c r="C2571" s="117" t="s">
        <v>369</v>
      </c>
      <c r="D2571" t="s">
        <v>4494</v>
      </c>
      <c r="E2571" t="s">
        <v>4740</v>
      </c>
      <c r="F2571" s="94" t="s">
        <v>4740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4786</v>
      </c>
      <c r="J2571" s="94" t="b">
        <f>Proc[[#This Row],[Requested]]=Proc[[#This Row],[CurrentParent]]</f>
        <v>1</v>
      </c>
      <c r="K2571" s="94" t="str">
        <f>IF(Proc[[#This Row],[Author]]="Marcela Urrego",VLOOKUP(LEFT(Proc[[#This Row],[Requested]],1),Table3[#All],2,0),VLOOKUP(Proc[[#This Row],[Author]],Table4[],2,0))</f>
        <v>MGF</v>
      </c>
      <c r="L2571" s="125" t="s">
        <v>4896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31</v>
      </c>
      <c r="R2571" s="110" t="s">
        <v>485</v>
      </c>
      <c r="S2571" s="94"/>
    </row>
    <row r="2572" spans="1:19" hidden="1">
      <c r="A2572" s="103" t="s">
        <v>4424</v>
      </c>
      <c r="B2572" s="94" t="str">
        <f>IFERROR(VLOOKUP(Proc[[#This Row],[App]],Table2[],3,0),"open")</f>
        <v>ok</v>
      </c>
      <c r="C2572" s="117" t="s">
        <v>369</v>
      </c>
      <c r="D2572" t="s">
        <v>4495</v>
      </c>
      <c r="E2572" t="s">
        <v>4740</v>
      </c>
      <c r="F2572" s="94" t="s">
        <v>4740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4786</v>
      </c>
      <c r="J2572" s="94" t="b">
        <f>Proc[[#This Row],[Requested]]=Proc[[#This Row],[CurrentParent]]</f>
        <v>1</v>
      </c>
      <c r="K2572" s="94" t="str">
        <f>IF(Proc[[#This Row],[Author]]="Marcela Urrego",VLOOKUP(LEFT(Proc[[#This Row],[Requested]],1),Table3[#All],2,0),VLOOKUP(Proc[[#This Row],[Author]],Table4[],2,0))</f>
        <v>MGF</v>
      </c>
      <c r="L2572" s="125" t="s">
        <v>4896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31</v>
      </c>
      <c r="R2572" s="110" t="s">
        <v>485</v>
      </c>
      <c r="S2572" s="94"/>
    </row>
    <row r="2573" spans="1:19" hidden="1">
      <c r="A2573" s="103" t="s">
        <v>4424</v>
      </c>
      <c r="B2573" s="94" t="str">
        <f>IFERROR(VLOOKUP(Proc[[#This Row],[App]],Table2[],3,0),"open")</f>
        <v>ok</v>
      </c>
      <c r="C2573" s="117" t="s">
        <v>369</v>
      </c>
      <c r="D2573" t="s">
        <v>4496</v>
      </c>
      <c r="E2573" t="s">
        <v>4740</v>
      </c>
      <c r="F2573" s="94" t="s">
        <v>4740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4786</v>
      </c>
      <c r="J2573" s="94" t="b">
        <f>Proc[[#This Row],[Requested]]=Proc[[#This Row],[CurrentParent]]</f>
        <v>1</v>
      </c>
      <c r="K2573" s="94" t="str">
        <f>IF(Proc[[#This Row],[Author]]="Marcela Urrego",VLOOKUP(LEFT(Proc[[#This Row],[Requested]],1),Table3[#All],2,0),VLOOKUP(Proc[[#This Row],[Author]],Table4[],2,0))</f>
        <v>MGF</v>
      </c>
      <c r="L2573" s="125" t="s">
        <v>4896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31</v>
      </c>
      <c r="R2573" s="110" t="s">
        <v>485</v>
      </c>
      <c r="S2573" s="94"/>
    </row>
    <row r="2574" spans="1:19" hidden="1">
      <c r="A2574" s="103" t="s">
        <v>4424</v>
      </c>
      <c r="B2574" s="94" t="str">
        <f>IFERROR(VLOOKUP(Proc[[#This Row],[App]],Table2[],3,0),"open")</f>
        <v>ok</v>
      </c>
      <c r="C2574" s="117" t="s">
        <v>369</v>
      </c>
      <c r="D2574" t="s">
        <v>4497</v>
      </c>
      <c r="E2574" t="s">
        <v>4740</v>
      </c>
      <c r="F2574" s="94" t="s">
        <v>4740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4786</v>
      </c>
      <c r="J2574" s="94" t="b">
        <f>Proc[[#This Row],[Requested]]=Proc[[#This Row],[CurrentParent]]</f>
        <v>1</v>
      </c>
      <c r="K2574" s="94" t="str">
        <f>IF(Proc[[#This Row],[Author]]="Marcela Urrego",VLOOKUP(LEFT(Proc[[#This Row],[Requested]],1),Table3[#All],2,0),VLOOKUP(Proc[[#This Row],[Author]],Table4[],2,0))</f>
        <v>MGF</v>
      </c>
      <c r="L2574" s="125" t="s">
        <v>4896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31</v>
      </c>
      <c r="R2574" s="110" t="s">
        <v>485</v>
      </c>
      <c r="S2574" s="94"/>
    </row>
    <row r="2575" spans="1:19" hidden="1">
      <c r="A2575" s="103" t="s">
        <v>4424</v>
      </c>
      <c r="B2575" s="94" t="str">
        <f>IFERROR(VLOOKUP(Proc[[#This Row],[App]],Table2[],3,0),"open")</f>
        <v>ok</v>
      </c>
      <c r="C2575" s="117" t="s">
        <v>369</v>
      </c>
      <c r="D2575" t="s">
        <v>4498</v>
      </c>
      <c r="E2575" t="s">
        <v>4740</v>
      </c>
      <c r="F2575" s="94" t="s">
        <v>4740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4786</v>
      </c>
      <c r="J2575" s="94" t="b">
        <f>Proc[[#This Row],[Requested]]=Proc[[#This Row],[CurrentParent]]</f>
        <v>1</v>
      </c>
      <c r="K2575" s="94" t="str">
        <f>IF(Proc[[#This Row],[Author]]="Marcela Urrego",VLOOKUP(LEFT(Proc[[#This Row],[Requested]],1),Table3[#All],2,0),VLOOKUP(Proc[[#This Row],[Author]],Table4[],2,0))</f>
        <v>MGF</v>
      </c>
      <c r="L2575" s="125" t="s">
        <v>4896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31</v>
      </c>
      <c r="R2575" s="110" t="s">
        <v>485</v>
      </c>
      <c r="S2575" s="94"/>
    </row>
    <row r="2576" spans="1:19" hidden="1">
      <c r="A2576" s="103" t="s">
        <v>4424</v>
      </c>
      <c r="B2576" s="94" t="str">
        <f>IFERROR(VLOOKUP(Proc[[#This Row],[App]],Table2[],3,0),"open")</f>
        <v>ok</v>
      </c>
      <c r="C2576" s="117" t="s">
        <v>369</v>
      </c>
      <c r="D2576" t="s">
        <v>4499</v>
      </c>
      <c r="E2576" t="s">
        <v>4740</v>
      </c>
      <c r="F2576" s="94" t="s">
        <v>4740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4786</v>
      </c>
      <c r="J2576" s="94" t="b">
        <f>Proc[[#This Row],[Requested]]=Proc[[#This Row],[CurrentParent]]</f>
        <v>1</v>
      </c>
      <c r="K2576" s="94" t="str">
        <f>IF(Proc[[#This Row],[Author]]="Marcela Urrego",VLOOKUP(LEFT(Proc[[#This Row],[Requested]],1),Table3[#All],2,0),VLOOKUP(Proc[[#This Row],[Author]],Table4[],2,0))</f>
        <v>MGF</v>
      </c>
      <c r="L2576" s="125" t="s">
        <v>4896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31</v>
      </c>
      <c r="R2576" s="110" t="s">
        <v>485</v>
      </c>
      <c r="S2576" s="94"/>
    </row>
    <row r="2577" spans="1:19" hidden="1">
      <c r="A2577" s="103" t="s">
        <v>4424</v>
      </c>
      <c r="B2577" s="94" t="str">
        <f>IFERROR(VLOOKUP(Proc[[#This Row],[App]],Table2[],3,0),"open")</f>
        <v>ok</v>
      </c>
      <c r="C2577" s="117" t="s">
        <v>369</v>
      </c>
      <c r="D2577" t="s">
        <v>4500</v>
      </c>
      <c r="E2577" t="s">
        <v>4740</v>
      </c>
      <c r="F2577" s="94" t="s">
        <v>4740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4786</v>
      </c>
      <c r="J2577" s="94" t="b">
        <f>Proc[[#This Row],[Requested]]=Proc[[#This Row],[CurrentParent]]</f>
        <v>1</v>
      </c>
      <c r="K2577" s="94" t="str">
        <f>IF(Proc[[#This Row],[Author]]="Marcela Urrego",VLOOKUP(LEFT(Proc[[#This Row],[Requested]],1),Table3[#All],2,0),VLOOKUP(Proc[[#This Row],[Author]],Table4[],2,0))</f>
        <v>MGF</v>
      </c>
      <c r="L2577" s="125" t="s">
        <v>4896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31</v>
      </c>
      <c r="R2577" s="110" t="s">
        <v>485</v>
      </c>
      <c r="S2577" s="94"/>
    </row>
    <row r="2578" spans="1:19" hidden="1">
      <c r="A2578" s="103" t="s">
        <v>4424</v>
      </c>
      <c r="B2578" s="94" t="str">
        <f>IFERROR(VLOOKUP(Proc[[#This Row],[App]],Table2[],3,0),"open")</f>
        <v>ok</v>
      </c>
      <c r="C2578" s="117" t="s">
        <v>369</v>
      </c>
      <c r="D2578" t="s">
        <v>4501</v>
      </c>
      <c r="E2578" t="s">
        <v>4742</v>
      </c>
      <c r="F2578" s="94" t="s">
        <v>4742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4786</v>
      </c>
      <c r="J2578" s="94" t="b">
        <f>Proc[[#This Row],[Requested]]=Proc[[#This Row],[CurrentParent]]</f>
        <v>1</v>
      </c>
      <c r="K2578" s="94" t="str">
        <f>IF(Proc[[#This Row],[Author]]="Marcela Urrego",VLOOKUP(LEFT(Proc[[#This Row],[Requested]],1),Table3[#All],2,0),VLOOKUP(Proc[[#This Row],[Author]],Table4[],2,0))</f>
        <v>MGF</v>
      </c>
      <c r="L2578" s="125" t="s">
        <v>4896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31</v>
      </c>
      <c r="R2578" s="110" t="s">
        <v>485</v>
      </c>
      <c r="S2578" s="94"/>
    </row>
    <row r="2579" spans="1:19" hidden="1">
      <c r="A2579" s="103" t="s">
        <v>4424</v>
      </c>
      <c r="B2579" s="94" t="str">
        <f>IFERROR(VLOOKUP(Proc[[#This Row],[App]],Table2[],3,0),"open")</f>
        <v>ok</v>
      </c>
      <c r="C2579" s="117" t="s">
        <v>369</v>
      </c>
      <c r="D2579" t="s">
        <v>4502</v>
      </c>
      <c r="E2579" t="s">
        <v>4743</v>
      </c>
      <c r="F2579" s="94" t="s">
        <v>4743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4786</v>
      </c>
      <c r="J2579" s="94" t="b">
        <f>Proc[[#This Row],[Requested]]=Proc[[#This Row],[CurrentParent]]</f>
        <v>1</v>
      </c>
      <c r="K2579" s="94" t="str">
        <f>IF(Proc[[#This Row],[Author]]="Marcela Urrego",VLOOKUP(LEFT(Proc[[#This Row],[Requested]],1),Table3[#All],2,0),VLOOKUP(Proc[[#This Row],[Author]],Table4[],2,0))</f>
        <v>MGF</v>
      </c>
      <c r="L2579" s="125" t="s">
        <v>4896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31</v>
      </c>
      <c r="R2579" s="110" t="s">
        <v>485</v>
      </c>
      <c r="S2579" s="94"/>
    </row>
    <row r="2580" spans="1:19" hidden="1">
      <c r="A2580" s="103" t="s">
        <v>4424</v>
      </c>
      <c r="B2580" s="94" t="str">
        <f>IFERROR(VLOOKUP(Proc[[#This Row],[App]],Table2[],3,0),"open")</f>
        <v>ok</v>
      </c>
      <c r="C2580" s="117" t="s">
        <v>369</v>
      </c>
      <c r="D2580" t="s">
        <v>4503</v>
      </c>
      <c r="E2580" t="s">
        <v>4742</v>
      </c>
      <c r="F2580" s="94" t="s">
        <v>4742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4786</v>
      </c>
      <c r="J2580" s="94" t="b">
        <f>Proc[[#This Row],[Requested]]=Proc[[#This Row],[CurrentParent]]</f>
        <v>1</v>
      </c>
      <c r="K2580" s="94" t="str">
        <f>IF(Proc[[#This Row],[Author]]="Marcela Urrego",VLOOKUP(LEFT(Proc[[#This Row],[Requested]],1),Table3[#All],2,0),VLOOKUP(Proc[[#This Row],[Author]],Table4[],2,0))</f>
        <v>MGF</v>
      </c>
      <c r="L2580" s="125" t="s">
        <v>4896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31</v>
      </c>
      <c r="R2580" s="110" t="s">
        <v>485</v>
      </c>
      <c r="S2580" s="94"/>
    </row>
    <row r="2581" spans="1:19" hidden="1">
      <c r="A2581" s="103" t="s">
        <v>4424</v>
      </c>
      <c r="B2581" s="94" t="str">
        <f>IFERROR(VLOOKUP(Proc[[#This Row],[App]],Table2[],3,0),"open")</f>
        <v>ok</v>
      </c>
      <c r="C2581" s="117" t="s">
        <v>369</v>
      </c>
      <c r="D2581" t="s">
        <v>4504</v>
      </c>
      <c r="E2581" t="s">
        <v>4744</v>
      </c>
      <c r="F2581" s="94" t="s">
        <v>4744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4786</v>
      </c>
      <c r="J2581" s="94" t="b">
        <f>Proc[[#This Row],[Requested]]=Proc[[#This Row],[CurrentParent]]</f>
        <v>1</v>
      </c>
      <c r="K2581" s="94" t="str">
        <f>IF(Proc[[#This Row],[Author]]="Marcela Urrego",VLOOKUP(LEFT(Proc[[#This Row],[Requested]],1),Table3[#All],2,0),VLOOKUP(Proc[[#This Row],[Author]],Table4[],2,0))</f>
        <v>MGF</v>
      </c>
      <c r="L2581" s="125" t="s">
        <v>4896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31</v>
      </c>
      <c r="R2581" s="110" t="s">
        <v>485</v>
      </c>
      <c r="S2581" s="94"/>
    </row>
    <row r="2582" spans="1:19" hidden="1">
      <c r="A2582" s="103" t="s">
        <v>4424</v>
      </c>
      <c r="B2582" s="94" t="str">
        <f>IFERROR(VLOOKUP(Proc[[#This Row],[App]],Table2[],3,0),"open")</f>
        <v>ok</v>
      </c>
      <c r="C2582" s="117" t="s">
        <v>369</v>
      </c>
      <c r="D2582" t="s">
        <v>4505</v>
      </c>
      <c r="E2582" t="s">
        <v>4742</v>
      </c>
      <c r="F2582" s="94" t="s">
        <v>4742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4786</v>
      </c>
      <c r="J2582" s="94" t="b">
        <f>Proc[[#This Row],[Requested]]=Proc[[#This Row],[CurrentParent]]</f>
        <v>1</v>
      </c>
      <c r="K2582" s="94" t="str">
        <f>IF(Proc[[#This Row],[Author]]="Marcela Urrego",VLOOKUP(LEFT(Proc[[#This Row],[Requested]],1),Table3[#All],2,0),VLOOKUP(Proc[[#This Row],[Author]],Table4[],2,0))</f>
        <v>MGF</v>
      </c>
      <c r="L2582" s="125" t="s">
        <v>4896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31</v>
      </c>
      <c r="R2582" s="110" t="s">
        <v>485</v>
      </c>
      <c r="S2582" s="94"/>
    </row>
    <row r="2583" spans="1:19" hidden="1">
      <c r="A2583" s="103" t="s">
        <v>4424</v>
      </c>
      <c r="B2583" s="94" t="str">
        <f>IFERROR(VLOOKUP(Proc[[#This Row],[App]],Table2[],3,0),"open")</f>
        <v>ok</v>
      </c>
      <c r="C2583" s="117" t="s">
        <v>369</v>
      </c>
      <c r="D2583" t="s">
        <v>4506</v>
      </c>
      <c r="E2583" t="s">
        <v>4742</v>
      </c>
      <c r="F2583" s="94" t="s">
        <v>4742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4786</v>
      </c>
      <c r="J2583" s="94" t="b">
        <f>Proc[[#This Row],[Requested]]=Proc[[#This Row],[CurrentParent]]</f>
        <v>1</v>
      </c>
      <c r="K2583" s="94" t="str">
        <f>IF(Proc[[#This Row],[Author]]="Marcela Urrego",VLOOKUP(LEFT(Proc[[#This Row],[Requested]],1),Table3[#All],2,0),VLOOKUP(Proc[[#This Row],[Author]],Table4[],2,0))</f>
        <v>MGF</v>
      </c>
      <c r="L2583" s="125" t="s">
        <v>4896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31</v>
      </c>
      <c r="R2583" s="110" t="s">
        <v>485</v>
      </c>
      <c r="S2583" s="94"/>
    </row>
    <row r="2584" spans="1:19" hidden="1">
      <c r="A2584" s="103" t="s">
        <v>4424</v>
      </c>
      <c r="B2584" s="94" t="str">
        <f>IFERROR(VLOOKUP(Proc[[#This Row],[App]],Table2[],3,0),"open")</f>
        <v>ok</v>
      </c>
      <c r="C2584" s="117" t="s">
        <v>369</v>
      </c>
      <c r="D2584" t="s">
        <v>4507</v>
      </c>
      <c r="E2584" t="s">
        <v>4742</v>
      </c>
      <c r="F2584" s="94" t="s">
        <v>4742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4786</v>
      </c>
      <c r="J2584" s="94" t="b">
        <f>Proc[[#This Row],[Requested]]=Proc[[#This Row],[CurrentParent]]</f>
        <v>1</v>
      </c>
      <c r="K2584" s="94" t="str">
        <f>IF(Proc[[#This Row],[Author]]="Marcela Urrego",VLOOKUP(LEFT(Proc[[#This Row],[Requested]],1),Table3[#All],2,0),VLOOKUP(Proc[[#This Row],[Author]],Table4[],2,0))</f>
        <v>MGF</v>
      </c>
      <c r="L2584" s="125" t="s">
        <v>4896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31</v>
      </c>
      <c r="R2584" s="110" t="s">
        <v>485</v>
      </c>
      <c r="S2584" s="94"/>
    </row>
    <row r="2585" spans="1:19" hidden="1">
      <c r="A2585" s="103" t="s">
        <v>4424</v>
      </c>
      <c r="B2585" s="94" t="str">
        <f>IFERROR(VLOOKUP(Proc[[#This Row],[App]],Table2[],3,0),"open")</f>
        <v>ok</v>
      </c>
      <c r="C2585" s="117" t="s">
        <v>369</v>
      </c>
      <c r="D2585" t="s">
        <v>4508</v>
      </c>
      <c r="E2585" t="s">
        <v>4744</v>
      </c>
      <c r="F2585" s="94" t="s">
        <v>4744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4786</v>
      </c>
      <c r="J2585" s="94" t="b">
        <f>Proc[[#This Row],[Requested]]=Proc[[#This Row],[CurrentParent]]</f>
        <v>1</v>
      </c>
      <c r="K2585" s="94" t="str">
        <f>IF(Proc[[#This Row],[Author]]="Marcela Urrego",VLOOKUP(LEFT(Proc[[#This Row],[Requested]],1),Table3[#All],2,0),VLOOKUP(Proc[[#This Row],[Author]],Table4[],2,0))</f>
        <v>MGF</v>
      </c>
      <c r="L2585" s="125" t="s">
        <v>4896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31</v>
      </c>
      <c r="R2585" s="110" t="s">
        <v>485</v>
      </c>
      <c r="S2585" s="94"/>
    </row>
    <row r="2586" spans="1:19" hidden="1">
      <c r="A2586" s="103" t="s">
        <v>4424</v>
      </c>
      <c r="B2586" s="94" t="str">
        <f>IFERROR(VLOOKUP(Proc[[#This Row],[App]],Table2[],3,0),"open")</f>
        <v>ok</v>
      </c>
      <c r="C2586" s="117" t="s">
        <v>369</v>
      </c>
      <c r="D2586" t="s">
        <v>4509</v>
      </c>
      <c r="E2586" t="s">
        <v>4743</v>
      </c>
      <c r="F2586" s="94" t="s">
        <v>4743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4786</v>
      </c>
      <c r="J2586" s="94" t="b">
        <f>Proc[[#This Row],[Requested]]=Proc[[#This Row],[CurrentParent]]</f>
        <v>1</v>
      </c>
      <c r="K2586" s="94" t="str">
        <f>IF(Proc[[#This Row],[Author]]="Marcela Urrego",VLOOKUP(LEFT(Proc[[#This Row],[Requested]],1),Table3[#All],2,0),VLOOKUP(Proc[[#This Row],[Author]],Table4[],2,0))</f>
        <v>MGF</v>
      </c>
      <c r="L2586" s="125" t="s">
        <v>4896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31</v>
      </c>
      <c r="R2586" s="110" t="s">
        <v>485</v>
      </c>
      <c r="S2586" s="94"/>
    </row>
    <row r="2587" spans="1:19" hidden="1">
      <c r="A2587" s="103" t="s">
        <v>4424</v>
      </c>
      <c r="B2587" s="94" t="str">
        <f>IFERROR(VLOOKUP(Proc[[#This Row],[App]],Table2[],3,0),"open")</f>
        <v>ok</v>
      </c>
      <c r="C2587" s="117" t="s">
        <v>369</v>
      </c>
      <c r="D2587" t="s">
        <v>4510</v>
      </c>
      <c r="E2587" t="s">
        <v>4742</v>
      </c>
      <c r="F2587" s="94" t="s">
        <v>4742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4786</v>
      </c>
      <c r="J2587" s="94" t="b">
        <f>Proc[[#This Row],[Requested]]=Proc[[#This Row],[CurrentParent]]</f>
        <v>1</v>
      </c>
      <c r="K2587" s="94" t="str">
        <f>IF(Proc[[#This Row],[Author]]="Marcela Urrego",VLOOKUP(LEFT(Proc[[#This Row],[Requested]],1),Table3[#All],2,0),VLOOKUP(Proc[[#This Row],[Author]],Table4[],2,0))</f>
        <v>MGF</v>
      </c>
      <c r="L2587" s="125" t="s">
        <v>4896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31</v>
      </c>
      <c r="R2587" s="110" t="s">
        <v>485</v>
      </c>
      <c r="S2587" s="94"/>
    </row>
    <row r="2588" spans="1:19" hidden="1">
      <c r="A2588" s="103" t="s">
        <v>4424</v>
      </c>
      <c r="B2588" s="94" t="str">
        <f>IFERROR(VLOOKUP(Proc[[#This Row],[App]],Table2[],3,0),"open")</f>
        <v>ok</v>
      </c>
      <c r="C2588" s="117" t="s">
        <v>369</v>
      </c>
      <c r="D2588" t="s">
        <v>4511</v>
      </c>
      <c r="E2588" t="s">
        <v>4742</v>
      </c>
      <c r="F2588" s="94" t="s">
        <v>4742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4786</v>
      </c>
      <c r="J2588" s="94" t="b">
        <f>Proc[[#This Row],[Requested]]=Proc[[#This Row],[CurrentParent]]</f>
        <v>1</v>
      </c>
      <c r="K2588" s="94" t="str">
        <f>IF(Proc[[#This Row],[Author]]="Marcela Urrego",VLOOKUP(LEFT(Proc[[#This Row],[Requested]],1),Table3[#All],2,0),VLOOKUP(Proc[[#This Row],[Author]],Table4[],2,0))</f>
        <v>MGF</v>
      </c>
      <c r="L2588" s="125" t="s">
        <v>4896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31</v>
      </c>
      <c r="R2588" s="110" t="s">
        <v>485</v>
      </c>
      <c r="S2588" s="94"/>
    </row>
    <row r="2589" spans="1:19" hidden="1">
      <c r="A2589" s="103" t="s">
        <v>4424</v>
      </c>
      <c r="B2589" s="94" t="str">
        <f>IFERROR(VLOOKUP(Proc[[#This Row],[App]],Table2[],3,0),"open")</f>
        <v>ok</v>
      </c>
      <c r="C2589" s="117" t="s">
        <v>369</v>
      </c>
      <c r="D2589" t="s">
        <v>4512</v>
      </c>
      <c r="E2589" t="s">
        <v>4742</v>
      </c>
      <c r="F2589" s="94" t="s">
        <v>4742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4786</v>
      </c>
      <c r="J2589" s="94" t="b">
        <f>Proc[[#This Row],[Requested]]=Proc[[#This Row],[CurrentParent]]</f>
        <v>1</v>
      </c>
      <c r="K2589" s="94" t="str">
        <f>IF(Proc[[#This Row],[Author]]="Marcela Urrego",VLOOKUP(LEFT(Proc[[#This Row],[Requested]],1),Table3[#All],2,0),VLOOKUP(Proc[[#This Row],[Author]],Table4[],2,0))</f>
        <v>MGF</v>
      </c>
      <c r="L2589" s="125" t="s">
        <v>4896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31</v>
      </c>
      <c r="R2589" s="110" t="s">
        <v>485</v>
      </c>
      <c r="S2589" s="94"/>
    </row>
    <row r="2590" spans="1:19" hidden="1">
      <c r="A2590" s="103" t="s">
        <v>4424</v>
      </c>
      <c r="B2590" s="94" t="str">
        <f>IFERROR(VLOOKUP(Proc[[#This Row],[App]],Table2[],3,0),"open")</f>
        <v>ok</v>
      </c>
      <c r="C2590" s="117" t="s">
        <v>369</v>
      </c>
      <c r="D2590" t="s">
        <v>4513</v>
      </c>
      <c r="E2590" t="s">
        <v>4742</v>
      </c>
      <c r="F2590" s="94" t="s">
        <v>4742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4786</v>
      </c>
      <c r="J2590" s="94" t="b">
        <f>Proc[[#This Row],[Requested]]=Proc[[#This Row],[CurrentParent]]</f>
        <v>1</v>
      </c>
      <c r="K2590" s="94" t="str">
        <f>IF(Proc[[#This Row],[Author]]="Marcela Urrego",VLOOKUP(LEFT(Proc[[#This Row],[Requested]],1),Table3[#All],2,0),VLOOKUP(Proc[[#This Row],[Author]],Table4[],2,0))</f>
        <v>MGF</v>
      </c>
      <c r="L2590" s="125" t="s">
        <v>4896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31</v>
      </c>
      <c r="R2590" s="110" t="s">
        <v>485</v>
      </c>
      <c r="S2590" s="94"/>
    </row>
    <row r="2591" spans="1:19" hidden="1">
      <c r="A2591" s="103" t="s">
        <v>4424</v>
      </c>
      <c r="B2591" s="94" t="str">
        <f>IFERROR(VLOOKUP(Proc[[#This Row],[App]],Table2[],3,0),"open")</f>
        <v>ok</v>
      </c>
      <c r="C2591" s="117" t="s">
        <v>369</v>
      </c>
      <c r="D2591" t="s">
        <v>4514</v>
      </c>
      <c r="E2591" t="s">
        <v>4742</v>
      </c>
      <c r="F2591" s="94" t="s">
        <v>4742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4786</v>
      </c>
      <c r="J2591" s="94" t="b">
        <f>Proc[[#This Row],[Requested]]=Proc[[#This Row],[CurrentParent]]</f>
        <v>1</v>
      </c>
      <c r="K2591" s="94" t="str">
        <f>IF(Proc[[#This Row],[Author]]="Marcela Urrego",VLOOKUP(LEFT(Proc[[#This Row],[Requested]],1),Table3[#All],2,0),VLOOKUP(Proc[[#This Row],[Author]],Table4[],2,0))</f>
        <v>MGF</v>
      </c>
      <c r="L2591" s="125" t="s">
        <v>4896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31</v>
      </c>
      <c r="R2591" s="110" t="s">
        <v>485</v>
      </c>
      <c r="S2591" s="94"/>
    </row>
    <row r="2592" spans="1:19" hidden="1">
      <c r="A2592" s="103" t="s">
        <v>4424</v>
      </c>
      <c r="B2592" s="94" t="str">
        <f>IFERROR(VLOOKUP(Proc[[#This Row],[App]],Table2[],3,0),"open")</f>
        <v>ok</v>
      </c>
      <c r="C2592" s="117" t="s">
        <v>369</v>
      </c>
      <c r="D2592" t="s">
        <v>4515</v>
      </c>
      <c r="E2592" t="s">
        <v>4742</v>
      </c>
      <c r="F2592" s="94" t="s">
        <v>4742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4786</v>
      </c>
      <c r="J2592" s="94" t="b">
        <f>Proc[[#This Row],[Requested]]=Proc[[#This Row],[CurrentParent]]</f>
        <v>1</v>
      </c>
      <c r="K2592" s="94" t="str">
        <f>IF(Proc[[#This Row],[Author]]="Marcela Urrego",VLOOKUP(LEFT(Proc[[#This Row],[Requested]],1),Table3[#All],2,0),VLOOKUP(Proc[[#This Row],[Author]],Table4[],2,0))</f>
        <v>MGF</v>
      </c>
      <c r="L2592" s="125" t="s">
        <v>4896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31</v>
      </c>
      <c r="R2592" s="110" t="s">
        <v>485</v>
      </c>
      <c r="S2592" s="94"/>
    </row>
    <row r="2593" spans="1:19" hidden="1">
      <c r="A2593" s="103" t="s">
        <v>4424</v>
      </c>
      <c r="B2593" s="94" t="str">
        <f>IFERROR(VLOOKUP(Proc[[#This Row],[App]],Table2[],3,0),"open")</f>
        <v>ok</v>
      </c>
      <c r="C2593" s="117" t="s">
        <v>369</v>
      </c>
      <c r="D2593" t="s">
        <v>4516</v>
      </c>
      <c r="E2593" t="s">
        <v>4742</v>
      </c>
      <c r="F2593" s="94" t="s">
        <v>4742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4786</v>
      </c>
      <c r="J2593" s="94" t="b">
        <f>Proc[[#This Row],[Requested]]=Proc[[#This Row],[CurrentParent]]</f>
        <v>1</v>
      </c>
      <c r="K2593" s="94" t="str">
        <f>IF(Proc[[#This Row],[Author]]="Marcela Urrego",VLOOKUP(LEFT(Proc[[#This Row],[Requested]],1),Table3[#All],2,0),VLOOKUP(Proc[[#This Row],[Author]],Table4[],2,0))</f>
        <v>MGF</v>
      </c>
      <c r="L2593" s="125" t="s">
        <v>4896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31</v>
      </c>
      <c r="R2593" s="110" t="s">
        <v>485</v>
      </c>
      <c r="S2593" s="94"/>
    </row>
    <row r="2594" spans="1:19" hidden="1">
      <c r="A2594" s="103" t="s">
        <v>4424</v>
      </c>
      <c r="B2594" s="94" t="str">
        <f>IFERROR(VLOOKUP(Proc[[#This Row],[App]],Table2[],3,0),"open")</f>
        <v>ok</v>
      </c>
      <c r="C2594" s="117" t="s">
        <v>369</v>
      </c>
      <c r="D2594" t="s">
        <v>4517</v>
      </c>
      <c r="E2594" t="s">
        <v>4742</v>
      </c>
      <c r="F2594" s="94" t="s">
        <v>4742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4786</v>
      </c>
      <c r="J2594" s="94" t="b">
        <f>Proc[[#This Row],[Requested]]=Proc[[#This Row],[CurrentParent]]</f>
        <v>1</v>
      </c>
      <c r="K2594" s="94" t="str">
        <f>IF(Proc[[#This Row],[Author]]="Marcela Urrego",VLOOKUP(LEFT(Proc[[#This Row],[Requested]],1),Table3[#All],2,0),VLOOKUP(Proc[[#This Row],[Author]],Table4[],2,0))</f>
        <v>MGF</v>
      </c>
      <c r="L2594" s="125" t="s">
        <v>4896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31</v>
      </c>
      <c r="R2594" s="110" t="s">
        <v>485</v>
      </c>
      <c r="S2594" s="94"/>
    </row>
    <row r="2595" spans="1:19" hidden="1">
      <c r="A2595" s="103" t="s">
        <v>4424</v>
      </c>
      <c r="B2595" s="94" t="str">
        <f>IFERROR(VLOOKUP(Proc[[#This Row],[App]],Table2[],3,0),"open")</f>
        <v>ok</v>
      </c>
      <c r="C2595" s="117" t="s">
        <v>369</v>
      </c>
      <c r="D2595" t="s">
        <v>4518</v>
      </c>
      <c r="E2595" t="s">
        <v>4742</v>
      </c>
      <c r="F2595" s="94" t="s">
        <v>4742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4786</v>
      </c>
      <c r="J2595" s="94" t="b">
        <f>Proc[[#This Row],[Requested]]=Proc[[#This Row],[CurrentParent]]</f>
        <v>1</v>
      </c>
      <c r="K2595" s="94" t="str">
        <f>IF(Proc[[#This Row],[Author]]="Marcela Urrego",VLOOKUP(LEFT(Proc[[#This Row],[Requested]],1),Table3[#All],2,0),VLOOKUP(Proc[[#This Row],[Author]],Table4[],2,0))</f>
        <v>MGF</v>
      </c>
      <c r="L2595" s="125" t="s">
        <v>4896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31</v>
      </c>
      <c r="R2595" s="110" t="s">
        <v>485</v>
      </c>
      <c r="S2595" s="94"/>
    </row>
    <row r="2596" spans="1:19" hidden="1">
      <c r="A2596" s="103" t="s">
        <v>4424</v>
      </c>
      <c r="B2596" s="94" t="str">
        <f>IFERROR(VLOOKUP(Proc[[#This Row],[App]],Table2[],3,0),"open")</f>
        <v>ok</v>
      </c>
      <c r="C2596" s="117" t="s">
        <v>369</v>
      </c>
      <c r="D2596" t="s">
        <v>4519</v>
      </c>
      <c r="E2596" t="s">
        <v>4742</v>
      </c>
      <c r="F2596" s="94" t="s">
        <v>4742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4786</v>
      </c>
      <c r="J2596" s="94" t="b">
        <f>Proc[[#This Row],[Requested]]=Proc[[#This Row],[CurrentParent]]</f>
        <v>1</v>
      </c>
      <c r="K2596" s="94" t="str">
        <f>IF(Proc[[#This Row],[Author]]="Marcela Urrego",VLOOKUP(LEFT(Proc[[#This Row],[Requested]],1),Table3[#All],2,0),VLOOKUP(Proc[[#This Row],[Author]],Table4[],2,0))</f>
        <v>MGF</v>
      </c>
      <c r="L2596" s="125" t="s">
        <v>4896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31</v>
      </c>
      <c r="R2596" s="110" t="s">
        <v>485</v>
      </c>
      <c r="S2596" s="94"/>
    </row>
    <row r="2597" spans="1:19" hidden="1">
      <c r="A2597" s="103" t="s">
        <v>4424</v>
      </c>
      <c r="B2597" s="94" t="str">
        <f>IFERROR(VLOOKUP(Proc[[#This Row],[App]],Table2[],3,0),"open")</f>
        <v>ok</v>
      </c>
      <c r="C2597" s="117" t="s">
        <v>369</v>
      </c>
      <c r="D2597" t="s">
        <v>4520</v>
      </c>
      <c r="E2597" t="s">
        <v>4742</v>
      </c>
      <c r="F2597" s="94" t="s">
        <v>4742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4786</v>
      </c>
      <c r="J2597" s="94" t="b">
        <f>Proc[[#This Row],[Requested]]=Proc[[#This Row],[CurrentParent]]</f>
        <v>1</v>
      </c>
      <c r="K2597" s="94" t="str">
        <f>IF(Proc[[#This Row],[Author]]="Marcela Urrego",VLOOKUP(LEFT(Proc[[#This Row],[Requested]],1),Table3[#All],2,0),VLOOKUP(Proc[[#This Row],[Author]],Table4[],2,0))</f>
        <v>MGF</v>
      </c>
      <c r="L2597" s="125" t="s">
        <v>4896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31</v>
      </c>
      <c r="R2597" s="110" t="s">
        <v>485</v>
      </c>
      <c r="S2597" s="94"/>
    </row>
    <row r="2598" spans="1:19" hidden="1">
      <c r="A2598" s="103" t="s">
        <v>4424</v>
      </c>
      <c r="B2598" s="94" t="str">
        <f>IFERROR(VLOOKUP(Proc[[#This Row],[App]],Table2[],3,0),"open")</f>
        <v>ok</v>
      </c>
      <c r="C2598" s="117" t="s">
        <v>369</v>
      </c>
      <c r="D2598" t="s">
        <v>4521</v>
      </c>
      <c r="E2598" t="s">
        <v>4742</v>
      </c>
      <c r="F2598" s="94" t="s">
        <v>4742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4786</v>
      </c>
      <c r="J2598" s="94" t="b">
        <f>Proc[[#This Row],[Requested]]=Proc[[#This Row],[CurrentParent]]</f>
        <v>1</v>
      </c>
      <c r="K2598" s="94" t="str">
        <f>IF(Proc[[#This Row],[Author]]="Marcela Urrego",VLOOKUP(LEFT(Proc[[#This Row],[Requested]],1),Table3[#All],2,0),VLOOKUP(Proc[[#This Row],[Author]],Table4[],2,0))</f>
        <v>MGF</v>
      </c>
      <c r="L2598" s="125" t="s">
        <v>4896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31</v>
      </c>
      <c r="R2598" s="110" t="s">
        <v>485</v>
      </c>
      <c r="S2598" s="94"/>
    </row>
    <row r="2599" spans="1:19" hidden="1">
      <c r="A2599" s="103" t="s">
        <v>4424</v>
      </c>
      <c r="B2599" s="94" t="str">
        <f>IFERROR(VLOOKUP(Proc[[#This Row],[App]],Table2[],3,0),"open")</f>
        <v>ok</v>
      </c>
      <c r="C2599" s="117" t="s">
        <v>369</v>
      </c>
      <c r="D2599" t="s">
        <v>4522</v>
      </c>
      <c r="E2599" t="s">
        <v>4742</v>
      </c>
      <c r="F2599" s="94" t="s">
        <v>4742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4786</v>
      </c>
      <c r="J2599" s="94" t="b">
        <f>Proc[[#This Row],[Requested]]=Proc[[#This Row],[CurrentParent]]</f>
        <v>1</v>
      </c>
      <c r="K2599" s="94" t="str">
        <f>IF(Proc[[#This Row],[Author]]="Marcela Urrego",VLOOKUP(LEFT(Proc[[#This Row],[Requested]],1),Table3[#All],2,0),VLOOKUP(Proc[[#This Row],[Author]],Table4[],2,0))</f>
        <v>MGF</v>
      </c>
      <c r="L2599" s="125" t="s">
        <v>4896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31</v>
      </c>
      <c r="R2599" s="110" t="s">
        <v>485</v>
      </c>
      <c r="S2599" s="94"/>
    </row>
    <row r="2600" spans="1:19" hidden="1">
      <c r="A2600" s="103" t="s">
        <v>4424</v>
      </c>
      <c r="B2600" s="94" t="str">
        <f>IFERROR(VLOOKUP(Proc[[#This Row],[App]],Table2[],3,0),"open")</f>
        <v>ok</v>
      </c>
      <c r="C2600" s="117" t="s">
        <v>369</v>
      </c>
      <c r="D2600" t="s">
        <v>4523</v>
      </c>
      <c r="E2600" t="s">
        <v>4742</v>
      </c>
      <c r="F2600" s="94" t="s">
        <v>4742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4786</v>
      </c>
      <c r="J2600" s="94" t="b">
        <f>Proc[[#This Row],[Requested]]=Proc[[#This Row],[CurrentParent]]</f>
        <v>1</v>
      </c>
      <c r="K2600" s="94" t="str">
        <f>IF(Proc[[#This Row],[Author]]="Marcela Urrego",VLOOKUP(LEFT(Proc[[#This Row],[Requested]],1),Table3[#All],2,0),VLOOKUP(Proc[[#This Row],[Author]],Table4[],2,0))</f>
        <v>MGF</v>
      </c>
      <c r="L2600" s="125" t="s">
        <v>4896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31</v>
      </c>
      <c r="R2600" s="110" t="s">
        <v>485</v>
      </c>
      <c r="S2600" s="94"/>
    </row>
    <row r="2601" spans="1:19" hidden="1">
      <c r="A2601" s="103" t="s">
        <v>4424</v>
      </c>
      <c r="B2601" s="94" t="str">
        <f>IFERROR(VLOOKUP(Proc[[#This Row],[App]],Table2[],3,0),"open")</f>
        <v>ok</v>
      </c>
      <c r="C2601" s="117" t="s">
        <v>369</v>
      </c>
      <c r="D2601" t="s">
        <v>4524</v>
      </c>
      <c r="E2601" t="s">
        <v>4742</v>
      </c>
      <c r="F2601" s="94" t="s">
        <v>4742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4786</v>
      </c>
      <c r="J2601" s="94" t="b">
        <f>Proc[[#This Row],[Requested]]=Proc[[#This Row],[CurrentParent]]</f>
        <v>1</v>
      </c>
      <c r="K2601" s="94" t="str">
        <f>IF(Proc[[#This Row],[Author]]="Marcela Urrego",VLOOKUP(LEFT(Proc[[#This Row],[Requested]],1),Table3[#All],2,0),VLOOKUP(Proc[[#This Row],[Author]],Table4[],2,0))</f>
        <v>MGF</v>
      </c>
      <c r="L2601" s="125" t="s">
        <v>4896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31</v>
      </c>
      <c r="R2601" s="110" t="s">
        <v>485</v>
      </c>
      <c r="S2601" s="94"/>
    </row>
    <row r="2602" spans="1:19" hidden="1">
      <c r="A2602" s="103" t="s">
        <v>4424</v>
      </c>
      <c r="B2602" s="94" t="str">
        <f>IFERROR(VLOOKUP(Proc[[#This Row],[App]],Table2[],3,0),"open")</f>
        <v>ok</v>
      </c>
      <c r="C2602" s="117" t="s">
        <v>369</v>
      </c>
      <c r="D2602" t="s">
        <v>4525</v>
      </c>
      <c r="E2602" t="s">
        <v>4742</v>
      </c>
      <c r="F2602" s="94" t="s">
        <v>4742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4787</v>
      </c>
      <c r="J2602" s="94" t="b">
        <f>Proc[[#This Row],[Requested]]=Proc[[#This Row],[CurrentParent]]</f>
        <v>1</v>
      </c>
      <c r="K2602" s="94" t="str">
        <f>IF(Proc[[#This Row],[Author]]="Marcela Urrego",VLOOKUP(LEFT(Proc[[#This Row],[Requested]],1),Table3[#All],2,0),VLOOKUP(Proc[[#This Row],[Author]],Table4[],2,0))</f>
        <v>MGF</v>
      </c>
      <c r="L2602" s="125" t="s">
        <v>4896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31</v>
      </c>
      <c r="R2602" s="110" t="s">
        <v>485</v>
      </c>
      <c r="S2602" s="94"/>
    </row>
    <row r="2603" spans="1:19" hidden="1">
      <c r="A2603" s="103" t="s">
        <v>4424</v>
      </c>
      <c r="B2603" s="94" t="str">
        <f>IFERROR(VLOOKUP(Proc[[#This Row],[App]],Table2[],3,0),"open")</f>
        <v>ok</v>
      </c>
      <c r="C2603" s="117" t="s">
        <v>369</v>
      </c>
      <c r="D2603" t="s">
        <v>4526</v>
      </c>
      <c r="E2603" t="s">
        <v>4743</v>
      </c>
      <c r="F2603" s="94" t="s">
        <v>4743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4787</v>
      </c>
      <c r="J2603" s="94" t="b">
        <f>Proc[[#This Row],[Requested]]=Proc[[#This Row],[CurrentParent]]</f>
        <v>1</v>
      </c>
      <c r="K2603" s="94" t="str">
        <f>IF(Proc[[#This Row],[Author]]="Marcela Urrego",VLOOKUP(LEFT(Proc[[#This Row],[Requested]],1),Table3[#All],2,0),VLOOKUP(Proc[[#This Row],[Author]],Table4[],2,0))</f>
        <v>MGF</v>
      </c>
      <c r="L2603" s="125" t="s">
        <v>4896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31</v>
      </c>
      <c r="R2603" s="110" t="s">
        <v>485</v>
      </c>
      <c r="S2603" s="94"/>
    </row>
    <row r="2604" spans="1:19" hidden="1">
      <c r="A2604" s="103" t="s">
        <v>4424</v>
      </c>
      <c r="B2604" s="94" t="str">
        <f>IFERROR(VLOOKUP(Proc[[#This Row],[App]],Table2[],3,0),"open")</f>
        <v>ok</v>
      </c>
      <c r="C2604" s="117" t="s">
        <v>369</v>
      </c>
      <c r="D2604" t="s">
        <v>4527</v>
      </c>
      <c r="E2604" t="s">
        <v>4743</v>
      </c>
      <c r="F2604" s="94" t="s">
        <v>4743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4787</v>
      </c>
      <c r="J2604" s="94" t="b">
        <f>Proc[[#This Row],[Requested]]=Proc[[#This Row],[CurrentParent]]</f>
        <v>1</v>
      </c>
      <c r="K2604" s="94" t="str">
        <f>IF(Proc[[#This Row],[Author]]="Marcela Urrego",VLOOKUP(LEFT(Proc[[#This Row],[Requested]],1),Table3[#All],2,0),VLOOKUP(Proc[[#This Row],[Author]],Table4[],2,0))</f>
        <v>MGF</v>
      </c>
      <c r="L2604" s="125" t="s">
        <v>4896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31</v>
      </c>
      <c r="R2604" s="110" t="s">
        <v>485</v>
      </c>
      <c r="S2604" s="94"/>
    </row>
    <row r="2605" spans="1:19" hidden="1">
      <c r="A2605" s="103" t="s">
        <v>4424</v>
      </c>
      <c r="B2605" s="94" t="str">
        <f>IFERROR(VLOOKUP(Proc[[#This Row],[App]],Table2[],3,0),"open")</f>
        <v>ok</v>
      </c>
      <c r="C2605" s="117" t="s">
        <v>369</v>
      </c>
      <c r="D2605" t="s">
        <v>4528</v>
      </c>
      <c r="E2605" t="s">
        <v>4742</v>
      </c>
      <c r="F2605" s="94" t="s">
        <v>4742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4787</v>
      </c>
      <c r="J2605" s="94" t="b">
        <f>Proc[[#This Row],[Requested]]=Proc[[#This Row],[CurrentParent]]</f>
        <v>1</v>
      </c>
      <c r="K2605" s="94" t="str">
        <f>IF(Proc[[#This Row],[Author]]="Marcela Urrego",VLOOKUP(LEFT(Proc[[#This Row],[Requested]],1),Table3[#All],2,0),VLOOKUP(Proc[[#This Row],[Author]],Table4[],2,0))</f>
        <v>MGF</v>
      </c>
      <c r="L2605" s="125" t="s">
        <v>4896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31</v>
      </c>
      <c r="R2605" s="110" t="s">
        <v>485</v>
      </c>
      <c r="S2605" s="94"/>
    </row>
    <row r="2606" spans="1:19" hidden="1">
      <c r="A2606" s="103" t="s">
        <v>4424</v>
      </c>
      <c r="B2606" s="94" t="str">
        <f>IFERROR(VLOOKUP(Proc[[#This Row],[App]],Table2[],3,0),"open")</f>
        <v>ok</v>
      </c>
      <c r="C2606" s="117" t="s">
        <v>369</v>
      </c>
      <c r="D2606" t="s">
        <v>4529</v>
      </c>
      <c r="E2606" t="s">
        <v>4743</v>
      </c>
      <c r="F2606" s="94" t="s">
        <v>4743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4787</v>
      </c>
      <c r="J2606" s="94" t="b">
        <f>Proc[[#This Row],[Requested]]=Proc[[#This Row],[CurrentParent]]</f>
        <v>1</v>
      </c>
      <c r="K2606" s="94" t="str">
        <f>IF(Proc[[#This Row],[Author]]="Marcela Urrego",VLOOKUP(LEFT(Proc[[#This Row],[Requested]],1),Table3[#All],2,0),VLOOKUP(Proc[[#This Row],[Author]],Table4[],2,0))</f>
        <v>MGF</v>
      </c>
      <c r="L2606" s="125" t="s">
        <v>4896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31</v>
      </c>
      <c r="R2606" s="110" t="s">
        <v>485</v>
      </c>
      <c r="S2606" s="94"/>
    </row>
    <row r="2607" spans="1:19" hidden="1">
      <c r="A2607" s="103" t="s">
        <v>4424</v>
      </c>
      <c r="B2607" s="94" t="str">
        <f>IFERROR(VLOOKUP(Proc[[#This Row],[App]],Table2[],3,0),"open")</f>
        <v>ok</v>
      </c>
      <c r="C2607" s="117" t="s">
        <v>369</v>
      </c>
      <c r="D2607" t="s">
        <v>4530</v>
      </c>
      <c r="E2607" t="s">
        <v>4742</v>
      </c>
      <c r="F2607" s="94" t="s">
        <v>4742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4787</v>
      </c>
      <c r="J2607" s="94" t="b">
        <f>Proc[[#This Row],[Requested]]=Proc[[#This Row],[CurrentParent]]</f>
        <v>1</v>
      </c>
      <c r="K2607" s="94" t="str">
        <f>IF(Proc[[#This Row],[Author]]="Marcela Urrego",VLOOKUP(LEFT(Proc[[#This Row],[Requested]],1),Table3[#All],2,0),VLOOKUP(Proc[[#This Row],[Author]],Table4[],2,0))</f>
        <v>MGF</v>
      </c>
      <c r="L2607" s="125" t="s">
        <v>4896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31</v>
      </c>
      <c r="R2607" s="110" t="s">
        <v>485</v>
      </c>
      <c r="S2607" s="94"/>
    </row>
    <row r="2608" spans="1:19" hidden="1">
      <c r="A2608" s="103" t="s">
        <v>4424</v>
      </c>
      <c r="B2608" s="94" t="str">
        <f>IFERROR(VLOOKUP(Proc[[#This Row],[App]],Table2[],3,0),"open")</f>
        <v>ok</v>
      </c>
      <c r="C2608" s="117" t="s">
        <v>369</v>
      </c>
      <c r="D2608" t="s">
        <v>4531</v>
      </c>
      <c r="E2608" t="s">
        <v>4743</v>
      </c>
      <c r="F2608" s="94" t="s">
        <v>4743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4787</v>
      </c>
      <c r="J2608" s="94" t="b">
        <f>Proc[[#This Row],[Requested]]=Proc[[#This Row],[CurrentParent]]</f>
        <v>1</v>
      </c>
      <c r="K2608" s="94" t="str">
        <f>IF(Proc[[#This Row],[Author]]="Marcela Urrego",VLOOKUP(LEFT(Proc[[#This Row],[Requested]],1),Table3[#All],2,0),VLOOKUP(Proc[[#This Row],[Author]],Table4[],2,0))</f>
        <v>MGF</v>
      </c>
      <c r="L2608" s="125" t="s">
        <v>4896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31</v>
      </c>
      <c r="R2608" s="110" t="s">
        <v>485</v>
      </c>
      <c r="S2608" s="94"/>
    </row>
    <row r="2609" spans="1:19" hidden="1">
      <c r="A2609" s="103" t="s">
        <v>4424</v>
      </c>
      <c r="B2609" s="94" t="str">
        <f>IFERROR(VLOOKUP(Proc[[#This Row],[App]],Table2[],3,0),"open")</f>
        <v>ok</v>
      </c>
      <c r="C2609" s="117" t="s">
        <v>369</v>
      </c>
      <c r="D2609" t="s">
        <v>4532</v>
      </c>
      <c r="E2609" t="s">
        <v>4742</v>
      </c>
      <c r="F2609" s="94" t="s">
        <v>4742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4787</v>
      </c>
      <c r="J2609" s="94" t="b">
        <f>Proc[[#This Row],[Requested]]=Proc[[#This Row],[CurrentParent]]</f>
        <v>1</v>
      </c>
      <c r="K2609" s="94" t="str">
        <f>IF(Proc[[#This Row],[Author]]="Marcela Urrego",VLOOKUP(LEFT(Proc[[#This Row],[Requested]],1),Table3[#All],2,0),VLOOKUP(Proc[[#This Row],[Author]],Table4[],2,0))</f>
        <v>MGF</v>
      </c>
      <c r="L2609" s="125" t="s">
        <v>4896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31</v>
      </c>
      <c r="R2609" s="110" t="s">
        <v>485</v>
      </c>
      <c r="S2609" s="94"/>
    </row>
    <row r="2610" spans="1:19" hidden="1">
      <c r="A2610" s="103" t="s">
        <v>4424</v>
      </c>
      <c r="B2610" s="94" t="str">
        <f>IFERROR(VLOOKUP(Proc[[#This Row],[App]],Table2[],3,0),"open")</f>
        <v>ok</v>
      </c>
      <c r="C2610" s="117" t="s">
        <v>369</v>
      </c>
      <c r="D2610" t="s">
        <v>4533</v>
      </c>
      <c r="E2610" t="s">
        <v>4743</v>
      </c>
      <c r="F2610" s="94" t="s">
        <v>4743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4787</v>
      </c>
      <c r="J2610" s="94" t="b">
        <f>Proc[[#This Row],[Requested]]=Proc[[#This Row],[CurrentParent]]</f>
        <v>1</v>
      </c>
      <c r="K2610" s="94" t="str">
        <f>IF(Proc[[#This Row],[Author]]="Marcela Urrego",VLOOKUP(LEFT(Proc[[#This Row],[Requested]],1),Table3[#All],2,0),VLOOKUP(Proc[[#This Row],[Author]],Table4[],2,0))</f>
        <v>MGF</v>
      </c>
      <c r="L2610" s="125" t="s">
        <v>4896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31</v>
      </c>
      <c r="R2610" s="110" t="s">
        <v>485</v>
      </c>
      <c r="S2610" s="94"/>
    </row>
    <row r="2611" spans="1:19" hidden="1">
      <c r="A2611" s="103" t="s">
        <v>4424</v>
      </c>
      <c r="B2611" s="94" t="str">
        <f>IFERROR(VLOOKUP(Proc[[#This Row],[App]],Table2[],3,0),"open")</f>
        <v>ok</v>
      </c>
      <c r="C2611" s="117" t="s">
        <v>369</v>
      </c>
      <c r="D2611" t="s">
        <v>4534</v>
      </c>
      <c r="E2611" t="s">
        <v>4745</v>
      </c>
      <c r="F2611" s="94" t="s">
        <v>4745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4787</v>
      </c>
      <c r="J2611" s="94" t="b">
        <f>Proc[[#This Row],[Requested]]=Proc[[#This Row],[CurrentParent]]</f>
        <v>1</v>
      </c>
      <c r="K2611" s="94" t="str">
        <f>IF(Proc[[#This Row],[Author]]="Marcela Urrego",VLOOKUP(LEFT(Proc[[#This Row],[Requested]],1),Table3[#All],2,0),VLOOKUP(Proc[[#This Row],[Author]],Table4[],2,0))</f>
        <v>MGF</v>
      </c>
      <c r="L2611" s="125" t="s">
        <v>4896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31</v>
      </c>
      <c r="R2611" s="110" t="s">
        <v>485</v>
      </c>
      <c r="S2611" s="94"/>
    </row>
    <row r="2612" spans="1:19" hidden="1">
      <c r="A2612" s="103" t="s">
        <v>4424</v>
      </c>
      <c r="B2612" s="94" t="str">
        <f>IFERROR(VLOOKUP(Proc[[#This Row],[App]],Table2[],3,0),"open")</f>
        <v>ok</v>
      </c>
      <c r="C2612" s="117" t="s">
        <v>369</v>
      </c>
      <c r="D2612" t="s">
        <v>4535</v>
      </c>
      <c r="E2612" t="s">
        <v>4743</v>
      </c>
      <c r="F2612" s="94" t="s">
        <v>4743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4787</v>
      </c>
      <c r="J2612" s="94" t="b">
        <f>Proc[[#This Row],[Requested]]=Proc[[#This Row],[CurrentParent]]</f>
        <v>1</v>
      </c>
      <c r="K2612" s="94" t="str">
        <f>IF(Proc[[#This Row],[Author]]="Marcela Urrego",VLOOKUP(LEFT(Proc[[#This Row],[Requested]],1),Table3[#All],2,0),VLOOKUP(Proc[[#This Row],[Author]],Table4[],2,0))</f>
        <v>MGF</v>
      </c>
      <c r="L2612" s="125" t="s">
        <v>4896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31</v>
      </c>
      <c r="R2612" s="110" t="s">
        <v>485</v>
      </c>
      <c r="S2612" s="94"/>
    </row>
    <row r="2613" spans="1:19" hidden="1">
      <c r="A2613" s="103" t="s">
        <v>4424</v>
      </c>
      <c r="B2613" s="94" t="str">
        <f>IFERROR(VLOOKUP(Proc[[#This Row],[App]],Table2[],3,0),"open")</f>
        <v>ok</v>
      </c>
      <c r="C2613" s="117" t="s">
        <v>369</v>
      </c>
      <c r="D2613" t="s">
        <v>4536</v>
      </c>
      <c r="E2613" t="s">
        <v>4743</v>
      </c>
      <c r="F2613" s="94" t="s">
        <v>4743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4787</v>
      </c>
      <c r="J2613" s="94" t="b">
        <f>Proc[[#This Row],[Requested]]=Proc[[#This Row],[CurrentParent]]</f>
        <v>1</v>
      </c>
      <c r="K2613" s="94" t="str">
        <f>IF(Proc[[#This Row],[Author]]="Marcela Urrego",VLOOKUP(LEFT(Proc[[#This Row],[Requested]],1),Table3[#All],2,0),VLOOKUP(Proc[[#This Row],[Author]],Table4[],2,0))</f>
        <v>MGF</v>
      </c>
      <c r="L2613" s="125" t="s">
        <v>4896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31</v>
      </c>
      <c r="R2613" s="110" t="s">
        <v>485</v>
      </c>
      <c r="S2613" s="94"/>
    </row>
    <row r="2614" spans="1:19" hidden="1">
      <c r="A2614" s="103" t="s">
        <v>4424</v>
      </c>
      <c r="B2614" s="94" t="str">
        <f>IFERROR(VLOOKUP(Proc[[#This Row],[App]],Table2[],3,0),"open")</f>
        <v>ok</v>
      </c>
      <c r="C2614" s="117" t="s">
        <v>369</v>
      </c>
      <c r="D2614" t="s">
        <v>4537</v>
      </c>
      <c r="E2614" t="s">
        <v>4743</v>
      </c>
      <c r="F2614" s="94" t="s">
        <v>4743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4787</v>
      </c>
      <c r="J2614" s="94" t="b">
        <f>Proc[[#This Row],[Requested]]=Proc[[#This Row],[CurrentParent]]</f>
        <v>1</v>
      </c>
      <c r="K2614" s="94" t="str">
        <f>IF(Proc[[#This Row],[Author]]="Marcela Urrego",VLOOKUP(LEFT(Proc[[#This Row],[Requested]],1),Table3[#All],2,0),VLOOKUP(Proc[[#This Row],[Author]],Table4[],2,0))</f>
        <v>MGF</v>
      </c>
      <c r="L2614" s="125" t="s">
        <v>4896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31</v>
      </c>
      <c r="R2614" s="110" t="s">
        <v>485</v>
      </c>
      <c r="S2614" s="94"/>
    </row>
    <row r="2615" spans="1:19" hidden="1">
      <c r="A2615" s="103" t="s">
        <v>4424</v>
      </c>
      <c r="B2615" s="94" t="str">
        <f>IFERROR(VLOOKUP(Proc[[#This Row],[App]],Table2[],3,0),"open")</f>
        <v>ok</v>
      </c>
      <c r="C2615" s="117" t="s">
        <v>369</v>
      </c>
      <c r="D2615" t="s">
        <v>4538</v>
      </c>
      <c r="E2615" t="s">
        <v>4743</v>
      </c>
      <c r="F2615" s="94" t="s">
        <v>4743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4787</v>
      </c>
      <c r="J2615" s="94" t="b">
        <f>Proc[[#This Row],[Requested]]=Proc[[#This Row],[CurrentParent]]</f>
        <v>1</v>
      </c>
      <c r="K2615" s="94" t="str">
        <f>IF(Proc[[#This Row],[Author]]="Marcela Urrego",VLOOKUP(LEFT(Proc[[#This Row],[Requested]],1),Table3[#All],2,0),VLOOKUP(Proc[[#This Row],[Author]],Table4[],2,0))</f>
        <v>MGF</v>
      </c>
      <c r="L2615" s="125" t="s">
        <v>4896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31</v>
      </c>
      <c r="R2615" s="110" t="s">
        <v>485</v>
      </c>
      <c r="S2615" s="94"/>
    </row>
    <row r="2616" spans="1:19" hidden="1">
      <c r="A2616" s="103" t="s">
        <v>4424</v>
      </c>
      <c r="B2616" s="94" t="str">
        <f>IFERROR(VLOOKUP(Proc[[#This Row],[App]],Table2[],3,0),"open")</f>
        <v>ok</v>
      </c>
      <c r="C2616" s="117" t="s">
        <v>369</v>
      </c>
      <c r="D2616" t="s">
        <v>4539</v>
      </c>
      <c r="E2616" t="s">
        <v>4743</v>
      </c>
      <c r="F2616" s="94" t="s">
        <v>4743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4787</v>
      </c>
      <c r="J2616" s="94" t="b">
        <f>Proc[[#This Row],[Requested]]=Proc[[#This Row],[CurrentParent]]</f>
        <v>1</v>
      </c>
      <c r="K2616" s="94" t="str">
        <f>IF(Proc[[#This Row],[Author]]="Marcela Urrego",VLOOKUP(LEFT(Proc[[#This Row],[Requested]],1),Table3[#All],2,0),VLOOKUP(Proc[[#This Row],[Author]],Table4[],2,0))</f>
        <v>MGF</v>
      </c>
      <c r="L2616" s="125" t="s">
        <v>4896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31</v>
      </c>
      <c r="R2616" s="110" t="s">
        <v>485</v>
      </c>
      <c r="S2616" s="94"/>
    </row>
    <row r="2617" spans="1:19" hidden="1">
      <c r="A2617" s="103" t="s">
        <v>4424</v>
      </c>
      <c r="B2617" s="94" t="str">
        <f>IFERROR(VLOOKUP(Proc[[#This Row],[App]],Table2[],3,0),"open")</f>
        <v>ok</v>
      </c>
      <c r="C2617" s="117" t="s">
        <v>369</v>
      </c>
      <c r="D2617" t="s">
        <v>4540</v>
      </c>
      <c r="E2617" t="s">
        <v>4746</v>
      </c>
      <c r="F2617" s="94" t="s">
        <v>4746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4787</v>
      </c>
      <c r="J2617" s="94" t="b">
        <f>Proc[[#This Row],[Requested]]=Proc[[#This Row],[CurrentParent]]</f>
        <v>1</v>
      </c>
      <c r="K2617" s="94" t="str">
        <f>IF(Proc[[#This Row],[Author]]="Marcela Urrego",VLOOKUP(LEFT(Proc[[#This Row],[Requested]],1),Table3[#All],2,0),VLOOKUP(Proc[[#This Row],[Author]],Table4[],2,0))</f>
        <v>MGF</v>
      </c>
      <c r="L2617" s="125" t="s">
        <v>4896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31</v>
      </c>
      <c r="R2617" s="110" t="s">
        <v>485</v>
      </c>
      <c r="S2617" s="94"/>
    </row>
    <row r="2618" spans="1:19" hidden="1">
      <c r="A2618" s="103" t="s">
        <v>4424</v>
      </c>
      <c r="B2618" s="94" t="str">
        <f>IFERROR(VLOOKUP(Proc[[#This Row],[App]],Table2[],3,0),"open")</f>
        <v>ok</v>
      </c>
      <c r="C2618" s="117" t="s">
        <v>369</v>
      </c>
      <c r="D2618" t="s">
        <v>4541</v>
      </c>
      <c r="E2618" t="s">
        <v>4743</v>
      </c>
      <c r="F2618" s="94" t="s">
        <v>4743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4787</v>
      </c>
      <c r="J2618" s="94" t="b">
        <f>Proc[[#This Row],[Requested]]=Proc[[#This Row],[CurrentParent]]</f>
        <v>1</v>
      </c>
      <c r="K2618" s="94" t="str">
        <f>IF(Proc[[#This Row],[Author]]="Marcela Urrego",VLOOKUP(LEFT(Proc[[#This Row],[Requested]],1),Table3[#All],2,0),VLOOKUP(Proc[[#This Row],[Author]],Table4[],2,0))</f>
        <v>MGF</v>
      </c>
      <c r="L2618" s="125" t="s">
        <v>4896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31</v>
      </c>
      <c r="R2618" s="110" t="s">
        <v>485</v>
      </c>
      <c r="S2618" s="94"/>
    </row>
    <row r="2619" spans="1:19" hidden="1">
      <c r="A2619" s="103" t="s">
        <v>4424</v>
      </c>
      <c r="B2619" s="94" t="str">
        <f>IFERROR(VLOOKUP(Proc[[#This Row],[App]],Table2[],3,0),"open")</f>
        <v>ok</v>
      </c>
      <c r="C2619" s="117" t="s">
        <v>369</v>
      </c>
      <c r="D2619" t="s">
        <v>4542</v>
      </c>
      <c r="E2619" t="s">
        <v>4743</v>
      </c>
      <c r="F2619" s="94" t="s">
        <v>4743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4787</v>
      </c>
      <c r="J2619" s="94" t="b">
        <f>Proc[[#This Row],[Requested]]=Proc[[#This Row],[CurrentParent]]</f>
        <v>1</v>
      </c>
      <c r="K2619" s="94" t="str">
        <f>IF(Proc[[#This Row],[Author]]="Marcela Urrego",VLOOKUP(LEFT(Proc[[#This Row],[Requested]],1),Table3[#All],2,0),VLOOKUP(Proc[[#This Row],[Author]],Table4[],2,0))</f>
        <v>MGF</v>
      </c>
      <c r="L2619" s="125" t="s">
        <v>4896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31</v>
      </c>
      <c r="R2619" s="110" t="s">
        <v>485</v>
      </c>
      <c r="S2619" s="94"/>
    </row>
    <row r="2620" spans="1:19" hidden="1">
      <c r="A2620" s="103" t="s">
        <v>4424</v>
      </c>
      <c r="B2620" s="94" t="str">
        <f>IFERROR(VLOOKUP(Proc[[#This Row],[App]],Table2[],3,0),"open")</f>
        <v>ok</v>
      </c>
      <c r="C2620" s="117" t="s">
        <v>369</v>
      </c>
      <c r="D2620" t="s">
        <v>4543</v>
      </c>
      <c r="E2620" t="s">
        <v>4743</v>
      </c>
      <c r="F2620" s="94" t="s">
        <v>4743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4787</v>
      </c>
      <c r="J2620" s="94" t="b">
        <f>Proc[[#This Row],[Requested]]=Proc[[#This Row],[CurrentParent]]</f>
        <v>1</v>
      </c>
      <c r="K2620" s="94" t="str">
        <f>IF(Proc[[#This Row],[Author]]="Marcela Urrego",VLOOKUP(LEFT(Proc[[#This Row],[Requested]],1),Table3[#All],2,0),VLOOKUP(Proc[[#This Row],[Author]],Table4[],2,0))</f>
        <v>MGF</v>
      </c>
      <c r="L2620" s="125" t="s">
        <v>4896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31</v>
      </c>
      <c r="R2620" s="110" t="s">
        <v>485</v>
      </c>
      <c r="S2620" s="94"/>
    </row>
    <row r="2621" spans="1:19" hidden="1">
      <c r="A2621" s="103" t="s">
        <v>4424</v>
      </c>
      <c r="B2621" s="94" t="str">
        <f>IFERROR(VLOOKUP(Proc[[#This Row],[App]],Table2[],3,0),"open")</f>
        <v>ok</v>
      </c>
      <c r="C2621" s="117" t="s">
        <v>369</v>
      </c>
      <c r="D2621" t="s">
        <v>4544</v>
      </c>
      <c r="E2621" t="s">
        <v>4743</v>
      </c>
      <c r="F2621" s="94" t="s">
        <v>4743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4787</v>
      </c>
      <c r="J2621" s="94" t="b">
        <f>Proc[[#This Row],[Requested]]=Proc[[#This Row],[CurrentParent]]</f>
        <v>1</v>
      </c>
      <c r="K2621" s="94" t="str">
        <f>IF(Proc[[#This Row],[Author]]="Marcela Urrego",VLOOKUP(LEFT(Proc[[#This Row],[Requested]],1),Table3[#All],2,0),VLOOKUP(Proc[[#This Row],[Author]],Table4[],2,0))</f>
        <v>MGF</v>
      </c>
      <c r="L2621" s="125" t="s">
        <v>4896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31</v>
      </c>
      <c r="R2621" s="110" t="s">
        <v>485</v>
      </c>
      <c r="S2621" s="94"/>
    </row>
    <row r="2622" spans="1:19" hidden="1">
      <c r="A2622" s="103" t="s">
        <v>4424</v>
      </c>
      <c r="B2622" s="94" t="str">
        <f>IFERROR(VLOOKUP(Proc[[#This Row],[App]],Table2[],3,0),"open")</f>
        <v>ok</v>
      </c>
      <c r="C2622" s="117" t="s">
        <v>369</v>
      </c>
      <c r="D2622" t="s">
        <v>4545</v>
      </c>
      <c r="E2622" t="s">
        <v>4746</v>
      </c>
      <c r="F2622" s="94" t="s">
        <v>4746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4787</v>
      </c>
      <c r="J2622" s="94" t="b">
        <f>Proc[[#This Row],[Requested]]=Proc[[#This Row],[CurrentParent]]</f>
        <v>1</v>
      </c>
      <c r="K2622" s="94" t="str">
        <f>IF(Proc[[#This Row],[Author]]="Marcela Urrego",VLOOKUP(LEFT(Proc[[#This Row],[Requested]],1),Table3[#All],2,0),VLOOKUP(Proc[[#This Row],[Author]],Table4[],2,0))</f>
        <v>MGF</v>
      </c>
      <c r="L2622" s="125" t="s">
        <v>4896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31</v>
      </c>
      <c r="R2622" s="110" t="s">
        <v>485</v>
      </c>
      <c r="S2622" s="94"/>
    </row>
    <row r="2623" spans="1:19" hidden="1">
      <c r="A2623" s="103" t="s">
        <v>4424</v>
      </c>
      <c r="B2623" s="94" t="str">
        <f>IFERROR(VLOOKUP(Proc[[#This Row],[App]],Table2[],3,0),"open")</f>
        <v>ok</v>
      </c>
      <c r="C2623" s="117" t="s">
        <v>369</v>
      </c>
      <c r="D2623" t="s">
        <v>4546</v>
      </c>
      <c r="E2623" t="s">
        <v>4743</v>
      </c>
      <c r="F2623" s="94" t="s">
        <v>4743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4787</v>
      </c>
      <c r="J2623" s="94" t="b">
        <f>Proc[[#This Row],[Requested]]=Proc[[#This Row],[CurrentParent]]</f>
        <v>1</v>
      </c>
      <c r="K2623" s="94" t="str">
        <f>IF(Proc[[#This Row],[Author]]="Marcela Urrego",VLOOKUP(LEFT(Proc[[#This Row],[Requested]],1),Table3[#All],2,0),VLOOKUP(Proc[[#This Row],[Author]],Table4[],2,0))</f>
        <v>MGF</v>
      </c>
      <c r="L2623" s="125" t="s">
        <v>4896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31</v>
      </c>
      <c r="R2623" s="110" t="s">
        <v>485</v>
      </c>
      <c r="S2623" s="94"/>
    </row>
    <row r="2624" spans="1:19" hidden="1">
      <c r="A2624" s="103" t="s">
        <v>4424</v>
      </c>
      <c r="B2624" s="94" t="str">
        <f>IFERROR(VLOOKUP(Proc[[#This Row],[App]],Table2[],3,0),"open")</f>
        <v>ok</v>
      </c>
      <c r="C2624" s="117" t="s">
        <v>369</v>
      </c>
      <c r="D2624" t="s">
        <v>4547</v>
      </c>
      <c r="E2624" t="s">
        <v>4743</v>
      </c>
      <c r="F2624" s="94" t="s">
        <v>4743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4787</v>
      </c>
      <c r="J2624" s="94" t="b">
        <f>Proc[[#This Row],[Requested]]=Proc[[#This Row],[CurrentParent]]</f>
        <v>1</v>
      </c>
      <c r="K2624" s="94" t="str">
        <f>IF(Proc[[#This Row],[Author]]="Marcela Urrego",VLOOKUP(LEFT(Proc[[#This Row],[Requested]],1),Table3[#All],2,0),VLOOKUP(Proc[[#This Row],[Author]],Table4[],2,0))</f>
        <v>MGF</v>
      </c>
      <c r="L2624" s="125" t="s">
        <v>4896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31</v>
      </c>
      <c r="R2624" s="110" t="s">
        <v>485</v>
      </c>
      <c r="S2624" s="94"/>
    </row>
    <row r="2625" spans="1:19" hidden="1">
      <c r="A2625" s="103" t="s">
        <v>4424</v>
      </c>
      <c r="B2625" s="94" t="str">
        <f>IFERROR(VLOOKUP(Proc[[#This Row],[App]],Table2[],3,0),"open")</f>
        <v>ok</v>
      </c>
      <c r="C2625" s="117" t="s">
        <v>369</v>
      </c>
      <c r="D2625" t="s">
        <v>4548</v>
      </c>
      <c r="E2625" t="s">
        <v>4742</v>
      </c>
      <c r="F2625" s="94" t="s">
        <v>4742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4787</v>
      </c>
      <c r="J2625" s="94" t="b">
        <f>Proc[[#This Row],[Requested]]=Proc[[#This Row],[CurrentParent]]</f>
        <v>1</v>
      </c>
      <c r="K2625" s="94" t="str">
        <f>IF(Proc[[#This Row],[Author]]="Marcela Urrego",VLOOKUP(LEFT(Proc[[#This Row],[Requested]],1),Table3[#All],2,0),VLOOKUP(Proc[[#This Row],[Author]],Table4[],2,0))</f>
        <v>MGF</v>
      </c>
      <c r="L2625" s="125" t="s">
        <v>4896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31</v>
      </c>
      <c r="R2625" s="110" t="s">
        <v>485</v>
      </c>
      <c r="S2625" s="94"/>
    </row>
    <row r="2626" spans="1:19" hidden="1">
      <c r="A2626" s="103" t="s">
        <v>4424</v>
      </c>
      <c r="B2626" s="94" t="str">
        <f>IFERROR(VLOOKUP(Proc[[#This Row],[App]],Table2[],3,0),"open")</f>
        <v>ok</v>
      </c>
      <c r="C2626" s="117" t="s">
        <v>369</v>
      </c>
      <c r="D2626" t="s">
        <v>4549</v>
      </c>
      <c r="E2626" t="s">
        <v>4743</v>
      </c>
      <c r="F2626" s="94" t="s">
        <v>4743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4787</v>
      </c>
      <c r="J2626" s="94" t="b">
        <f>Proc[[#This Row],[Requested]]=Proc[[#This Row],[CurrentParent]]</f>
        <v>1</v>
      </c>
      <c r="K2626" s="94" t="str">
        <f>IF(Proc[[#This Row],[Author]]="Marcela Urrego",VLOOKUP(LEFT(Proc[[#This Row],[Requested]],1),Table3[#All],2,0),VLOOKUP(Proc[[#This Row],[Author]],Table4[],2,0))</f>
        <v>MGF</v>
      </c>
      <c r="L2626" s="125" t="s">
        <v>4896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31</v>
      </c>
      <c r="R2626" s="110" t="s">
        <v>485</v>
      </c>
      <c r="S2626" s="94"/>
    </row>
    <row r="2627" spans="1:19" hidden="1">
      <c r="A2627" s="103" t="s">
        <v>4424</v>
      </c>
      <c r="B2627" s="94" t="str">
        <f>IFERROR(VLOOKUP(Proc[[#This Row],[App]],Table2[],3,0),"open")</f>
        <v>ok</v>
      </c>
      <c r="C2627" s="117" t="s">
        <v>369</v>
      </c>
      <c r="D2627" t="s">
        <v>4550</v>
      </c>
      <c r="E2627" t="s">
        <v>4743</v>
      </c>
      <c r="F2627" s="94" t="s">
        <v>4743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4787</v>
      </c>
      <c r="J2627" s="94" t="b">
        <f>Proc[[#This Row],[Requested]]=Proc[[#This Row],[CurrentParent]]</f>
        <v>1</v>
      </c>
      <c r="K2627" s="94" t="str">
        <f>IF(Proc[[#This Row],[Author]]="Marcela Urrego",VLOOKUP(LEFT(Proc[[#This Row],[Requested]],1),Table3[#All],2,0),VLOOKUP(Proc[[#This Row],[Author]],Table4[],2,0))</f>
        <v>MGF</v>
      </c>
      <c r="L2627" s="125" t="s">
        <v>4896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31</v>
      </c>
      <c r="R2627" s="110" t="s">
        <v>485</v>
      </c>
      <c r="S2627" s="94"/>
    </row>
    <row r="2628" spans="1:19" hidden="1">
      <c r="A2628" s="103" t="s">
        <v>4424</v>
      </c>
      <c r="B2628" s="94" t="str">
        <f>IFERROR(VLOOKUP(Proc[[#This Row],[App]],Table2[],3,0),"open")</f>
        <v>ok</v>
      </c>
      <c r="C2628" s="117" t="s">
        <v>369</v>
      </c>
      <c r="D2628" t="s">
        <v>4551</v>
      </c>
      <c r="E2628" t="s">
        <v>4745</v>
      </c>
      <c r="F2628" s="94" t="s">
        <v>4745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4787</v>
      </c>
      <c r="J2628" s="94" t="b">
        <f>Proc[[#This Row],[Requested]]=Proc[[#This Row],[CurrentParent]]</f>
        <v>1</v>
      </c>
      <c r="K2628" s="94" t="str">
        <f>IF(Proc[[#This Row],[Author]]="Marcela Urrego",VLOOKUP(LEFT(Proc[[#This Row],[Requested]],1),Table3[#All],2,0),VLOOKUP(Proc[[#This Row],[Author]],Table4[],2,0))</f>
        <v>MGF</v>
      </c>
      <c r="L2628" s="125" t="s">
        <v>4896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31</v>
      </c>
      <c r="R2628" s="110" t="s">
        <v>485</v>
      </c>
      <c r="S2628" s="94"/>
    </row>
    <row r="2629" spans="1:19" hidden="1">
      <c r="A2629" s="103" t="s">
        <v>4424</v>
      </c>
      <c r="B2629" s="94" t="str">
        <f>IFERROR(VLOOKUP(Proc[[#This Row],[App]],Table2[],3,0),"open")</f>
        <v>ok</v>
      </c>
      <c r="C2629" s="117" t="s">
        <v>369</v>
      </c>
      <c r="D2629" t="s">
        <v>4552</v>
      </c>
      <c r="E2629" t="s">
        <v>4743</v>
      </c>
      <c r="F2629" s="94" t="s">
        <v>4743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4787</v>
      </c>
      <c r="J2629" s="94" t="b">
        <f>Proc[[#This Row],[Requested]]=Proc[[#This Row],[CurrentParent]]</f>
        <v>1</v>
      </c>
      <c r="K2629" s="94" t="str">
        <f>IF(Proc[[#This Row],[Author]]="Marcela Urrego",VLOOKUP(LEFT(Proc[[#This Row],[Requested]],1),Table3[#All],2,0),VLOOKUP(Proc[[#This Row],[Author]],Table4[],2,0))</f>
        <v>MGF</v>
      </c>
      <c r="L2629" s="125" t="s">
        <v>4896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31</v>
      </c>
      <c r="R2629" s="110" t="s">
        <v>485</v>
      </c>
      <c r="S2629" s="94"/>
    </row>
    <row r="2630" spans="1:19" hidden="1">
      <c r="A2630" s="103" t="s">
        <v>4424</v>
      </c>
      <c r="B2630" s="94" t="str">
        <f>IFERROR(VLOOKUP(Proc[[#This Row],[App]],Table2[],3,0),"open")</f>
        <v>ok</v>
      </c>
      <c r="C2630" s="117" t="s">
        <v>369</v>
      </c>
      <c r="D2630" t="s">
        <v>4553</v>
      </c>
      <c r="E2630" t="s">
        <v>4743</v>
      </c>
      <c r="F2630" s="94" t="s">
        <v>4743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4787</v>
      </c>
      <c r="J2630" s="94" t="b">
        <f>Proc[[#This Row],[Requested]]=Proc[[#This Row],[CurrentParent]]</f>
        <v>1</v>
      </c>
      <c r="K2630" s="94" t="str">
        <f>IF(Proc[[#This Row],[Author]]="Marcela Urrego",VLOOKUP(LEFT(Proc[[#This Row],[Requested]],1),Table3[#All],2,0),VLOOKUP(Proc[[#This Row],[Author]],Table4[],2,0))</f>
        <v>MGF</v>
      </c>
      <c r="L2630" s="125" t="s">
        <v>4896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31</v>
      </c>
      <c r="R2630" s="110" t="s">
        <v>485</v>
      </c>
      <c r="S2630" s="94"/>
    </row>
    <row r="2631" spans="1:19" hidden="1">
      <c r="A2631" s="103" t="s">
        <v>4424</v>
      </c>
      <c r="B2631" s="94" t="str">
        <f>IFERROR(VLOOKUP(Proc[[#This Row],[App]],Table2[],3,0),"open")</f>
        <v>ok</v>
      </c>
      <c r="C2631" s="117" t="s">
        <v>369</v>
      </c>
      <c r="D2631" t="s">
        <v>4554</v>
      </c>
      <c r="E2631" t="s">
        <v>4743</v>
      </c>
      <c r="F2631" s="94" t="s">
        <v>4743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4787</v>
      </c>
      <c r="J2631" s="94" t="b">
        <f>Proc[[#This Row],[Requested]]=Proc[[#This Row],[CurrentParent]]</f>
        <v>1</v>
      </c>
      <c r="K2631" s="94" t="str">
        <f>IF(Proc[[#This Row],[Author]]="Marcela Urrego",VLOOKUP(LEFT(Proc[[#This Row],[Requested]],1),Table3[#All],2,0),VLOOKUP(Proc[[#This Row],[Author]],Table4[],2,0))</f>
        <v>MGF</v>
      </c>
      <c r="L2631" s="125" t="s">
        <v>4896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31</v>
      </c>
      <c r="R2631" s="110" t="s">
        <v>485</v>
      </c>
      <c r="S2631" s="94"/>
    </row>
    <row r="2632" spans="1:19" hidden="1">
      <c r="A2632" s="103" t="s">
        <v>4424</v>
      </c>
      <c r="B2632" s="94" t="str">
        <f>IFERROR(VLOOKUP(Proc[[#This Row],[App]],Table2[],3,0),"open")</f>
        <v>ok</v>
      </c>
      <c r="C2632" s="117" t="s">
        <v>369</v>
      </c>
      <c r="D2632" t="s">
        <v>4555</v>
      </c>
      <c r="E2632" t="s">
        <v>4745</v>
      </c>
      <c r="F2632" s="94" t="s">
        <v>4745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4787</v>
      </c>
      <c r="J2632" s="94" t="b">
        <f>Proc[[#This Row],[Requested]]=Proc[[#This Row],[CurrentParent]]</f>
        <v>1</v>
      </c>
      <c r="K2632" s="94" t="str">
        <f>IF(Proc[[#This Row],[Author]]="Marcela Urrego",VLOOKUP(LEFT(Proc[[#This Row],[Requested]],1),Table3[#All],2,0),VLOOKUP(Proc[[#This Row],[Author]],Table4[],2,0))</f>
        <v>MGF</v>
      </c>
      <c r="L2632" s="125" t="s">
        <v>4896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31</v>
      </c>
      <c r="R2632" s="110" t="s">
        <v>485</v>
      </c>
      <c r="S2632" s="94"/>
    </row>
    <row r="2633" spans="1:19" hidden="1">
      <c r="A2633" s="103" t="s">
        <v>4424</v>
      </c>
      <c r="B2633" s="94" t="str">
        <f>IFERROR(VLOOKUP(Proc[[#This Row],[App]],Table2[],3,0),"open")</f>
        <v>ok</v>
      </c>
      <c r="C2633" s="117" t="s">
        <v>369</v>
      </c>
      <c r="D2633" t="s">
        <v>4556</v>
      </c>
      <c r="E2633" t="s">
        <v>4745</v>
      </c>
      <c r="F2633" s="94" t="s">
        <v>4745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4787</v>
      </c>
      <c r="J2633" s="94" t="b">
        <f>Proc[[#This Row],[Requested]]=Proc[[#This Row],[CurrentParent]]</f>
        <v>1</v>
      </c>
      <c r="K2633" s="94" t="str">
        <f>IF(Proc[[#This Row],[Author]]="Marcela Urrego",VLOOKUP(LEFT(Proc[[#This Row],[Requested]],1),Table3[#All],2,0),VLOOKUP(Proc[[#This Row],[Author]],Table4[],2,0))</f>
        <v>MGF</v>
      </c>
      <c r="L2633" s="125" t="s">
        <v>4896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31</v>
      </c>
      <c r="R2633" s="110" t="s">
        <v>485</v>
      </c>
      <c r="S2633" s="94"/>
    </row>
    <row r="2634" spans="1:19" hidden="1">
      <c r="A2634" s="103" t="s">
        <v>4424</v>
      </c>
      <c r="B2634" s="94" t="str">
        <f>IFERROR(VLOOKUP(Proc[[#This Row],[App]],Table2[],3,0),"open")</f>
        <v>ok</v>
      </c>
      <c r="C2634" s="117" t="s">
        <v>369</v>
      </c>
      <c r="D2634" t="s">
        <v>4557</v>
      </c>
      <c r="E2634" t="s">
        <v>4746</v>
      </c>
      <c r="F2634" s="94" t="s">
        <v>4746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4787</v>
      </c>
      <c r="J2634" s="94" t="b">
        <f>Proc[[#This Row],[Requested]]=Proc[[#This Row],[CurrentParent]]</f>
        <v>1</v>
      </c>
      <c r="K2634" s="94" t="str">
        <f>IF(Proc[[#This Row],[Author]]="Marcela Urrego",VLOOKUP(LEFT(Proc[[#This Row],[Requested]],1),Table3[#All],2,0),VLOOKUP(Proc[[#This Row],[Author]],Table4[],2,0))</f>
        <v>MGF</v>
      </c>
      <c r="L2634" s="125" t="s">
        <v>4896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31</v>
      </c>
      <c r="R2634" s="110" t="s">
        <v>485</v>
      </c>
      <c r="S2634" s="94"/>
    </row>
    <row r="2635" spans="1:19" hidden="1">
      <c r="A2635" s="103" t="s">
        <v>4424</v>
      </c>
      <c r="B2635" s="94" t="str">
        <f>IFERROR(VLOOKUP(Proc[[#This Row],[App]],Table2[],3,0),"open")</f>
        <v>ok</v>
      </c>
      <c r="C2635" s="117" t="s">
        <v>369</v>
      </c>
      <c r="D2635" t="s">
        <v>4558</v>
      </c>
      <c r="E2635" t="s">
        <v>4746</v>
      </c>
      <c r="F2635" s="94" t="s">
        <v>4746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4787</v>
      </c>
      <c r="J2635" s="94" t="b">
        <f>Proc[[#This Row],[Requested]]=Proc[[#This Row],[CurrentParent]]</f>
        <v>1</v>
      </c>
      <c r="K2635" s="94" t="str">
        <f>IF(Proc[[#This Row],[Author]]="Marcela Urrego",VLOOKUP(LEFT(Proc[[#This Row],[Requested]],1),Table3[#All],2,0),VLOOKUP(Proc[[#This Row],[Author]],Table4[],2,0))</f>
        <v>MGF</v>
      </c>
      <c r="L2635" s="125" t="s">
        <v>4896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31</v>
      </c>
      <c r="R2635" s="110" t="s">
        <v>485</v>
      </c>
      <c r="S2635" s="94"/>
    </row>
    <row r="2636" spans="1:19" hidden="1">
      <c r="A2636" s="103" t="s">
        <v>4424</v>
      </c>
      <c r="B2636" s="94" t="str">
        <f>IFERROR(VLOOKUP(Proc[[#This Row],[App]],Table2[],3,0),"open")</f>
        <v>ok</v>
      </c>
      <c r="C2636" s="117" t="s">
        <v>369</v>
      </c>
      <c r="D2636" t="s">
        <v>4559</v>
      </c>
      <c r="E2636" t="s">
        <v>4746</v>
      </c>
      <c r="F2636" s="94" t="s">
        <v>4746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4787</v>
      </c>
      <c r="J2636" s="94" t="b">
        <f>Proc[[#This Row],[Requested]]=Proc[[#This Row],[CurrentParent]]</f>
        <v>1</v>
      </c>
      <c r="K2636" s="94" t="str">
        <f>IF(Proc[[#This Row],[Author]]="Marcela Urrego",VLOOKUP(LEFT(Proc[[#This Row],[Requested]],1),Table3[#All],2,0),VLOOKUP(Proc[[#This Row],[Author]],Table4[],2,0))</f>
        <v>MGF</v>
      </c>
      <c r="L2636" s="125" t="s">
        <v>4896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31</v>
      </c>
      <c r="R2636" s="110" t="s">
        <v>485</v>
      </c>
      <c r="S2636" s="94"/>
    </row>
    <row r="2637" spans="1:19" hidden="1">
      <c r="A2637" s="103" t="s">
        <v>4424</v>
      </c>
      <c r="B2637" s="94" t="str">
        <f>IFERROR(VLOOKUP(Proc[[#This Row],[App]],Table2[],3,0),"open")</f>
        <v>ok</v>
      </c>
      <c r="C2637" s="117" t="s">
        <v>369</v>
      </c>
      <c r="D2637" t="s">
        <v>4560</v>
      </c>
      <c r="E2637" t="s">
        <v>4743</v>
      </c>
      <c r="F2637" s="94" t="s">
        <v>4743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4787</v>
      </c>
      <c r="J2637" s="94" t="b">
        <f>Proc[[#This Row],[Requested]]=Proc[[#This Row],[CurrentParent]]</f>
        <v>1</v>
      </c>
      <c r="K2637" s="94" t="str">
        <f>IF(Proc[[#This Row],[Author]]="Marcela Urrego",VLOOKUP(LEFT(Proc[[#This Row],[Requested]],1),Table3[#All],2,0),VLOOKUP(Proc[[#This Row],[Author]],Table4[],2,0))</f>
        <v>MGF</v>
      </c>
      <c r="L2637" s="125" t="s">
        <v>4896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31</v>
      </c>
      <c r="R2637" s="110" t="s">
        <v>485</v>
      </c>
      <c r="S2637" s="94"/>
    </row>
    <row r="2638" spans="1:19" hidden="1">
      <c r="A2638" s="103" t="s">
        <v>4424</v>
      </c>
      <c r="B2638" s="94" t="str">
        <f>IFERROR(VLOOKUP(Proc[[#This Row],[App]],Table2[],3,0),"open")</f>
        <v>ok</v>
      </c>
      <c r="C2638" s="117" t="s">
        <v>369</v>
      </c>
      <c r="D2638" t="s">
        <v>4561</v>
      </c>
      <c r="E2638" t="s">
        <v>4743</v>
      </c>
      <c r="F2638" s="94" t="s">
        <v>4743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4787</v>
      </c>
      <c r="J2638" s="94" t="b">
        <f>Proc[[#This Row],[Requested]]=Proc[[#This Row],[CurrentParent]]</f>
        <v>1</v>
      </c>
      <c r="K2638" s="94" t="str">
        <f>IF(Proc[[#This Row],[Author]]="Marcela Urrego",VLOOKUP(LEFT(Proc[[#This Row],[Requested]],1),Table3[#All],2,0),VLOOKUP(Proc[[#This Row],[Author]],Table4[],2,0))</f>
        <v>MGF</v>
      </c>
      <c r="L2638" s="125" t="s">
        <v>4896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31</v>
      </c>
      <c r="R2638" s="110" t="s">
        <v>485</v>
      </c>
      <c r="S2638" s="94"/>
    </row>
    <row r="2639" spans="1:19" hidden="1">
      <c r="A2639" s="103" t="s">
        <v>4424</v>
      </c>
      <c r="B2639" s="94" t="str">
        <f>IFERROR(VLOOKUP(Proc[[#This Row],[App]],Table2[],3,0),"open")</f>
        <v>ok</v>
      </c>
      <c r="C2639" s="117" t="s">
        <v>369</v>
      </c>
      <c r="D2639" t="s">
        <v>4562</v>
      </c>
      <c r="E2639" t="s">
        <v>4745</v>
      </c>
      <c r="F2639" s="94" t="s">
        <v>4745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4787</v>
      </c>
      <c r="J2639" s="94" t="b">
        <f>Proc[[#This Row],[Requested]]=Proc[[#This Row],[CurrentParent]]</f>
        <v>1</v>
      </c>
      <c r="K2639" s="94" t="str">
        <f>IF(Proc[[#This Row],[Author]]="Marcela Urrego",VLOOKUP(LEFT(Proc[[#This Row],[Requested]],1),Table3[#All],2,0),VLOOKUP(Proc[[#This Row],[Author]],Table4[],2,0))</f>
        <v>MGF</v>
      </c>
      <c r="L2639" s="125" t="s">
        <v>4896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31</v>
      </c>
      <c r="R2639" s="110" t="s">
        <v>485</v>
      </c>
      <c r="S2639" s="94"/>
    </row>
    <row r="2640" spans="1:19" hidden="1">
      <c r="A2640" s="103" t="s">
        <v>4424</v>
      </c>
      <c r="B2640" s="94" t="str">
        <f>IFERROR(VLOOKUP(Proc[[#This Row],[App]],Table2[],3,0),"open")</f>
        <v>ok</v>
      </c>
      <c r="C2640" s="117" t="s">
        <v>369</v>
      </c>
      <c r="D2640" t="s">
        <v>4563</v>
      </c>
      <c r="E2640" t="s">
        <v>4745</v>
      </c>
      <c r="F2640" s="94" t="s">
        <v>4745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4787</v>
      </c>
      <c r="J2640" s="94" t="b">
        <f>Proc[[#This Row],[Requested]]=Proc[[#This Row],[CurrentParent]]</f>
        <v>1</v>
      </c>
      <c r="K2640" s="94" t="str">
        <f>IF(Proc[[#This Row],[Author]]="Marcela Urrego",VLOOKUP(LEFT(Proc[[#This Row],[Requested]],1),Table3[#All],2,0),VLOOKUP(Proc[[#This Row],[Author]],Table4[],2,0))</f>
        <v>MGF</v>
      </c>
      <c r="L2640" s="125" t="s">
        <v>4896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31</v>
      </c>
      <c r="R2640" s="110" t="s">
        <v>485</v>
      </c>
      <c r="S2640" s="94"/>
    </row>
    <row r="2641" spans="1:19" hidden="1">
      <c r="A2641" s="103" t="s">
        <v>4424</v>
      </c>
      <c r="B2641" s="94" t="str">
        <f>IFERROR(VLOOKUP(Proc[[#This Row],[App]],Table2[],3,0),"open")</f>
        <v>ok</v>
      </c>
      <c r="C2641" s="117" t="s">
        <v>369</v>
      </c>
      <c r="D2641" t="s">
        <v>4564</v>
      </c>
      <c r="E2641" t="s">
        <v>4745</v>
      </c>
      <c r="F2641" s="94" t="s">
        <v>4745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4787</v>
      </c>
      <c r="J2641" s="94" t="b">
        <f>Proc[[#This Row],[Requested]]=Proc[[#This Row],[CurrentParent]]</f>
        <v>1</v>
      </c>
      <c r="K2641" s="94" t="str">
        <f>IF(Proc[[#This Row],[Author]]="Marcela Urrego",VLOOKUP(LEFT(Proc[[#This Row],[Requested]],1),Table3[#All],2,0),VLOOKUP(Proc[[#This Row],[Author]],Table4[],2,0))</f>
        <v>MGF</v>
      </c>
      <c r="L2641" s="125" t="s">
        <v>4896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31</v>
      </c>
      <c r="R2641" s="110" t="s">
        <v>485</v>
      </c>
      <c r="S2641" s="94"/>
    </row>
    <row r="2642" spans="1:19" hidden="1">
      <c r="A2642" s="103" t="s">
        <v>4424</v>
      </c>
      <c r="B2642" s="94" t="str">
        <f>IFERROR(VLOOKUP(Proc[[#This Row],[App]],Table2[],3,0),"open")</f>
        <v>ok</v>
      </c>
      <c r="C2642" s="117" t="s">
        <v>369</v>
      </c>
      <c r="D2642" t="s">
        <v>4565</v>
      </c>
      <c r="E2642" t="s">
        <v>4745</v>
      </c>
      <c r="F2642" s="94" t="s">
        <v>4745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4787</v>
      </c>
      <c r="J2642" s="94" t="b">
        <f>Proc[[#This Row],[Requested]]=Proc[[#This Row],[CurrentParent]]</f>
        <v>1</v>
      </c>
      <c r="K2642" s="94" t="str">
        <f>IF(Proc[[#This Row],[Author]]="Marcela Urrego",VLOOKUP(LEFT(Proc[[#This Row],[Requested]],1),Table3[#All],2,0),VLOOKUP(Proc[[#This Row],[Author]],Table4[],2,0))</f>
        <v>MGF</v>
      </c>
      <c r="L2642" s="125" t="s">
        <v>4896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31</v>
      </c>
      <c r="R2642" s="110" t="s">
        <v>485</v>
      </c>
      <c r="S2642" s="94"/>
    </row>
    <row r="2643" spans="1:19" hidden="1">
      <c r="A2643" s="103" t="s">
        <v>4424</v>
      </c>
      <c r="B2643" s="94" t="str">
        <f>IFERROR(VLOOKUP(Proc[[#This Row],[App]],Table2[],3,0),"open")</f>
        <v>ok</v>
      </c>
      <c r="C2643" s="117" t="s">
        <v>369</v>
      </c>
      <c r="D2643" t="s">
        <v>4566</v>
      </c>
      <c r="E2643" t="s">
        <v>4743</v>
      </c>
      <c r="F2643" s="94" t="s">
        <v>4743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4787</v>
      </c>
      <c r="J2643" s="94" t="b">
        <f>Proc[[#This Row],[Requested]]=Proc[[#This Row],[CurrentParent]]</f>
        <v>1</v>
      </c>
      <c r="K2643" s="94" t="str">
        <f>IF(Proc[[#This Row],[Author]]="Marcela Urrego",VLOOKUP(LEFT(Proc[[#This Row],[Requested]],1),Table3[#All],2,0),VLOOKUP(Proc[[#This Row],[Author]],Table4[],2,0))</f>
        <v>MGF</v>
      </c>
      <c r="L2643" s="125" t="s">
        <v>4896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31</v>
      </c>
      <c r="R2643" s="110" t="s">
        <v>485</v>
      </c>
      <c r="S2643" s="94"/>
    </row>
    <row r="2644" spans="1:19" hidden="1">
      <c r="A2644" s="103" t="s">
        <v>4424</v>
      </c>
      <c r="B2644" s="94" t="str">
        <f>IFERROR(VLOOKUP(Proc[[#This Row],[App]],Table2[],3,0),"open")</f>
        <v>ok</v>
      </c>
      <c r="C2644" s="117" t="s">
        <v>369</v>
      </c>
      <c r="D2644" t="s">
        <v>4567</v>
      </c>
      <c r="E2644" t="s">
        <v>4743</v>
      </c>
      <c r="F2644" s="94" t="s">
        <v>4743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4787</v>
      </c>
      <c r="J2644" s="94" t="b">
        <f>Proc[[#This Row],[Requested]]=Proc[[#This Row],[CurrentParent]]</f>
        <v>1</v>
      </c>
      <c r="K2644" s="94" t="str">
        <f>IF(Proc[[#This Row],[Author]]="Marcela Urrego",VLOOKUP(LEFT(Proc[[#This Row],[Requested]],1),Table3[#All],2,0),VLOOKUP(Proc[[#This Row],[Author]],Table4[],2,0))</f>
        <v>MGF</v>
      </c>
      <c r="L2644" s="125" t="s">
        <v>4896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31</v>
      </c>
      <c r="R2644" s="110" t="s">
        <v>485</v>
      </c>
      <c r="S2644" s="94"/>
    </row>
    <row r="2645" spans="1:19" hidden="1">
      <c r="A2645" s="103" t="s">
        <v>4424</v>
      </c>
      <c r="B2645" s="94" t="str">
        <f>IFERROR(VLOOKUP(Proc[[#This Row],[App]],Table2[],3,0),"open")</f>
        <v>ok</v>
      </c>
      <c r="C2645" s="117" t="s">
        <v>369</v>
      </c>
      <c r="D2645" t="s">
        <v>4568</v>
      </c>
      <c r="E2645" t="s">
        <v>4743</v>
      </c>
      <c r="F2645" s="94" t="s">
        <v>4743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4787</v>
      </c>
      <c r="J2645" s="94" t="b">
        <f>Proc[[#This Row],[Requested]]=Proc[[#This Row],[CurrentParent]]</f>
        <v>1</v>
      </c>
      <c r="K2645" s="94" t="str">
        <f>IF(Proc[[#This Row],[Author]]="Marcela Urrego",VLOOKUP(LEFT(Proc[[#This Row],[Requested]],1),Table3[#All],2,0),VLOOKUP(Proc[[#This Row],[Author]],Table4[],2,0))</f>
        <v>MGF</v>
      </c>
      <c r="L2645" s="125" t="s">
        <v>4896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31</v>
      </c>
      <c r="R2645" s="110" t="s">
        <v>485</v>
      </c>
      <c r="S2645" s="94"/>
    </row>
    <row r="2646" spans="1:19" hidden="1">
      <c r="A2646" s="103" t="s">
        <v>4424</v>
      </c>
      <c r="B2646" s="94" t="str">
        <f>IFERROR(VLOOKUP(Proc[[#This Row],[App]],Table2[],3,0),"open")</f>
        <v>ok</v>
      </c>
      <c r="C2646" s="117" t="s">
        <v>369</v>
      </c>
      <c r="D2646" t="s">
        <v>4569</v>
      </c>
      <c r="E2646" t="s">
        <v>4743</v>
      </c>
      <c r="F2646" s="94" t="s">
        <v>4743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4787</v>
      </c>
      <c r="J2646" s="94" t="b">
        <f>Proc[[#This Row],[Requested]]=Proc[[#This Row],[CurrentParent]]</f>
        <v>1</v>
      </c>
      <c r="K2646" s="94" t="str">
        <f>IF(Proc[[#This Row],[Author]]="Marcela Urrego",VLOOKUP(LEFT(Proc[[#This Row],[Requested]],1),Table3[#All],2,0),VLOOKUP(Proc[[#This Row],[Author]],Table4[],2,0))</f>
        <v>MGF</v>
      </c>
      <c r="L2646" s="125" t="s">
        <v>4896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31</v>
      </c>
      <c r="R2646" s="110" t="s">
        <v>485</v>
      </c>
      <c r="S2646" s="94"/>
    </row>
    <row r="2647" spans="1:19" hidden="1">
      <c r="A2647" s="103" t="s">
        <v>4424</v>
      </c>
      <c r="B2647" s="94" t="str">
        <f>IFERROR(VLOOKUP(Proc[[#This Row],[App]],Table2[],3,0),"open")</f>
        <v>ok</v>
      </c>
      <c r="C2647" s="117" t="s">
        <v>369</v>
      </c>
      <c r="D2647" t="s">
        <v>4570</v>
      </c>
      <c r="E2647" t="s">
        <v>4745</v>
      </c>
      <c r="F2647" s="94" t="s">
        <v>4745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4787</v>
      </c>
      <c r="J2647" s="94" t="b">
        <f>Proc[[#This Row],[Requested]]=Proc[[#This Row],[CurrentParent]]</f>
        <v>1</v>
      </c>
      <c r="K2647" s="94" t="str">
        <f>IF(Proc[[#This Row],[Author]]="Marcela Urrego",VLOOKUP(LEFT(Proc[[#This Row],[Requested]],1),Table3[#All],2,0),VLOOKUP(Proc[[#This Row],[Author]],Table4[],2,0))</f>
        <v>MGF</v>
      </c>
      <c r="L2647" s="125" t="s">
        <v>4896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31</v>
      </c>
      <c r="R2647" s="110" t="s">
        <v>485</v>
      </c>
      <c r="S2647" s="94"/>
    </row>
    <row r="2648" spans="1:19" hidden="1">
      <c r="A2648" s="103" t="s">
        <v>4424</v>
      </c>
      <c r="B2648" s="94" t="str">
        <f>IFERROR(VLOOKUP(Proc[[#This Row],[App]],Table2[],3,0),"open")</f>
        <v>ok</v>
      </c>
      <c r="C2648" s="117" t="s">
        <v>369</v>
      </c>
      <c r="D2648" t="s">
        <v>4571</v>
      </c>
      <c r="E2648" t="s">
        <v>4746</v>
      </c>
      <c r="F2648" s="94" t="s">
        <v>4746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4787</v>
      </c>
      <c r="J2648" s="94" t="b">
        <f>Proc[[#This Row],[Requested]]=Proc[[#This Row],[CurrentParent]]</f>
        <v>1</v>
      </c>
      <c r="K2648" s="94" t="str">
        <f>IF(Proc[[#This Row],[Author]]="Marcela Urrego",VLOOKUP(LEFT(Proc[[#This Row],[Requested]],1),Table3[#All],2,0),VLOOKUP(Proc[[#This Row],[Author]],Table4[],2,0))</f>
        <v>MGF</v>
      </c>
      <c r="L2648" s="125" t="s">
        <v>4896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31</v>
      </c>
      <c r="R2648" s="110" t="s">
        <v>485</v>
      </c>
      <c r="S2648" s="94"/>
    </row>
    <row r="2649" spans="1:19" hidden="1">
      <c r="A2649" s="103" t="s">
        <v>4424</v>
      </c>
      <c r="B2649" s="94" t="str">
        <f>IFERROR(VLOOKUP(Proc[[#This Row],[App]],Table2[],3,0),"open")</f>
        <v>ok</v>
      </c>
      <c r="C2649" s="117" t="s">
        <v>369</v>
      </c>
      <c r="D2649" t="s">
        <v>4572</v>
      </c>
      <c r="E2649" t="s">
        <v>4746</v>
      </c>
      <c r="F2649" s="94" t="s">
        <v>4746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4787</v>
      </c>
      <c r="J2649" s="94" t="b">
        <f>Proc[[#This Row],[Requested]]=Proc[[#This Row],[CurrentParent]]</f>
        <v>1</v>
      </c>
      <c r="K2649" s="94" t="str">
        <f>IF(Proc[[#This Row],[Author]]="Marcela Urrego",VLOOKUP(LEFT(Proc[[#This Row],[Requested]],1),Table3[#All],2,0),VLOOKUP(Proc[[#This Row],[Author]],Table4[],2,0))</f>
        <v>MGF</v>
      </c>
      <c r="L2649" s="125" t="s">
        <v>4896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31</v>
      </c>
      <c r="R2649" s="110" t="s">
        <v>485</v>
      </c>
      <c r="S2649" s="94"/>
    </row>
    <row r="2650" spans="1:19" hidden="1">
      <c r="A2650" s="103" t="s">
        <v>4424</v>
      </c>
      <c r="B2650" s="94" t="str">
        <f>IFERROR(VLOOKUP(Proc[[#This Row],[App]],Table2[],3,0),"open")</f>
        <v>ok</v>
      </c>
      <c r="C2650" s="117" t="s">
        <v>369</v>
      </c>
      <c r="D2650" t="s">
        <v>4573</v>
      </c>
      <c r="E2650" t="s">
        <v>4746</v>
      </c>
      <c r="F2650" s="94" t="s">
        <v>4746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4787</v>
      </c>
      <c r="J2650" s="94" t="b">
        <f>Proc[[#This Row],[Requested]]=Proc[[#This Row],[CurrentParent]]</f>
        <v>1</v>
      </c>
      <c r="K2650" s="94" t="str">
        <f>IF(Proc[[#This Row],[Author]]="Marcela Urrego",VLOOKUP(LEFT(Proc[[#This Row],[Requested]],1),Table3[#All],2,0),VLOOKUP(Proc[[#This Row],[Author]],Table4[],2,0))</f>
        <v>MGF</v>
      </c>
      <c r="L2650" s="125" t="s">
        <v>4896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31</v>
      </c>
      <c r="R2650" s="110" t="s">
        <v>485</v>
      </c>
      <c r="S2650" s="94"/>
    </row>
    <row r="2651" spans="1:19" hidden="1">
      <c r="A2651" s="103" t="s">
        <v>4424</v>
      </c>
      <c r="B2651" s="94" t="str">
        <f>IFERROR(VLOOKUP(Proc[[#This Row],[App]],Table2[],3,0),"open")</f>
        <v>ok</v>
      </c>
      <c r="C2651" s="117" t="s">
        <v>369</v>
      </c>
      <c r="D2651" t="s">
        <v>4574</v>
      </c>
      <c r="E2651" t="s">
        <v>4746</v>
      </c>
      <c r="F2651" s="94" t="s">
        <v>4746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4787</v>
      </c>
      <c r="J2651" s="94" t="b">
        <f>Proc[[#This Row],[Requested]]=Proc[[#This Row],[CurrentParent]]</f>
        <v>1</v>
      </c>
      <c r="K2651" s="94" t="str">
        <f>IF(Proc[[#This Row],[Author]]="Marcela Urrego",VLOOKUP(LEFT(Proc[[#This Row],[Requested]],1),Table3[#All],2,0),VLOOKUP(Proc[[#This Row],[Author]],Table4[],2,0))</f>
        <v>MGF</v>
      </c>
      <c r="L2651" s="125" t="s">
        <v>4896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31</v>
      </c>
      <c r="R2651" s="110" t="s">
        <v>485</v>
      </c>
      <c r="S2651" s="94"/>
    </row>
    <row r="2652" spans="1:19" hidden="1">
      <c r="A2652" s="103" t="s">
        <v>4424</v>
      </c>
      <c r="B2652" s="94" t="str">
        <f>IFERROR(VLOOKUP(Proc[[#This Row],[App]],Table2[],3,0),"open")</f>
        <v>ok</v>
      </c>
      <c r="C2652" s="117" t="s">
        <v>369</v>
      </c>
      <c r="D2652" t="s">
        <v>4575</v>
      </c>
      <c r="E2652" t="s">
        <v>4743</v>
      </c>
      <c r="F2652" s="94" t="s">
        <v>4743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4787</v>
      </c>
      <c r="J2652" s="94" t="b">
        <f>Proc[[#This Row],[Requested]]=Proc[[#This Row],[CurrentParent]]</f>
        <v>1</v>
      </c>
      <c r="K2652" s="94" t="str">
        <f>IF(Proc[[#This Row],[Author]]="Marcela Urrego",VLOOKUP(LEFT(Proc[[#This Row],[Requested]],1),Table3[#All],2,0),VLOOKUP(Proc[[#This Row],[Author]],Table4[],2,0))</f>
        <v>MGF</v>
      </c>
      <c r="L2652" s="125" t="s">
        <v>4896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31</v>
      </c>
      <c r="R2652" s="110" t="s">
        <v>485</v>
      </c>
      <c r="S2652" s="94"/>
    </row>
    <row r="2653" spans="1:19" hidden="1">
      <c r="A2653" s="103" t="s">
        <v>4424</v>
      </c>
      <c r="B2653" s="94" t="str">
        <f>IFERROR(VLOOKUP(Proc[[#This Row],[App]],Table2[],3,0),"open")</f>
        <v>ok</v>
      </c>
      <c r="C2653" s="117" t="s">
        <v>369</v>
      </c>
      <c r="D2653" t="s">
        <v>4576</v>
      </c>
      <c r="E2653" t="s">
        <v>4742</v>
      </c>
      <c r="F2653" s="94" t="s">
        <v>4742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4787</v>
      </c>
      <c r="J2653" s="94" t="b">
        <f>Proc[[#This Row],[Requested]]=Proc[[#This Row],[CurrentParent]]</f>
        <v>1</v>
      </c>
      <c r="K2653" s="94" t="str">
        <f>IF(Proc[[#This Row],[Author]]="Marcela Urrego",VLOOKUP(LEFT(Proc[[#This Row],[Requested]],1),Table3[#All],2,0),VLOOKUP(Proc[[#This Row],[Author]],Table4[],2,0))</f>
        <v>MGF</v>
      </c>
      <c r="L2653" s="125" t="s">
        <v>4896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31</v>
      </c>
      <c r="R2653" s="110" t="s">
        <v>485</v>
      </c>
      <c r="S2653" s="94"/>
    </row>
    <row r="2654" spans="1:19" hidden="1">
      <c r="A2654" s="103" t="s">
        <v>4424</v>
      </c>
      <c r="B2654" s="94" t="str">
        <f>IFERROR(VLOOKUP(Proc[[#This Row],[App]],Table2[],3,0),"open")</f>
        <v>ok</v>
      </c>
      <c r="C2654" s="117" t="s">
        <v>369</v>
      </c>
      <c r="D2654" t="s">
        <v>4577</v>
      </c>
      <c r="E2654" t="s">
        <v>4742</v>
      </c>
      <c r="F2654" s="94" t="s">
        <v>4742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4787</v>
      </c>
      <c r="J2654" s="94" t="b">
        <f>Proc[[#This Row],[Requested]]=Proc[[#This Row],[CurrentParent]]</f>
        <v>1</v>
      </c>
      <c r="K2654" s="94" t="str">
        <f>IF(Proc[[#This Row],[Author]]="Marcela Urrego",VLOOKUP(LEFT(Proc[[#This Row],[Requested]],1),Table3[#All],2,0),VLOOKUP(Proc[[#This Row],[Author]],Table4[],2,0))</f>
        <v>MGF</v>
      </c>
      <c r="L2654" s="125" t="s">
        <v>4896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31</v>
      </c>
      <c r="R2654" s="110" t="s">
        <v>485</v>
      </c>
      <c r="S2654" s="94"/>
    </row>
    <row r="2655" spans="1:19" hidden="1">
      <c r="A2655" s="103" t="s">
        <v>4424</v>
      </c>
      <c r="B2655" s="94" t="str">
        <f>IFERROR(VLOOKUP(Proc[[#This Row],[App]],Table2[],3,0),"open")</f>
        <v>ok</v>
      </c>
      <c r="C2655" s="117" t="s">
        <v>369</v>
      </c>
      <c r="D2655" t="s">
        <v>4578</v>
      </c>
      <c r="E2655" t="s">
        <v>4746</v>
      </c>
      <c r="F2655" s="94" t="s">
        <v>4746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4787</v>
      </c>
      <c r="J2655" s="94" t="b">
        <f>Proc[[#This Row],[Requested]]=Proc[[#This Row],[CurrentParent]]</f>
        <v>1</v>
      </c>
      <c r="K2655" s="94" t="str">
        <f>IF(Proc[[#This Row],[Author]]="Marcela Urrego",VLOOKUP(LEFT(Proc[[#This Row],[Requested]],1),Table3[#All],2,0),VLOOKUP(Proc[[#This Row],[Author]],Table4[],2,0))</f>
        <v>MGF</v>
      </c>
      <c r="L2655" s="125" t="s">
        <v>4896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31</v>
      </c>
      <c r="R2655" s="110" t="s">
        <v>485</v>
      </c>
      <c r="S2655" s="94"/>
    </row>
    <row r="2656" spans="1:19" hidden="1">
      <c r="A2656" s="103" t="s">
        <v>4424</v>
      </c>
      <c r="B2656" s="94" t="str">
        <f>IFERROR(VLOOKUP(Proc[[#This Row],[App]],Table2[],3,0),"open")</f>
        <v>ok</v>
      </c>
      <c r="C2656" s="117" t="s">
        <v>369</v>
      </c>
      <c r="D2656" t="s">
        <v>4579</v>
      </c>
      <c r="E2656" t="s">
        <v>4742</v>
      </c>
      <c r="F2656" s="94" t="s">
        <v>4742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4787</v>
      </c>
      <c r="J2656" s="94" t="b">
        <f>Proc[[#This Row],[Requested]]=Proc[[#This Row],[CurrentParent]]</f>
        <v>1</v>
      </c>
      <c r="K2656" s="94" t="str">
        <f>IF(Proc[[#This Row],[Author]]="Marcela Urrego",VLOOKUP(LEFT(Proc[[#This Row],[Requested]],1),Table3[#All],2,0),VLOOKUP(Proc[[#This Row],[Author]],Table4[],2,0))</f>
        <v>MGF</v>
      </c>
      <c r="L2656" s="125" t="s">
        <v>4896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31</v>
      </c>
      <c r="R2656" s="110" t="s">
        <v>485</v>
      </c>
      <c r="S2656" s="94"/>
    </row>
    <row r="2657" spans="1:19" hidden="1">
      <c r="A2657" s="103" t="s">
        <v>4424</v>
      </c>
      <c r="B2657" s="94" t="str">
        <f>IFERROR(VLOOKUP(Proc[[#This Row],[App]],Table2[],3,0),"open")</f>
        <v>ok</v>
      </c>
      <c r="C2657" s="117" t="s">
        <v>369</v>
      </c>
      <c r="D2657" t="s">
        <v>4580</v>
      </c>
      <c r="E2657" t="s">
        <v>4747</v>
      </c>
      <c r="F2657" s="94" t="s">
        <v>4747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4787</v>
      </c>
      <c r="J2657" s="94" t="b">
        <f>Proc[[#This Row],[Requested]]=Proc[[#This Row],[CurrentParent]]</f>
        <v>1</v>
      </c>
      <c r="K2657" s="94" t="str">
        <f>IF(Proc[[#This Row],[Author]]="Marcela Urrego",VLOOKUP(LEFT(Proc[[#This Row],[Requested]],1),Table3[#All],2,0),VLOOKUP(Proc[[#This Row],[Author]],Table4[],2,0))</f>
        <v>MGF</v>
      </c>
      <c r="L2657" s="125" t="s">
        <v>4896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31</v>
      </c>
      <c r="R2657" s="110" t="s">
        <v>485</v>
      </c>
      <c r="S2657" s="94"/>
    </row>
    <row r="2658" spans="1:19" hidden="1">
      <c r="A2658" s="103" t="s">
        <v>4424</v>
      </c>
      <c r="B2658" s="94" t="str">
        <f>IFERROR(VLOOKUP(Proc[[#This Row],[App]],Table2[],3,0),"open")</f>
        <v>ok</v>
      </c>
      <c r="C2658" s="117" t="s">
        <v>369</v>
      </c>
      <c r="D2658" t="s">
        <v>4581</v>
      </c>
      <c r="E2658" t="s">
        <v>4747</v>
      </c>
      <c r="F2658" s="94" t="s">
        <v>4747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4787</v>
      </c>
      <c r="J2658" s="94" t="b">
        <f>Proc[[#This Row],[Requested]]=Proc[[#This Row],[CurrentParent]]</f>
        <v>1</v>
      </c>
      <c r="K2658" s="94" t="str">
        <f>IF(Proc[[#This Row],[Author]]="Marcela Urrego",VLOOKUP(LEFT(Proc[[#This Row],[Requested]],1),Table3[#All],2,0),VLOOKUP(Proc[[#This Row],[Author]],Table4[],2,0))</f>
        <v>MGF</v>
      </c>
      <c r="L2658" s="125" t="s">
        <v>4896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31</v>
      </c>
      <c r="R2658" s="110" t="s">
        <v>485</v>
      </c>
      <c r="S2658" s="94"/>
    </row>
    <row r="2659" spans="1:19" hidden="1">
      <c r="A2659" s="103" t="s">
        <v>4424</v>
      </c>
      <c r="B2659" s="94" t="str">
        <f>IFERROR(VLOOKUP(Proc[[#This Row],[App]],Table2[],3,0),"open")</f>
        <v>ok</v>
      </c>
      <c r="C2659" s="117" t="s">
        <v>369</v>
      </c>
      <c r="D2659" t="s">
        <v>4582</v>
      </c>
      <c r="E2659" t="s">
        <v>4747</v>
      </c>
      <c r="F2659" s="94" t="s">
        <v>4747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4787</v>
      </c>
      <c r="J2659" s="94" t="b">
        <f>Proc[[#This Row],[Requested]]=Proc[[#This Row],[CurrentParent]]</f>
        <v>1</v>
      </c>
      <c r="K2659" s="94" t="str">
        <f>IF(Proc[[#This Row],[Author]]="Marcela Urrego",VLOOKUP(LEFT(Proc[[#This Row],[Requested]],1),Table3[#All],2,0),VLOOKUP(Proc[[#This Row],[Author]],Table4[],2,0))</f>
        <v>MGF</v>
      </c>
      <c r="L2659" s="125" t="s">
        <v>4896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31</v>
      </c>
      <c r="R2659" s="110" t="s">
        <v>485</v>
      </c>
      <c r="S2659" s="94"/>
    </row>
    <row r="2660" spans="1:19" hidden="1">
      <c r="A2660" s="103" t="s">
        <v>4424</v>
      </c>
      <c r="B2660" s="94" t="str">
        <f>IFERROR(VLOOKUP(Proc[[#This Row],[App]],Table2[],3,0),"open")</f>
        <v>ok</v>
      </c>
      <c r="C2660" s="117" t="s">
        <v>369</v>
      </c>
      <c r="D2660" t="s">
        <v>4583</v>
      </c>
      <c r="E2660" t="s">
        <v>4747</v>
      </c>
      <c r="F2660" s="94" t="s">
        <v>4747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4787</v>
      </c>
      <c r="J2660" s="94" t="b">
        <f>Proc[[#This Row],[Requested]]=Proc[[#This Row],[CurrentParent]]</f>
        <v>1</v>
      </c>
      <c r="K2660" s="94" t="str">
        <f>IF(Proc[[#This Row],[Author]]="Marcela Urrego",VLOOKUP(LEFT(Proc[[#This Row],[Requested]],1),Table3[#All],2,0),VLOOKUP(Proc[[#This Row],[Author]],Table4[],2,0))</f>
        <v>MGF</v>
      </c>
      <c r="L2660" s="125" t="s">
        <v>4896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31</v>
      </c>
      <c r="R2660" s="110" t="s">
        <v>485</v>
      </c>
      <c r="S2660" s="94"/>
    </row>
    <row r="2661" spans="1:19" hidden="1">
      <c r="A2661" s="103" t="s">
        <v>4424</v>
      </c>
      <c r="B2661" s="94" t="str">
        <f>IFERROR(VLOOKUP(Proc[[#This Row],[App]],Table2[],3,0),"open")</f>
        <v>ok</v>
      </c>
      <c r="C2661" s="117" t="s">
        <v>369</v>
      </c>
      <c r="D2661" t="s">
        <v>4584</v>
      </c>
      <c r="E2661" t="s">
        <v>4747</v>
      </c>
      <c r="F2661" s="94" t="s">
        <v>4747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4787</v>
      </c>
      <c r="J2661" s="94" t="b">
        <f>Proc[[#This Row],[Requested]]=Proc[[#This Row],[CurrentParent]]</f>
        <v>1</v>
      </c>
      <c r="K2661" s="94" t="str">
        <f>IF(Proc[[#This Row],[Author]]="Marcela Urrego",VLOOKUP(LEFT(Proc[[#This Row],[Requested]],1),Table3[#All],2,0),VLOOKUP(Proc[[#This Row],[Author]],Table4[],2,0))</f>
        <v>MGF</v>
      </c>
      <c r="L2661" s="125" t="s">
        <v>4896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31</v>
      </c>
      <c r="R2661" s="110" t="s">
        <v>485</v>
      </c>
      <c r="S2661" s="94"/>
    </row>
    <row r="2662" spans="1:19" hidden="1">
      <c r="A2662" s="103" t="s">
        <v>4424</v>
      </c>
      <c r="B2662" s="94" t="str">
        <f>IFERROR(VLOOKUP(Proc[[#This Row],[App]],Table2[],3,0),"open")</f>
        <v>ok</v>
      </c>
      <c r="C2662" s="117" t="s">
        <v>369</v>
      </c>
      <c r="D2662" t="s">
        <v>4585</v>
      </c>
      <c r="E2662" t="s">
        <v>4747</v>
      </c>
      <c r="F2662" s="94" t="s">
        <v>4747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4787</v>
      </c>
      <c r="J2662" s="94" t="b">
        <f>Proc[[#This Row],[Requested]]=Proc[[#This Row],[CurrentParent]]</f>
        <v>1</v>
      </c>
      <c r="K2662" s="94" t="str">
        <f>IF(Proc[[#This Row],[Author]]="Marcela Urrego",VLOOKUP(LEFT(Proc[[#This Row],[Requested]],1),Table3[#All],2,0),VLOOKUP(Proc[[#This Row],[Author]],Table4[],2,0))</f>
        <v>MGF</v>
      </c>
      <c r="L2662" s="125" t="s">
        <v>4896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31</v>
      </c>
      <c r="R2662" s="110" t="s">
        <v>485</v>
      </c>
      <c r="S2662" s="94"/>
    </row>
    <row r="2663" spans="1:19" hidden="1">
      <c r="A2663" s="103" t="s">
        <v>4424</v>
      </c>
      <c r="B2663" s="94" t="str">
        <f>IFERROR(VLOOKUP(Proc[[#This Row],[App]],Table2[],3,0),"open")</f>
        <v>ok</v>
      </c>
      <c r="C2663" s="117" t="s">
        <v>369</v>
      </c>
      <c r="D2663" t="s">
        <v>4586</v>
      </c>
      <c r="E2663" t="s">
        <v>4748</v>
      </c>
      <c r="F2663" s="94" t="s">
        <v>4748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4787</v>
      </c>
      <c r="J2663" s="94" t="b">
        <f>Proc[[#This Row],[Requested]]=Proc[[#This Row],[CurrentParent]]</f>
        <v>1</v>
      </c>
      <c r="K2663" s="94" t="str">
        <f>IF(Proc[[#This Row],[Author]]="Marcela Urrego",VLOOKUP(LEFT(Proc[[#This Row],[Requested]],1),Table3[#All],2,0),VLOOKUP(Proc[[#This Row],[Author]],Table4[],2,0))</f>
        <v>MGF</v>
      </c>
      <c r="L2663" s="125" t="s">
        <v>4896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31</v>
      </c>
      <c r="R2663" s="110" t="s">
        <v>485</v>
      </c>
      <c r="S2663" s="94"/>
    </row>
    <row r="2664" spans="1:19" hidden="1">
      <c r="A2664" s="103" t="s">
        <v>4424</v>
      </c>
      <c r="B2664" s="94" t="str">
        <f>IFERROR(VLOOKUP(Proc[[#This Row],[App]],Table2[],3,0),"open")</f>
        <v>ok</v>
      </c>
      <c r="C2664" s="117" t="s">
        <v>369</v>
      </c>
      <c r="D2664" t="s">
        <v>4587</v>
      </c>
      <c r="E2664" t="s">
        <v>4748</v>
      </c>
      <c r="F2664" s="94" t="s">
        <v>4748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4787</v>
      </c>
      <c r="J2664" s="94" t="b">
        <f>Proc[[#This Row],[Requested]]=Proc[[#This Row],[CurrentParent]]</f>
        <v>1</v>
      </c>
      <c r="K2664" s="94" t="str">
        <f>IF(Proc[[#This Row],[Author]]="Marcela Urrego",VLOOKUP(LEFT(Proc[[#This Row],[Requested]],1),Table3[#All],2,0),VLOOKUP(Proc[[#This Row],[Author]],Table4[],2,0))</f>
        <v>MGF</v>
      </c>
      <c r="L2664" s="125" t="s">
        <v>4896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31</v>
      </c>
      <c r="R2664" s="110" t="s">
        <v>485</v>
      </c>
      <c r="S2664" s="94"/>
    </row>
    <row r="2665" spans="1:19" hidden="1">
      <c r="A2665" s="103" t="s">
        <v>4424</v>
      </c>
      <c r="B2665" s="94" t="str">
        <f>IFERROR(VLOOKUP(Proc[[#This Row],[App]],Table2[],3,0),"open")</f>
        <v>ok</v>
      </c>
      <c r="C2665" s="117" t="s">
        <v>369</v>
      </c>
      <c r="D2665" t="s">
        <v>4588</v>
      </c>
      <c r="E2665" t="s">
        <v>4748</v>
      </c>
      <c r="F2665" s="94" t="s">
        <v>4748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4787</v>
      </c>
      <c r="J2665" s="94" t="b">
        <f>Proc[[#This Row],[Requested]]=Proc[[#This Row],[CurrentParent]]</f>
        <v>1</v>
      </c>
      <c r="K2665" s="94" t="str">
        <f>IF(Proc[[#This Row],[Author]]="Marcela Urrego",VLOOKUP(LEFT(Proc[[#This Row],[Requested]],1),Table3[#All],2,0),VLOOKUP(Proc[[#This Row],[Author]],Table4[],2,0))</f>
        <v>MGF</v>
      </c>
      <c r="L2665" s="125" t="s">
        <v>4896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31</v>
      </c>
      <c r="R2665" s="110" t="s">
        <v>485</v>
      </c>
      <c r="S2665" s="94"/>
    </row>
    <row r="2666" spans="1:19" hidden="1">
      <c r="A2666" s="103" t="s">
        <v>4424</v>
      </c>
      <c r="B2666" s="94" t="str">
        <f>IFERROR(VLOOKUP(Proc[[#This Row],[App]],Table2[],3,0),"open")</f>
        <v>ok</v>
      </c>
      <c r="C2666" s="117" t="s">
        <v>369</v>
      </c>
      <c r="D2666" t="s">
        <v>4589</v>
      </c>
      <c r="E2666" t="s">
        <v>4748</v>
      </c>
      <c r="F2666" s="94" t="s">
        <v>4748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4787</v>
      </c>
      <c r="J2666" s="94" t="b">
        <f>Proc[[#This Row],[Requested]]=Proc[[#This Row],[CurrentParent]]</f>
        <v>1</v>
      </c>
      <c r="K2666" s="94" t="str">
        <f>IF(Proc[[#This Row],[Author]]="Marcela Urrego",VLOOKUP(LEFT(Proc[[#This Row],[Requested]],1),Table3[#All],2,0),VLOOKUP(Proc[[#This Row],[Author]],Table4[],2,0))</f>
        <v>MGF</v>
      </c>
      <c r="L2666" s="125" t="s">
        <v>4896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31</v>
      </c>
      <c r="R2666" s="110" t="s">
        <v>485</v>
      </c>
      <c r="S2666" s="94"/>
    </row>
    <row r="2667" spans="1:19" hidden="1">
      <c r="A2667" s="103" t="s">
        <v>4424</v>
      </c>
      <c r="B2667" s="94" t="str">
        <f>IFERROR(VLOOKUP(Proc[[#This Row],[App]],Table2[],3,0),"open")</f>
        <v>ok</v>
      </c>
      <c r="C2667" s="117" t="s">
        <v>369</v>
      </c>
      <c r="D2667" t="s">
        <v>4590</v>
      </c>
      <c r="E2667" t="s">
        <v>4748</v>
      </c>
      <c r="F2667" s="94" t="s">
        <v>4748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4787</v>
      </c>
      <c r="J2667" s="94" t="b">
        <f>Proc[[#This Row],[Requested]]=Proc[[#This Row],[CurrentParent]]</f>
        <v>1</v>
      </c>
      <c r="K2667" s="94" t="str">
        <f>IF(Proc[[#This Row],[Author]]="Marcela Urrego",VLOOKUP(LEFT(Proc[[#This Row],[Requested]],1),Table3[#All],2,0),VLOOKUP(Proc[[#This Row],[Author]],Table4[],2,0))</f>
        <v>MGF</v>
      </c>
      <c r="L2667" s="125" t="s">
        <v>4896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31</v>
      </c>
      <c r="R2667" s="110" t="s">
        <v>485</v>
      </c>
      <c r="S2667" s="94"/>
    </row>
    <row r="2668" spans="1:19" hidden="1">
      <c r="A2668" s="103" t="s">
        <v>4424</v>
      </c>
      <c r="B2668" s="94" t="str">
        <f>IFERROR(VLOOKUP(Proc[[#This Row],[App]],Table2[],3,0),"open")</f>
        <v>ok</v>
      </c>
      <c r="C2668" s="117" t="s">
        <v>369</v>
      </c>
      <c r="D2668" t="s">
        <v>4591</v>
      </c>
      <c r="E2668" t="s">
        <v>4748</v>
      </c>
      <c r="F2668" s="94" t="s">
        <v>4748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4787</v>
      </c>
      <c r="J2668" s="94" t="b">
        <f>Proc[[#This Row],[Requested]]=Proc[[#This Row],[CurrentParent]]</f>
        <v>1</v>
      </c>
      <c r="K2668" s="94" t="str">
        <f>IF(Proc[[#This Row],[Author]]="Marcela Urrego",VLOOKUP(LEFT(Proc[[#This Row],[Requested]],1),Table3[#All],2,0),VLOOKUP(Proc[[#This Row],[Author]],Table4[],2,0))</f>
        <v>MGF</v>
      </c>
      <c r="L2668" s="125" t="s">
        <v>4896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31</v>
      </c>
      <c r="R2668" s="110" t="s">
        <v>485</v>
      </c>
      <c r="S2668" s="94"/>
    </row>
    <row r="2669" spans="1:19" hidden="1">
      <c r="A2669" s="103" t="s">
        <v>4424</v>
      </c>
      <c r="B2669" s="94" t="str">
        <f>IFERROR(VLOOKUP(Proc[[#This Row],[App]],Table2[],3,0),"open")</f>
        <v>ok</v>
      </c>
      <c r="C2669" s="117" t="s">
        <v>369</v>
      </c>
      <c r="D2669" t="s">
        <v>4592</v>
      </c>
      <c r="E2669" t="s">
        <v>4748</v>
      </c>
      <c r="F2669" s="94" t="s">
        <v>4748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4787</v>
      </c>
      <c r="J2669" s="94" t="b">
        <f>Proc[[#This Row],[Requested]]=Proc[[#This Row],[CurrentParent]]</f>
        <v>1</v>
      </c>
      <c r="K2669" s="94" t="str">
        <f>IF(Proc[[#This Row],[Author]]="Marcela Urrego",VLOOKUP(LEFT(Proc[[#This Row],[Requested]],1),Table3[#All],2,0),VLOOKUP(Proc[[#This Row],[Author]],Table4[],2,0))</f>
        <v>MGF</v>
      </c>
      <c r="L2669" s="125" t="s">
        <v>4896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31</v>
      </c>
      <c r="R2669" s="110" t="s">
        <v>485</v>
      </c>
      <c r="S2669" s="94"/>
    </row>
    <row r="2670" spans="1:19" hidden="1">
      <c r="A2670" s="103" t="s">
        <v>4424</v>
      </c>
      <c r="B2670" s="94" t="str">
        <f>IFERROR(VLOOKUP(Proc[[#This Row],[App]],Table2[],3,0),"open")</f>
        <v>ok</v>
      </c>
      <c r="C2670" s="117" t="s">
        <v>369</v>
      </c>
      <c r="D2670" t="s">
        <v>4593</v>
      </c>
      <c r="E2670" t="s">
        <v>4749</v>
      </c>
      <c r="F2670" s="94" t="s">
        <v>4749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4787</v>
      </c>
      <c r="J2670" s="94" t="b">
        <f>Proc[[#This Row],[Requested]]=Proc[[#This Row],[CurrentParent]]</f>
        <v>1</v>
      </c>
      <c r="K2670" s="94" t="str">
        <f>IF(Proc[[#This Row],[Author]]="Marcela Urrego",VLOOKUP(LEFT(Proc[[#This Row],[Requested]],1),Table3[#All],2,0),VLOOKUP(Proc[[#This Row],[Author]],Table4[],2,0))</f>
        <v>MGF</v>
      </c>
      <c r="L2670" s="125" t="s">
        <v>4896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31</v>
      </c>
      <c r="R2670" s="110" t="s">
        <v>485</v>
      </c>
      <c r="S2670" s="94"/>
    </row>
    <row r="2671" spans="1:19" hidden="1">
      <c r="A2671" s="103" t="s">
        <v>4424</v>
      </c>
      <c r="B2671" s="94" t="str">
        <f>IFERROR(VLOOKUP(Proc[[#This Row],[App]],Table2[],3,0),"open")</f>
        <v>ok</v>
      </c>
      <c r="C2671" s="117" t="s">
        <v>369</v>
      </c>
      <c r="D2671" t="s">
        <v>4594</v>
      </c>
      <c r="E2671" t="s">
        <v>4749</v>
      </c>
      <c r="F2671" s="94" t="s">
        <v>4749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4787</v>
      </c>
      <c r="J2671" s="94" t="b">
        <f>Proc[[#This Row],[Requested]]=Proc[[#This Row],[CurrentParent]]</f>
        <v>1</v>
      </c>
      <c r="K2671" s="94" t="str">
        <f>IF(Proc[[#This Row],[Author]]="Marcela Urrego",VLOOKUP(LEFT(Proc[[#This Row],[Requested]],1),Table3[#All],2,0),VLOOKUP(Proc[[#This Row],[Author]],Table4[],2,0))</f>
        <v>MGF</v>
      </c>
      <c r="L2671" s="125" t="s">
        <v>4896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31</v>
      </c>
      <c r="R2671" s="110" t="s">
        <v>485</v>
      </c>
      <c r="S2671" s="94"/>
    </row>
    <row r="2672" spans="1:19" hidden="1">
      <c r="A2672" s="103" t="s">
        <v>4424</v>
      </c>
      <c r="B2672" s="94" t="str">
        <f>IFERROR(VLOOKUP(Proc[[#This Row],[App]],Table2[],3,0),"open")</f>
        <v>ok</v>
      </c>
      <c r="C2672" s="117" t="s">
        <v>369</v>
      </c>
      <c r="D2672" t="s">
        <v>4595</v>
      </c>
      <c r="E2672" t="s">
        <v>4749</v>
      </c>
      <c r="F2672" s="94" t="s">
        <v>4749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4787</v>
      </c>
      <c r="J2672" s="94" t="b">
        <f>Proc[[#This Row],[Requested]]=Proc[[#This Row],[CurrentParent]]</f>
        <v>1</v>
      </c>
      <c r="K2672" s="94" t="str">
        <f>IF(Proc[[#This Row],[Author]]="Marcela Urrego",VLOOKUP(LEFT(Proc[[#This Row],[Requested]],1),Table3[#All],2,0),VLOOKUP(Proc[[#This Row],[Author]],Table4[],2,0))</f>
        <v>MGF</v>
      </c>
      <c r="L2672" s="125" t="s">
        <v>4896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31</v>
      </c>
      <c r="R2672" s="110" t="s">
        <v>485</v>
      </c>
      <c r="S2672" s="94"/>
    </row>
    <row r="2673" spans="1:19" hidden="1">
      <c r="A2673" s="103" t="s">
        <v>4424</v>
      </c>
      <c r="B2673" s="94" t="str">
        <f>IFERROR(VLOOKUP(Proc[[#This Row],[App]],Table2[],3,0),"open")</f>
        <v>ok</v>
      </c>
      <c r="C2673" s="117" t="s">
        <v>369</v>
      </c>
      <c r="D2673" t="s">
        <v>4596</v>
      </c>
      <c r="E2673" t="s">
        <v>4750</v>
      </c>
      <c r="F2673" s="94" t="s">
        <v>4750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4787</v>
      </c>
      <c r="J2673" s="94" t="b">
        <f>Proc[[#This Row],[Requested]]=Proc[[#This Row],[CurrentParent]]</f>
        <v>1</v>
      </c>
      <c r="K2673" s="94" t="str">
        <f>IF(Proc[[#This Row],[Author]]="Marcela Urrego",VLOOKUP(LEFT(Proc[[#This Row],[Requested]],1),Table3[#All],2,0),VLOOKUP(Proc[[#This Row],[Author]],Table4[],2,0))</f>
        <v>MGF</v>
      </c>
      <c r="L2673" s="125" t="s">
        <v>4896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31</v>
      </c>
      <c r="R2673" s="110" t="s">
        <v>485</v>
      </c>
      <c r="S2673" s="94"/>
    </row>
    <row r="2674" spans="1:19" hidden="1">
      <c r="A2674" s="103" t="s">
        <v>4424</v>
      </c>
      <c r="B2674" s="94" t="str">
        <f>IFERROR(VLOOKUP(Proc[[#This Row],[App]],Table2[],3,0),"open")</f>
        <v>ok</v>
      </c>
      <c r="C2674" s="117" t="s">
        <v>369</v>
      </c>
      <c r="D2674" t="s">
        <v>4597</v>
      </c>
      <c r="E2674" t="s">
        <v>4749</v>
      </c>
      <c r="F2674" s="94" t="s">
        <v>4749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4787</v>
      </c>
      <c r="J2674" s="94" t="b">
        <f>Proc[[#This Row],[Requested]]=Proc[[#This Row],[CurrentParent]]</f>
        <v>1</v>
      </c>
      <c r="K2674" s="94" t="str">
        <f>IF(Proc[[#This Row],[Author]]="Marcela Urrego",VLOOKUP(LEFT(Proc[[#This Row],[Requested]],1),Table3[#All],2,0),VLOOKUP(Proc[[#This Row],[Author]],Table4[],2,0))</f>
        <v>MGF</v>
      </c>
      <c r="L2674" s="125" t="s">
        <v>4896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31</v>
      </c>
      <c r="R2674" s="110" t="s">
        <v>485</v>
      </c>
      <c r="S2674" s="94"/>
    </row>
    <row r="2675" spans="1:19" hidden="1">
      <c r="A2675" s="103" t="s">
        <v>4424</v>
      </c>
      <c r="B2675" s="94" t="str">
        <f>IFERROR(VLOOKUP(Proc[[#This Row],[App]],Table2[],3,0),"open")</f>
        <v>ok</v>
      </c>
      <c r="C2675" s="117" t="s">
        <v>369</v>
      </c>
      <c r="D2675" t="s">
        <v>4598</v>
      </c>
      <c r="E2675" t="s">
        <v>4750</v>
      </c>
      <c r="F2675" s="94" t="s">
        <v>4750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4787</v>
      </c>
      <c r="J2675" s="94" t="b">
        <f>Proc[[#This Row],[Requested]]=Proc[[#This Row],[CurrentParent]]</f>
        <v>1</v>
      </c>
      <c r="K2675" s="94" t="str">
        <f>IF(Proc[[#This Row],[Author]]="Marcela Urrego",VLOOKUP(LEFT(Proc[[#This Row],[Requested]],1),Table3[#All],2,0),VLOOKUP(Proc[[#This Row],[Author]],Table4[],2,0))</f>
        <v>MGF</v>
      </c>
      <c r="L2675" s="125" t="s">
        <v>4896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31</v>
      </c>
      <c r="R2675" s="110" t="s">
        <v>485</v>
      </c>
      <c r="S2675" s="94"/>
    </row>
    <row r="2676" spans="1:19" hidden="1">
      <c r="A2676" s="103" t="s">
        <v>4424</v>
      </c>
      <c r="B2676" s="94" t="str">
        <f>IFERROR(VLOOKUP(Proc[[#This Row],[App]],Table2[],3,0),"open")</f>
        <v>ok</v>
      </c>
      <c r="C2676" s="117" t="s">
        <v>369</v>
      </c>
      <c r="D2676" t="s">
        <v>4599</v>
      </c>
      <c r="E2676" t="s">
        <v>4751</v>
      </c>
      <c r="F2676" s="94" t="s">
        <v>4751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4787</v>
      </c>
      <c r="J2676" s="94" t="b">
        <f>Proc[[#This Row],[Requested]]=Proc[[#This Row],[CurrentParent]]</f>
        <v>1</v>
      </c>
      <c r="K2676" s="94" t="str">
        <f>IF(Proc[[#This Row],[Author]]="Marcela Urrego",VLOOKUP(LEFT(Proc[[#This Row],[Requested]],1),Table3[#All],2,0),VLOOKUP(Proc[[#This Row],[Author]],Table4[],2,0))</f>
        <v>MGF</v>
      </c>
      <c r="L2676" s="125" t="s">
        <v>4896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31</v>
      </c>
      <c r="R2676" s="110" t="s">
        <v>485</v>
      </c>
      <c r="S2676" s="94"/>
    </row>
    <row r="2677" spans="1:19" hidden="1">
      <c r="A2677" s="103" t="s">
        <v>4424</v>
      </c>
      <c r="B2677" s="94" t="str">
        <f>IFERROR(VLOOKUP(Proc[[#This Row],[App]],Table2[],3,0),"open")</f>
        <v>ok</v>
      </c>
      <c r="C2677" s="117" t="s">
        <v>369</v>
      </c>
      <c r="D2677" t="s">
        <v>4600</v>
      </c>
      <c r="E2677" t="s">
        <v>4750</v>
      </c>
      <c r="F2677" s="94" t="s">
        <v>4750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4787</v>
      </c>
      <c r="J2677" s="94" t="b">
        <f>Proc[[#This Row],[Requested]]=Proc[[#This Row],[CurrentParent]]</f>
        <v>1</v>
      </c>
      <c r="K2677" s="94" t="str">
        <f>IF(Proc[[#This Row],[Author]]="Marcela Urrego",VLOOKUP(LEFT(Proc[[#This Row],[Requested]],1),Table3[#All],2,0),VLOOKUP(Proc[[#This Row],[Author]],Table4[],2,0))</f>
        <v>MGF</v>
      </c>
      <c r="L2677" s="125" t="s">
        <v>4896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31</v>
      </c>
      <c r="R2677" s="110" t="s">
        <v>485</v>
      </c>
      <c r="S2677" s="94"/>
    </row>
    <row r="2678" spans="1:19" hidden="1">
      <c r="A2678" s="103" t="s">
        <v>4424</v>
      </c>
      <c r="B2678" s="94" t="str">
        <f>IFERROR(VLOOKUP(Proc[[#This Row],[App]],Table2[],3,0),"open")</f>
        <v>ok</v>
      </c>
      <c r="C2678" s="117" t="s">
        <v>369</v>
      </c>
      <c r="D2678" t="s">
        <v>4601</v>
      </c>
      <c r="E2678" t="s">
        <v>4750</v>
      </c>
      <c r="F2678" s="94" t="s">
        <v>4750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4787</v>
      </c>
      <c r="J2678" s="94" t="b">
        <f>Proc[[#This Row],[Requested]]=Proc[[#This Row],[CurrentParent]]</f>
        <v>1</v>
      </c>
      <c r="K2678" s="94" t="str">
        <f>IF(Proc[[#This Row],[Author]]="Marcela Urrego",VLOOKUP(LEFT(Proc[[#This Row],[Requested]],1),Table3[#All],2,0),VLOOKUP(Proc[[#This Row],[Author]],Table4[],2,0))</f>
        <v>MGF</v>
      </c>
      <c r="L2678" s="125" t="s">
        <v>4896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31</v>
      </c>
      <c r="R2678" s="110" t="s">
        <v>485</v>
      </c>
      <c r="S2678" s="94"/>
    </row>
    <row r="2679" spans="1:19" hidden="1">
      <c r="A2679" s="103" t="s">
        <v>4424</v>
      </c>
      <c r="B2679" s="94" t="str">
        <f>IFERROR(VLOOKUP(Proc[[#This Row],[App]],Table2[],3,0),"open")</f>
        <v>ok</v>
      </c>
      <c r="C2679" s="117" t="s">
        <v>369</v>
      </c>
      <c r="D2679" t="s">
        <v>4602</v>
      </c>
      <c r="E2679" t="s">
        <v>4749</v>
      </c>
      <c r="F2679" s="94" t="s">
        <v>4749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4787</v>
      </c>
      <c r="J2679" s="94" t="b">
        <f>Proc[[#This Row],[Requested]]=Proc[[#This Row],[CurrentParent]]</f>
        <v>1</v>
      </c>
      <c r="K2679" s="94" t="str">
        <f>IF(Proc[[#This Row],[Author]]="Marcela Urrego",VLOOKUP(LEFT(Proc[[#This Row],[Requested]],1),Table3[#All],2,0),VLOOKUP(Proc[[#This Row],[Author]],Table4[],2,0))</f>
        <v>MGF</v>
      </c>
      <c r="L2679" s="125" t="s">
        <v>4896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31</v>
      </c>
      <c r="R2679" s="110" t="s">
        <v>485</v>
      </c>
      <c r="S2679" s="94"/>
    </row>
    <row r="2680" spans="1:19" hidden="1">
      <c r="A2680" s="103" t="s">
        <v>4424</v>
      </c>
      <c r="B2680" s="94" t="str">
        <f>IFERROR(VLOOKUP(Proc[[#This Row],[App]],Table2[],3,0),"open")</f>
        <v>ok</v>
      </c>
      <c r="C2680" s="117" t="s">
        <v>369</v>
      </c>
      <c r="D2680" t="s">
        <v>4603</v>
      </c>
      <c r="E2680" t="s">
        <v>4749</v>
      </c>
      <c r="F2680" s="94" t="s">
        <v>4749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4787</v>
      </c>
      <c r="J2680" s="94" t="b">
        <f>Proc[[#This Row],[Requested]]=Proc[[#This Row],[CurrentParent]]</f>
        <v>1</v>
      </c>
      <c r="K2680" s="94" t="str">
        <f>IF(Proc[[#This Row],[Author]]="Marcela Urrego",VLOOKUP(LEFT(Proc[[#This Row],[Requested]],1),Table3[#All],2,0),VLOOKUP(Proc[[#This Row],[Author]],Table4[],2,0))</f>
        <v>MGF</v>
      </c>
      <c r="L2680" s="125" t="s">
        <v>4896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31</v>
      </c>
      <c r="R2680" s="110" t="s">
        <v>485</v>
      </c>
      <c r="S2680" s="94"/>
    </row>
    <row r="2681" spans="1:19" hidden="1">
      <c r="A2681" s="103" t="s">
        <v>4424</v>
      </c>
      <c r="B2681" s="94" t="str">
        <f>IFERROR(VLOOKUP(Proc[[#This Row],[App]],Table2[],3,0),"open")</f>
        <v>ok</v>
      </c>
      <c r="C2681" s="117" t="s">
        <v>369</v>
      </c>
      <c r="D2681" t="s">
        <v>4604</v>
      </c>
      <c r="E2681" t="s">
        <v>4749</v>
      </c>
      <c r="F2681" s="94" t="s">
        <v>4749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4787</v>
      </c>
      <c r="J2681" s="94" t="b">
        <f>Proc[[#This Row],[Requested]]=Proc[[#This Row],[CurrentParent]]</f>
        <v>1</v>
      </c>
      <c r="K2681" s="94" t="str">
        <f>IF(Proc[[#This Row],[Author]]="Marcela Urrego",VLOOKUP(LEFT(Proc[[#This Row],[Requested]],1),Table3[#All],2,0),VLOOKUP(Proc[[#This Row],[Author]],Table4[],2,0))</f>
        <v>MGF</v>
      </c>
      <c r="L2681" s="125" t="s">
        <v>4896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31</v>
      </c>
      <c r="R2681" s="110" t="s">
        <v>485</v>
      </c>
      <c r="S2681" s="94"/>
    </row>
    <row r="2682" spans="1:19" hidden="1">
      <c r="A2682" s="103" t="s">
        <v>4424</v>
      </c>
      <c r="B2682" s="94" t="str">
        <f>IFERROR(VLOOKUP(Proc[[#This Row],[App]],Table2[],3,0),"open")</f>
        <v>ok</v>
      </c>
      <c r="C2682" s="117" t="s">
        <v>369</v>
      </c>
      <c r="D2682" t="s">
        <v>4605</v>
      </c>
      <c r="E2682" t="s">
        <v>4749</v>
      </c>
      <c r="F2682" s="94" t="s">
        <v>4749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4787</v>
      </c>
      <c r="J2682" s="94" t="b">
        <f>Proc[[#This Row],[Requested]]=Proc[[#This Row],[CurrentParent]]</f>
        <v>1</v>
      </c>
      <c r="K2682" s="94" t="str">
        <f>IF(Proc[[#This Row],[Author]]="Marcela Urrego",VLOOKUP(LEFT(Proc[[#This Row],[Requested]],1),Table3[#All],2,0),VLOOKUP(Proc[[#This Row],[Author]],Table4[],2,0))</f>
        <v>MGF</v>
      </c>
      <c r="L2682" s="125" t="s">
        <v>4896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31</v>
      </c>
      <c r="R2682" s="110" t="s">
        <v>485</v>
      </c>
      <c r="S2682" s="94"/>
    </row>
    <row r="2683" spans="1:19" hidden="1">
      <c r="A2683" s="103" t="s">
        <v>4424</v>
      </c>
      <c r="B2683" s="94" t="str">
        <f>IFERROR(VLOOKUP(Proc[[#This Row],[App]],Table2[],3,0),"open")</f>
        <v>ok</v>
      </c>
      <c r="C2683" s="117" t="s">
        <v>369</v>
      </c>
      <c r="D2683" t="s">
        <v>4606</v>
      </c>
      <c r="E2683" t="s">
        <v>4749</v>
      </c>
      <c r="F2683" s="94" t="s">
        <v>4749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4787</v>
      </c>
      <c r="J2683" s="94" t="b">
        <f>Proc[[#This Row],[Requested]]=Proc[[#This Row],[CurrentParent]]</f>
        <v>1</v>
      </c>
      <c r="K2683" s="94" t="str">
        <f>IF(Proc[[#This Row],[Author]]="Marcela Urrego",VLOOKUP(LEFT(Proc[[#This Row],[Requested]],1),Table3[#All],2,0),VLOOKUP(Proc[[#This Row],[Author]],Table4[],2,0))</f>
        <v>MGF</v>
      </c>
      <c r="L2683" s="125" t="s">
        <v>4896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31</v>
      </c>
      <c r="R2683" s="110" t="s">
        <v>485</v>
      </c>
      <c r="S2683" s="94"/>
    </row>
    <row r="2684" spans="1:19" hidden="1">
      <c r="A2684" s="103" t="s">
        <v>4424</v>
      </c>
      <c r="B2684" s="94" t="str">
        <f>IFERROR(VLOOKUP(Proc[[#This Row],[App]],Table2[],3,0),"open")</f>
        <v>ok</v>
      </c>
      <c r="C2684" s="117" t="s">
        <v>369</v>
      </c>
      <c r="D2684" t="s">
        <v>4607</v>
      </c>
      <c r="E2684" t="s">
        <v>4751</v>
      </c>
      <c r="F2684" s="94" t="s">
        <v>4751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4787</v>
      </c>
      <c r="J2684" s="94" t="b">
        <f>Proc[[#This Row],[Requested]]=Proc[[#This Row],[CurrentParent]]</f>
        <v>1</v>
      </c>
      <c r="K2684" s="94" t="str">
        <f>IF(Proc[[#This Row],[Author]]="Marcela Urrego",VLOOKUP(LEFT(Proc[[#This Row],[Requested]],1),Table3[#All],2,0),VLOOKUP(Proc[[#This Row],[Author]],Table4[],2,0))</f>
        <v>MGF</v>
      </c>
      <c r="L2684" s="125" t="s">
        <v>4896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31</v>
      </c>
      <c r="R2684" s="110" t="s">
        <v>485</v>
      </c>
      <c r="S2684" s="94"/>
    </row>
    <row r="2685" spans="1:19" hidden="1">
      <c r="A2685" s="103" t="s">
        <v>4424</v>
      </c>
      <c r="B2685" s="94" t="str">
        <f>IFERROR(VLOOKUP(Proc[[#This Row],[App]],Table2[],3,0),"open")</f>
        <v>ok</v>
      </c>
      <c r="C2685" s="117" t="s">
        <v>369</v>
      </c>
      <c r="D2685" t="s">
        <v>4608</v>
      </c>
      <c r="E2685" t="s">
        <v>4749</v>
      </c>
      <c r="F2685" s="94" t="s">
        <v>4749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4787</v>
      </c>
      <c r="J2685" s="94" t="b">
        <f>Proc[[#This Row],[Requested]]=Proc[[#This Row],[CurrentParent]]</f>
        <v>1</v>
      </c>
      <c r="K2685" s="94" t="str">
        <f>IF(Proc[[#This Row],[Author]]="Marcela Urrego",VLOOKUP(LEFT(Proc[[#This Row],[Requested]],1),Table3[#All],2,0),VLOOKUP(Proc[[#This Row],[Author]],Table4[],2,0))</f>
        <v>MGF</v>
      </c>
      <c r="L2685" s="125" t="s">
        <v>4896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31</v>
      </c>
      <c r="R2685" s="110" t="s">
        <v>485</v>
      </c>
      <c r="S2685" s="94"/>
    </row>
    <row r="2686" spans="1:19" hidden="1">
      <c r="A2686" s="103" t="s">
        <v>4424</v>
      </c>
      <c r="B2686" s="94" t="str">
        <f>IFERROR(VLOOKUP(Proc[[#This Row],[App]],Table2[],3,0),"open")</f>
        <v>ok</v>
      </c>
      <c r="C2686" s="117" t="s">
        <v>369</v>
      </c>
      <c r="D2686" t="s">
        <v>4609</v>
      </c>
      <c r="E2686" t="s">
        <v>4749</v>
      </c>
      <c r="F2686" s="94" t="s">
        <v>4749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4787</v>
      </c>
      <c r="J2686" s="94" t="b">
        <f>Proc[[#This Row],[Requested]]=Proc[[#This Row],[CurrentParent]]</f>
        <v>1</v>
      </c>
      <c r="K2686" s="94" t="str">
        <f>IF(Proc[[#This Row],[Author]]="Marcela Urrego",VLOOKUP(LEFT(Proc[[#This Row],[Requested]],1),Table3[#All],2,0),VLOOKUP(Proc[[#This Row],[Author]],Table4[],2,0))</f>
        <v>MGF</v>
      </c>
      <c r="L2686" s="125" t="s">
        <v>4896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31</v>
      </c>
      <c r="R2686" s="110" t="s">
        <v>485</v>
      </c>
      <c r="S2686" s="94"/>
    </row>
    <row r="2687" spans="1:19" hidden="1">
      <c r="A2687" s="103" t="s">
        <v>4424</v>
      </c>
      <c r="B2687" s="94" t="str">
        <f>IFERROR(VLOOKUP(Proc[[#This Row],[App]],Table2[],3,0),"open")</f>
        <v>ok</v>
      </c>
      <c r="C2687" s="117" t="s">
        <v>369</v>
      </c>
      <c r="D2687" t="s">
        <v>4610</v>
      </c>
      <c r="E2687" t="s">
        <v>4749</v>
      </c>
      <c r="F2687" s="94" t="s">
        <v>4749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4787</v>
      </c>
      <c r="J2687" s="94" t="b">
        <f>Proc[[#This Row],[Requested]]=Proc[[#This Row],[CurrentParent]]</f>
        <v>1</v>
      </c>
      <c r="K2687" s="94" t="str">
        <f>IF(Proc[[#This Row],[Author]]="Marcela Urrego",VLOOKUP(LEFT(Proc[[#This Row],[Requested]],1),Table3[#All],2,0),VLOOKUP(Proc[[#This Row],[Author]],Table4[],2,0))</f>
        <v>MGF</v>
      </c>
      <c r="L2687" s="125" t="s">
        <v>4896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31</v>
      </c>
      <c r="R2687" s="110" t="s">
        <v>485</v>
      </c>
      <c r="S2687" s="94"/>
    </row>
    <row r="2688" spans="1:19" hidden="1">
      <c r="A2688" s="103" t="s">
        <v>4424</v>
      </c>
      <c r="B2688" s="94" t="str">
        <f>IFERROR(VLOOKUP(Proc[[#This Row],[App]],Table2[],3,0),"open")</f>
        <v>ok</v>
      </c>
      <c r="C2688" s="117" t="s">
        <v>369</v>
      </c>
      <c r="D2688" t="s">
        <v>4611</v>
      </c>
      <c r="E2688" t="s">
        <v>4751</v>
      </c>
      <c r="F2688" s="94" t="s">
        <v>4751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4787</v>
      </c>
      <c r="J2688" s="94" t="b">
        <f>Proc[[#This Row],[Requested]]=Proc[[#This Row],[CurrentParent]]</f>
        <v>1</v>
      </c>
      <c r="K2688" s="94" t="str">
        <f>IF(Proc[[#This Row],[Author]]="Marcela Urrego",VLOOKUP(LEFT(Proc[[#This Row],[Requested]],1),Table3[#All],2,0),VLOOKUP(Proc[[#This Row],[Author]],Table4[],2,0))</f>
        <v>MGF</v>
      </c>
      <c r="L2688" s="125" t="s">
        <v>4896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31</v>
      </c>
      <c r="R2688" s="110" t="s">
        <v>485</v>
      </c>
      <c r="S2688" s="94"/>
    </row>
    <row r="2689" spans="1:19" hidden="1">
      <c r="A2689" s="103" t="s">
        <v>4424</v>
      </c>
      <c r="B2689" s="94" t="str">
        <f>IFERROR(VLOOKUP(Proc[[#This Row],[App]],Table2[],3,0),"open")</f>
        <v>ok</v>
      </c>
      <c r="C2689" s="117" t="s">
        <v>369</v>
      </c>
      <c r="D2689" t="s">
        <v>4612</v>
      </c>
      <c r="E2689" t="s">
        <v>4749</v>
      </c>
      <c r="F2689" s="94" t="s">
        <v>4749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4787</v>
      </c>
      <c r="J2689" s="94" t="b">
        <f>Proc[[#This Row],[Requested]]=Proc[[#This Row],[CurrentParent]]</f>
        <v>1</v>
      </c>
      <c r="K2689" s="94" t="str">
        <f>IF(Proc[[#This Row],[Author]]="Marcela Urrego",VLOOKUP(LEFT(Proc[[#This Row],[Requested]],1),Table3[#All],2,0),VLOOKUP(Proc[[#This Row],[Author]],Table4[],2,0))</f>
        <v>MGF</v>
      </c>
      <c r="L2689" s="125" t="s">
        <v>4896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31</v>
      </c>
      <c r="R2689" s="110" t="s">
        <v>485</v>
      </c>
      <c r="S2689" s="94"/>
    </row>
    <row r="2690" spans="1:19" hidden="1">
      <c r="A2690" s="103" t="s">
        <v>4424</v>
      </c>
      <c r="B2690" s="94" t="str">
        <f>IFERROR(VLOOKUP(Proc[[#This Row],[App]],Table2[],3,0),"open")</f>
        <v>ok</v>
      </c>
      <c r="C2690" s="117" t="s">
        <v>369</v>
      </c>
      <c r="D2690" t="s">
        <v>4613</v>
      </c>
      <c r="E2690" t="s">
        <v>4749</v>
      </c>
      <c r="F2690" s="94" t="s">
        <v>4749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4787</v>
      </c>
      <c r="J2690" s="94" t="b">
        <f>Proc[[#This Row],[Requested]]=Proc[[#This Row],[CurrentParent]]</f>
        <v>1</v>
      </c>
      <c r="K2690" s="94" t="str">
        <f>IF(Proc[[#This Row],[Author]]="Marcela Urrego",VLOOKUP(LEFT(Proc[[#This Row],[Requested]],1),Table3[#All],2,0),VLOOKUP(Proc[[#This Row],[Author]],Table4[],2,0))</f>
        <v>MGF</v>
      </c>
      <c r="L2690" s="125" t="s">
        <v>4896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31</v>
      </c>
      <c r="R2690" s="110" t="s">
        <v>485</v>
      </c>
      <c r="S2690" s="94"/>
    </row>
    <row r="2691" spans="1:19" hidden="1">
      <c r="A2691" s="103" t="s">
        <v>4424</v>
      </c>
      <c r="B2691" s="94" t="str">
        <f>IFERROR(VLOOKUP(Proc[[#This Row],[App]],Table2[],3,0),"open")</f>
        <v>ok</v>
      </c>
      <c r="C2691" s="117" t="s">
        <v>369</v>
      </c>
      <c r="D2691" t="s">
        <v>4614</v>
      </c>
      <c r="E2691" t="s">
        <v>4749</v>
      </c>
      <c r="F2691" s="94" t="s">
        <v>4749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4787</v>
      </c>
      <c r="J2691" s="94" t="b">
        <f>Proc[[#This Row],[Requested]]=Proc[[#This Row],[CurrentParent]]</f>
        <v>1</v>
      </c>
      <c r="K2691" s="94" t="str">
        <f>IF(Proc[[#This Row],[Author]]="Marcela Urrego",VLOOKUP(LEFT(Proc[[#This Row],[Requested]],1),Table3[#All],2,0),VLOOKUP(Proc[[#This Row],[Author]],Table4[],2,0))</f>
        <v>MGF</v>
      </c>
      <c r="L2691" s="125" t="s">
        <v>4896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31</v>
      </c>
      <c r="R2691" s="110" t="s">
        <v>485</v>
      </c>
      <c r="S2691" s="94"/>
    </row>
    <row r="2692" spans="1:19" hidden="1">
      <c r="A2692" s="103" t="s">
        <v>4424</v>
      </c>
      <c r="B2692" s="94" t="str">
        <f>IFERROR(VLOOKUP(Proc[[#This Row],[App]],Table2[],3,0),"open")</f>
        <v>ok</v>
      </c>
      <c r="C2692" s="117" t="s">
        <v>369</v>
      </c>
      <c r="D2692" t="s">
        <v>4615</v>
      </c>
      <c r="E2692" t="s">
        <v>4750</v>
      </c>
      <c r="F2692" s="94" t="s">
        <v>4750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4787</v>
      </c>
      <c r="J2692" s="94" t="b">
        <f>Proc[[#This Row],[Requested]]=Proc[[#This Row],[CurrentParent]]</f>
        <v>1</v>
      </c>
      <c r="K2692" s="94" t="str">
        <f>IF(Proc[[#This Row],[Author]]="Marcela Urrego",VLOOKUP(LEFT(Proc[[#This Row],[Requested]],1),Table3[#All],2,0),VLOOKUP(Proc[[#This Row],[Author]],Table4[],2,0))</f>
        <v>MGF</v>
      </c>
      <c r="L2692" s="125" t="s">
        <v>4896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31</v>
      </c>
      <c r="R2692" s="110" t="s">
        <v>485</v>
      </c>
      <c r="S2692" s="94"/>
    </row>
    <row r="2693" spans="1:19" hidden="1">
      <c r="A2693" s="103" t="s">
        <v>4424</v>
      </c>
      <c r="B2693" s="94" t="str">
        <f>IFERROR(VLOOKUP(Proc[[#This Row],[App]],Table2[],3,0),"open")</f>
        <v>ok</v>
      </c>
      <c r="C2693" s="117" t="s">
        <v>369</v>
      </c>
      <c r="D2693" t="s">
        <v>4616</v>
      </c>
      <c r="E2693" t="s">
        <v>4749</v>
      </c>
      <c r="F2693" s="94" t="s">
        <v>4749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4787</v>
      </c>
      <c r="J2693" s="94" t="b">
        <f>Proc[[#This Row],[Requested]]=Proc[[#This Row],[CurrentParent]]</f>
        <v>1</v>
      </c>
      <c r="K2693" s="94" t="str">
        <f>IF(Proc[[#This Row],[Author]]="Marcela Urrego",VLOOKUP(LEFT(Proc[[#This Row],[Requested]],1),Table3[#All],2,0),VLOOKUP(Proc[[#This Row],[Author]],Table4[],2,0))</f>
        <v>MGF</v>
      </c>
      <c r="L2693" s="125" t="s">
        <v>4896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31</v>
      </c>
      <c r="R2693" s="110" t="s">
        <v>485</v>
      </c>
      <c r="S2693" s="94"/>
    </row>
    <row r="2694" spans="1:19" hidden="1">
      <c r="A2694" s="103" t="s">
        <v>4424</v>
      </c>
      <c r="B2694" s="94" t="str">
        <f>IFERROR(VLOOKUP(Proc[[#This Row],[App]],Table2[],3,0),"open")</f>
        <v>ok</v>
      </c>
      <c r="C2694" s="117" t="s">
        <v>369</v>
      </c>
      <c r="D2694" t="s">
        <v>4617</v>
      </c>
      <c r="E2694" t="s">
        <v>4751</v>
      </c>
      <c r="F2694" s="94" t="s">
        <v>4751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4787</v>
      </c>
      <c r="J2694" s="94" t="b">
        <f>Proc[[#This Row],[Requested]]=Proc[[#This Row],[CurrentParent]]</f>
        <v>1</v>
      </c>
      <c r="K2694" s="94" t="str">
        <f>IF(Proc[[#This Row],[Author]]="Marcela Urrego",VLOOKUP(LEFT(Proc[[#This Row],[Requested]],1),Table3[#All],2,0),VLOOKUP(Proc[[#This Row],[Author]],Table4[],2,0))</f>
        <v>MGF</v>
      </c>
      <c r="L2694" s="125" t="s">
        <v>4896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31</v>
      </c>
      <c r="R2694" s="110" t="s">
        <v>485</v>
      </c>
      <c r="S2694" s="94"/>
    </row>
    <row r="2695" spans="1:19" hidden="1">
      <c r="A2695" s="103" t="s">
        <v>4424</v>
      </c>
      <c r="B2695" s="94" t="str">
        <f>IFERROR(VLOOKUP(Proc[[#This Row],[App]],Table2[],3,0),"open")</f>
        <v>ok</v>
      </c>
      <c r="C2695" s="117" t="s">
        <v>369</v>
      </c>
      <c r="D2695" t="s">
        <v>4618</v>
      </c>
      <c r="E2695" t="s">
        <v>4751</v>
      </c>
      <c r="F2695" s="94" t="s">
        <v>4751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4787</v>
      </c>
      <c r="J2695" s="94" t="b">
        <f>Proc[[#This Row],[Requested]]=Proc[[#This Row],[CurrentParent]]</f>
        <v>1</v>
      </c>
      <c r="K2695" s="94" t="str">
        <f>IF(Proc[[#This Row],[Author]]="Marcela Urrego",VLOOKUP(LEFT(Proc[[#This Row],[Requested]],1),Table3[#All],2,0),VLOOKUP(Proc[[#This Row],[Author]],Table4[],2,0))</f>
        <v>MGF</v>
      </c>
      <c r="L2695" s="125" t="s">
        <v>4896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31</v>
      </c>
      <c r="R2695" s="110" t="s">
        <v>485</v>
      </c>
      <c r="S2695" s="94"/>
    </row>
    <row r="2696" spans="1:19" hidden="1">
      <c r="A2696" s="103" t="s">
        <v>4424</v>
      </c>
      <c r="B2696" s="94" t="str">
        <f>IFERROR(VLOOKUP(Proc[[#This Row],[App]],Table2[],3,0),"open")</f>
        <v>ok</v>
      </c>
      <c r="C2696" s="117" t="s">
        <v>369</v>
      </c>
      <c r="D2696" t="s">
        <v>4619</v>
      </c>
      <c r="E2696" t="s">
        <v>4749</v>
      </c>
      <c r="F2696" s="94" t="s">
        <v>4749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4787</v>
      </c>
      <c r="J2696" s="94" t="b">
        <f>Proc[[#This Row],[Requested]]=Proc[[#This Row],[CurrentParent]]</f>
        <v>1</v>
      </c>
      <c r="K2696" s="94" t="str">
        <f>IF(Proc[[#This Row],[Author]]="Marcela Urrego",VLOOKUP(LEFT(Proc[[#This Row],[Requested]],1),Table3[#All],2,0),VLOOKUP(Proc[[#This Row],[Author]],Table4[],2,0))</f>
        <v>MGF</v>
      </c>
      <c r="L2696" s="125" t="s">
        <v>4896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31</v>
      </c>
      <c r="R2696" s="110" t="s">
        <v>485</v>
      </c>
      <c r="S2696" s="94"/>
    </row>
    <row r="2697" spans="1:19" hidden="1">
      <c r="A2697" s="103" t="s">
        <v>4424</v>
      </c>
      <c r="B2697" s="94" t="str">
        <f>IFERROR(VLOOKUP(Proc[[#This Row],[App]],Table2[],3,0),"open")</f>
        <v>ok</v>
      </c>
      <c r="C2697" s="117" t="s">
        <v>369</v>
      </c>
      <c r="D2697" t="s">
        <v>4620</v>
      </c>
      <c r="E2697" t="s">
        <v>4749</v>
      </c>
      <c r="F2697" s="94" t="s">
        <v>4749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4787</v>
      </c>
      <c r="J2697" s="94" t="b">
        <f>Proc[[#This Row],[Requested]]=Proc[[#This Row],[CurrentParent]]</f>
        <v>1</v>
      </c>
      <c r="K2697" s="94" t="str">
        <f>IF(Proc[[#This Row],[Author]]="Marcela Urrego",VLOOKUP(LEFT(Proc[[#This Row],[Requested]],1),Table3[#All],2,0),VLOOKUP(Proc[[#This Row],[Author]],Table4[],2,0))</f>
        <v>MGF</v>
      </c>
      <c r="L2697" s="125" t="s">
        <v>4896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31</v>
      </c>
      <c r="R2697" s="110" t="s">
        <v>485</v>
      </c>
      <c r="S2697" s="94"/>
    </row>
    <row r="2698" spans="1:19" hidden="1">
      <c r="A2698" s="103" t="s">
        <v>4424</v>
      </c>
      <c r="B2698" s="94" t="str">
        <f>IFERROR(VLOOKUP(Proc[[#This Row],[App]],Table2[],3,0),"open")</f>
        <v>ok</v>
      </c>
      <c r="C2698" s="117" t="s">
        <v>369</v>
      </c>
      <c r="D2698" t="s">
        <v>4621</v>
      </c>
      <c r="E2698" t="s">
        <v>4749</v>
      </c>
      <c r="F2698" s="94" t="s">
        <v>4749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4787</v>
      </c>
      <c r="J2698" s="94" t="b">
        <f>Proc[[#This Row],[Requested]]=Proc[[#This Row],[CurrentParent]]</f>
        <v>1</v>
      </c>
      <c r="K2698" s="94" t="str">
        <f>IF(Proc[[#This Row],[Author]]="Marcela Urrego",VLOOKUP(LEFT(Proc[[#This Row],[Requested]],1),Table3[#All],2,0),VLOOKUP(Proc[[#This Row],[Author]],Table4[],2,0))</f>
        <v>MGF</v>
      </c>
      <c r="L2698" s="125" t="s">
        <v>4896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31</v>
      </c>
      <c r="R2698" s="110" t="s">
        <v>485</v>
      </c>
      <c r="S2698" s="94"/>
    </row>
    <row r="2699" spans="1:19" hidden="1">
      <c r="A2699" s="103" t="s">
        <v>4424</v>
      </c>
      <c r="B2699" s="94" t="str">
        <f>IFERROR(VLOOKUP(Proc[[#This Row],[App]],Table2[],3,0),"open")</f>
        <v>ok</v>
      </c>
      <c r="C2699" s="117" t="s">
        <v>369</v>
      </c>
      <c r="D2699" t="s">
        <v>4622</v>
      </c>
      <c r="E2699" t="s">
        <v>4750</v>
      </c>
      <c r="F2699" s="94" t="s">
        <v>4750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4787</v>
      </c>
      <c r="J2699" s="94" t="b">
        <f>Proc[[#This Row],[Requested]]=Proc[[#This Row],[CurrentParent]]</f>
        <v>1</v>
      </c>
      <c r="K2699" s="94" t="str">
        <f>IF(Proc[[#This Row],[Author]]="Marcela Urrego",VLOOKUP(LEFT(Proc[[#This Row],[Requested]],1),Table3[#All],2,0),VLOOKUP(Proc[[#This Row],[Author]],Table4[],2,0))</f>
        <v>MGF</v>
      </c>
      <c r="L2699" s="125" t="s">
        <v>4896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31</v>
      </c>
      <c r="R2699" s="110" t="s">
        <v>485</v>
      </c>
      <c r="S2699" s="94"/>
    </row>
    <row r="2700" spans="1:19" hidden="1">
      <c r="A2700" s="103" t="s">
        <v>4424</v>
      </c>
      <c r="B2700" s="94" t="str">
        <f>IFERROR(VLOOKUP(Proc[[#This Row],[App]],Table2[],3,0),"open")</f>
        <v>ok</v>
      </c>
      <c r="C2700" s="117" t="s">
        <v>369</v>
      </c>
      <c r="D2700" t="s">
        <v>4623</v>
      </c>
      <c r="E2700" t="s">
        <v>4750</v>
      </c>
      <c r="F2700" s="94" t="s">
        <v>4750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4787</v>
      </c>
      <c r="J2700" s="94" t="b">
        <f>Proc[[#This Row],[Requested]]=Proc[[#This Row],[CurrentParent]]</f>
        <v>1</v>
      </c>
      <c r="K2700" s="94" t="str">
        <f>IF(Proc[[#This Row],[Author]]="Marcela Urrego",VLOOKUP(LEFT(Proc[[#This Row],[Requested]],1),Table3[#All],2,0),VLOOKUP(Proc[[#This Row],[Author]],Table4[],2,0))</f>
        <v>MGF</v>
      </c>
      <c r="L2700" s="125" t="s">
        <v>4896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31</v>
      </c>
      <c r="R2700" s="110" t="s">
        <v>485</v>
      </c>
      <c r="S2700" s="94"/>
    </row>
    <row r="2701" spans="1:19" hidden="1">
      <c r="A2701" s="103" t="s">
        <v>4424</v>
      </c>
      <c r="B2701" s="94" t="str">
        <f>IFERROR(VLOOKUP(Proc[[#This Row],[App]],Table2[],3,0),"open")</f>
        <v>ok</v>
      </c>
      <c r="C2701" s="117" t="s">
        <v>369</v>
      </c>
      <c r="D2701" t="s">
        <v>4624</v>
      </c>
      <c r="E2701" t="s">
        <v>4750</v>
      </c>
      <c r="F2701" s="94" t="s">
        <v>4750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4787</v>
      </c>
      <c r="J2701" s="94" t="b">
        <f>Proc[[#This Row],[Requested]]=Proc[[#This Row],[CurrentParent]]</f>
        <v>1</v>
      </c>
      <c r="K2701" s="94" t="str">
        <f>IF(Proc[[#This Row],[Author]]="Marcela Urrego",VLOOKUP(LEFT(Proc[[#This Row],[Requested]],1),Table3[#All],2,0),VLOOKUP(Proc[[#This Row],[Author]],Table4[],2,0))</f>
        <v>MGF</v>
      </c>
      <c r="L2701" s="125" t="s">
        <v>4896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31</v>
      </c>
      <c r="R2701" s="110" t="s">
        <v>485</v>
      </c>
      <c r="S2701" s="94"/>
    </row>
    <row r="2702" spans="1:19" hidden="1">
      <c r="A2702" s="103" t="s">
        <v>4424</v>
      </c>
      <c r="B2702" s="94" t="str">
        <f>IFERROR(VLOOKUP(Proc[[#This Row],[App]],Table2[],3,0),"open")</f>
        <v>ok</v>
      </c>
      <c r="C2702" s="117" t="s">
        <v>369</v>
      </c>
      <c r="D2702" t="s">
        <v>4625</v>
      </c>
      <c r="E2702" t="s">
        <v>4750</v>
      </c>
      <c r="F2702" s="94" t="s">
        <v>4750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4787</v>
      </c>
      <c r="J2702" s="94" t="b">
        <f>Proc[[#This Row],[Requested]]=Proc[[#This Row],[CurrentParent]]</f>
        <v>1</v>
      </c>
      <c r="K2702" s="94" t="str">
        <f>IF(Proc[[#This Row],[Author]]="Marcela Urrego",VLOOKUP(LEFT(Proc[[#This Row],[Requested]],1),Table3[#All],2,0),VLOOKUP(Proc[[#This Row],[Author]],Table4[],2,0))</f>
        <v>MGF</v>
      </c>
      <c r="L2702" s="125" t="s">
        <v>4896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31</v>
      </c>
      <c r="R2702" s="110" t="s">
        <v>485</v>
      </c>
      <c r="S2702" s="94"/>
    </row>
    <row r="2703" spans="1:19" hidden="1">
      <c r="A2703" s="103" t="s">
        <v>4424</v>
      </c>
      <c r="B2703" s="94" t="str">
        <f>IFERROR(VLOOKUP(Proc[[#This Row],[App]],Table2[],3,0),"open")</f>
        <v>ok</v>
      </c>
      <c r="C2703" s="117" t="s">
        <v>369</v>
      </c>
      <c r="D2703" t="s">
        <v>4626</v>
      </c>
      <c r="E2703" t="s">
        <v>4750</v>
      </c>
      <c r="F2703" s="94" t="s">
        <v>4750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4787</v>
      </c>
      <c r="J2703" s="94" t="b">
        <f>Proc[[#This Row],[Requested]]=Proc[[#This Row],[CurrentParent]]</f>
        <v>1</v>
      </c>
      <c r="K2703" s="94" t="str">
        <f>IF(Proc[[#This Row],[Author]]="Marcela Urrego",VLOOKUP(LEFT(Proc[[#This Row],[Requested]],1),Table3[#All],2,0),VLOOKUP(Proc[[#This Row],[Author]],Table4[],2,0))</f>
        <v>MGF</v>
      </c>
      <c r="L2703" s="125" t="s">
        <v>4896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31</v>
      </c>
      <c r="R2703" s="110" t="s">
        <v>485</v>
      </c>
      <c r="S2703" s="94"/>
    </row>
    <row r="2704" spans="1:19" hidden="1">
      <c r="A2704" s="103" t="s">
        <v>4424</v>
      </c>
      <c r="B2704" s="94" t="str">
        <f>IFERROR(VLOOKUP(Proc[[#This Row],[App]],Table2[],3,0),"open")</f>
        <v>ok</v>
      </c>
      <c r="C2704" s="117" t="s">
        <v>369</v>
      </c>
      <c r="D2704" t="s">
        <v>4627</v>
      </c>
      <c r="E2704" t="s">
        <v>4750</v>
      </c>
      <c r="F2704" s="94" t="s">
        <v>4750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4787</v>
      </c>
      <c r="J2704" s="94" t="b">
        <f>Proc[[#This Row],[Requested]]=Proc[[#This Row],[CurrentParent]]</f>
        <v>1</v>
      </c>
      <c r="K2704" s="94" t="str">
        <f>IF(Proc[[#This Row],[Author]]="Marcela Urrego",VLOOKUP(LEFT(Proc[[#This Row],[Requested]],1),Table3[#All],2,0),VLOOKUP(Proc[[#This Row],[Author]],Table4[],2,0))</f>
        <v>MGF</v>
      </c>
      <c r="L2704" s="125" t="s">
        <v>4896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31</v>
      </c>
      <c r="R2704" s="110" t="s">
        <v>485</v>
      </c>
      <c r="S2704" s="94"/>
    </row>
    <row r="2705" spans="1:19" hidden="1">
      <c r="A2705" s="103" t="s">
        <v>4424</v>
      </c>
      <c r="B2705" s="94" t="str">
        <f>IFERROR(VLOOKUP(Proc[[#This Row],[App]],Table2[],3,0),"open")</f>
        <v>ok</v>
      </c>
      <c r="C2705" s="117" t="s">
        <v>369</v>
      </c>
      <c r="D2705" t="s">
        <v>4628</v>
      </c>
      <c r="E2705" t="s">
        <v>4750</v>
      </c>
      <c r="F2705" s="94" t="s">
        <v>4750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4787</v>
      </c>
      <c r="J2705" s="94" t="b">
        <f>Proc[[#This Row],[Requested]]=Proc[[#This Row],[CurrentParent]]</f>
        <v>1</v>
      </c>
      <c r="K2705" s="94" t="str">
        <f>IF(Proc[[#This Row],[Author]]="Marcela Urrego",VLOOKUP(LEFT(Proc[[#This Row],[Requested]],1),Table3[#All],2,0),VLOOKUP(Proc[[#This Row],[Author]],Table4[],2,0))</f>
        <v>MGF</v>
      </c>
      <c r="L2705" s="125" t="s">
        <v>4896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31</v>
      </c>
      <c r="R2705" s="110" t="s">
        <v>485</v>
      </c>
      <c r="S2705" s="94"/>
    </row>
    <row r="2706" spans="1:19" hidden="1">
      <c r="A2706" s="103" t="s">
        <v>4424</v>
      </c>
      <c r="B2706" s="94" t="str">
        <f>IFERROR(VLOOKUP(Proc[[#This Row],[App]],Table2[],3,0),"open")</f>
        <v>ok</v>
      </c>
      <c r="C2706" s="117" t="s">
        <v>369</v>
      </c>
      <c r="D2706" t="s">
        <v>4629</v>
      </c>
      <c r="E2706" t="s">
        <v>4750</v>
      </c>
      <c r="F2706" s="94" t="s">
        <v>4750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4787</v>
      </c>
      <c r="J2706" s="94" t="b">
        <f>Proc[[#This Row],[Requested]]=Proc[[#This Row],[CurrentParent]]</f>
        <v>1</v>
      </c>
      <c r="K2706" s="94" t="str">
        <f>IF(Proc[[#This Row],[Author]]="Marcela Urrego",VLOOKUP(LEFT(Proc[[#This Row],[Requested]],1),Table3[#All],2,0),VLOOKUP(Proc[[#This Row],[Author]],Table4[],2,0))</f>
        <v>MGF</v>
      </c>
      <c r="L2706" s="125" t="s">
        <v>4896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31</v>
      </c>
      <c r="R2706" s="110" t="s">
        <v>485</v>
      </c>
      <c r="S2706" s="94"/>
    </row>
    <row r="2707" spans="1:19" hidden="1">
      <c r="A2707" s="103" t="s">
        <v>4424</v>
      </c>
      <c r="B2707" s="94" t="str">
        <f>IFERROR(VLOOKUP(Proc[[#This Row],[App]],Table2[],3,0),"open")</f>
        <v>ok</v>
      </c>
      <c r="C2707" s="117" t="s">
        <v>369</v>
      </c>
      <c r="D2707" t="s">
        <v>4630</v>
      </c>
      <c r="E2707" t="s">
        <v>4750</v>
      </c>
      <c r="F2707" s="94" t="s">
        <v>4750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4787</v>
      </c>
      <c r="J2707" s="94" t="b">
        <f>Proc[[#This Row],[Requested]]=Proc[[#This Row],[CurrentParent]]</f>
        <v>1</v>
      </c>
      <c r="K2707" s="94" t="str">
        <f>IF(Proc[[#This Row],[Author]]="Marcela Urrego",VLOOKUP(LEFT(Proc[[#This Row],[Requested]],1),Table3[#All],2,0),VLOOKUP(Proc[[#This Row],[Author]],Table4[],2,0))</f>
        <v>MGF</v>
      </c>
      <c r="L2707" s="125" t="s">
        <v>4896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31</v>
      </c>
      <c r="R2707" s="110" t="s">
        <v>485</v>
      </c>
      <c r="S2707" s="94"/>
    </row>
    <row r="2708" spans="1:19" hidden="1">
      <c r="A2708" s="103" t="s">
        <v>4424</v>
      </c>
      <c r="B2708" s="94" t="str">
        <f>IFERROR(VLOOKUP(Proc[[#This Row],[App]],Table2[],3,0),"open")</f>
        <v>ok</v>
      </c>
      <c r="C2708" s="117" t="s">
        <v>369</v>
      </c>
      <c r="D2708" t="s">
        <v>4631</v>
      </c>
      <c r="E2708" t="s">
        <v>4750</v>
      </c>
      <c r="F2708" s="94" t="s">
        <v>4750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4787</v>
      </c>
      <c r="J2708" s="94" t="b">
        <f>Proc[[#This Row],[Requested]]=Proc[[#This Row],[CurrentParent]]</f>
        <v>1</v>
      </c>
      <c r="K2708" s="94" t="str">
        <f>IF(Proc[[#This Row],[Author]]="Marcela Urrego",VLOOKUP(LEFT(Proc[[#This Row],[Requested]],1),Table3[#All],2,0),VLOOKUP(Proc[[#This Row],[Author]],Table4[],2,0))</f>
        <v>MGF</v>
      </c>
      <c r="L2708" s="125" t="s">
        <v>4896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31</v>
      </c>
      <c r="R2708" s="110" t="s">
        <v>485</v>
      </c>
      <c r="S2708" s="94"/>
    </row>
    <row r="2709" spans="1:19" hidden="1">
      <c r="A2709" s="103" t="s">
        <v>4424</v>
      </c>
      <c r="B2709" s="94" t="str">
        <f>IFERROR(VLOOKUP(Proc[[#This Row],[App]],Table2[],3,0),"open")</f>
        <v>ok</v>
      </c>
      <c r="C2709" s="117" t="s">
        <v>369</v>
      </c>
      <c r="D2709" t="s">
        <v>4632</v>
      </c>
      <c r="E2709" t="s">
        <v>4750</v>
      </c>
      <c r="F2709" s="94" t="s">
        <v>4750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4787</v>
      </c>
      <c r="J2709" s="94" t="b">
        <f>Proc[[#This Row],[Requested]]=Proc[[#This Row],[CurrentParent]]</f>
        <v>1</v>
      </c>
      <c r="K2709" s="94" t="str">
        <f>IF(Proc[[#This Row],[Author]]="Marcela Urrego",VLOOKUP(LEFT(Proc[[#This Row],[Requested]],1),Table3[#All],2,0),VLOOKUP(Proc[[#This Row],[Author]],Table4[],2,0))</f>
        <v>MGF</v>
      </c>
      <c r="L2709" s="125" t="s">
        <v>4896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31</v>
      </c>
      <c r="R2709" s="110" t="s">
        <v>485</v>
      </c>
      <c r="S2709" s="94"/>
    </row>
    <row r="2710" spans="1:19" hidden="1">
      <c r="A2710" s="103" t="s">
        <v>4424</v>
      </c>
      <c r="B2710" s="94" t="str">
        <f>IFERROR(VLOOKUP(Proc[[#This Row],[App]],Table2[],3,0),"open")</f>
        <v>ok</v>
      </c>
      <c r="C2710" s="117" t="s">
        <v>369</v>
      </c>
      <c r="D2710" t="s">
        <v>4633</v>
      </c>
      <c r="E2710" t="s">
        <v>4750</v>
      </c>
      <c r="F2710" s="94" t="s">
        <v>4750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4787</v>
      </c>
      <c r="J2710" s="94" t="b">
        <f>Proc[[#This Row],[Requested]]=Proc[[#This Row],[CurrentParent]]</f>
        <v>1</v>
      </c>
      <c r="K2710" s="94" t="str">
        <f>IF(Proc[[#This Row],[Author]]="Marcela Urrego",VLOOKUP(LEFT(Proc[[#This Row],[Requested]],1),Table3[#All],2,0),VLOOKUP(Proc[[#This Row],[Author]],Table4[],2,0))</f>
        <v>MGF</v>
      </c>
      <c r="L2710" s="125" t="s">
        <v>4896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31</v>
      </c>
      <c r="R2710" s="110" t="s">
        <v>485</v>
      </c>
      <c r="S2710" s="94"/>
    </row>
    <row r="2711" spans="1:19" hidden="1">
      <c r="A2711" s="103" t="s">
        <v>4424</v>
      </c>
      <c r="B2711" s="94" t="str">
        <f>IFERROR(VLOOKUP(Proc[[#This Row],[App]],Table2[],3,0),"open")</f>
        <v>ok</v>
      </c>
      <c r="C2711" s="117" t="s">
        <v>369</v>
      </c>
      <c r="D2711" t="s">
        <v>4634</v>
      </c>
      <c r="E2711" t="s">
        <v>4750</v>
      </c>
      <c r="F2711" s="94" t="s">
        <v>4750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4787</v>
      </c>
      <c r="J2711" s="94" t="b">
        <f>Proc[[#This Row],[Requested]]=Proc[[#This Row],[CurrentParent]]</f>
        <v>1</v>
      </c>
      <c r="K2711" s="94" t="str">
        <f>IF(Proc[[#This Row],[Author]]="Marcela Urrego",VLOOKUP(LEFT(Proc[[#This Row],[Requested]],1),Table3[#All],2,0),VLOOKUP(Proc[[#This Row],[Author]],Table4[],2,0))</f>
        <v>MGF</v>
      </c>
      <c r="L2711" s="125" t="s">
        <v>4896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31</v>
      </c>
      <c r="R2711" s="110" t="s">
        <v>485</v>
      </c>
      <c r="S2711" s="94"/>
    </row>
    <row r="2712" spans="1:19" hidden="1">
      <c r="A2712" s="103" t="s">
        <v>4424</v>
      </c>
      <c r="B2712" s="94" t="str">
        <f>IFERROR(VLOOKUP(Proc[[#This Row],[App]],Table2[],3,0),"open")</f>
        <v>ok</v>
      </c>
      <c r="C2712" s="117" t="s">
        <v>369</v>
      </c>
      <c r="D2712" t="s">
        <v>4635</v>
      </c>
      <c r="E2712" t="s">
        <v>4750</v>
      </c>
      <c r="F2712" s="94" t="s">
        <v>4750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4787</v>
      </c>
      <c r="J2712" s="94" t="b">
        <f>Proc[[#This Row],[Requested]]=Proc[[#This Row],[CurrentParent]]</f>
        <v>1</v>
      </c>
      <c r="K2712" s="94" t="str">
        <f>IF(Proc[[#This Row],[Author]]="Marcela Urrego",VLOOKUP(LEFT(Proc[[#This Row],[Requested]],1),Table3[#All],2,0),VLOOKUP(Proc[[#This Row],[Author]],Table4[],2,0))</f>
        <v>MGF</v>
      </c>
      <c r="L2712" s="125" t="s">
        <v>4896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31</v>
      </c>
      <c r="R2712" s="110" t="s">
        <v>485</v>
      </c>
      <c r="S2712" s="94"/>
    </row>
    <row r="2713" spans="1:19" hidden="1">
      <c r="A2713" s="103" t="s">
        <v>4424</v>
      </c>
      <c r="B2713" s="94" t="str">
        <f>IFERROR(VLOOKUP(Proc[[#This Row],[App]],Table2[],3,0),"open")</f>
        <v>ok</v>
      </c>
      <c r="C2713" s="117" t="s">
        <v>369</v>
      </c>
      <c r="D2713" t="s">
        <v>4636</v>
      </c>
      <c r="E2713" t="s">
        <v>4749</v>
      </c>
      <c r="F2713" s="94" t="s">
        <v>4749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4787</v>
      </c>
      <c r="J2713" s="94" t="b">
        <f>Proc[[#This Row],[Requested]]=Proc[[#This Row],[CurrentParent]]</f>
        <v>1</v>
      </c>
      <c r="K2713" s="94" t="str">
        <f>IF(Proc[[#This Row],[Author]]="Marcela Urrego",VLOOKUP(LEFT(Proc[[#This Row],[Requested]],1),Table3[#All],2,0),VLOOKUP(Proc[[#This Row],[Author]],Table4[],2,0))</f>
        <v>MGF</v>
      </c>
      <c r="L2713" s="125" t="s">
        <v>4896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31</v>
      </c>
      <c r="R2713" s="110" t="s">
        <v>485</v>
      </c>
      <c r="S2713" s="94"/>
    </row>
    <row r="2714" spans="1:19" hidden="1">
      <c r="A2714" s="103" t="s">
        <v>4424</v>
      </c>
      <c r="B2714" s="94" t="str">
        <f>IFERROR(VLOOKUP(Proc[[#This Row],[App]],Table2[],3,0),"open")</f>
        <v>ok</v>
      </c>
      <c r="C2714" s="117" t="s">
        <v>369</v>
      </c>
      <c r="D2714" t="s">
        <v>4637</v>
      </c>
      <c r="E2714" t="s">
        <v>4749</v>
      </c>
      <c r="F2714" s="94" t="s">
        <v>4749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4787</v>
      </c>
      <c r="J2714" s="94" t="b">
        <f>Proc[[#This Row],[Requested]]=Proc[[#This Row],[CurrentParent]]</f>
        <v>1</v>
      </c>
      <c r="K2714" s="94" t="str">
        <f>IF(Proc[[#This Row],[Author]]="Marcela Urrego",VLOOKUP(LEFT(Proc[[#This Row],[Requested]],1),Table3[#All],2,0),VLOOKUP(Proc[[#This Row],[Author]],Table4[],2,0))</f>
        <v>MGF</v>
      </c>
      <c r="L2714" s="125" t="s">
        <v>4896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31</v>
      </c>
      <c r="R2714" s="110" t="s">
        <v>485</v>
      </c>
      <c r="S2714" s="94"/>
    </row>
    <row r="2715" spans="1:19" hidden="1">
      <c r="A2715" s="103" t="s">
        <v>4424</v>
      </c>
      <c r="B2715" s="94" t="str">
        <f>IFERROR(VLOOKUP(Proc[[#This Row],[App]],Table2[],3,0),"open")</f>
        <v>ok</v>
      </c>
      <c r="C2715" s="117" t="s">
        <v>369</v>
      </c>
      <c r="D2715" t="s">
        <v>4638</v>
      </c>
      <c r="E2715" t="s">
        <v>4749</v>
      </c>
      <c r="F2715" s="94" t="s">
        <v>4749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4787</v>
      </c>
      <c r="J2715" s="94" t="b">
        <f>Proc[[#This Row],[Requested]]=Proc[[#This Row],[CurrentParent]]</f>
        <v>1</v>
      </c>
      <c r="K2715" s="94" t="str">
        <f>IF(Proc[[#This Row],[Author]]="Marcela Urrego",VLOOKUP(LEFT(Proc[[#This Row],[Requested]],1),Table3[#All],2,0),VLOOKUP(Proc[[#This Row],[Author]],Table4[],2,0))</f>
        <v>MGF</v>
      </c>
      <c r="L2715" s="125" t="s">
        <v>4896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31</v>
      </c>
      <c r="R2715" s="110" t="s">
        <v>485</v>
      </c>
      <c r="S2715" s="94"/>
    </row>
    <row r="2716" spans="1:19" hidden="1">
      <c r="A2716" s="103" t="s">
        <v>4424</v>
      </c>
      <c r="B2716" s="94" t="str">
        <f>IFERROR(VLOOKUP(Proc[[#This Row],[App]],Table2[],3,0),"open")</f>
        <v>ok</v>
      </c>
      <c r="C2716" s="117" t="s">
        <v>369</v>
      </c>
      <c r="D2716" t="s">
        <v>4639</v>
      </c>
      <c r="E2716" t="s">
        <v>4750</v>
      </c>
      <c r="F2716" s="94" t="s">
        <v>4750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4787</v>
      </c>
      <c r="J2716" s="94" t="b">
        <f>Proc[[#This Row],[Requested]]=Proc[[#This Row],[CurrentParent]]</f>
        <v>1</v>
      </c>
      <c r="K2716" s="94" t="str">
        <f>IF(Proc[[#This Row],[Author]]="Marcela Urrego",VLOOKUP(LEFT(Proc[[#This Row],[Requested]],1),Table3[#All],2,0),VLOOKUP(Proc[[#This Row],[Author]],Table4[],2,0))</f>
        <v>MGF</v>
      </c>
      <c r="L2716" s="125" t="s">
        <v>4896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31</v>
      </c>
      <c r="R2716" s="110" t="s">
        <v>485</v>
      </c>
      <c r="S2716" s="94"/>
    </row>
    <row r="2717" spans="1:19" hidden="1">
      <c r="A2717" s="103" t="s">
        <v>4424</v>
      </c>
      <c r="B2717" s="94" t="str">
        <f>IFERROR(VLOOKUP(Proc[[#This Row],[App]],Table2[],3,0),"open")</f>
        <v>ok</v>
      </c>
      <c r="C2717" s="117" t="s">
        <v>369</v>
      </c>
      <c r="D2717" t="s">
        <v>4640</v>
      </c>
      <c r="E2717" t="s">
        <v>4750</v>
      </c>
      <c r="F2717" s="94" t="s">
        <v>4750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4787</v>
      </c>
      <c r="J2717" s="94" t="b">
        <f>Proc[[#This Row],[Requested]]=Proc[[#This Row],[CurrentParent]]</f>
        <v>1</v>
      </c>
      <c r="K2717" s="94" t="str">
        <f>IF(Proc[[#This Row],[Author]]="Marcela Urrego",VLOOKUP(LEFT(Proc[[#This Row],[Requested]],1),Table3[#All],2,0),VLOOKUP(Proc[[#This Row],[Author]],Table4[],2,0))</f>
        <v>MGF</v>
      </c>
      <c r="L2717" s="125" t="s">
        <v>4896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31</v>
      </c>
      <c r="R2717" s="110" t="s">
        <v>485</v>
      </c>
      <c r="S2717" s="94"/>
    </row>
    <row r="2718" spans="1:19" hidden="1">
      <c r="A2718" s="103" t="s">
        <v>4424</v>
      </c>
      <c r="B2718" s="94" t="str">
        <f>IFERROR(VLOOKUP(Proc[[#This Row],[App]],Table2[],3,0),"open")</f>
        <v>ok</v>
      </c>
      <c r="C2718" s="117" t="s">
        <v>369</v>
      </c>
      <c r="D2718" t="s">
        <v>4641</v>
      </c>
      <c r="E2718" t="s">
        <v>4750</v>
      </c>
      <c r="F2718" s="94" t="s">
        <v>4750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4787</v>
      </c>
      <c r="J2718" s="94" t="b">
        <f>Proc[[#This Row],[Requested]]=Proc[[#This Row],[CurrentParent]]</f>
        <v>1</v>
      </c>
      <c r="K2718" s="94" t="str">
        <f>IF(Proc[[#This Row],[Author]]="Marcela Urrego",VLOOKUP(LEFT(Proc[[#This Row],[Requested]],1),Table3[#All],2,0),VLOOKUP(Proc[[#This Row],[Author]],Table4[],2,0))</f>
        <v>MGF</v>
      </c>
      <c r="L2718" s="125" t="s">
        <v>4896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31</v>
      </c>
      <c r="R2718" s="110" t="s">
        <v>485</v>
      </c>
      <c r="S2718" s="94"/>
    </row>
    <row r="2719" spans="1:19" hidden="1">
      <c r="A2719" s="103" t="s">
        <v>4424</v>
      </c>
      <c r="B2719" s="94" t="str">
        <f>IFERROR(VLOOKUP(Proc[[#This Row],[App]],Table2[],3,0),"open")</f>
        <v>ok</v>
      </c>
      <c r="C2719" s="117" t="s">
        <v>369</v>
      </c>
      <c r="D2719" t="s">
        <v>4642</v>
      </c>
      <c r="E2719" t="s">
        <v>4750</v>
      </c>
      <c r="F2719" s="94" t="s">
        <v>4750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4787</v>
      </c>
      <c r="J2719" s="94" t="b">
        <f>Proc[[#This Row],[Requested]]=Proc[[#This Row],[CurrentParent]]</f>
        <v>1</v>
      </c>
      <c r="K2719" s="94" t="str">
        <f>IF(Proc[[#This Row],[Author]]="Marcela Urrego",VLOOKUP(LEFT(Proc[[#This Row],[Requested]],1),Table3[#All],2,0),VLOOKUP(Proc[[#This Row],[Author]],Table4[],2,0))</f>
        <v>MGF</v>
      </c>
      <c r="L2719" s="125" t="s">
        <v>4896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31</v>
      </c>
      <c r="R2719" s="110" t="s">
        <v>485</v>
      </c>
      <c r="S2719" s="94"/>
    </row>
    <row r="2720" spans="1:19" hidden="1">
      <c r="A2720" s="103" t="s">
        <v>4424</v>
      </c>
      <c r="B2720" s="94" t="str">
        <f>IFERROR(VLOOKUP(Proc[[#This Row],[App]],Table2[],3,0),"open")</f>
        <v>ok</v>
      </c>
      <c r="C2720" s="117" t="s">
        <v>369</v>
      </c>
      <c r="D2720" t="s">
        <v>4643</v>
      </c>
      <c r="E2720" t="s">
        <v>4750</v>
      </c>
      <c r="F2720" s="94" t="s">
        <v>4750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4787</v>
      </c>
      <c r="J2720" s="94" t="b">
        <f>Proc[[#This Row],[Requested]]=Proc[[#This Row],[CurrentParent]]</f>
        <v>1</v>
      </c>
      <c r="K2720" s="94" t="str">
        <f>IF(Proc[[#This Row],[Author]]="Marcela Urrego",VLOOKUP(LEFT(Proc[[#This Row],[Requested]],1),Table3[#All],2,0),VLOOKUP(Proc[[#This Row],[Author]],Table4[],2,0))</f>
        <v>MGF</v>
      </c>
      <c r="L2720" s="125" t="s">
        <v>4896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31</v>
      </c>
      <c r="R2720" s="110" t="s">
        <v>485</v>
      </c>
      <c r="S2720" s="94"/>
    </row>
    <row r="2721" spans="1:19" hidden="1">
      <c r="A2721" s="103" t="s">
        <v>4424</v>
      </c>
      <c r="B2721" s="94" t="str">
        <f>IFERROR(VLOOKUP(Proc[[#This Row],[App]],Table2[],3,0),"open")</f>
        <v>ok</v>
      </c>
      <c r="C2721" s="117" t="s">
        <v>369</v>
      </c>
      <c r="D2721" t="s">
        <v>4644</v>
      </c>
      <c r="E2721" t="s">
        <v>4750</v>
      </c>
      <c r="F2721" s="94" t="s">
        <v>4750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4787</v>
      </c>
      <c r="J2721" s="94" t="b">
        <f>Proc[[#This Row],[Requested]]=Proc[[#This Row],[CurrentParent]]</f>
        <v>1</v>
      </c>
      <c r="K2721" s="94" t="str">
        <f>IF(Proc[[#This Row],[Author]]="Marcela Urrego",VLOOKUP(LEFT(Proc[[#This Row],[Requested]],1),Table3[#All],2,0),VLOOKUP(Proc[[#This Row],[Author]],Table4[],2,0))</f>
        <v>MGF</v>
      </c>
      <c r="L2721" s="125" t="s">
        <v>4896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31</v>
      </c>
      <c r="R2721" s="110" t="s">
        <v>485</v>
      </c>
      <c r="S2721" s="94"/>
    </row>
    <row r="2722" spans="1:19" hidden="1">
      <c r="A2722" s="103" t="s">
        <v>4424</v>
      </c>
      <c r="B2722" s="94" t="str">
        <f>IFERROR(VLOOKUP(Proc[[#This Row],[App]],Table2[],3,0),"open")</f>
        <v>ok</v>
      </c>
      <c r="C2722" s="117" t="s">
        <v>369</v>
      </c>
      <c r="D2722" t="s">
        <v>4645</v>
      </c>
      <c r="E2722" t="s">
        <v>4750</v>
      </c>
      <c r="F2722" s="94" t="s">
        <v>4750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4787</v>
      </c>
      <c r="J2722" s="94" t="b">
        <f>Proc[[#This Row],[Requested]]=Proc[[#This Row],[CurrentParent]]</f>
        <v>1</v>
      </c>
      <c r="K2722" s="94" t="str">
        <f>IF(Proc[[#This Row],[Author]]="Marcela Urrego",VLOOKUP(LEFT(Proc[[#This Row],[Requested]],1),Table3[#All],2,0),VLOOKUP(Proc[[#This Row],[Author]],Table4[],2,0))</f>
        <v>MGF</v>
      </c>
      <c r="L2722" s="125" t="s">
        <v>4896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31</v>
      </c>
      <c r="R2722" s="110" t="s">
        <v>485</v>
      </c>
      <c r="S2722" s="94"/>
    </row>
    <row r="2723" spans="1:19" hidden="1">
      <c r="A2723" s="103" t="s">
        <v>4424</v>
      </c>
      <c r="B2723" s="94" t="str">
        <f>IFERROR(VLOOKUP(Proc[[#This Row],[App]],Table2[],3,0),"open")</f>
        <v>ok</v>
      </c>
      <c r="C2723" s="117" t="s">
        <v>369</v>
      </c>
      <c r="D2723" t="s">
        <v>4646</v>
      </c>
      <c r="E2723" t="s">
        <v>4750</v>
      </c>
      <c r="F2723" s="94" t="s">
        <v>4750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4787</v>
      </c>
      <c r="J2723" s="94" t="b">
        <f>Proc[[#This Row],[Requested]]=Proc[[#This Row],[CurrentParent]]</f>
        <v>1</v>
      </c>
      <c r="K2723" s="94" t="str">
        <f>IF(Proc[[#This Row],[Author]]="Marcela Urrego",VLOOKUP(LEFT(Proc[[#This Row],[Requested]],1),Table3[#All],2,0),VLOOKUP(Proc[[#This Row],[Author]],Table4[],2,0))</f>
        <v>MGF</v>
      </c>
      <c r="L2723" s="125" t="s">
        <v>4896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31</v>
      </c>
      <c r="R2723" s="110" t="s">
        <v>485</v>
      </c>
      <c r="S2723" s="94"/>
    </row>
    <row r="2724" spans="1:19" hidden="1">
      <c r="A2724" s="103" t="s">
        <v>4424</v>
      </c>
      <c r="B2724" s="94" t="str">
        <f>IFERROR(VLOOKUP(Proc[[#This Row],[App]],Table2[],3,0),"open")</f>
        <v>ok</v>
      </c>
      <c r="C2724" s="117" t="s">
        <v>369</v>
      </c>
      <c r="D2724" t="s">
        <v>4647</v>
      </c>
      <c r="E2724" t="s">
        <v>4750</v>
      </c>
      <c r="F2724" s="94" t="s">
        <v>4750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4787</v>
      </c>
      <c r="J2724" s="94" t="b">
        <f>Proc[[#This Row],[Requested]]=Proc[[#This Row],[CurrentParent]]</f>
        <v>1</v>
      </c>
      <c r="K2724" s="94" t="str">
        <f>IF(Proc[[#This Row],[Author]]="Marcela Urrego",VLOOKUP(LEFT(Proc[[#This Row],[Requested]],1),Table3[#All],2,0),VLOOKUP(Proc[[#This Row],[Author]],Table4[],2,0))</f>
        <v>MGF</v>
      </c>
      <c r="L2724" s="125" t="s">
        <v>4896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31</v>
      </c>
      <c r="R2724" s="110" t="s">
        <v>485</v>
      </c>
      <c r="S2724" s="94"/>
    </row>
    <row r="2725" spans="1:19" hidden="1">
      <c r="A2725" s="103" t="s">
        <v>4424</v>
      </c>
      <c r="B2725" s="94" t="str">
        <f>IFERROR(VLOOKUP(Proc[[#This Row],[App]],Table2[],3,0),"open")</f>
        <v>ok</v>
      </c>
      <c r="C2725" s="117" t="s">
        <v>369</v>
      </c>
      <c r="D2725" t="s">
        <v>4648</v>
      </c>
      <c r="E2725" t="s">
        <v>4750</v>
      </c>
      <c r="F2725" s="94" t="s">
        <v>4750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4787</v>
      </c>
      <c r="J2725" s="94" t="b">
        <f>Proc[[#This Row],[Requested]]=Proc[[#This Row],[CurrentParent]]</f>
        <v>1</v>
      </c>
      <c r="K2725" s="94" t="str">
        <f>IF(Proc[[#This Row],[Author]]="Marcela Urrego",VLOOKUP(LEFT(Proc[[#This Row],[Requested]],1),Table3[#All],2,0),VLOOKUP(Proc[[#This Row],[Author]],Table4[],2,0))</f>
        <v>MGF</v>
      </c>
      <c r="L2725" s="125" t="s">
        <v>4896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31</v>
      </c>
      <c r="R2725" s="110" t="s">
        <v>485</v>
      </c>
      <c r="S2725" s="94"/>
    </row>
    <row r="2726" spans="1:19" hidden="1">
      <c r="A2726" s="103" t="s">
        <v>4424</v>
      </c>
      <c r="B2726" s="94" t="str">
        <f>IFERROR(VLOOKUP(Proc[[#This Row],[App]],Table2[],3,0),"open")</f>
        <v>ok</v>
      </c>
      <c r="C2726" s="117" t="s">
        <v>369</v>
      </c>
      <c r="D2726" t="s">
        <v>4649</v>
      </c>
      <c r="E2726" t="s">
        <v>4750</v>
      </c>
      <c r="F2726" s="94" t="s">
        <v>4750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4787</v>
      </c>
      <c r="J2726" s="94" t="b">
        <f>Proc[[#This Row],[Requested]]=Proc[[#This Row],[CurrentParent]]</f>
        <v>1</v>
      </c>
      <c r="K2726" s="94" t="str">
        <f>IF(Proc[[#This Row],[Author]]="Marcela Urrego",VLOOKUP(LEFT(Proc[[#This Row],[Requested]],1),Table3[#All],2,0),VLOOKUP(Proc[[#This Row],[Author]],Table4[],2,0))</f>
        <v>MGF</v>
      </c>
      <c r="L2726" s="125" t="s">
        <v>4896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31</v>
      </c>
      <c r="R2726" s="110" t="s">
        <v>485</v>
      </c>
      <c r="S2726" s="94"/>
    </row>
    <row r="2727" spans="1:19" hidden="1">
      <c r="A2727" s="103" t="s">
        <v>4424</v>
      </c>
      <c r="B2727" s="94" t="str">
        <f>IFERROR(VLOOKUP(Proc[[#This Row],[App]],Table2[],3,0),"open")</f>
        <v>ok</v>
      </c>
      <c r="C2727" s="117" t="s">
        <v>369</v>
      </c>
      <c r="D2727" t="s">
        <v>4650</v>
      </c>
      <c r="E2727" t="s">
        <v>4750</v>
      </c>
      <c r="F2727" s="94" t="s">
        <v>4750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4787</v>
      </c>
      <c r="J2727" s="94" t="b">
        <f>Proc[[#This Row],[Requested]]=Proc[[#This Row],[CurrentParent]]</f>
        <v>1</v>
      </c>
      <c r="K2727" s="94" t="str">
        <f>IF(Proc[[#This Row],[Author]]="Marcela Urrego",VLOOKUP(LEFT(Proc[[#This Row],[Requested]],1),Table3[#All],2,0),VLOOKUP(Proc[[#This Row],[Author]],Table4[],2,0))</f>
        <v>MGF</v>
      </c>
      <c r="L2727" s="125" t="s">
        <v>4896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31</v>
      </c>
      <c r="R2727" s="110" t="s">
        <v>485</v>
      </c>
      <c r="S2727" s="94"/>
    </row>
    <row r="2728" spans="1:19" hidden="1">
      <c r="A2728" s="103" t="s">
        <v>4424</v>
      </c>
      <c r="B2728" s="94" t="str">
        <f>IFERROR(VLOOKUP(Proc[[#This Row],[App]],Table2[],3,0),"open")</f>
        <v>ok</v>
      </c>
      <c r="C2728" s="117" t="s">
        <v>369</v>
      </c>
      <c r="D2728" t="s">
        <v>4651</v>
      </c>
      <c r="E2728" t="s">
        <v>4750</v>
      </c>
      <c r="F2728" s="94" t="s">
        <v>4750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4787</v>
      </c>
      <c r="J2728" s="94" t="b">
        <f>Proc[[#This Row],[Requested]]=Proc[[#This Row],[CurrentParent]]</f>
        <v>1</v>
      </c>
      <c r="K2728" s="94" t="str">
        <f>IF(Proc[[#This Row],[Author]]="Marcela Urrego",VLOOKUP(LEFT(Proc[[#This Row],[Requested]],1),Table3[#All],2,0),VLOOKUP(Proc[[#This Row],[Author]],Table4[],2,0))</f>
        <v>MGF</v>
      </c>
      <c r="L2728" s="125" t="s">
        <v>4896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31</v>
      </c>
      <c r="R2728" s="110" t="s">
        <v>485</v>
      </c>
      <c r="S2728" s="94"/>
    </row>
    <row r="2729" spans="1:19" hidden="1">
      <c r="A2729" s="103" t="s">
        <v>4424</v>
      </c>
      <c r="B2729" s="94" t="str">
        <f>IFERROR(VLOOKUP(Proc[[#This Row],[App]],Table2[],3,0),"open")</f>
        <v>ok</v>
      </c>
      <c r="C2729" s="117" t="s">
        <v>369</v>
      </c>
      <c r="D2729" t="s">
        <v>4652</v>
      </c>
      <c r="E2729" t="s">
        <v>4750</v>
      </c>
      <c r="F2729" s="94" t="s">
        <v>4750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4787</v>
      </c>
      <c r="J2729" s="94" t="b">
        <f>Proc[[#This Row],[Requested]]=Proc[[#This Row],[CurrentParent]]</f>
        <v>1</v>
      </c>
      <c r="K2729" s="94" t="str">
        <f>IF(Proc[[#This Row],[Author]]="Marcela Urrego",VLOOKUP(LEFT(Proc[[#This Row],[Requested]],1),Table3[#All],2,0),VLOOKUP(Proc[[#This Row],[Author]],Table4[],2,0))</f>
        <v>MGF</v>
      </c>
      <c r="L2729" s="125" t="s">
        <v>4896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31</v>
      </c>
      <c r="R2729" s="110" t="s">
        <v>485</v>
      </c>
      <c r="S2729" s="94"/>
    </row>
    <row r="2730" spans="1:19" hidden="1">
      <c r="A2730" s="103" t="s">
        <v>4424</v>
      </c>
      <c r="B2730" s="94" t="str">
        <f>IFERROR(VLOOKUP(Proc[[#This Row],[App]],Table2[],3,0),"open")</f>
        <v>ok</v>
      </c>
      <c r="C2730" s="117" t="s">
        <v>369</v>
      </c>
      <c r="D2730" t="s">
        <v>4653</v>
      </c>
      <c r="E2730" t="s">
        <v>4750</v>
      </c>
      <c r="F2730" s="94" t="s">
        <v>4750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4787</v>
      </c>
      <c r="J2730" s="94" t="b">
        <f>Proc[[#This Row],[Requested]]=Proc[[#This Row],[CurrentParent]]</f>
        <v>1</v>
      </c>
      <c r="K2730" s="94" t="str">
        <f>IF(Proc[[#This Row],[Author]]="Marcela Urrego",VLOOKUP(LEFT(Proc[[#This Row],[Requested]],1),Table3[#All],2,0),VLOOKUP(Proc[[#This Row],[Author]],Table4[],2,0))</f>
        <v>MGF</v>
      </c>
      <c r="L2730" s="125" t="s">
        <v>4896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31</v>
      </c>
      <c r="R2730" s="110" t="s">
        <v>485</v>
      </c>
      <c r="S2730" s="94"/>
    </row>
    <row r="2731" spans="1:19" hidden="1">
      <c r="A2731" s="103" t="s">
        <v>4424</v>
      </c>
      <c r="B2731" s="94" t="str">
        <f>IFERROR(VLOOKUP(Proc[[#This Row],[App]],Table2[],3,0),"open")</f>
        <v>ok</v>
      </c>
      <c r="C2731" s="117" t="s">
        <v>369</v>
      </c>
      <c r="D2731" t="s">
        <v>4654</v>
      </c>
      <c r="E2731" t="s">
        <v>4750</v>
      </c>
      <c r="F2731" s="94" t="s">
        <v>4750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4787</v>
      </c>
      <c r="J2731" s="94" t="b">
        <f>Proc[[#This Row],[Requested]]=Proc[[#This Row],[CurrentParent]]</f>
        <v>1</v>
      </c>
      <c r="K2731" s="94" t="str">
        <f>IF(Proc[[#This Row],[Author]]="Marcela Urrego",VLOOKUP(LEFT(Proc[[#This Row],[Requested]],1),Table3[#All],2,0),VLOOKUP(Proc[[#This Row],[Author]],Table4[],2,0))</f>
        <v>MGF</v>
      </c>
      <c r="L2731" s="125" t="s">
        <v>4896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31</v>
      </c>
      <c r="R2731" s="110" t="s">
        <v>485</v>
      </c>
      <c r="S2731" s="94"/>
    </row>
    <row r="2732" spans="1:19" hidden="1">
      <c r="A2732" s="103" t="s">
        <v>4424</v>
      </c>
      <c r="B2732" s="94" t="str">
        <f>IFERROR(VLOOKUP(Proc[[#This Row],[App]],Table2[],3,0),"open")</f>
        <v>ok</v>
      </c>
      <c r="C2732" s="117" t="s">
        <v>369</v>
      </c>
      <c r="D2732" t="s">
        <v>4655</v>
      </c>
      <c r="E2732" t="s">
        <v>4750</v>
      </c>
      <c r="F2732" s="94" t="s">
        <v>4750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4787</v>
      </c>
      <c r="J2732" s="94" t="b">
        <f>Proc[[#This Row],[Requested]]=Proc[[#This Row],[CurrentParent]]</f>
        <v>1</v>
      </c>
      <c r="K2732" s="94" t="str">
        <f>IF(Proc[[#This Row],[Author]]="Marcela Urrego",VLOOKUP(LEFT(Proc[[#This Row],[Requested]],1),Table3[#All],2,0),VLOOKUP(Proc[[#This Row],[Author]],Table4[],2,0))</f>
        <v>MGF</v>
      </c>
      <c r="L2732" s="125" t="s">
        <v>4896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31</v>
      </c>
      <c r="R2732" s="110" t="s">
        <v>485</v>
      </c>
      <c r="S2732" s="94"/>
    </row>
    <row r="2733" spans="1:19" hidden="1">
      <c r="A2733" s="103" t="s">
        <v>4424</v>
      </c>
      <c r="B2733" s="94" t="str">
        <f>IFERROR(VLOOKUP(Proc[[#This Row],[App]],Table2[],3,0),"open")</f>
        <v>ok</v>
      </c>
      <c r="C2733" s="117" t="s">
        <v>369</v>
      </c>
      <c r="D2733" t="s">
        <v>4656</v>
      </c>
      <c r="E2733" t="s">
        <v>4750</v>
      </c>
      <c r="F2733" s="94" t="s">
        <v>4750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4787</v>
      </c>
      <c r="J2733" s="94" t="b">
        <f>Proc[[#This Row],[Requested]]=Proc[[#This Row],[CurrentParent]]</f>
        <v>1</v>
      </c>
      <c r="K2733" s="94" t="str">
        <f>IF(Proc[[#This Row],[Author]]="Marcela Urrego",VLOOKUP(LEFT(Proc[[#This Row],[Requested]],1),Table3[#All],2,0),VLOOKUP(Proc[[#This Row],[Author]],Table4[],2,0))</f>
        <v>MGF</v>
      </c>
      <c r="L2733" s="125" t="s">
        <v>4896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31</v>
      </c>
      <c r="R2733" s="110" t="s">
        <v>485</v>
      </c>
      <c r="S2733" s="94"/>
    </row>
    <row r="2734" spans="1:19" hidden="1">
      <c r="A2734" s="103" t="s">
        <v>4424</v>
      </c>
      <c r="B2734" s="94" t="str">
        <f>IFERROR(VLOOKUP(Proc[[#This Row],[App]],Table2[],3,0),"open")</f>
        <v>ok</v>
      </c>
      <c r="C2734" s="117" t="s">
        <v>369</v>
      </c>
      <c r="D2734" t="s">
        <v>4657</v>
      </c>
      <c r="E2734" t="s">
        <v>4752</v>
      </c>
      <c r="F2734" s="94" t="s">
        <v>4752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4787</v>
      </c>
      <c r="J2734" s="94" t="b">
        <f>Proc[[#This Row],[Requested]]=Proc[[#This Row],[CurrentParent]]</f>
        <v>1</v>
      </c>
      <c r="K2734" s="94" t="str">
        <f>IF(Proc[[#This Row],[Author]]="Marcela Urrego",VLOOKUP(LEFT(Proc[[#This Row],[Requested]],1),Table3[#All],2,0),VLOOKUP(Proc[[#This Row],[Author]],Table4[],2,0))</f>
        <v>MGF</v>
      </c>
      <c r="L2734" s="125" t="s">
        <v>4896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31</v>
      </c>
      <c r="R2734" s="110" t="s">
        <v>485</v>
      </c>
      <c r="S2734" s="94"/>
    </row>
    <row r="2735" spans="1:19" hidden="1">
      <c r="A2735" s="103" t="s">
        <v>4424</v>
      </c>
      <c r="B2735" s="94" t="str">
        <f>IFERROR(VLOOKUP(Proc[[#This Row],[App]],Table2[],3,0),"open")</f>
        <v>ok</v>
      </c>
      <c r="C2735" s="117" t="s">
        <v>369</v>
      </c>
      <c r="D2735" t="s">
        <v>4658</v>
      </c>
      <c r="E2735" t="s">
        <v>4753</v>
      </c>
      <c r="F2735" s="94" t="s">
        <v>4753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4787</v>
      </c>
      <c r="J2735" s="94" t="b">
        <f>Proc[[#This Row],[Requested]]=Proc[[#This Row],[CurrentParent]]</f>
        <v>1</v>
      </c>
      <c r="K2735" s="94" t="str">
        <f>IF(Proc[[#This Row],[Author]]="Marcela Urrego",VLOOKUP(LEFT(Proc[[#This Row],[Requested]],1),Table3[#All],2,0),VLOOKUP(Proc[[#This Row],[Author]],Table4[],2,0))</f>
        <v>MGF</v>
      </c>
      <c r="L2735" s="125" t="s">
        <v>4896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31</v>
      </c>
      <c r="R2735" s="110" t="s">
        <v>485</v>
      </c>
      <c r="S2735" s="94"/>
    </row>
    <row r="2736" spans="1:19" hidden="1">
      <c r="A2736" s="103" t="s">
        <v>4424</v>
      </c>
      <c r="B2736" s="94" t="str">
        <f>IFERROR(VLOOKUP(Proc[[#This Row],[App]],Table2[],3,0),"open")</f>
        <v>ok</v>
      </c>
      <c r="C2736" s="117" t="s">
        <v>369</v>
      </c>
      <c r="D2736" t="s">
        <v>4659</v>
      </c>
      <c r="E2736" t="s">
        <v>4752</v>
      </c>
      <c r="F2736" s="94" t="s">
        <v>4752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4787</v>
      </c>
      <c r="J2736" s="94" t="b">
        <f>Proc[[#This Row],[Requested]]=Proc[[#This Row],[CurrentParent]]</f>
        <v>1</v>
      </c>
      <c r="K2736" s="94" t="str">
        <f>IF(Proc[[#This Row],[Author]]="Marcela Urrego",VLOOKUP(LEFT(Proc[[#This Row],[Requested]],1),Table3[#All],2,0),VLOOKUP(Proc[[#This Row],[Author]],Table4[],2,0))</f>
        <v>MGF</v>
      </c>
      <c r="L2736" s="125" t="s">
        <v>4896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31</v>
      </c>
      <c r="R2736" s="110" t="s">
        <v>485</v>
      </c>
      <c r="S2736" s="94"/>
    </row>
    <row r="2737" spans="1:19" hidden="1">
      <c r="A2737" s="103" t="s">
        <v>4424</v>
      </c>
      <c r="B2737" s="94" t="str">
        <f>IFERROR(VLOOKUP(Proc[[#This Row],[App]],Table2[],3,0),"open")</f>
        <v>ok</v>
      </c>
      <c r="C2737" s="117" t="s">
        <v>369</v>
      </c>
      <c r="D2737" t="s">
        <v>4660</v>
      </c>
      <c r="E2737" t="s">
        <v>4754</v>
      </c>
      <c r="F2737" s="94" t="s">
        <v>4754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4787</v>
      </c>
      <c r="J2737" s="94" t="b">
        <f>Proc[[#This Row],[Requested]]=Proc[[#This Row],[CurrentParent]]</f>
        <v>1</v>
      </c>
      <c r="K2737" s="94" t="str">
        <f>IF(Proc[[#This Row],[Author]]="Marcela Urrego",VLOOKUP(LEFT(Proc[[#This Row],[Requested]],1),Table3[#All],2,0),VLOOKUP(Proc[[#This Row],[Author]],Table4[],2,0))</f>
        <v>MGF</v>
      </c>
      <c r="L2737" s="125" t="s">
        <v>4896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31</v>
      </c>
      <c r="R2737" s="110" t="s">
        <v>485</v>
      </c>
      <c r="S2737" s="94"/>
    </row>
    <row r="2738" spans="1:19" hidden="1">
      <c r="A2738" s="103" t="s">
        <v>4424</v>
      </c>
      <c r="B2738" s="94" t="str">
        <f>IFERROR(VLOOKUP(Proc[[#This Row],[App]],Table2[],3,0),"open")</f>
        <v>ok</v>
      </c>
      <c r="C2738" s="117" t="s">
        <v>369</v>
      </c>
      <c r="D2738" t="s">
        <v>4661</v>
      </c>
      <c r="E2738" t="s">
        <v>4752</v>
      </c>
      <c r="F2738" s="94" t="s">
        <v>4752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4787</v>
      </c>
      <c r="J2738" s="94" t="b">
        <f>Proc[[#This Row],[Requested]]=Proc[[#This Row],[CurrentParent]]</f>
        <v>1</v>
      </c>
      <c r="K2738" s="94" t="str">
        <f>IF(Proc[[#This Row],[Author]]="Marcela Urrego",VLOOKUP(LEFT(Proc[[#This Row],[Requested]],1),Table3[#All],2,0),VLOOKUP(Proc[[#This Row],[Author]],Table4[],2,0))</f>
        <v>MGF</v>
      </c>
      <c r="L2738" s="125" t="s">
        <v>4896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31</v>
      </c>
      <c r="R2738" s="110" t="s">
        <v>485</v>
      </c>
      <c r="S2738" s="94"/>
    </row>
    <row r="2739" spans="1:19" hidden="1">
      <c r="A2739" s="103" t="s">
        <v>4424</v>
      </c>
      <c r="B2739" s="94" t="str">
        <f>IFERROR(VLOOKUP(Proc[[#This Row],[App]],Table2[],3,0),"open")</f>
        <v>ok</v>
      </c>
      <c r="C2739" s="117" t="s">
        <v>369</v>
      </c>
      <c r="D2739" t="s">
        <v>4662</v>
      </c>
      <c r="E2739" t="s">
        <v>4752</v>
      </c>
      <c r="F2739" s="94" t="s">
        <v>4752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4787</v>
      </c>
      <c r="J2739" s="94" t="b">
        <f>Proc[[#This Row],[Requested]]=Proc[[#This Row],[CurrentParent]]</f>
        <v>1</v>
      </c>
      <c r="K2739" s="94" t="str">
        <f>IF(Proc[[#This Row],[Author]]="Marcela Urrego",VLOOKUP(LEFT(Proc[[#This Row],[Requested]],1),Table3[#All],2,0),VLOOKUP(Proc[[#This Row],[Author]],Table4[],2,0))</f>
        <v>MGF</v>
      </c>
      <c r="L2739" s="125" t="s">
        <v>4896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31</v>
      </c>
      <c r="R2739" s="110" t="s">
        <v>485</v>
      </c>
      <c r="S2739" s="94"/>
    </row>
    <row r="2740" spans="1:19" hidden="1">
      <c r="A2740" s="103" t="s">
        <v>4424</v>
      </c>
      <c r="B2740" s="94" t="str">
        <f>IFERROR(VLOOKUP(Proc[[#This Row],[App]],Table2[],3,0),"open")</f>
        <v>ok</v>
      </c>
      <c r="C2740" s="117" t="s">
        <v>369</v>
      </c>
      <c r="D2740" t="s">
        <v>4663</v>
      </c>
      <c r="E2740" t="s">
        <v>4752</v>
      </c>
      <c r="F2740" s="94" t="s">
        <v>4752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4787</v>
      </c>
      <c r="J2740" s="94" t="b">
        <f>Proc[[#This Row],[Requested]]=Proc[[#This Row],[CurrentParent]]</f>
        <v>1</v>
      </c>
      <c r="K2740" s="94" t="str">
        <f>IF(Proc[[#This Row],[Author]]="Marcela Urrego",VLOOKUP(LEFT(Proc[[#This Row],[Requested]],1),Table3[#All],2,0),VLOOKUP(Proc[[#This Row],[Author]],Table4[],2,0))</f>
        <v>MGF</v>
      </c>
      <c r="L2740" s="125" t="s">
        <v>4896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31</v>
      </c>
      <c r="R2740" s="110" t="s">
        <v>485</v>
      </c>
      <c r="S2740" s="94"/>
    </row>
    <row r="2741" spans="1:19" hidden="1">
      <c r="A2741" s="103" t="s">
        <v>4424</v>
      </c>
      <c r="B2741" s="94" t="str">
        <f>IFERROR(VLOOKUP(Proc[[#This Row],[App]],Table2[],3,0),"open")</f>
        <v>ok</v>
      </c>
      <c r="C2741" s="117" t="s">
        <v>369</v>
      </c>
      <c r="D2741" t="s">
        <v>4664</v>
      </c>
      <c r="E2741" t="s">
        <v>4754</v>
      </c>
      <c r="F2741" s="94" t="s">
        <v>4754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4787</v>
      </c>
      <c r="J2741" s="94" t="b">
        <f>Proc[[#This Row],[Requested]]=Proc[[#This Row],[CurrentParent]]</f>
        <v>1</v>
      </c>
      <c r="K2741" s="94" t="str">
        <f>IF(Proc[[#This Row],[Author]]="Marcela Urrego",VLOOKUP(LEFT(Proc[[#This Row],[Requested]],1),Table3[#All],2,0),VLOOKUP(Proc[[#This Row],[Author]],Table4[],2,0))</f>
        <v>MGF</v>
      </c>
      <c r="L2741" s="125" t="s">
        <v>4896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31</v>
      </c>
      <c r="R2741" s="110" t="s">
        <v>485</v>
      </c>
      <c r="S2741" s="94"/>
    </row>
    <row r="2742" spans="1:19" hidden="1">
      <c r="A2742" s="103" t="s">
        <v>4424</v>
      </c>
      <c r="B2742" s="94" t="str">
        <f>IFERROR(VLOOKUP(Proc[[#This Row],[App]],Table2[],3,0),"open")</f>
        <v>ok</v>
      </c>
      <c r="C2742" s="117" t="s">
        <v>369</v>
      </c>
      <c r="D2742" t="s">
        <v>4665</v>
      </c>
      <c r="E2742" t="s">
        <v>4753</v>
      </c>
      <c r="F2742" s="94" t="s">
        <v>4753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4787</v>
      </c>
      <c r="J2742" s="94" t="b">
        <f>Proc[[#This Row],[Requested]]=Proc[[#This Row],[CurrentParent]]</f>
        <v>1</v>
      </c>
      <c r="K2742" s="94" t="str">
        <f>IF(Proc[[#This Row],[Author]]="Marcela Urrego",VLOOKUP(LEFT(Proc[[#This Row],[Requested]],1),Table3[#All],2,0),VLOOKUP(Proc[[#This Row],[Author]],Table4[],2,0))</f>
        <v>MGF</v>
      </c>
      <c r="L2742" s="125" t="s">
        <v>4896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31</v>
      </c>
      <c r="R2742" s="110" t="s">
        <v>485</v>
      </c>
      <c r="S2742" s="94"/>
    </row>
    <row r="2743" spans="1:19" hidden="1">
      <c r="A2743" s="103" t="s">
        <v>4424</v>
      </c>
      <c r="B2743" s="94" t="str">
        <f>IFERROR(VLOOKUP(Proc[[#This Row],[App]],Table2[],3,0),"open")</f>
        <v>ok</v>
      </c>
      <c r="C2743" s="117" t="s">
        <v>369</v>
      </c>
      <c r="D2743" t="s">
        <v>4666</v>
      </c>
      <c r="E2743" t="s">
        <v>4752</v>
      </c>
      <c r="F2743" s="94" t="s">
        <v>4752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4787</v>
      </c>
      <c r="J2743" s="94" t="b">
        <f>Proc[[#This Row],[Requested]]=Proc[[#This Row],[CurrentParent]]</f>
        <v>1</v>
      </c>
      <c r="K2743" s="94" t="str">
        <f>IF(Proc[[#This Row],[Author]]="Marcela Urrego",VLOOKUP(LEFT(Proc[[#This Row],[Requested]],1),Table3[#All],2,0),VLOOKUP(Proc[[#This Row],[Author]],Table4[],2,0))</f>
        <v>MGF</v>
      </c>
      <c r="L2743" s="125" t="s">
        <v>4896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31</v>
      </c>
      <c r="R2743" s="110" t="s">
        <v>485</v>
      </c>
      <c r="S2743" s="94"/>
    </row>
    <row r="2744" spans="1:19" hidden="1">
      <c r="A2744" s="103" t="s">
        <v>4424</v>
      </c>
      <c r="B2744" s="94" t="str">
        <f>IFERROR(VLOOKUP(Proc[[#This Row],[App]],Table2[],3,0),"open")</f>
        <v>ok</v>
      </c>
      <c r="C2744" s="117" t="s">
        <v>369</v>
      </c>
      <c r="D2744" t="s">
        <v>4667</v>
      </c>
      <c r="E2744" t="s">
        <v>4752</v>
      </c>
      <c r="F2744" s="94" t="s">
        <v>4752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4787</v>
      </c>
      <c r="J2744" s="94" t="b">
        <f>Proc[[#This Row],[Requested]]=Proc[[#This Row],[CurrentParent]]</f>
        <v>1</v>
      </c>
      <c r="K2744" s="94" t="str">
        <f>IF(Proc[[#This Row],[Author]]="Marcela Urrego",VLOOKUP(LEFT(Proc[[#This Row],[Requested]],1),Table3[#All],2,0),VLOOKUP(Proc[[#This Row],[Author]],Table4[],2,0))</f>
        <v>MGF</v>
      </c>
      <c r="L2744" s="125" t="s">
        <v>4896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31</v>
      </c>
      <c r="R2744" s="110" t="s">
        <v>485</v>
      </c>
      <c r="S2744" s="94"/>
    </row>
    <row r="2745" spans="1:19" hidden="1">
      <c r="A2745" s="103" t="s">
        <v>4424</v>
      </c>
      <c r="B2745" s="94" t="str">
        <f>IFERROR(VLOOKUP(Proc[[#This Row],[App]],Table2[],3,0),"open")</f>
        <v>ok</v>
      </c>
      <c r="C2745" s="117" t="s">
        <v>369</v>
      </c>
      <c r="D2745" t="s">
        <v>4668</v>
      </c>
      <c r="E2745" t="s">
        <v>4752</v>
      </c>
      <c r="F2745" s="94" t="s">
        <v>4752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4787</v>
      </c>
      <c r="J2745" s="94" t="b">
        <f>Proc[[#This Row],[Requested]]=Proc[[#This Row],[CurrentParent]]</f>
        <v>1</v>
      </c>
      <c r="K2745" s="94" t="str">
        <f>IF(Proc[[#This Row],[Author]]="Marcela Urrego",VLOOKUP(LEFT(Proc[[#This Row],[Requested]],1),Table3[#All],2,0),VLOOKUP(Proc[[#This Row],[Author]],Table4[],2,0))</f>
        <v>MGF</v>
      </c>
      <c r="L2745" s="125" t="s">
        <v>4896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31</v>
      </c>
      <c r="R2745" s="110" t="s">
        <v>485</v>
      </c>
      <c r="S2745" s="94"/>
    </row>
    <row r="2746" spans="1:19" hidden="1">
      <c r="A2746" s="103" t="s">
        <v>4424</v>
      </c>
      <c r="B2746" s="94" t="str">
        <f>IFERROR(VLOOKUP(Proc[[#This Row],[App]],Table2[],3,0),"open")</f>
        <v>ok</v>
      </c>
      <c r="C2746" s="117" t="s">
        <v>369</v>
      </c>
      <c r="D2746" t="s">
        <v>4669</v>
      </c>
      <c r="E2746" t="s">
        <v>4752</v>
      </c>
      <c r="F2746" s="94" t="s">
        <v>4752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4787</v>
      </c>
      <c r="J2746" s="94" t="b">
        <f>Proc[[#This Row],[Requested]]=Proc[[#This Row],[CurrentParent]]</f>
        <v>1</v>
      </c>
      <c r="K2746" s="94" t="str">
        <f>IF(Proc[[#This Row],[Author]]="Marcela Urrego",VLOOKUP(LEFT(Proc[[#This Row],[Requested]],1),Table3[#All],2,0),VLOOKUP(Proc[[#This Row],[Author]],Table4[],2,0))</f>
        <v>MGF</v>
      </c>
      <c r="L2746" s="125" t="s">
        <v>4896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31</v>
      </c>
      <c r="R2746" s="110" t="s">
        <v>485</v>
      </c>
      <c r="S2746" s="94"/>
    </row>
    <row r="2747" spans="1:19" hidden="1">
      <c r="A2747" s="103" t="s">
        <v>4424</v>
      </c>
      <c r="B2747" s="94" t="str">
        <f>IFERROR(VLOOKUP(Proc[[#This Row],[App]],Table2[],3,0),"open")</f>
        <v>ok</v>
      </c>
      <c r="C2747" s="117" t="s">
        <v>369</v>
      </c>
      <c r="D2747" t="s">
        <v>4670</v>
      </c>
      <c r="E2747" t="s">
        <v>4752</v>
      </c>
      <c r="F2747" s="94" t="s">
        <v>4752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4787</v>
      </c>
      <c r="J2747" s="94" t="b">
        <f>Proc[[#This Row],[Requested]]=Proc[[#This Row],[CurrentParent]]</f>
        <v>1</v>
      </c>
      <c r="K2747" s="94" t="str">
        <f>IF(Proc[[#This Row],[Author]]="Marcela Urrego",VLOOKUP(LEFT(Proc[[#This Row],[Requested]],1),Table3[#All],2,0),VLOOKUP(Proc[[#This Row],[Author]],Table4[],2,0))</f>
        <v>MGF</v>
      </c>
      <c r="L2747" s="125" t="s">
        <v>4896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31</v>
      </c>
      <c r="R2747" s="110" t="s">
        <v>485</v>
      </c>
      <c r="S2747" s="94"/>
    </row>
    <row r="2748" spans="1:19" hidden="1">
      <c r="A2748" s="103" t="s">
        <v>4424</v>
      </c>
      <c r="B2748" s="94" t="str">
        <f>IFERROR(VLOOKUP(Proc[[#This Row],[App]],Table2[],3,0),"open")</f>
        <v>ok</v>
      </c>
      <c r="C2748" s="117" t="s">
        <v>369</v>
      </c>
      <c r="D2748" t="s">
        <v>4671</v>
      </c>
      <c r="E2748" t="s">
        <v>4752</v>
      </c>
      <c r="F2748" s="94" t="s">
        <v>4752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4787</v>
      </c>
      <c r="J2748" s="94" t="b">
        <f>Proc[[#This Row],[Requested]]=Proc[[#This Row],[CurrentParent]]</f>
        <v>1</v>
      </c>
      <c r="K2748" s="94" t="str">
        <f>IF(Proc[[#This Row],[Author]]="Marcela Urrego",VLOOKUP(LEFT(Proc[[#This Row],[Requested]],1),Table3[#All],2,0),VLOOKUP(Proc[[#This Row],[Author]],Table4[],2,0))</f>
        <v>MGF</v>
      </c>
      <c r="L2748" s="125" t="s">
        <v>4896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31</v>
      </c>
      <c r="R2748" s="110" t="s">
        <v>485</v>
      </c>
      <c r="S2748" s="94"/>
    </row>
    <row r="2749" spans="1:19" hidden="1">
      <c r="A2749" s="103" t="s">
        <v>4424</v>
      </c>
      <c r="B2749" s="94" t="str">
        <f>IFERROR(VLOOKUP(Proc[[#This Row],[App]],Table2[],3,0),"open")</f>
        <v>ok</v>
      </c>
      <c r="C2749" s="117" t="s">
        <v>369</v>
      </c>
      <c r="D2749" t="s">
        <v>4672</v>
      </c>
      <c r="E2749" t="s">
        <v>4752</v>
      </c>
      <c r="F2749" s="94" t="s">
        <v>4752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4787</v>
      </c>
      <c r="J2749" s="94" t="b">
        <f>Proc[[#This Row],[Requested]]=Proc[[#This Row],[CurrentParent]]</f>
        <v>1</v>
      </c>
      <c r="K2749" s="94" t="str">
        <f>IF(Proc[[#This Row],[Author]]="Marcela Urrego",VLOOKUP(LEFT(Proc[[#This Row],[Requested]],1),Table3[#All],2,0),VLOOKUP(Proc[[#This Row],[Author]],Table4[],2,0))</f>
        <v>MGF</v>
      </c>
      <c r="L2749" s="125" t="s">
        <v>4896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31</v>
      </c>
      <c r="R2749" s="110" t="s">
        <v>485</v>
      </c>
      <c r="S2749" s="94"/>
    </row>
    <row r="2750" spans="1:19" hidden="1">
      <c r="A2750" s="103" t="s">
        <v>4424</v>
      </c>
      <c r="B2750" s="94" t="str">
        <f>IFERROR(VLOOKUP(Proc[[#This Row],[App]],Table2[],3,0),"open")</f>
        <v>ok</v>
      </c>
      <c r="C2750" s="117" t="s">
        <v>369</v>
      </c>
      <c r="D2750" t="s">
        <v>4673</v>
      </c>
      <c r="E2750" t="s">
        <v>4752</v>
      </c>
      <c r="F2750" s="94" t="s">
        <v>4752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4787</v>
      </c>
      <c r="J2750" s="94" t="b">
        <f>Proc[[#This Row],[Requested]]=Proc[[#This Row],[CurrentParent]]</f>
        <v>1</v>
      </c>
      <c r="K2750" s="94" t="str">
        <f>IF(Proc[[#This Row],[Author]]="Marcela Urrego",VLOOKUP(LEFT(Proc[[#This Row],[Requested]],1),Table3[#All],2,0),VLOOKUP(Proc[[#This Row],[Author]],Table4[],2,0))</f>
        <v>MGF</v>
      </c>
      <c r="L2750" s="125" t="s">
        <v>4896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31</v>
      </c>
      <c r="R2750" s="110" t="s">
        <v>485</v>
      </c>
      <c r="S2750" s="94"/>
    </row>
    <row r="2751" spans="1:19" hidden="1">
      <c r="A2751" s="103" t="s">
        <v>4424</v>
      </c>
      <c r="B2751" s="94" t="str">
        <f>IFERROR(VLOOKUP(Proc[[#This Row],[App]],Table2[],3,0),"open")</f>
        <v>ok</v>
      </c>
      <c r="C2751" s="117" t="s">
        <v>369</v>
      </c>
      <c r="D2751" t="s">
        <v>4674</v>
      </c>
      <c r="E2751" t="s">
        <v>4752</v>
      </c>
      <c r="F2751" s="94" t="s">
        <v>4752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4787</v>
      </c>
      <c r="J2751" s="94" t="b">
        <f>Proc[[#This Row],[Requested]]=Proc[[#This Row],[CurrentParent]]</f>
        <v>1</v>
      </c>
      <c r="K2751" s="94" t="str">
        <f>IF(Proc[[#This Row],[Author]]="Marcela Urrego",VLOOKUP(LEFT(Proc[[#This Row],[Requested]],1),Table3[#All],2,0),VLOOKUP(Proc[[#This Row],[Author]],Table4[],2,0))</f>
        <v>MGF</v>
      </c>
      <c r="L2751" s="125" t="s">
        <v>4896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31</v>
      </c>
      <c r="R2751" s="110" t="s">
        <v>485</v>
      </c>
      <c r="S2751" s="94"/>
    </row>
    <row r="2752" spans="1:19" hidden="1">
      <c r="A2752" s="103" t="s">
        <v>4424</v>
      </c>
      <c r="B2752" s="94" t="str">
        <f>IFERROR(VLOOKUP(Proc[[#This Row],[App]],Table2[],3,0),"open")</f>
        <v>ok</v>
      </c>
      <c r="C2752" s="117" t="s">
        <v>369</v>
      </c>
      <c r="D2752" t="s">
        <v>4675</v>
      </c>
      <c r="E2752" t="s">
        <v>4752</v>
      </c>
      <c r="F2752" s="94" t="s">
        <v>4752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4787</v>
      </c>
      <c r="J2752" s="94" t="b">
        <f>Proc[[#This Row],[Requested]]=Proc[[#This Row],[CurrentParent]]</f>
        <v>1</v>
      </c>
      <c r="K2752" s="94" t="str">
        <f>IF(Proc[[#This Row],[Author]]="Marcela Urrego",VLOOKUP(LEFT(Proc[[#This Row],[Requested]],1),Table3[#All],2,0),VLOOKUP(Proc[[#This Row],[Author]],Table4[],2,0))</f>
        <v>MGF</v>
      </c>
      <c r="L2752" s="125" t="s">
        <v>4896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31</v>
      </c>
      <c r="R2752" s="110" t="s">
        <v>485</v>
      </c>
      <c r="S2752" s="94"/>
    </row>
    <row r="2753" spans="1:19" hidden="1">
      <c r="A2753" s="103" t="s">
        <v>4424</v>
      </c>
      <c r="B2753" s="94" t="str">
        <f>IFERROR(VLOOKUP(Proc[[#This Row],[App]],Table2[],3,0),"open")</f>
        <v>ok</v>
      </c>
      <c r="C2753" s="117" t="s">
        <v>369</v>
      </c>
      <c r="D2753" t="s">
        <v>4676</v>
      </c>
      <c r="E2753" t="s">
        <v>4752</v>
      </c>
      <c r="F2753" s="94" t="s">
        <v>4752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4787</v>
      </c>
      <c r="J2753" s="94" t="b">
        <f>Proc[[#This Row],[Requested]]=Proc[[#This Row],[CurrentParent]]</f>
        <v>1</v>
      </c>
      <c r="K2753" s="94" t="str">
        <f>IF(Proc[[#This Row],[Author]]="Marcela Urrego",VLOOKUP(LEFT(Proc[[#This Row],[Requested]],1),Table3[#All],2,0),VLOOKUP(Proc[[#This Row],[Author]],Table4[],2,0))</f>
        <v>MGF</v>
      </c>
      <c r="L2753" s="125" t="s">
        <v>4896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31</v>
      </c>
      <c r="R2753" s="110" t="s">
        <v>485</v>
      </c>
      <c r="S2753" s="94"/>
    </row>
    <row r="2754" spans="1:19" hidden="1">
      <c r="A2754" s="103" t="s">
        <v>4424</v>
      </c>
      <c r="B2754" s="94" t="str">
        <f>IFERROR(VLOOKUP(Proc[[#This Row],[App]],Table2[],3,0),"open")</f>
        <v>ok</v>
      </c>
      <c r="C2754" s="117" t="s">
        <v>369</v>
      </c>
      <c r="D2754" t="s">
        <v>4677</v>
      </c>
      <c r="E2754" t="s">
        <v>4752</v>
      </c>
      <c r="F2754" s="94" t="s">
        <v>4752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4787</v>
      </c>
      <c r="J2754" s="94" t="b">
        <f>Proc[[#This Row],[Requested]]=Proc[[#This Row],[CurrentParent]]</f>
        <v>1</v>
      </c>
      <c r="K2754" s="94" t="str">
        <f>IF(Proc[[#This Row],[Author]]="Marcela Urrego",VLOOKUP(LEFT(Proc[[#This Row],[Requested]],1),Table3[#All],2,0),VLOOKUP(Proc[[#This Row],[Author]],Table4[],2,0))</f>
        <v>MGF</v>
      </c>
      <c r="L2754" s="125" t="s">
        <v>4896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31</v>
      </c>
      <c r="R2754" s="110" t="s">
        <v>485</v>
      </c>
      <c r="S2754" s="94"/>
    </row>
    <row r="2755" spans="1:19" hidden="1">
      <c r="A2755" s="103" t="s">
        <v>4424</v>
      </c>
      <c r="B2755" s="94" t="str">
        <f>IFERROR(VLOOKUP(Proc[[#This Row],[App]],Table2[],3,0),"open")</f>
        <v>ok</v>
      </c>
      <c r="C2755" s="117" t="s">
        <v>369</v>
      </c>
      <c r="D2755" t="s">
        <v>4678</v>
      </c>
      <c r="E2755" t="s">
        <v>4752</v>
      </c>
      <c r="F2755" s="94" t="s">
        <v>4752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4787</v>
      </c>
      <c r="J2755" s="94" t="b">
        <f>Proc[[#This Row],[Requested]]=Proc[[#This Row],[CurrentParent]]</f>
        <v>1</v>
      </c>
      <c r="K2755" s="94" t="str">
        <f>IF(Proc[[#This Row],[Author]]="Marcela Urrego",VLOOKUP(LEFT(Proc[[#This Row],[Requested]],1),Table3[#All],2,0),VLOOKUP(Proc[[#This Row],[Author]],Table4[],2,0))</f>
        <v>MGF</v>
      </c>
      <c r="L2755" s="125" t="s">
        <v>4896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31</v>
      </c>
      <c r="R2755" s="110" t="s">
        <v>485</v>
      </c>
      <c r="S2755" s="94"/>
    </row>
    <row r="2756" spans="1:19" hidden="1">
      <c r="A2756" s="103" t="s">
        <v>4424</v>
      </c>
      <c r="B2756" s="94" t="str">
        <f>IFERROR(VLOOKUP(Proc[[#This Row],[App]],Table2[],3,0),"open")</f>
        <v>ok</v>
      </c>
      <c r="C2756" s="117" t="s">
        <v>369</v>
      </c>
      <c r="D2756" t="s">
        <v>4679</v>
      </c>
      <c r="E2756" t="s">
        <v>4752</v>
      </c>
      <c r="F2756" s="94" t="s">
        <v>4752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4787</v>
      </c>
      <c r="J2756" s="94" t="b">
        <f>Proc[[#This Row],[Requested]]=Proc[[#This Row],[CurrentParent]]</f>
        <v>1</v>
      </c>
      <c r="K2756" s="94" t="str">
        <f>IF(Proc[[#This Row],[Author]]="Marcela Urrego",VLOOKUP(LEFT(Proc[[#This Row],[Requested]],1),Table3[#All],2,0),VLOOKUP(Proc[[#This Row],[Author]],Table4[],2,0))</f>
        <v>MGF</v>
      </c>
      <c r="L2756" s="125" t="s">
        <v>4896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31</v>
      </c>
      <c r="R2756" s="110" t="s">
        <v>485</v>
      </c>
      <c r="S2756" s="94"/>
    </row>
    <row r="2757" spans="1:19" hidden="1">
      <c r="A2757" s="103" t="s">
        <v>4424</v>
      </c>
      <c r="B2757" s="94" t="str">
        <f>IFERROR(VLOOKUP(Proc[[#This Row],[App]],Table2[],3,0),"open")</f>
        <v>ok</v>
      </c>
      <c r="C2757" s="117" t="s">
        <v>369</v>
      </c>
      <c r="D2757" t="s">
        <v>4680</v>
      </c>
      <c r="E2757" t="s">
        <v>4752</v>
      </c>
      <c r="F2757" s="94" t="s">
        <v>4752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4787</v>
      </c>
      <c r="J2757" s="94" t="b">
        <f>Proc[[#This Row],[Requested]]=Proc[[#This Row],[CurrentParent]]</f>
        <v>1</v>
      </c>
      <c r="K2757" s="94" t="str">
        <f>IF(Proc[[#This Row],[Author]]="Marcela Urrego",VLOOKUP(LEFT(Proc[[#This Row],[Requested]],1),Table3[#All],2,0),VLOOKUP(Proc[[#This Row],[Author]],Table4[],2,0))</f>
        <v>MGF</v>
      </c>
      <c r="L2757" s="125" t="s">
        <v>4896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31</v>
      </c>
      <c r="R2757" s="110" t="s">
        <v>485</v>
      </c>
      <c r="S2757" s="94"/>
    </row>
    <row r="2758" spans="1:19" hidden="1">
      <c r="A2758" s="103" t="s">
        <v>4424</v>
      </c>
      <c r="B2758" s="94" t="str">
        <f>IFERROR(VLOOKUP(Proc[[#This Row],[App]],Table2[],3,0),"open")</f>
        <v>ok</v>
      </c>
      <c r="C2758" s="117" t="s">
        <v>369</v>
      </c>
      <c r="D2758" t="s">
        <v>4681</v>
      </c>
      <c r="E2758" t="s">
        <v>4752</v>
      </c>
      <c r="F2758" s="94" t="s">
        <v>4752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4787</v>
      </c>
      <c r="J2758" s="94" t="b">
        <f>Proc[[#This Row],[Requested]]=Proc[[#This Row],[CurrentParent]]</f>
        <v>1</v>
      </c>
      <c r="K2758" s="94" t="str">
        <f>IF(Proc[[#This Row],[Author]]="Marcela Urrego",VLOOKUP(LEFT(Proc[[#This Row],[Requested]],1),Table3[#All],2,0),VLOOKUP(Proc[[#This Row],[Author]],Table4[],2,0))</f>
        <v>MGF</v>
      </c>
      <c r="L2758" s="125" t="s">
        <v>4896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31</v>
      </c>
      <c r="R2758" s="110" t="s">
        <v>485</v>
      </c>
      <c r="S2758" s="94"/>
    </row>
    <row r="2759" spans="1:19" hidden="1">
      <c r="A2759" s="103" t="s">
        <v>4424</v>
      </c>
      <c r="B2759" s="94" t="str">
        <f>IFERROR(VLOOKUP(Proc[[#This Row],[App]],Table2[],3,0),"open")</f>
        <v>ok</v>
      </c>
      <c r="C2759" s="117" t="s">
        <v>369</v>
      </c>
      <c r="D2759" t="s">
        <v>4682</v>
      </c>
      <c r="E2759" t="s">
        <v>4753</v>
      </c>
      <c r="F2759" s="94" t="s">
        <v>4753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4787</v>
      </c>
      <c r="J2759" s="94" t="b">
        <f>Proc[[#This Row],[Requested]]=Proc[[#This Row],[CurrentParent]]</f>
        <v>1</v>
      </c>
      <c r="K2759" s="94" t="str">
        <f>IF(Proc[[#This Row],[Author]]="Marcela Urrego",VLOOKUP(LEFT(Proc[[#This Row],[Requested]],1),Table3[#All],2,0),VLOOKUP(Proc[[#This Row],[Author]],Table4[],2,0))</f>
        <v>MGF</v>
      </c>
      <c r="L2759" s="125" t="s">
        <v>4896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31</v>
      </c>
      <c r="R2759" s="110" t="s">
        <v>485</v>
      </c>
      <c r="S2759" s="94"/>
    </row>
    <row r="2760" spans="1:19" hidden="1">
      <c r="A2760" s="103" t="s">
        <v>4424</v>
      </c>
      <c r="B2760" s="94" t="str">
        <f>IFERROR(VLOOKUP(Proc[[#This Row],[App]],Table2[],3,0),"open")</f>
        <v>ok</v>
      </c>
      <c r="C2760" s="117" t="s">
        <v>369</v>
      </c>
      <c r="D2760" t="s">
        <v>4683</v>
      </c>
      <c r="E2760" t="s">
        <v>4753</v>
      </c>
      <c r="F2760" s="94" t="s">
        <v>4753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4787</v>
      </c>
      <c r="J2760" s="94" t="b">
        <f>Proc[[#This Row],[Requested]]=Proc[[#This Row],[CurrentParent]]</f>
        <v>1</v>
      </c>
      <c r="K2760" s="94" t="str">
        <f>IF(Proc[[#This Row],[Author]]="Marcela Urrego",VLOOKUP(LEFT(Proc[[#This Row],[Requested]],1),Table3[#All],2,0),VLOOKUP(Proc[[#This Row],[Author]],Table4[],2,0))</f>
        <v>MGF</v>
      </c>
      <c r="L2760" s="125" t="s">
        <v>4896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31</v>
      </c>
      <c r="R2760" s="110" t="s">
        <v>485</v>
      </c>
      <c r="S2760" s="94"/>
    </row>
    <row r="2761" spans="1:19" hidden="1">
      <c r="A2761" s="103" t="s">
        <v>4424</v>
      </c>
      <c r="B2761" s="94" t="str">
        <f>IFERROR(VLOOKUP(Proc[[#This Row],[App]],Table2[],3,0),"open")</f>
        <v>ok</v>
      </c>
      <c r="C2761" s="117" t="s">
        <v>369</v>
      </c>
      <c r="D2761" t="s">
        <v>4684</v>
      </c>
      <c r="E2761" t="s">
        <v>4752</v>
      </c>
      <c r="F2761" s="94" t="s">
        <v>4752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4787</v>
      </c>
      <c r="J2761" s="94" t="b">
        <f>Proc[[#This Row],[Requested]]=Proc[[#This Row],[CurrentParent]]</f>
        <v>1</v>
      </c>
      <c r="K2761" s="94" t="str">
        <f>IF(Proc[[#This Row],[Author]]="Marcela Urrego",VLOOKUP(LEFT(Proc[[#This Row],[Requested]],1),Table3[#All],2,0),VLOOKUP(Proc[[#This Row],[Author]],Table4[],2,0))</f>
        <v>MGF</v>
      </c>
      <c r="L2761" s="125" t="s">
        <v>4896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31</v>
      </c>
      <c r="R2761" s="110" t="s">
        <v>485</v>
      </c>
      <c r="S2761" s="94"/>
    </row>
    <row r="2762" spans="1:19" hidden="1">
      <c r="A2762" s="103" t="s">
        <v>4424</v>
      </c>
      <c r="B2762" s="94" t="str">
        <f>IFERROR(VLOOKUP(Proc[[#This Row],[App]],Table2[],3,0),"open")</f>
        <v>ok</v>
      </c>
      <c r="C2762" s="117" t="s">
        <v>369</v>
      </c>
      <c r="D2762" t="s">
        <v>4685</v>
      </c>
      <c r="E2762" t="s">
        <v>4753</v>
      </c>
      <c r="F2762" s="94" t="s">
        <v>4753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4787</v>
      </c>
      <c r="J2762" s="94" t="b">
        <f>Proc[[#This Row],[Requested]]=Proc[[#This Row],[CurrentParent]]</f>
        <v>1</v>
      </c>
      <c r="K2762" s="94" t="str">
        <f>IF(Proc[[#This Row],[Author]]="Marcela Urrego",VLOOKUP(LEFT(Proc[[#This Row],[Requested]],1),Table3[#All],2,0),VLOOKUP(Proc[[#This Row],[Author]],Table4[],2,0))</f>
        <v>MGF</v>
      </c>
      <c r="L2762" s="125" t="s">
        <v>4896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31</v>
      </c>
      <c r="R2762" s="110" t="s">
        <v>485</v>
      </c>
      <c r="S2762" s="94"/>
    </row>
    <row r="2763" spans="1:19" hidden="1">
      <c r="A2763" s="103" t="s">
        <v>4424</v>
      </c>
      <c r="B2763" s="94" t="str">
        <f>IFERROR(VLOOKUP(Proc[[#This Row],[App]],Table2[],3,0),"open")</f>
        <v>ok</v>
      </c>
      <c r="C2763" s="117" t="s">
        <v>369</v>
      </c>
      <c r="D2763" t="s">
        <v>4686</v>
      </c>
      <c r="E2763" t="s">
        <v>4752</v>
      </c>
      <c r="F2763" s="94" t="s">
        <v>4752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4787</v>
      </c>
      <c r="J2763" s="94" t="b">
        <f>Proc[[#This Row],[Requested]]=Proc[[#This Row],[CurrentParent]]</f>
        <v>1</v>
      </c>
      <c r="K2763" s="94" t="str">
        <f>IF(Proc[[#This Row],[Author]]="Marcela Urrego",VLOOKUP(LEFT(Proc[[#This Row],[Requested]],1),Table3[#All],2,0),VLOOKUP(Proc[[#This Row],[Author]],Table4[],2,0))</f>
        <v>MGF</v>
      </c>
      <c r="L2763" s="125" t="s">
        <v>4896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31</v>
      </c>
      <c r="R2763" s="110" t="s">
        <v>485</v>
      </c>
      <c r="S2763" s="94"/>
    </row>
    <row r="2764" spans="1:19" hidden="1">
      <c r="A2764" s="103" t="s">
        <v>4424</v>
      </c>
      <c r="B2764" s="94" t="str">
        <f>IFERROR(VLOOKUP(Proc[[#This Row],[App]],Table2[],3,0),"open")</f>
        <v>ok</v>
      </c>
      <c r="C2764" s="117" t="s">
        <v>369</v>
      </c>
      <c r="D2764" t="s">
        <v>4687</v>
      </c>
      <c r="E2764" t="s">
        <v>4753</v>
      </c>
      <c r="F2764" s="94" t="s">
        <v>4753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4787</v>
      </c>
      <c r="J2764" s="94" t="b">
        <f>Proc[[#This Row],[Requested]]=Proc[[#This Row],[CurrentParent]]</f>
        <v>1</v>
      </c>
      <c r="K2764" s="94" t="str">
        <f>IF(Proc[[#This Row],[Author]]="Marcela Urrego",VLOOKUP(LEFT(Proc[[#This Row],[Requested]],1),Table3[#All],2,0),VLOOKUP(Proc[[#This Row],[Author]],Table4[],2,0))</f>
        <v>MGF</v>
      </c>
      <c r="L2764" s="125" t="s">
        <v>4896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31</v>
      </c>
      <c r="R2764" s="110" t="s">
        <v>485</v>
      </c>
      <c r="S2764" s="94"/>
    </row>
    <row r="2765" spans="1:19" hidden="1">
      <c r="A2765" s="103" t="s">
        <v>4424</v>
      </c>
      <c r="B2765" s="94" t="str">
        <f>IFERROR(VLOOKUP(Proc[[#This Row],[App]],Table2[],3,0),"open")</f>
        <v>ok</v>
      </c>
      <c r="C2765" s="117" t="s">
        <v>369</v>
      </c>
      <c r="D2765" t="s">
        <v>4688</v>
      </c>
      <c r="E2765" t="s">
        <v>4752</v>
      </c>
      <c r="F2765" s="94" t="s">
        <v>4752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4787</v>
      </c>
      <c r="J2765" s="94" t="b">
        <f>Proc[[#This Row],[Requested]]=Proc[[#This Row],[CurrentParent]]</f>
        <v>1</v>
      </c>
      <c r="K2765" s="94" t="str">
        <f>IF(Proc[[#This Row],[Author]]="Marcela Urrego",VLOOKUP(LEFT(Proc[[#This Row],[Requested]],1),Table3[#All],2,0),VLOOKUP(Proc[[#This Row],[Author]],Table4[],2,0))</f>
        <v>MGF</v>
      </c>
      <c r="L2765" s="125" t="s">
        <v>4896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31</v>
      </c>
      <c r="R2765" s="110" t="s">
        <v>485</v>
      </c>
      <c r="S2765" s="94"/>
    </row>
    <row r="2766" spans="1:19" hidden="1">
      <c r="A2766" s="103" t="s">
        <v>4424</v>
      </c>
      <c r="B2766" s="94" t="str">
        <f>IFERROR(VLOOKUP(Proc[[#This Row],[App]],Table2[],3,0),"open")</f>
        <v>ok</v>
      </c>
      <c r="C2766" s="117" t="s">
        <v>369</v>
      </c>
      <c r="D2766" t="s">
        <v>4689</v>
      </c>
      <c r="E2766" t="s">
        <v>4753</v>
      </c>
      <c r="F2766" s="94" t="s">
        <v>4753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4787</v>
      </c>
      <c r="J2766" s="94" t="b">
        <f>Proc[[#This Row],[Requested]]=Proc[[#This Row],[CurrentParent]]</f>
        <v>1</v>
      </c>
      <c r="K2766" s="94" t="str">
        <f>IF(Proc[[#This Row],[Author]]="Marcela Urrego",VLOOKUP(LEFT(Proc[[#This Row],[Requested]],1),Table3[#All],2,0),VLOOKUP(Proc[[#This Row],[Author]],Table4[],2,0))</f>
        <v>MGF</v>
      </c>
      <c r="L2766" s="125" t="s">
        <v>4896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31</v>
      </c>
      <c r="R2766" s="110" t="s">
        <v>485</v>
      </c>
      <c r="S2766" s="94"/>
    </row>
    <row r="2767" spans="1:19" hidden="1">
      <c r="A2767" s="103" t="s">
        <v>4424</v>
      </c>
      <c r="B2767" s="94" t="str">
        <f>IFERROR(VLOOKUP(Proc[[#This Row],[App]],Table2[],3,0),"open")</f>
        <v>ok</v>
      </c>
      <c r="C2767" s="117" t="s">
        <v>369</v>
      </c>
      <c r="D2767" t="s">
        <v>4690</v>
      </c>
      <c r="E2767" t="s">
        <v>4755</v>
      </c>
      <c r="F2767" s="94" t="s">
        <v>4755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4787</v>
      </c>
      <c r="J2767" s="94" t="b">
        <f>Proc[[#This Row],[Requested]]=Proc[[#This Row],[CurrentParent]]</f>
        <v>1</v>
      </c>
      <c r="K2767" s="94" t="str">
        <f>IF(Proc[[#This Row],[Author]]="Marcela Urrego",VLOOKUP(LEFT(Proc[[#This Row],[Requested]],1),Table3[#All],2,0),VLOOKUP(Proc[[#This Row],[Author]],Table4[],2,0))</f>
        <v>MGF</v>
      </c>
      <c r="L2767" s="125" t="s">
        <v>4896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31</v>
      </c>
      <c r="R2767" s="110" t="s">
        <v>485</v>
      </c>
      <c r="S2767" s="94"/>
    </row>
    <row r="2768" spans="1:19" hidden="1">
      <c r="A2768" s="103" t="s">
        <v>4424</v>
      </c>
      <c r="B2768" s="94" t="str">
        <f>IFERROR(VLOOKUP(Proc[[#This Row],[App]],Table2[],3,0),"open")</f>
        <v>ok</v>
      </c>
      <c r="C2768" s="117" t="s">
        <v>369</v>
      </c>
      <c r="D2768" t="s">
        <v>4691</v>
      </c>
      <c r="E2768" t="s">
        <v>4753</v>
      </c>
      <c r="F2768" s="94" t="s">
        <v>4753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4787</v>
      </c>
      <c r="J2768" s="94" t="b">
        <f>Proc[[#This Row],[Requested]]=Proc[[#This Row],[CurrentParent]]</f>
        <v>1</v>
      </c>
      <c r="K2768" s="94" t="str">
        <f>IF(Proc[[#This Row],[Author]]="Marcela Urrego",VLOOKUP(LEFT(Proc[[#This Row],[Requested]],1),Table3[#All],2,0),VLOOKUP(Proc[[#This Row],[Author]],Table4[],2,0))</f>
        <v>MGF</v>
      </c>
      <c r="L2768" s="125" t="s">
        <v>4896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31</v>
      </c>
      <c r="R2768" s="110" t="s">
        <v>485</v>
      </c>
      <c r="S2768" s="94"/>
    </row>
    <row r="2769" spans="1:19" hidden="1">
      <c r="A2769" s="103" t="s">
        <v>4424</v>
      </c>
      <c r="B2769" s="94" t="str">
        <f>IFERROR(VLOOKUP(Proc[[#This Row],[App]],Table2[],3,0),"open")</f>
        <v>ok</v>
      </c>
      <c r="C2769" s="117" t="s">
        <v>369</v>
      </c>
      <c r="D2769" t="s">
        <v>4692</v>
      </c>
      <c r="E2769" t="s">
        <v>4753</v>
      </c>
      <c r="F2769" s="94" t="s">
        <v>4753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4787</v>
      </c>
      <c r="J2769" s="94" t="b">
        <f>Proc[[#This Row],[Requested]]=Proc[[#This Row],[CurrentParent]]</f>
        <v>1</v>
      </c>
      <c r="K2769" s="94" t="str">
        <f>IF(Proc[[#This Row],[Author]]="Marcela Urrego",VLOOKUP(LEFT(Proc[[#This Row],[Requested]],1),Table3[#All],2,0),VLOOKUP(Proc[[#This Row],[Author]],Table4[],2,0))</f>
        <v>MGF</v>
      </c>
      <c r="L2769" s="125" t="s">
        <v>4896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31</v>
      </c>
      <c r="R2769" s="110" t="s">
        <v>485</v>
      </c>
      <c r="S2769" s="94"/>
    </row>
    <row r="2770" spans="1:19" hidden="1">
      <c r="A2770" s="103" t="s">
        <v>4424</v>
      </c>
      <c r="B2770" s="94" t="str">
        <f>IFERROR(VLOOKUP(Proc[[#This Row],[App]],Table2[],3,0),"open")</f>
        <v>ok</v>
      </c>
      <c r="C2770" s="117" t="s">
        <v>369</v>
      </c>
      <c r="D2770" t="s">
        <v>4693</v>
      </c>
      <c r="E2770" t="s">
        <v>4753</v>
      </c>
      <c r="F2770" s="94" t="s">
        <v>4753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4787</v>
      </c>
      <c r="J2770" s="94" t="b">
        <f>Proc[[#This Row],[Requested]]=Proc[[#This Row],[CurrentParent]]</f>
        <v>1</v>
      </c>
      <c r="K2770" s="94" t="str">
        <f>IF(Proc[[#This Row],[Author]]="Marcela Urrego",VLOOKUP(LEFT(Proc[[#This Row],[Requested]],1),Table3[#All],2,0),VLOOKUP(Proc[[#This Row],[Author]],Table4[],2,0))</f>
        <v>MGF</v>
      </c>
      <c r="L2770" s="125" t="s">
        <v>4896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31</v>
      </c>
      <c r="R2770" s="110" t="s">
        <v>485</v>
      </c>
      <c r="S2770" s="94"/>
    </row>
    <row r="2771" spans="1:19" hidden="1">
      <c r="A2771" s="103" t="s">
        <v>4424</v>
      </c>
      <c r="B2771" s="94" t="str">
        <f>IFERROR(VLOOKUP(Proc[[#This Row],[App]],Table2[],3,0),"open")</f>
        <v>ok</v>
      </c>
      <c r="C2771" s="117" t="s">
        <v>369</v>
      </c>
      <c r="D2771" t="s">
        <v>4694</v>
      </c>
      <c r="E2771" t="s">
        <v>4753</v>
      </c>
      <c r="F2771" s="94" t="s">
        <v>4753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4787</v>
      </c>
      <c r="J2771" s="94" t="b">
        <f>Proc[[#This Row],[Requested]]=Proc[[#This Row],[CurrentParent]]</f>
        <v>1</v>
      </c>
      <c r="K2771" s="94" t="str">
        <f>IF(Proc[[#This Row],[Author]]="Marcela Urrego",VLOOKUP(LEFT(Proc[[#This Row],[Requested]],1),Table3[#All],2,0),VLOOKUP(Proc[[#This Row],[Author]],Table4[],2,0))</f>
        <v>MGF</v>
      </c>
      <c r="L2771" s="125" t="s">
        <v>4896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31</v>
      </c>
      <c r="R2771" s="110" t="s">
        <v>485</v>
      </c>
      <c r="S2771" s="94"/>
    </row>
    <row r="2772" spans="1:19" hidden="1">
      <c r="A2772" s="103" t="s">
        <v>4424</v>
      </c>
      <c r="B2772" s="94" t="str">
        <f>IFERROR(VLOOKUP(Proc[[#This Row],[App]],Table2[],3,0),"open")</f>
        <v>ok</v>
      </c>
      <c r="C2772" s="117" t="s">
        <v>369</v>
      </c>
      <c r="D2772" t="s">
        <v>4695</v>
      </c>
      <c r="E2772" t="s">
        <v>4753</v>
      </c>
      <c r="F2772" s="94" t="s">
        <v>4753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4787</v>
      </c>
      <c r="J2772" s="94" t="b">
        <f>Proc[[#This Row],[Requested]]=Proc[[#This Row],[CurrentParent]]</f>
        <v>1</v>
      </c>
      <c r="K2772" s="94" t="str">
        <f>IF(Proc[[#This Row],[Author]]="Marcela Urrego",VLOOKUP(LEFT(Proc[[#This Row],[Requested]],1),Table3[#All],2,0),VLOOKUP(Proc[[#This Row],[Author]],Table4[],2,0))</f>
        <v>MGF</v>
      </c>
      <c r="L2772" s="125" t="s">
        <v>4896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31</v>
      </c>
      <c r="R2772" s="110" t="s">
        <v>485</v>
      </c>
      <c r="S2772" s="94"/>
    </row>
    <row r="2773" spans="1:19" hidden="1">
      <c r="A2773" s="103" t="s">
        <v>4424</v>
      </c>
      <c r="B2773" s="94" t="str">
        <f>IFERROR(VLOOKUP(Proc[[#This Row],[App]],Table2[],3,0),"open")</f>
        <v>ok</v>
      </c>
      <c r="C2773" s="117" t="s">
        <v>369</v>
      </c>
      <c r="D2773" t="s">
        <v>4696</v>
      </c>
      <c r="E2773" t="s">
        <v>4756</v>
      </c>
      <c r="F2773" s="94" t="s">
        <v>4756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4787</v>
      </c>
      <c r="J2773" s="94" t="b">
        <f>Proc[[#This Row],[Requested]]=Proc[[#This Row],[CurrentParent]]</f>
        <v>1</v>
      </c>
      <c r="K2773" s="94" t="str">
        <f>IF(Proc[[#This Row],[Author]]="Marcela Urrego",VLOOKUP(LEFT(Proc[[#This Row],[Requested]],1),Table3[#All],2,0),VLOOKUP(Proc[[#This Row],[Author]],Table4[],2,0))</f>
        <v>MGF</v>
      </c>
      <c r="L2773" s="125" t="s">
        <v>4896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31</v>
      </c>
      <c r="R2773" s="110" t="s">
        <v>485</v>
      </c>
      <c r="S2773" s="94"/>
    </row>
    <row r="2774" spans="1:19" hidden="1">
      <c r="A2774" s="103" t="s">
        <v>4424</v>
      </c>
      <c r="B2774" s="94" t="str">
        <f>IFERROR(VLOOKUP(Proc[[#This Row],[App]],Table2[],3,0),"open")</f>
        <v>ok</v>
      </c>
      <c r="C2774" s="117" t="s">
        <v>369</v>
      </c>
      <c r="D2774" t="s">
        <v>4697</v>
      </c>
      <c r="E2774" t="s">
        <v>4753</v>
      </c>
      <c r="F2774" s="94" t="s">
        <v>4753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4787</v>
      </c>
      <c r="J2774" s="94" t="b">
        <f>Proc[[#This Row],[Requested]]=Proc[[#This Row],[CurrentParent]]</f>
        <v>1</v>
      </c>
      <c r="K2774" s="94" t="str">
        <f>IF(Proc[[#This Row],[Author]]="Marcela Urrego",VLOOKUP(LEFT(Proc[[#This Row],[Requested]],1),Table3[#All],2,0),VLOOKUP(Proc[[#This Row],[Author]],Table4[],2,0))</f>
        <v>MGF</v>
      </c>
      <c r="L2774" s="125" t="s">
        <v>4896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31</v>
      </c>
      <c r="R2774" s="110" t="s">
        <v>485</v>
      </c>
      <c r="S2774" s="94"/>
    </row>
    <row r="2775" spans="1:19" hidden="1">
      <c r="A2775" s="103" t="s">
        <v>4424</v>
      </c>
      <c r="B2775" s="94" t="str">
        <f>IFERROR(VLOOKUP(Proc[[#This Row],[App]],Table2[],3,0),"open")</f>
        <v>ok</v>
      </c>
      <c r="C2775" s="117" t="s">
        <v>369</v>
      </c>
      <c r="D2775" t="s">
        <v>4698</v>
      </c>
      <c r="E2775" t="s">
        <v>4753</v>
      </c>
      <c r="F2775" s="94" t="s">
        <v>4753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4787</v>
      </c>
      <c r="J2775" s="94" t="b">
        <f>Proc[[#This Row],[Requested]]=Proc[[#This Row],[CurrentParent]]</f>
        <v>1</v>
      </c>
      <c r="K2775" s="94" t="str">
        <f>IF(Proc[[#This Row],[Author]]="Marcela Urrego",VLOOKUP(LEFT(Proc[[#This Row],[Requested]],1),Table3[#All],2,0),VLOOKUP(Proc[[#This Row],[Author]],Table4[],2,0))</f>
        <v>MGF</v>
      </c>
      <c r="L2775" s="125" t="s">
        <v>4896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31</v>
      </c>
      <c r="R2775" s="110" t="s">
        <v>485</v>
      </c>
      <c r="S2775" s="94"/>
    </row>
    <row r="2776" spans="1:19" hidden="1">
      <c r="A2776" s="103" t="s">
        <v>4424</v>
      </c>
      <c r="B2776" s="94" t="str">
        <f>IFERROR(VLOOKUP(Proc[[#This Row],[App]],Table2[],3,0),"open")</f>
        <v>ok</v>
      </c>
      <c r="C2776" s="117" t="s">
        <v>369</v>
      </c>
      <c r="D2776" t="s">
        <v>4699</v>
      </c>
      <c r="E2776" t="s">
        <v>4753</v>
      </c>
      <c r="F2776" s="94" t="s">
        <v>4753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4787</v>
      </c>
      <c r="J2776" s="94" t="b">
        <f>Proc[[#This Row],[Requested]]=Proc[[#This Row],[CurrentParent]]</f>
        <v>1</v>
      </c>
      <c r="K2776" s="94" t="str">
        <f>IF(Proc[[#This Row],[Author]]="Marcela Urrego",VLOOKUP(LEFT(Proc[[#This Row],[Requested]],1),Table3[#All],2,0),VLOOKUP(Proc[[#This Row],[Author]],Table4[],2,0))</f>
        <v>MGF</v>
      </c>
      <c r="L2776" s="125" t="s">
        <v>4896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31</v>
      </c>
      <c r="R2776" s="110" t="s">
        <v>485</v>
      </c>
      <c r="S2776" s="94"/>
    </row>
    <row r="2777" spans="1:19" hidden="1">
      <c r="A2777" s="103" t="s">
        <v>4424</v>
      </c>
      <c r="B2777" s="94" t="str">
        <f>IFERROR(VLOOKUP(Proc[[#This Row],[App]],Table2[],3,0),"open")</f>
        <v>ok</v>
      </c>
      <c r="C2777" s="117" t="s">
        <v>369</v>
      </c>
      <c r="D2777" t="s">
        <v>4700</v>
      </c>
      <c r="E2777" t="s">
        <v>4753</v>
      </c>
      <c r="F2777" s="94" t="s">
        <v>4753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4787</v>
      </c>
      <c r="J2777" s="94" t="b">
        <f>Proc[[#This Row],[Requested]]=Proc[[#This Row],[CurrentParent]]</f>
        <v>1</v>
      </c>
      <c r="K2777" s="94" t="str">
        <f>IF(Proc[[#This Row],[Author]]="Marcela Urrego",VLOOKUP(LEFT(Proc[[#This Row],[Requested]],1),Table3[#All],2,0),VLOOKUP(Proc[[#This Row],[Author]],Table4[],2,0))</f>
        <v>MGF</v>
      </c>
      <c r="L2777" s="125" t="s">
        <v>4896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31</v>
      </c>
      <c r="R2777" s="110" t="s">
        <v>485</v>
      </c>
      <c r="S2777" s="94"/>
    </row>
    <row r="2778" spans="1:19" hidden="1">
      <c r="A2778" s="103" t="s">
        <v>4424</v>
      </c>
      <c r="B2778" s="94" t="str">
        <f>IFERROR(VLOOKUP(Proc[[#This Row],[App]],Table2[],3,0),"open")</f>
        <v>ok</v>
      </c>
      <c r="C2778" s="117" t="s">
        <v>369</v>
      </c>
      <c r="D2778" t="s">
        <v>4701</v>
      </c>
      <c r="E2778" t="s">
        <v>4756</v>
      </c>
      <c r="F2778" s="94" t="s">
        <v>4756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4787</v>
      </c>
      <c r="J2778" s="94" t="b">
        <f>Proc[[#This Row],[Requested]]=Proc[[#This Row],[CurrentParent]]</f>
        <v>1</v>
      </c>
      <c r="K2778" s="94" t="str">
        <f>IF(Proc[[#This Row],[Author]]="Marcela Urrego",VLOOKUP(LEFT(Proc[[#This Row],[Requested]],1),Table3[#All],2,0),VLOOKUP(Proc[[#This Row],[Author]],Table4[],2,0))</f>
        <v>MGF</v>
      </c>
      <c r="L2778" s="125" t="s">
        <v>4896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31</v>
      </c>
      <c r="R2778" s="110" t="s">
        <v>485</v>
      </c>
      <c r="S2778" s="94"/>
    </row>
    <row r="2779" spans="1:19" hidden="1">
      <c r="A2779" s="103" t="s">
        <v>4424</v>
      </c>
      <c r="B2779" s="94" t="str">
        <f>IFERROR(VLOOKUP(Proc[[#This Row],[App]],Table2[],3,0),"open")</f>
        <v>ok</v>
      </c>
      <c r="C2779" s="117" t="s">
        <v>369</v>
      </c>
      <c r="D2779" t="s">
        <v>4702</v>
      </c>
      <c r="E2779" t="s">
        <v>4753</v>
      </c>
      <c r="F2779" s="94" t="s">
        <v>4753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4787</v>
      </c>
      <c r="J2779" s="94" t="b">
        <f>Proc[[#This Row],[Requested]]=Proc[[#This Row],[CurrentParent]]</f>
        <v>1</v>
      </c>
      <c r="K2779" s="94" t="str">
        <f>IF(Proc[[#This Row],[Author]]="Marcela Urrego",VLOOKUP(LEFT(Proc[[#This Row],[Requested]],1),Table3[#All],2,0),VLOOKUP(Proc[[#This Row],[Author]],Table4[],2,0))</f>
        <v>MGF</v>
      </c>
      <c r="L2779" s="125" t="s">
        <v>4896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31</v>
      </c>
      <c r="R2779" s="110" t="s">
        <v>485</v>
      </c>
      <c r="S2779" s="94"/>
    </row>
    <row r="2780" spans="1:19" hidden="1">
      <c r="A2780" s="103" t="s">
        <v>4424</v>
      </c>
      <c r="B2780" s="94" t="str">
        <f>IFERROR(VLOOKUP(Proc[[#This Row],[App]],Table2[],3,0),"open")</f>
        <v>ok</v>
      </c>
      <c r="C2780" s="117" t="s">
        <v>369</v>
      </c>
      <c r="D2780" t="s">
        <v>4703</v>
      </c>
      <c r="E2780" t="s">
        <v>4753</v>
      </c>
      <c r="F2780" s="94" t="s">
        <v>4753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4787</v>
      </c>
      <c r="J2780" s="94" t="b">
        <f>Proc[[#This Row],[Requested]]=Proc[[#This Row],[CurrentParent]]</f>
        <v>1</v>
      </c>
      <c r="K2780" s="94" t="str">
        <f>IF(Proc[[#This Row],[Author]]="Marcela Urrego",VLOOKUP(LEFT(Proc[[#This Row],[Requested]],1),Table3[#All],2,0),VLOOKUP(Proc[[#This Row],[Author]],Table4[],2,0))</f>
        <v>MGF</v>
      </c>
      <c r="L2780" s="125" t="s">
        <v>4896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31</v>
      </c>
      <c r="R2780" s="110" t="s">
        <v>485</v>
      </c>
      <c r="S2780" s="94"/>
    </row>
    <row r="2781" spans="1:19" hidden="1">
      <c r="A2781" s="103" t="s">
        <v>4424</v>
      </c>
      <c r="B2781" s="94" t="str">
        <f>IFERROR(VLOOKUP(Proc[[#This Row],[App]],Table2[],3,0),"open")</f>
        <v>ok</v>
      </c>
      <c r="C2781" s="117" t="s">
        <v>369</v>
      </c>
      <c r="D2781" t="s">
        <v>4704</v>
      </c>
      <c r="E2781" t="s">
        <v>4752</v>
      </c>
      <c r="F2781" s="94" t="s">
        <v>4752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4787</v>
      </c>
      <c r="J2781" s="94" t="b">
        <f>Proc[[#This Row],[Requested]]=Proc[[#This Row],[CurrentParent]]</f>
        <v>1</v>
      </c>
      <c r="K2781" s="94" t="str">
        <f>IF(Proc[[#This Row],[Author]]="Marcela Urrego",VLOOKUP(LEFT(Proc[[#This Row],[Requested]],1),Table3[#All],2,0),VLOOKUP(Proc[[#This Row],[Author]],Table4[],2,0))</f>
        <v>MGF</v>
      </c>
      <c r="L2781" s="125" t="s">
        <v>4896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31</v>
      </c>
      <c r="R2781" s="110" t="s">
        <v>485</v>
      </c>
      <c r="S2781" s="94"/>
    </row>
    <row r="2782" spans="1:19" hidden="1">
      <c r="A2782" s="103" t="s">
        <v>4424</v>
      </c>
      <c r="B2782" s="94" t="str">
        <f>IFERROR(VLOOKUP(Proc[[#This Row],[App]],Table2[],3,0),"open")</f>
        <v>ok</v>
      </c>
      <c r="C2782" s="117" t="s">
        <v>369</v>
      </c>
      <c r="D2782" t="s">
        <v>4705</v>
      </c>
      <c r="E2782" t="s">
        <v>4753</v>
      </c>
      <c r="F2782" s="94" t="s">
        <v>4753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4787</v>
      </c>
      <c r="J2782" s="94" t="b">
        <f>Proc[[#This Row],[Requested]]=Proc[[#This Row],[CurrentParent]]</f>
        <v>1</v>
      </c>
      <c r="K2782" s="94" t="str">
        <f>IF(Proc[[#This Row],[Author]]="Marcela Urrego",VLOOKUP(LEFT(Proc[[#This Row],[Requested]],1),Table3[#All],2,0),VLOOKUP(Proc[[#This Row],[Author]],Table4[],2,0))</f>
        <v>MGF</v>
      </c>
      <c r="L2782" s="125" t="s">
        <v>4896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31</v>
      </c>
      <c r="R2782" s="110" t="s">
        <v>485</v>
      </c>
      <c r="S2782" s="94"/>
    </row>
    <row r="2783" spans="1:19" hidden="1">
      <c r="A2783" s="103" t="s">
        <v>4424</v>
      </c>
      <c r="B2783" s="94" t="str">
        <f>IFERROR(VLOOKUP(Proc[[#This Row],[App]],Table2[],3,0),"open")</f>
        <v>ok</v>
      </c>
      <c r="C2783" s="117" t="s">
        <v>369</v>
      </c>
      <c r="D2783" t="s">
        <v>4706</v>
      </c>
      <c r="E2783" t="s">
        <v>4753</v>
      </c>
      <c r="F2783" s="94" t="s">
        <v>4753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4787</v>
      </c>
      <c r="J2783" s="94" t="b">
        <f>Proc[[#This Row],[Requested]]=Proc[[#This Row],[CurrentParent]]</f>
        <v>1</v>
      </c>
      <c r="K2783" s="94" t="str">
        <f>IF(Proc[[#This Row],[Author]]="Marcela Urrego",VLOOKUP(LEFT(Proc[[#This Row],[Requested]],1),Table3[#All],2,0),VLOOKUP(Proc[[#This Row],[Author]],Table4[],2,0))</f>
        <v>MGF</v>
      </c>
      <c r="L2783" s="125" t="s">
        <v>4896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31</v>
      </c>
      <c r="R2783" s="110" t="s">
        <v>485</v>
      </c>
      <c r="S2783" s="94"/>
    </row>
    <row r="2784" spans="1:19" hidden="1">
      <c r="A2784" s="103" t="s">
        <v>4424</v>
      </c>
      <c r="B2784" s="94" t="str">
        <f>IFERROR(VLOOKUP(Proc[[#This Row],[App]],Table2[],3,0),"open")</f>
        <v>ok</v>
      </c>
      <c r="C2784" s="117" t="s">
        <v>369</v>
      </c>
      <c r="D2784" t="s">
        <v>4707</v>
      </c>
      <c r="E2784" t="s">
        <v>4751</v>
      </c>
      <c r="F2784" s="94" t="s">
        <v>4751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4787</v>
      </c>
      <c r="J2784" s="94" t="b">
        <f>Proc[[#This Row],[Requested]]=Proc[[#This Row],[CurrentParent]]</f>
        <v>1</v>
      </c>
      <c r="K2784" s="94" t="str">
        <f>IF(Proc[[#This Row],[Author]]="Marcela Urrego",VLOOKUP(LEFT(Proc[[#This Row],[Requested]],1),Table3[#All],2,0),VLOOKUP(Proc[[#This Row],[Author]],Table4[],2,0))</f>
        <v>MGF</v>
      </c>
      <c r="L2784" s="125" t="s">
        <v>4896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31</v>
      </c>
      <c r="R2784" s="110" t="s">
        <v>485</v>
      </c>
      <c r="S2784" s="94"/>
    </row>
    <row r="2785" spans="1:19" hidden="1">
      <c r="A2785" s="103" t="s">
        <v>4424</v>
      </c>
      <c r="B2785" s="94" t="str">
        <f>IFERROR(VLOOKUP(Proc[[#This Row],[App]],Table2[],3,0),"open")</f>
        <v>ok</v>
      </c>
      <c r="C2785" s="117" t="s">
        <v>369</v>
      </c>
      <c r="D2785" t="s">
        <v>4708</v>
      </c>
      <c r="E2785" t="s">
        <v>4753</v>
      </c>
      <c r="F2785" s="94" t="s">
        <v>4753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4787</v>
      </c>
      <c r="J2785" s="94" t="b">
        <f>Proc[[#This Row],[Requested]]=Proc[[#This Row],[CurrentParent]]</f>
        <v>1</v>
      </c>
      <c r="K2785" s="94" t="str">
        <f>IF(Proc[[#This Row],[Author]]="Marcela Urrego",VLOOKUP(LEFT(Proc[[#This Row],[Requested]],1),Table3[#All],2,0),VLOOKUP(Proc[[#This Row],[Author]],Table4[],2,0))</f>
        <v>MGF</v>
      </c>
      <c r="L2785" s="125" t="s">
        <v>4896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31</v>
      </c>
      <c r="R2785" s="110" t="s">
        <v>485</v>
      </c>
      <c r="S2785" s="94"/>
    </row>
    <row r="2786" spans="1:19" hidden="1">
      <c r="A2786" s="103" t="s">
        <v>4424</v>
      </c>
      <c r="B2786" s="94" t="str">
        <f>IFERROR(VLOOKUP(Proc[[#This Row],[App]],Table2[],3,0),"open")</f>
        <v>ok</v>
      </c>
      <c r="C2786" s="117" t="s">
        <v>369</v>
      </c>
      <c r="D2786" t="s">
        <v>4709</v>
      </c>
      <c r="E2786" t="s">
        <v>4753</v>
      </c>
      <c r="F2786" s="94" t="s">
        <v>4753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4787</v>
      </c>
      <c r="J2786" s="94" t="b">
        <f>Proc[[#This Row],[Requested]]=Proc[[#This Row],[CurrentParent]]</f>
        <v>1</v>
      </c>
      <c r="K2786" s="94" t="str">
        <f>IF(Proc[[#This Row],[Author]]="Marcela Urrego",VLOOKUP(LEFT(Proc[[#This Row],[Requested]],1),Table3[#All],2,0),VLOOKUP(Proc[[#This Row],[Author]],Table4[],2,0))</f>
        <v>MGF</v>
      </c>
      <c r="L2786" s="125" t="s">
        <v>4896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31</v>
      </c>
      <c r="R2786" s="110" t="s">
        <v>485</v>
      </c>
      <c r="S2786" s="94"/>
    </row>
    <row r="2787" spans="1:19" hidden="1">
      <c r="A2787" s="103" t="s">
        <v>4424</v>
      </c>
      <c r="B2787" s="94" t="str">
        <f>IFERROR(VLOOKUP(Proc[[#This Row],[App]],Table2[],3,0),"open")</f>
        <v>ok</v>
      </c>
      <c r="C2787" s="117" t="s">
        <v>369</v>
      </c>
      <c r="D2787" t="s">
        <v>4710</v>
      </c>
      <c r="E2787" t="s">
        <v>4753</v>
      </c>
      <c r="F2787" s="94" t="s">
        <v>4753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4787</v>
      </c>
      <c r="J2787" s="94" t="b">
        <f>Proc[[#This Row],[Requested]]=Proc[[#This Row],[CurrentParent]]</f>
        <v>1</v>
      </c>
      <c r="K2787" s="94" t="str">
        <f>IF(Proc[[#This Row],[Author]]="Marcela Urrego",VLOOKUP(LEFT(Proc[[#This Row],[Requested]],1),Table3[#All],2,0),VLOOKUP(Proc[[#This Row],[Author]],Table4[],2,0))</f>
        <v>MGF</v>
      </c>
      <c r="L2787" s="125" t="s">
        <v>4896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31</v>
      </c>
      <c r="R2787" s="110" t="s">
        <v>485</v>
      </c>
      <c r="S2787" s="94"/>
    </row>
    <row r="2788" spans="1:19" hidden="1">
      <c r="A2788" s="103" t="s">
        <v>4424</v>
      </c>
      <c r="B2788" s="94" t="str">
        <f>IFERROR(VLOOKUP(Proc[[#This Row],[App]],Table2[],3,0),"open")</f>
        <v>ok</v>
      </c>
      <c r="C2788" s="117" t="s">
        <v>369</v>
      </c>
      <c r="D2788" t="s">
        <v>4711</v>
      </c>
      <c r="E2788" t="s">
        <v>4755</v>
      </c>
      <c r="F2788" s="94" t="s">
        <v>4755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4787</v>
      </c>
      <c r="J2788" s="94" t="b">
        <f>Proc[[#This Row],[Requested]]=Proc[[#This Row],[CurrentParent]]</f>
        <v>1</v>
      </c>
      <c r="K2788" s="94" t="str">
        <f>IF(Proc[[#This Row],[Author]]="Marcela Urrego",VLOOKUP(LEFT(Proc[[#This Row],[Requested]],1),Table3[#All],2,0),VLOOKUP(Proc[[#This Row],[Author]],Table4[],2,0))</f>
        <v>MGF</v>
      </c>
      <c r="L2788" s="125" t="s">
        <v>4896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31</v>
      </c>
      <c r="R2788" s="110" t="s">
        <v>485</v>
      </c>
      <c r="S2788" s="94"/>
    </row>
    <row r="2789" spans="1:19" hidden="1">
      <c r="A2789" s="103" t="s">
        <v>4424</v>
      </c>
      <c r="B2789" s="94" t="str">
        <f>IFERROR(VLOOKUP(Proc[[#This Row],[App]],Table2[],3,0),"open")</f>
        <v>ok</v>
      </c>
      <c r="C2789" s="117" t="s">
        <v>369</v>
      </c>
      <c r="D2789" t="s">
        <v>4712</v>
      </c>
      <c r="E2789" t="s">
        <v>4755</v>
      </c>
      <c r="F2789" s="94" t="s">
        <v>4755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4787</v>
      </c>
      <c r="J2789" s="94" t="b">
        <f>Proc[[#This Row],[Requested]]=Proc[[#This Row],[CurrentParent]]</f>
        <v>1</v>
      </c>
      <c r="K2789" s="94" t="str">
        <f>IF(Proc[[#This Row],[Author]]="Marcela Urrego",VLOOKUP(LEFT(Proc[[#This Row],[Requested]],1),Table3[#All],2,0),VLOOKUP(Proc[[#This Row],[Author]],Table4[],2,0))</f>
        <v>MGF</v>
      </c>
      <c r="L2789" s="125" t="s">
        <v>4896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31</v>
      </c>
      <c r="R2789" s="110" t="s">
        <v>485</v>
      </c>
      <c r="S2789" s="94"/>
    </row>
    <row r="2790" spans="1:19" hidden="1">
      <c r="A2790" s="103" t="s">
        <v>4424</v>
      </c>
      <c r="B2790" s="94" t="str">
        <f>IFERROR(VLOOKUP(Proc[[#This Row],[App]],Table2[],3,0),"open")</f>
        <v>ok</v>
      </c>
      <c r="C2790" s="117" t="s">
        <v>369</v>
      </c>
      <c r="D2790" t="s">
        <v>4713</v>
      </c>
      <c r="E2790" t="s">
        <v>4756</v>
      </c>
      <c r="F2790" s="94" t="s">
        <v>4756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4787</v>
      </c>
      <c r="J2790" s="94" t="b">
        <f>Proc[[#This Row],[Requested]]=Proc[[#This Row],[CurrentParent]]</f>
        <v>1</v>
      </c>
      <c r="K2790" s="94" t="str">
        <f>IF(Proc[[#This Row],[Author]]="Marcela Urrego",VLOOKUP(LEFT(Proc[[#This Row],[Requested]],1),Table3[#All],2,0),VLOOKUP(Proc[[#This Row],[Author]],Table4[],2,0))</f>
        <v>MGF</v>
      </c>
      <c r="L2790" s="125" t="s">
        <v>4896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31</v>
      </c>
      <c r="R2790" s="110" t="s">
        <v>485</v>
      </c>
      <c r="S2790" s="94"/>
    </row>
    <row r="2791" spans="1:19" hidden="1">
      <c r="A2791" s="103" t="s">
        <v>4424</v>
      </c>
      <c r="B2791" s="94" t="str">
        <f>IFERROR(VLOOKUP(Proc[[#This Row],[App]],Table2[],3,0),"open")</f>
        <v>ok</v>
      </c>
      <c r="C2791" s="117" t="s">
        <v>369</v>
      </c>
      <c r="D2791" t="s">
        <v>4714</v>
      </c>
      <c r="E2791" t="s">
        <v>4756</v>
      </c>
      <c r="F2791" s="94" t="s">
        <v>4756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4787</v>
      </c>
      <c r="J2791" s="94" t="b">
        <f>Proc[[#This Row],[Requested]]=Proc[[#This Row],[CurrentParent]]</f>
        <v>1</v>
      </c>
      <c r="K2791" s="94" t="str">
        <f>IF(Proc[[#This Row],[Author]]="Marcela Urrego",VLOOKUP(LEFT(Proc[[#This Row],[Requested]],1),Table3[#All],2,0),VLOOKUP(Proc[[#This Row],[Author]],Table4[],2,0))</f>
        <v>MGF</v>
      </c>
      <c r="L2791" s="125" t="s">
        <v>4896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31</v>
      </c>
      <c r="R2791" s="110" t="s">
        <v>485</v>
      </c>
      <c r="S2791" s="94"/>
    </row>
    <row r="2792" spans="1:19" hidden="1">
      <c r="A2792" s="103" t="s">
        <v>4424</v>
      </c>
      <c r="B2792" s="94" t="str">
        <f>IFERROR(VLOOKUP(Proc[[#This Row],[App]],Table2[],3,0),"open")</f>
        <v>ok</v>
      </c>
      <c r="C2792" s="117" t="s">
        <v>369</v>
      </c>
      <c r="D2792" t="s">
        <v>4715</v>
      </c>
      <c r="E2792" t="s">
        <v>4746</v>
      </c>
      <c r="F2792" s="94" t="s">
        <v>4746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4787</v>
      </c>
      <c r="J2792" s="94" t="b">
        <f>Proc[[#This Row],[Requested]]=Proc[[#This Row],[CurrentParent]]</f>
        <v>1</v>
      </c>
      <c r="K2792" s="94" t="str">
        <f>IF(Proc[[#This Row],[Author]]="Marcela Urrego",VLOOKUP(LEFT(Proc[[#This Row],[Requested]],1),Table3[#All],2,0),VLOOKUP(Proc[[#This Row],[Author]],Table4[],2,0))</f>
        <v>MGF</v>
      </c>
      <c r="L2792" s="125" t="s">
        <v>4896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31</v>
      </c>
      <c r="R2792" s="110" t="s">
        <v>485</v>
      </c>
      <c r="S2792" s="94"/>
    </row>
    <row r="2793" spans="1:19" hidden="1">
      <c r="A2793" s="103" t="s">
        <v>4424</v>
      </c>
      <c r="B2793" s="94" t="str">
        <f>IFERROR(VLOOKUP(Proc[[#This Row],[App]],Table2[],3,0),"open")</f>
        <v>ok</v>
      </c>
      <c r="C2793" s="117" t="s">
        <v>369</v>
      </c>
      <c r="D2793" t="s">
        <v>4716</v>
      </c>
      <c r="E2793" t="s">
        <v>4753</v>
      </c>
      <c r="F2793" s="94" t="s">
        <v>4753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4787</v>
      </c>
      <c r="J2793" s="94" t="b">
        <f>Proc[[#This Row],[Requested]]=Proc[[#This Row],[CurrentParent]]</f>
        <v>1</v>
      </c>
      <c r="K2793" s="94" t="str">
        <f>IF(Proc[[#This Row],[Author]]="Marcela Urrego",VLOOKUP(LEFT(Proc[[#This Row],[Requested]],1),Table3[#All],2,0),VLOOKUP(Proc[[#This Row],[Author]],Table4[],2,0))</f>
        <v>MGF</v>
      </c>
      <c r="L2793" s="125" t="s">
        <v>4896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31</v>
      </c>
      <c r="R2793" s="110" t="s">
        <v>485</v>
      </c>
      <c r="S2793" s="94"/>
    </row>
    <row r="2794" spans="1:19" hidden="1">
      <c r="A2794" s="103" t="s">
        <v>4424</v>
      </c>
      <c r="B2794" s="94" t="str">
        <f>IFERROR(VLOOKUP(Proc[[#This Row],[App]],Table2[],3,0),"open")</f>
        <v>ok</v>
      </c>
      <c r="C2794" s="117" t="s">
        <v>369</v>
      </c>
      <c r="D2794" t="s">
        <v>4717</v>
      </c>
      <c r="E2794" t="s">
        <v>4753</v>
      </c>
      <c r="F2794" s="94" t="s">
        <v>4753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4787</v>
      </c>
      <c r="J2794" s="94" t="b">
        <f>Proc[[#This Row],[Requested]]=Proc[[#This Row],[CurrentParent]]</f>
        <v>1</v>
      </c>
      <c r="K2794" s="94" t="str">
        <f>IF(Proc[[#This Row],[Author]]="Marcela Urrego",VLOOKUP(LEFT(Proc[[#This Row],[Requested]],1),Table3[#All],2,0),VLOOKUP(Proc[[#This Row],[Author]],Table4[],2,0))</f>
        <v>MGF</v>
      </c>
      <c r="L2794" s="125" t="s">
        <v>4896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31</v>
      </c>
      <c r="R2794" s="110" t="s">
        <v>485</v>
      </c>
      <c r="S2794" s="94"/>
    </row>
    <row r="2795" spans="1:19" hidden="1">
      <c r="A2795" s="103" t="s">
        <v>4424</v>
      </c>
      <c r="B2795" s="94" t="str">
        <f>IFERROR(VLOOKUP(Proc[[#This Row],[App]],Table2[],3,0),"open")</f>
        <v>ok</v>
      </c>
      <c r="C2795" s="117" t="s">
        <v>369</v>
      </c>
      <c r="D2795" t="s">
        <v>4718</v>
      </c>
      <c r="E2795" t="s">
        <v>4751</v>
      </c>
      <c r="F2795" s="94" t="s">
        <v>4751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4787</v>
      </c>
      <c r="J2795" s="94" t="b">
        <f>Proc[[#This Row],[Requested]]=Proc[[#This Row],[CurrentParent]]</f>
        <v>1</v>
      </c>
      <c r="K2795" s="94" t="str">
        <f>IF(Proc[[#This Row],[Author]]="Marcela Urrego",VLOOKUP(LEFT(Proc[[#This Row],[Requested]],1),Table3[#All],2,0),VLOOKUP(Proc[[#This Row],[Author]],Table4[],2,0))</f>
        <v>MGF</v>
      </c>
      <c r="L2795" s="125" t="s">
        <v>4896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31</v>
      </c>
      <c r="R2795" s="110" t="s">
        <v>485</v>
      </c>
      <c r="S2795" s="94"/>
    </row>
    <row r="2796" spans="1:19" hidden="1">
      <c r="A2796" s="103" t="s">
        <v>4424</v>
      </c>
      <c r="B2796" s="94" t="str">
        <f>IFERROR(VLOOKUP(Proc[[#This Row],[App]],Table2[],3,0),"open")</f>
        <v>ok</v>
      </c>
      <c r="C2796" s="117" t="s">
        <v>369</v>
      </c>
      <c r="D2796" t="s">
        <v>4719</v>
      </c>
      <c r="E2796" t="s">
        <v>4751</v>
      </c>
      <c r="F2796" s="94" t="s">
        <v>4751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4787</v>
      </c>
      <c r="J2796" s="94" t="b">
        <f>Proc[[#This Row],[Requested]]=Proc[[#This Row],[CurrentParent]]</f>
        <v>1</v>
      </c>
      <c r="K2796" s="94" t="str">
        <f>IF(Proc[[#This Row],[Author]]="Marcela Urrego",VLOOKUP(LEFT(Proc[[#This Row],[Requested]],1),Table3[#All],2,0),VLOOKUP(Proc[[#This Row],[Author]],Table4[],2,0))</f>
        <v>MGF</v>
      </c>
      <c r="L2796" s="125" t="s">
        <v>4896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31</v>
      </c>
      <c r="R2796" s="110" t="s">
        <v>485</v>
      </c>
      <c r="S2796" s="94"/>
    </row>
    <row r="2797" spans="1:19" hidden="1">
      <c r="A2797" s="103" t="s">
        <v>4424</v>
      </c>
      <c r="B2797" s="94" t="str">
        <f>IFERROR(VLOOKUP(Proc[[#This Row],[App]],Table2[],3,0),"open")</f>
        <v>ok</v>
      </c>
      <c r="C2797" s="117" t="s">
        <v>369</v>
      </c>
      <c r="D2797" t="s">
        <v>4720</v>
      </c>
      <c r="E2797" t="s">
        <v>4751</v>
      </c>
      <c r="F2797" s="94" t="s">
        <v>4751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4787</v>
      </c>
      <c r="J2797" s="94" t="b">
        <f>Proc[[#This Row],[Requested]]=Proc[[#This Row],[CurrentParent]]</f>
        <v>1</v>
      </c>
      <c r="K2797" s="94" t="str">
        <f>IF(Proc[[#This Row],[Author]]="Marcela Urrego",VLOOKUP(LEFT(Proc[[#This Row],[Requested]],1),Table3[#All],2,0),VLOOKUP(Proc[[#This Row],[Author]],Table4[],2,0))</f>
        <v>MGF</v>
      </c>
      <c r="L2797" s="125" t="s">
        <v>4896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31</v>
      </c>
      <c r="R2797" s="110" t="s">
        <v>485</v>
      </c>
      <c r="S2797" s="94"/>
    </row>
    <row r="2798" spans="1:19" hidden="1">
      <c r="A2798" s="103" t="s">
        <v>4424</v>
      </c>
      <c r="B2798" s="94" t="str">
        <f>IFERROR(VLOOKUP(Proc[[#This Row],[App]],Table2[],3,0),"open")</f>
        <v>ok</v>
      </c>
      <c r="C2798" s="117" t="s">
        <v>369</v>
      </c>
      <c r="D2798" t="s">
        <v>4721</v>
      </c>
      <c r="E2798" t="s">
        <v>4751</v>
      </c>
      <c r="F2798" s="94" t="s">
        <v>4751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4787</v>
      </c>
      <c r="J2798" s="94" t="b">
        <f>Proc[[#This Row],[Requested]]=Proc[[#This Row],[CurrentParent]]</f>
        <v>1</v>
      </c>
      <c r="K2798" s="94" t="str">
        <f>IF(Proc[[#This Row],[Author]]="Marcela Urrego",VLOOKUP(LEFT(Proc[[#This Row],[Requested]],1),Table3[#All],2,0),VLOOKUP(Proc[[#This Row],[Author]],Table4[],2,0))</f>
        <v>MGF</v>
      </c>
      <c r="L2798" s="125" t="s">
        <v>4896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31</v>
      </c>
      <c r="R2798" s="110" t="s">
        <v>485</v>
      </c>
      <c r="S2798" s="94"/>
    </row>
    <row r="2799" spans="1:19" hidden="1">
      <c r="A2799" s="103" t="s">
        <v>4424</v>
      </c>
      <c r="B2799" s="94" t="str">
        <f>IFERROR(VLOOKUP(Proc[[#This Row],[App]],Table2[],3,0),"open")</f>
        <v>ok</v>
      </c>
      <c r="C2799" s="117" t="s">
        <v>369</v>
      </c>
      <c r="D2799" t="s">
        <v>4722</v>
      </c>
      <c r="E2799" t="s">
        <v>4753</v>
      </c>
      <c r="F2799" s="94" t="s">
        <v>4753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4787</v>
      </c>
      <c r="J2799" s="94" t="b">
        <f>Proc[[#This Row],[Requested]]=Proc[[#This Row],[CurrentParent]]</f>
        <v>1</v>
      </c>
      <c r="K2799" s="94" t="str">
        <f>IF(Proc[[#This Row],[Author]]="Marcela Urrego",VLOOKUP(LEFT(Proc[[#This Row],[Requested]],1),Table3[#All],2,0),VLOOKUP(Proc[[#This Row],[Author]],Table4[],2,0))</f>
        <v>MGF</v>
      </c>
      <c r="L2799" s="125" t="s">
        <v>4896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31</v>
      </c>
      <c r="R2799" s="110" t="s">
        <v>485</v>
      </c>
      <c r="S2799" s="94"/>
    </row>
    <row r="2800" spans="1:19" hidden="1">
      <c r="A2800" s="103" t="s">
        <v>4424</v>
      </c>
      <c r="B2800" s="94" t="str">
        <f>IFERROR(VLOOKUP(Proc[[#This Row],[App]],Table2[],3,0),"open")</f>
        <v>ok</v>
      </c>
      <c r="C2800" s="117" t="s">
        <v>369</v>
      </c>
      <c r="D2800" t="s">
        <v>4723</v>
      </c>
      <c r="E2800" t="s">
        <v>4753</v>
      </c>
      <c r="F2800" s="94" t="s">
        <v>4753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4787</v>
      </c>
      <c r="J2800" s="94" t="b">
        <f>Proc[[#This Row],[Requested]]=Proc[[#This Row],[CurrentParent]]</f>
        <v>1</v>
      </c>
      <c r="K2800" s="94" t="str">
        <f>IF(Proc[[#This Row],[Author]]="Marcela Urrego",VLOOKUP(LEFT(Proc[[#This Row],[Requested]],1),Table3[#All],2,0),VLOOKUP(Proc[[#This Row],[Author]],Table4[],2,0))</f>
        <v>MGF</v>
      </c>
      <c r="L2800" s="125" t="s">
        <v>4896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31</v>
      </c>
      <c r="R2800" s="110" t="s">
        <v>485</v>
      </c>
      <c r="S2800" s="94"/>
    </row>
    <row r="2801" spans="1:19" hidden="1">
      <c r="A2801" s="103" t="s">
        <v>4424</v>
      </c>
      <c r="B2801" s="94" t="str">
        <f>IFERROR(VLOOKUP(Proc[[#This Row],[App]],Table2[],3,0),"open")</f>
        <v>ok</v>
      </c>
      <c r="C2801" s="117" t="s">
        <v>369</v>
      </c>
      <c r="D2801" t="s">
        <v>4724</v>
      </c>
      <c r="E2801" t="s">
        <v>4753</v>
      </c>
      <c r="F2801" s="94" t="s">
        <v>4753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4787</v>
      </c>
      <c r="J2801" s="94" t="b">
        <f>Proc[[#This Row],[Requested]]=Proc[[#This Row],[CurrentParent]]</f>
        <v>1</v>
      </c>
      <c r="K2801" s="94" t="str">
        <f>IF(Proc[[#This Row],[Author]]="Marcela Urrego",VLOOKUP(LEFT(Proc[[#This Row],[Requested]],1),Table3[#All],2,0),VLOOKUP(Proc[[#This Row],[Author]],Table4[],2,0))</f>
        <v>MGF</v>
      </c>
      <c r="L2801" s="125" t="s">
        <v>4896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31</v>
      </c>
      <c r="R2801" s="110" t="s">
        <v>485</v>
      </c>
      <c r="S2801" s="94"/>
    </row>
    <row r="2802" spans="1:19" hidden="1">
      <c r="A2802" s="103" t="s">
        <v>4424</v>
      </c>
      <c r="B2802" s="94" t="str">
        <f>IFERROR(VLOOKUP(Proc[[#This Row],[App]],Table2[],3,0),"open")</f>
        <v>ok</v>
      </c>
      <c r="C2802" s="117" t="s">
        <v>369</v>
      </c>
      <c r="D2802" t="s">
        <v>4725</v>
      </c>
      <c r="E2802" t="s">
        <v>4753</v>
      </c>
      <c r="F2802" s="94" t="s">
        <v>4753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4787</v>
      </c>
      <c r="J2802" s="94" t="b">
        <f>Proc[[#This Row],[Requested]]=Proc[[#This Row],[CurrentParent]]</f>
        <v>1</v>
      </c>
      <c r="K2802" s="94" t="str">
        <f>IF(Proc[[#This Row],[Author]]="Marcela Urrego",VLOOKUP(LEFT(Proc[[#This Row],[Requested]],1),Table3[#All],2,0),VLOOKUP(Proc[[#This Row],[Author]],Table4[],2,0))</f>
        <v>MGF</v>
      </c>
      <c r="L2802" s="125" t="s">
        <v>4896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31</v>
      </c>
      <c r="R2802" s="110" t="s">
        <v>485</v>
      </c>
      <c r="S2802" s="94"/>
    </row>
    <row r="2803" spans="1:19" hidden="1">
      <c r="A2803" s="103" t="s">
        <v>4424</v>
      </c>
      <c r="B2803" s="94" t="str">
        <f>IFERROR(VLOOKUP(Proc[[#This Row],[App]],Table2[],3,0),"open")</f>
        <v>ok</v>
      </c>
      <c r="C2803" s="117" t="s">
        <v>369</v>
      </c>
      <c r="D2803" t="s">
        <v>4726</v>
      </c>
      <c r="E2803" t="s">
        <v>4755</v>
      </c>
      <c r="F2803" s="94" t="s">
        <v>4755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4787</v>
      </c>
      <c r="J2803" s="94" t="b">
        <f>Proc[[#This Row],[Requested]]=Proc[[#This Row],[CurrentParent]]</f>
        <v>1</v>
      </c>
      <c r="K2803" s="94" t="str">
        <f>IF(Proc[[#This Row],[Author]]="Marcela Urrego",VLOOKUP(LEFT(Proc[[#This Row],[Requested]],1),Table3[#All],2,0),VLOOKUP(Proc[[#This Row],[Author]],Table4[],2,0))</f>
        <v>MGF</v>
      </c>
      <c r="L2803" s="125" t="s">
        <v>4896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31</v>
      </c>
      <c r="R2803" s="110" t="s">
        <v>485</v>
      </c>
      <c r="S2803" s="94"/>
    </row>
    <row r="2804" spans="1:19" hidden="1">
      <c r="A2804" s="103" t="s">
        <v>4424</v>
      </c>
      <c r="B2804" s="94" t="str">
        <f>IFERROR(VLOOKUP(Proc[[#This Row],[App]],Table2[],3,0),"open")</f>
        <v>ok</v>
      </c>
      <c r="C2804" s="117" t="s">
        <v>369</v>
      </c>
      <c r="D2804" t="s">
        <v>4727</v>
      </c>
      <c r="E2804" t="s">
        <v>4756</v>
      </c>
      <c r="F2804" s="94" t="s">
        <v>4756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4787</v>
      </c>
      <c r="J2804" s="94" t="b">
        <f>Proc[[#This Row],[Requested]]=Proc[[#This Row],[CurrentParent]]</f>
        <v>1</v>
      </c>
      <c r="K2804" s="94" t="str">
        <f>IF(Proc[[#This Row],[Author]]="Marcela Urrego",VLOOKUP(LEFT(Proc[[#This Row],[Requested]],1),Table3[#All],2,0),VLOOKUP(Proc[[#This Row],[Author]],Table4[],2,0))</f>
        <v>MGF</v>
      </c>
      <c r="L2804" s="125" t="s">
        <v>4896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31</v>
      </c>
      <c r="R2804" s="110" t="s">
        <v>485</v>
      </c>
      <c r="S2804" s="94"/>
    </row>
    <row r="2805" spans="1:19" hidden="1">
      <c r="A2805" s="103" t="s">
        <v>4424</v>
      </c>
      <c r="B2805" s="94" t="str">
        <f>IFERROR(VLOOKUP(Proc[[#This Row],[App]],Table2[],3,0),"open")</f>
        <v>ok</v>
      </c>
      <c r="C2805" s="117" t="s">
        <v>369</v>
      </c>
      <c r="D2805" t="s">
        <v>4728</v>
      </c>
      <c r="E2805" t="s">
        <v>4756</v>
      </c>
      <c r="F2805" s="94" t="s">
        <v>4756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4787</v>
      </c>
      <c r="J2805" s="94" t="b">
        <f>Proc[[#This Row],[Requested]]=Proc[[#This Row],[CurrentParent]]</f>
        <v>1</v>
      </c>
      <c r="K2805" s="94" t="str">
        <f>IF(Proc[[#This Row],[Author]]="Marcela Urrego",VLOOKUP(LEFT(Proc[[#This Row],[Requested]],1),Table3[#All],2,0),VLOOKUP(Proc[[#This Row],[Author]],Table4[],2,0))</f>
        <v>MGF</v>
      </c>
      <c r="L2805" s="125" t="s">
        <v>4896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31</v>
      </c>
      <c r="R2805" s="110" t="s">
        <v>485</v>
      </c>
      <c r="S2805" s="94"/>
    </row>
    <row r="2806" spans="1:19" hidden="1">
      <c r="A2806" s="103" t="s">
        <v>4424</v>
      </c>
      <c r="B2806" s="94" t="str">
        <f>IFERROR(VLOOKUP(Proc[[#This Row],[App]],Table2[],3,0),"open")</f>
        <v>ok</v>
      </c>
      <c r="C2806" s="117" t="s">
        <v>369</v>
      </c>
      <c r="D2806" t="s">
        <v>4729</v>
      </c>
      <c r="E2806" t="s">
        <v>4756</v>
      </c>
      <c r="F2806" s="94" t="s">
        <v>4756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4787</v>
      </c>
      <c r="J2806" s="94" t="b">
        <f>Proc[[#This Row],[Requested]]=Proc[[#This Row],[CurrentParent]]</f>
        <v>1</v>
      </c>
      <c r="K2806" s="94" t="str">
        <f>IF(Proc[[#This Row],[Author]]="Marcela Urrego",VLOOKUP(LEFT(Proc[[#This Row],[Requested]],1),Table3[#All],2,0),VLOOKUP(Proc[[#This Row],[Author]],Table4[],2,0))</f>
        <v>MGF</v>
      </c>
      <c r="L2806" s="125" t="s">
        <v>4896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31</v>
      </c>
      <c r="R2806" s="110" t="s">
        <v>485</v>
      </c>
      <c r="S2806" s="94"/>
    </row>
    <row r="2807" spans="1:19" hidden="1">
      <c r="A2807" s="103" t="s">
        <v>4424</v>
      </c>
      <c r="B2807" s="94" t="str">
        <f>IFERROR(VLOOKUP(Proc[[#This Row],[App]],Table2[],3,0),"open")</f>
        <v>ok</v>
      </c>
      <c r="C2807" s="117" t="s">
        <v>369</v>
      </c>
      <c r="D2807" t="s">
        <v>4730</v>
      </c>
      <c r="E2807" t="s">
        <v>4756</v>
      </c>
      <c r="F2807" s="94" t="s">
        <v>4756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4787</v>
      </c>
      <c r="J2807" s="94" t="b">
        <f>Proc[[#This Row],[Requested]]=Proc[[#This Row],[CurrentParent]]</f>
        <v>1</v>
      </c>
      <c r="K2807" s="94" t="str">
        <f>IF(Proc[[#This Row],[Author]]="Marcela Urrego",VLOOKUP(LEFT(Proc[[#This Row],[Requested]],1),Table3[#All],2,0),VLOOKUP(Proc[[#This Row],[Author]],Table4[],2,0))</f>
        <v>MGF</v>
      </c>
      <c r="L2807" s="125" t="s">
        <v>4896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31</v>
      </c>
      <c r="R2807" s="110" t="s">
        <v>485</v>
      </c>
      <c r="S2807" s="94"/>
    </row>
    <row r="2808" spans="1:19" hidden="1">
      <c r="A2808" s="103" t="s">
        <v>4424</v>
      </c>
      <c r="B2808" s="94" t="str">
        <f>IFERROR(VLOOKUP(Proc[[#This Row],[App]],Table2[],3,0),"open")</f>
        <v>ok</v>
      </c>
      <c r="C2808" s="117" t="s">
        <v>369</v>
      </c>
      <c r="D2808" t="s">
        <v>4731</v>
      </c>
      <c r="E2808" t="s">
        <v>4753</v>
      </c>
      <c r="F2808" s="94" t="s">
        <v>4753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4787</v>
      </c>
      <c r="J2808" s="94" t="b">
        <f>Proc[[#This Row],[Requested]]=Proc[[#This Row],[CurrentParent]]</f>
        <v>1</v>
      </c>
      <c r="K2808" s="94" t="str">
        <f>IF(Proc[[#This Row],[Author]]="Marcela Urrego",VLOOKUP(LEFT(Proc[[#This Row],[Requested]],1),Table3[#All],2,0),VLOOKUP(Proc[[#This Row],[Author]],Table4[],2,0))</f>
        <v>MGF</v>
      </c>
      <c r="L2808" s="125" t="s">
        <v>4896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31</v>
      </c>
      <c r="R2808" s="110" t="s">
        <v>485</v>
      </c>
      <c r="S2808" s="94"/>
    </row>
    <row r="2809" spans="1:19" hidden="1">
      <c r="A2809" s="103" t="s">
        <v>4424</v>
      </c>
      <c r="B2809" s="94" t="str">
        <f>IFERROR(VLOOKUP(Proc[[#This Row],[App]],Table2[],3,0),"open")</f>
        <v>ok</v>
      </c>
      <c r="C2809" s="117" t="s">
        <v>369</v>
      </c>
      <c r="D2809" t="s">
        <v>4732</v>
      </c>
      <c r="E2809" t="s">
        <v>4752</v>
      </c>
      <c r="F2809" s="94" t="s">
        <v>4752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4787</v>
      </c>
      <c r="J2809" s="94" t="b">
        <f>Proc[[#This Row],[Requested]]=Proc[[#This Row],[CurrentParent]]</f>
        <v>1</v>
      </c>
      <c r="K2809" s="94" t="str">
        <f>IF(Proc[[#This Row],[Author]]="Marcela Urrego",VLOOKUP(LEFT(Proc[[#This Row],[Requested]],1),Table3[#All],2,0),VLOOKUP(Proc[[#This Row],[Author]],Table4[],2,0))</f>
        <v>MGF</v>
      </c>
      <c r="L2809" s="125" t="s">
        <v>4896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31</v>
      </c>
      <c r="R2809" s="110" t="s">
        <v>485</v>
      </c>
      <c r="S2809" s="94"/>
    </row>
    <row r="2810" spans="1:19" hidden="1">
      <c r="A2810" s="103" t="s">
        <v>4424</v>
      </c>
      <c r="B2810" s="94" t="str">
        <f>IFERROR(VLOOKUP(Proc[[#This Row],[App]],Table2[],3,0),"open")</f>
        <v>ok</v>
      </c>
      <c r="C2810" s="117" t="s">
        <v>369</v>
      </c>
      <c r="D2810" t="s">
        <v>4733</v>
      </c>
      <c r="E2810" t="s">
        <v>4752</v>
      </c>
      <c r="F2810" s="94" t="s">
        <v>4752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4787</v>
      </c>
      <c r="J2810" s="94" t="b">
        <f>Proc[[#This Row],[Requested]]=Proc[[#This Row],[CurrentParent]]</f>
        <v>1</v>
      </c>
      <c r="K2810" s="94" t="str">
        <f>IF(Proc[[#This Row],[Author]]="Marcela Urrego",VLOOKUP(LEFT(Proc[[#This Row],[Requested]],1),Table3[#All],2,0),VLOOKUP(Proc[[#This Row],[Author]],Table4[],2,0))</f>
        <v>MGF</v>
      </c>
      <c r="L2810" s="125" t="s">
        <v>4896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31</v>
      </c>
      <c r="R2810" s="110" t="s">
        <v>485</v>
      </c>
      <c r="S2810" s="94"/>
    </row>
    <row r="2811" spans="1:19" hidden="1">
      <c r="A2811" s="103" t="s">
        <v>4424</v>
      </c>
      <c r="B2811" s="94" t="str">
        <f>IFERROR(VLOOKUP(Proc[[#This Row],[App]],Table2[],3,0),"open")</f>
        <v>ok</v>
      </c>
      <c r="C2811" s="117" t="s">
        <v>369</v>
      </c>
      <c r="D2811" t="s">
        <v>4734</v>
      </c>
      <c r="E2811" t="s">
        <v>4756</v>
      </c>
      <c r="F2811" s="94" t="s">
        <v>4756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4787</v>
      </c>
      <c r="J2811" s="94" t="b">
        <f>Proc[[#This Row],[Requested]]=Proc[[#This Row],[CurrentParent]]</f>
        <v>1</v>
      </c>
      <c r="K2811" s="94" t="str">
        <f>IF(Proc[[#This Row],[Author]]="Marcela Urrego",VLOOKUP(LEFT(Proc[[#This Row],[Requested]],1),Table3[#All],2,0),VLOOKUP(Proc[[#This Row],[Author]],Table4[],2,0))</f>
        <v>MGF</v>
      </c>
      <c r="L2811" s="125" t="s">
        <v>4896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31</v>
      </c>
      <c r="R2811" s="110" t="s">
        <v>485</v>
      </c>
      <c r="S2811" s="94"/>
    </row>
    <row r="2812" spans="1:19" hidden="1">
      <c r="A2812" s="103" t="s">
        <v>4424</v>
      </c>
      <c r="B2812" s="94" t="str">
        <f>IFERROR(VLOOKUP(Proc[[#This Row],[App]],Table2[],3,0),"open")</f>
        <v>ok</v>
      </c>
      <c r="C2812" s="117" t="s">
        <v>369</v>
      </c>
      <c r="D2812" t="s">
        <v>4735</v>
      </c>
      <c r="E2812" t="s">
        <v>4742</v>
      </c>
      <c r="F2812" s="94" t="s">
        <v>4742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4787</v>
      </c>
      <c r="J2812" s="94" t="b">
        <f>Proc[[#This Row],[Requested]]=Proc[[#This Row],[CurrentParent]]</f>
        <v>1</v>
      </c>
      <c r="K2812" s="94" t="str">
        <f>IF(Proc[[#This Row],[Author]]="Marcela Urrego",VLOOKUP(LEFT(Proc[[#This Row],[Requested]],1),Table3[#All],2,0),VLOOKUP(Proc[[#This Row],[Author]],Table4[],2,0))</f>
        <v>MGF</v>
      </c>
      <c r="L2812" s="125" t="s">
        <v>4896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31</v>
      </c>
      <c r="R2812" s="110" t="s">
        <v>485</v>
      </c>
      <c r="S2812" s="94"/>
    </row>
    <row r="2813" spans="1:19" hidden="1">
      <c r="A2813" t="s">
        <v>4757</v>
      </c>
      <c r="B2813" s="94" t="str">
        <f>IFERROR(VLOOKUP(Proc[[#This Row],[App]],Table2[],3,0),"open")</f>
        <v>ok</v>
      </c>
      <c r="C2813" s="103" t="s">
        <v>369</v>
      </c>
      <c r="D2813" t="s">
        <v>4758</v>
      </c>
      <c r="E2813" t="s">
        <v>4766</v>
      </c>
      <c r="F2813" s="117" t="s">
        <v>4766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4787</v>
      </c>
      <c r="J2813" s="94" t="b">
        <f>Proc[[#This Row],[Requested]]=Proc[[#This Row],[CurrentParent]]</f>
        <v>1</v>
      </c>
      <c r="K2813" s="94" t="str">
        <f>IF(Proc[[#This Row],[Author]]="Marcela Urrego",VLOOKUP(LEFT(Proc[[#This Row],[Requested]],1),Table3[#All],2,0),VLOOKUP(Proc[[#This Row],[Author]],Table4[],2,0))</f>
        <v>HC</v>
      </c>
      <c r="L2813" s="125" t="s">
        <v>4896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31</v>
      </c>
      <c r="R2813" s="110" t="s">
        <v>410</v>
      </c>
      <c r="S2813" s="94"/>
    </row>
    <row r="2814" spans="1:19" hidden="1">
      <c r="A2814" s="103" t="s">
        <v>4757</v>
      </c>
      <c r="B2814" s="94" t="str">
        <f>IFERROR(VLOOKUP(Proc[[#This Row],[App]],Table2[],3,0),"open")</f>
        <v>ok</v>
      </c>
      <c r="C2814" s="117" t="s">
        <v>369</v>
      </c>
      <c r="D2814" t="s">
        <v>4759</v>
      </c>
      <c r="E2814" t="s">
        <v>4766</v>
      </c>
      <c r="F2814" s="117" t="s">
        <v>4766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4787</v>
      </c>
      <c r="J2814" s="94" t="b">
        <f>Proc[[#This Row],[Requested]]=Proc[[#This Row],[CurrentParent]]</f>
        <v>1</v>
      </c>
      <c r="K2814" s="94" t="str">
        <f>IF(Proc[[#This Row],[Author]]="Marcela Urrego",VLOOKUP(LEFT(Proc[[#This Row],[Requested]],1),Table3[#All],2,0),VLOOKUP(Proc[[#This Row],[Author]],Table4[],2,0))</f>
        <v>HC</v>
      </c>
      <c r="L2814" s="125" t="s">
        <v>4896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31</v>
      </c>
      <c r="R2814" s="110" t="s">
        <v>410</v>
      </c>
      <c r="S2814" s="94"/>
    </row>
    <row r="2815" spans="1:19" hidden="1">
      <c r="A2815" s="103" t="s">
        <v>4757</v>
      </c>
      <c r="B2815" s="94" t="str">
        <f>IFERROR(VLOOKUP(Proc[[#This Row],[App]],Table2[],3,0),"open")</f>
        <v>ok</v>
      </c>
      <c r="C2815" s="117" t="s">
        <v>369</v>
      </c>
      <c r="D2815" t="s">
        <v>4760</v>
      </c>
      <c r="E2815" t="s">
        <v>4766</v>
      </c>
      <c r="F2815" s="117" t="s">
        <v>4766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4787</v>
      </c>
      <c r="J2815" s="94" t="b">
        <f>Proc[[#This Row],[Requested]]=Proc[[#This Row],[CurrentParent]]</f>
        <v>1</v>
      </c>
      <c r="K2815" s="94" t="str">
        <f>IF(Proc[[#This Row],[Author]]="Marcela Urrego",VLOOKUP(LEFT(Proc[[#This Row],[Requested]],1),Table3[#All],2,0),VLOOKUP(Proc[[#This Row],[Author]],Table4[],2,0))</f>
        <v>HC</v>
      </c>
      <c r="L2815" s="125" t="s">
        <v>4896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31</v>
      </c>
      <c r="R2815" s="110" t="s">
        <v>410</v>
      </c>
      <c r="S2815" s="94"/>
    </row>
    <row r="2816" spans="1:19" hidden="1">
      <c r="A2816" s="103" t="s">
        <v>4757</v>
      </c>
      <c r="B2816" s="94" t="str">
        <f>IFERROR(VLOOKUP(Proc[[#This Row],[App]],Table2[],3,0),"open")</f>
        <v>ok</v>
      </c>
      <c r="C2816" s="117" t="s">
        <v>369</v>
      </c>
      <c r="D2816" t="s">
        <v>4761</v>
      </c>
      <c r="E2816" t="s">
        <v>4766</v>
      </c>
      <c r="F2816" s="117" t="s">
        <v>4766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4787</v>
      </c>
      <c r="J2816" s="94" t="b">
        <f>Proc[[#This Row],[Requested]]=Proc[[#This Row],[CurrentParent]]</f>
        <v>1</v>
      </c>
      <c r="K2816" s="94" t="str">
        <f>IF(Proc[[#This Row],[Author]]="Marcela Urrego",VLOOKUP(LEFT(Proc[[#This Row],[Requested]],1),Table3[#All],2,0),VLOOKUP(Proc[[#This Row],[Author]],Table4[],2,0))</f>
        <v>HC</v>
      </c>
      <c r="L2816" s="125" t="s">
        <v>4896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31</v>
      </c>
      <c r="R2816" s="110" t="s">
        <v>410</v>
      </c>
      <c r="S2816" s="94"/>
    </row>
    <row r="2817" spans="1:19" hidden="1">
      <c r="A2817" s="103" t="s">
        <v>4757</v>
      </c>
      <c r="B2817" s="94" t="str">
        <f>IFERROR(VLOOKUP(Proc[[#This Row],[App]],Table2[],3,0),"open")</f>
        <v>ok</v>
      </c>
      <c r="C2817" s="117" t="s">
        <v>369</v>
      </c>
      <c r="D2817" t="s">
        <v>4762</v>
      </c>
      <c r="E2817" t="s">
        <v>4766</v>
      </c>
      <c r="F2817" s="117" t="s">
        <v>4766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4787</v>
      </c>
      <c r="J2817" s="94" t="b">
        <f>Proc[[#This Row],[Requested]]=Proc[[#This Row],[CurrentParent]]</f>
        <v>1</v>
      </c>
      <c r="K2817" s="94" t="str">
        <f>IF(Proc[[#This Row],[Author]]="Marcela Urrego",VLOOKUP(LEFT(Proc[[#This Row],[Requested]],1),Table3[#All],2,0),VLOOKUP(Proc[[#This Row],[Author]],Table4[],2,0))</f>
        <v>HC</v>
      </c>
      <c r="L2817" s="125" t="s">
        <v>4896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31</v>
      </c>
      <c r="R2817" s="110" t="s">
        <v>410</v>
      </c>
      <c r="S2817" s="94"/>
    </row>
    <row r="2818" spans="1:19" hidden="1">
      <c r="A2818" s="103" t="s">
        <v>4757</v>
      </c>
      <c r="B2818" s="94" t="str">
        <f>IFERROR(VLOOKUP(Proc[[#This Row],[App]],Table2[],3,0),"open")</f>
        <v>ok</v>
      </c>
      <c r="C2818" s="117" t="s">
        <v>369</v>
      </c>
      <c r="D2818" t="s">
        <v>4763</v>
      </c>
      <c r="E2818" t="s">
        <v>4766</v>
      </c>
      <c r="F2818" s="117" t="s">
        <v>4766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4787</v>
      </c>
      <c r="J2818" s="94" t="b">
        <f>Proc[[#This Row],[Requested]]=Proc[[#This Row],[CurrentParent]]</f>
        <v>1</v>
      </c>
      <c r="K2818" s="94" t="str">
        <f>IF(Proc[[#This Row],[Author]]="Marcela Urrego",VLOOKUP(LEFT(Proc[[#This Row],[Requested]],1),Table3[#All],2,0),VLOOKUP(Proc[[#This Row],[Author]],Table4[],2,0))</f>
        <v>HC</v>
      </c>
      <c r="L2818" s="125" t="s">
        <v>4896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31</v>
      </c>
      <c r="R2818" s="110" t="s">
        <v>410</v>
      </c>
      <c r="S2818" s="94"/>
    </row>
    <row r="2819" spans="1:19" hidden="1">
      <c r="A2819" s="103" t="s">
        <v>4757</v>
      </c>
      <c r="B2819" s="94" t="str">
        <f>IFERROR(VLOOKUP(Proc[[#This Row],[App]],Table2[],3,0),"open")</f>
        <v>ok</v>
      </c>
      <c r="C2819" s="117" t="s">
        <v>369</v>
      </c>
      <c r="D2819" t="s">
        <v>4764</v>
      </c>
      <c r="E2819" t="s">
        <v>4766</v>
      </c>
      <c r="F2819" s="117" t="s">
        <v>4766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94" t="str">
        <f>IF(Proc[[#This Row],[Author]]="Marcela Urrego",VLOOKUP(LEFT(Proc[[#This Row],[Requested]],1),Table3[#All],2,0),VLOOKUP(Proc[[#This Row],[Author]],Table4[],2,0))</f>
        <v>HC</v>
      </c>
      <c r="L2819" s="125" t="s">
        <v>4896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31</v>
      </c>
      <c r="R2819" s="110" t="s">
        <v>410</v>
      </c>
      <c r="S2819" s="94"/>
    </row>
    <row r="2820" spans="1:19" hidden="1">
      <c r="A2820" s="103" t="s">
        <v>4757</v>
      </c>
      <c r="B2820" s="94" t="str">
        <f>IFERROR(VLOOKUP(Proc[[#This Row],[App]],Table2[],3,0),"open")</f>
        <v>ok</v>
      </c>
      <c r="C2820" s="117" t="s">
        <v>369</v>
      </c>
      <c r="D2820" t="s">
        <v>4765</v>
      </c>
      <c r="E2820" t="s">
        <v>4766</v>
      </c>
      <c r="F2820" s="117" t="s">
        <v>4766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94" t="str">
        <f>IF(Proc[[#This Row],[Author]]="Marcela Urrego",VLOOKUP(LEFT(Proc[[#This Row],[Requested]],1),Table3[#All],2,0),VLOOKUP(Proc[[#This Row],[Author]],Table4[],2,0))</f>
        <v>HC</v>
      </c>
      <c r="L2820" s="125" t="s">
        <v>4896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31</v>
      </c>
      <c r="R2820" s="110" t="s">
        <v>410</v>
      </c>
      <c r="S2820" s="94"/>
    </row>
    <row r="2821" spans="1:19" hidden="1">
      <c r="A2821" t="s">
        <v>4767</v>
      </c>
      <c r="B2821" s="94" t="str">
        <f>IFERROR(VLOOKUP(Proc[[#This Row],[App]],Table2[],3,0),"open")</f>
        <v>ok</v>
      </c>
      <c r="C2821" s="103" t="s">
        <v>369</v>
      </c>
      <c r="D2821" t="s">
        <v>4768</v>
      </c>
      <c r="E2821" t="s">
        <v>4779</v>
      </c>
      <c r="F2821" s="117" t="s">
        <v>4779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4787</v>
      </c>
      <c r="J2821" s="94" t="b">
        <f>Proc[[#This Row],[Requested]]=Proc[[#This Row],[CurrentParent]]</f>
        <v>1</v>
      </c>
      <c r="K2821" s="94" t="str">
        <f>IF(Proc[[#This Row],[Author]]="Marcela Urrego",VLOOKUP(LEFT(Proc[[#This Row],[Requested]],1),Table3[#All],2,0),VLOOKUP(Proc[[#This Row],[Author]],Table4[],2,0))</f>
        <v>MGF</v>
      </c>
      <c r="L2821" s="125" t="s">
        <v>4896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31</v>
      </c>
      <c r="R2821" s="94" t="s">
        <v>515</v>
      </c>
      <c r="S2821" s="94"/>
    </row>
    <row r="2822" spans="1:19" hidden="1">
      <c r="A2822" s="103" t="s">
        <v>4767</v>
      </c>
      <c r="B2822" s="94" t="str">
        <f>IFERROR(VLOOKUP(Proc[[#This Row],[App]],Table2[],3,0),"open")</f>
        <v>ok</v>
      </c>
      <c r="C2822" s="117" t="s">
        <v>369</v>
      </c>
      <c r="D2822" t="s">
        <v>4769</v>
      </c>
      <c r="E2822" t="s">
        <v>4779</v>
      </c>
      <c r="F2822" s="117" t="s">
        <v>4779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4787</v>
      </c>
      <c r="J2822" s="94" t="b">
        <f>Proc[[#This Row],[Requested]]=Proc[[#This Row],[CurrentParent]]</f>
        <v>1</v>
      </c>
      <c r="K2822" s="94" t="str">
        <f>IF(Proc[[#This Row],[Author]]="Marcela Urrego",VLOOKUP(LEFT(Proc[[#This Row],[Requested]],1),Table3[#All],2,0),VLOOKUP(Proc[[#This Row],[Author]],Table4[],2,0))</f>
        <v>MGF</v>
      </c>
      <c r="L2822" s="125" t="s">
        <v>4896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31</v>
      </c>
      <c r="R2822" s="94" t="s">
        <v>515</v>
      </c>
      <c r="S2822" s="94"/>
    </row>
    <row r="2823" spans="1:19" hidden="1">
      <c r="A2823" s="103" t="s">
        <v>4767</v>
      </c>
      <c r="B2823" s="94" t="str">
        <f>IFERROR(VLOOKUP(Proc[[#This Row],[App]],Table2[],3,0),"open")</f>
        <v>ok</v>
      </c>
      <c r="C2823" s="117" t="s">
        <v>369</v>
      </c>
      <c r="D2823" t="s">
        <v>4770</v>
      </c>
      <c r="E2823" t="s">
        <v>4779</v>
      </c>
      <c r="F2823" s="117" t="s">
        <v>4779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4787</v>
      </c>
      <c r="J2823" s="94" t="b">
        <f>Proc[[#This Row],[Requested]]=Proc[[#This Row],[CurrentParent]]</f>
        <v>1</v>
      </c>
      <c r="K2823" s="94" t="str">
        <f>IF(Proc[[#This Row],[Author]]="Marcela Urrego",VLOOKUP(LEFT(Proc[[#This Row],[Requested]],1),Table3[#All],2,0),VLOOKUP(Proc[[#This Row],[Author]],Table4[],2,0))</f>
        <v>MGF</v>
      </c>
      <c r="L2823" s="125" t="s">
        <v>4896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31</v>
      </c>
      <c r="R2823" s="94" t="s">
        <v>515</v>
      </c>
      <c r="S2823" s="94"/>
    </row>
    <row r="2824" spans="1:19" hidden="1">
      <c r="A2824" s="103" t="s">
        <v>4767</v>
      </c>
      <c r="B2824" s="94" t="str">
        <f>IFERROR(VLOOKUP(Proc[[#This Row],[App]],Table2[],3,0),"open")</f>
        <v>ok</v>
      </c>
      <c r="C2824" s="117" t="s">
        <v>369</v>
      </c>
      <c r="D2824" t="s">
        <v>4771</v>
      </c>
      <c r="E2824" t="s">
        <v>4780</v>
      </c>
      <c r="F2824" s="117" t="s">
        <v>4780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4787</v>
      </c>
      <c r="J2824" s="94" t="b">
        <f>Proc[[#This Row],[Requested]]=Proc[[#This Row],[CurrentParent]]</f>
        <v>1</v>
      </c>
      <c r="K2824" s="94" t="str">
        <f>IF(Proc[[#This Row],[Author]]="Marcela Urrego",VLOOKUP(LEFT(Proc[[#This Row],[Requested]],1),Table3[#All],2,0),VLOOKUP(Proc[[#This Row],[Author]],Table4[],2,0))</f>
        <v>MGF</v>
      </c>
      <c r="L2824" s="125" t="s">
        <v>4896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31</v>
      </c>
      <c r="R2824" s="94" t="s">
        <v>515</v>
      </c>
      <c r="S2824" s="94"/>
    </row>
    <row r="2825" spans="1:19" hidden="1">
      <c r="A2825" s="103" t="s">
        <v>4767</v>
      </c>
      <c r="B2825" s="94" t="str">
        <f>IFERROR(VLOOKUP(Proc[[#This Row],[App]],Table2[],3,0),"open")</f>
        <v>ok</v>
      </c>
      <c r="C2825" s="117" t="s">
        <v>369</v>
      </c>
      <c r="D2825" t="s">
        <v>4772</v>
      </c>
      <c r="E2825" t="s">
        <v>4779</v>
      </c>
      <c r="F2825" s="117" t="s">
        <v>4779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4787</v>
      </c>
      <c r="J2825" s="94" t="b">
        <f>Proc[[#This Row],[Requested]]=Proc[[#This Row],[CurrentParent]]</f>
        <v>1</v>
      </c>
      <c r="K2825" s="94" t="str">
        <f>IF(Proc[[#This Row],[Author]]="Marcela Urrego",VLOOKUP(LEFT(Proc[[#This Row],[Requested]],1),Table3[#All],2,0),VLOOKUP(Proc[[#This Row],[Author]],Table4[],2,0))</f>
        <v>MGF</v>
      </c>
      <c r="L2825" s="125" t="s">
        <v>4896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31</v>
      </c>
      <c r="R2825" s="94" t="s">
        <v>515</v>
      </c>
      <c r="S2825" s="94"/>
    </row>
    <row r="2826" spans="1:19" hidden="1">
      <c r="A2826" s="103" t="s">
        <v>4767</v>
      </c>
      <c r="B2826" s="94" t="str">
        <f>IFERROR(VLOOKUP(Proc[[#This Row],[App]],Table2[],3,0),"open")</f>
        <v>ok</v>
      </c>
      <c r="C2826" s="117" t="s">
        <v>369</v>
      </c>
      <c r="D2826" t="s">
        <v>4773</v>
      </c>
      <c r="E2826" t="s">
        <v>4779</v>
      </c>
      <c r="F2826" s="117" t="s">
        <v>4779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4787</v>
      </c>
      <c r="J2826" s="94" t="b">
        <f>Proc[[#This Row],[Requested]]=Proc[[#This Row],[CurrentParent]]</f>
        <v>1</v>
      </c>
      <c r="K2826" s="94" t="str">
        <f>IF(Proc[[#This Row],[Author]]="Marcela Urrego",VLOOKUP(LEFT(Proc[[#This Row],[Requested]],1),Table3[#All],2,0),VLOOKUP(Proc[[#This Row],[Author]],Table4[],2,0))</f>
        <v>MGF</v>
      </c>
      <c r="L2826" s="125" t="s">
        <v>4896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31</v>
      </c>
      <c r="R2826" s="94" t="s">
        <v>515</v>
      </c>
      <c r="S2826" s="94"/>
    </row>
    <row r="2827" spans="1:19" hidden="1">
      <c r="A2827" s="103" t="s">
        <v>4767</v>
      </c>
      <c r="B2827" s="94" t="str">
        <f>IFERROR(VLOOKUP(Proc[[#This Row],[App]],Table2[],3,0),"open")</f>
        <v>ok</v>
      </c>
      <c r="C2827" s="117" t="s">
        <v>369</v>
      </c>
      <c r="D2827" t="s">
        <v>4774</v>
      </c>
      <c r="E2827" t="s">
        <v>4779</v>
      </c>
      <c r="F2827" s="117" t="s">
        <v>4779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4787</v>
      </c>
      <c r="J2827" s="94" t="b">
        <f>Proc[[#This Row],[Requested]]=Proc[[#This Row],[CurrentParent]]</f>
        <v>1</v>
      </c>
      <c r="K2827" s="94" t="str">
        <f>IF(Proc[[#This Row],[Author]]="Marcela Urrego",VLOOKUP(LEFT(Proc[[#This Row],[Requested]],1),Table3[#All],2,0),VLOOKUP(Proc[[#This Row],[Author]],Table4[],2,0))</f>
        <v>MGF</v>
      </c>
      <c r="L2827" s="125" t="s">
        <v>4896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31</v>
      </c>
      <c r="R2827" s="94" t="s">
        <v>515</v>
      </c>
      <c r="S2827" s="94"/>
    </row>
    <row r="2828" spans="1:19" hidden="1">
      <c r="A2828" s="103" t="s">
        <v>4767</v>
      </c>
      <c r="B2828" s="94" t="str">
        <f>IFERROR(VLOOKUP(Proc[[#This Row],[App]],Table2[],3,0),"open")</f>
        <v>ok</v>
      </c>
      <c r="C2828" s="117" t="s">
        <v>369</v>
      </c>
      <c r="D2828" t="s">
        <v>4775</v>
      </c>
      <c r="E2828" t="s">
        <v>4779</v>
      </c>
      <c r="F2828" s="117" t="s">
        <v>4779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4787</v>
      </c>
      <c r="J2828" s="94" t="b">
        <f>Proc[[#This Row],[Requested]]=Proc[[#This Row],[CurrentParent]]</f>
        <v>1</v>
      </c>
      <c r="K2828" s="94" t="str">
        <f>IF(Proc[[#This Row],[Author]]="Marcela Urrego",VLOOKUP(LEFT(Proc[[#This Row],[Requested]],1),Table3[#All],2,0),VLOOKUP(Proc[[#This Row],[Author]],Table4[],2,0))</f>
        <v>MGF</v>
      </c>
      <c r="L2828" s="125" t="s">
        <v>4896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31</v>
      </c>
      <c r="R2828" s="94" t="s">
        <v>515</v>
      </c>
      <c r="S2828" s="94"/>
    </row>
    <row r="2829" spans="1:19" hidden="1">
      <c r="A2829" s="103" t="s">
        <v>4767</v>
      </c>
      <c r="B2829" s="94" t="str">
        <f>IFERROR(VLOOKUP(Proc[[#This Row],[App]],Table2[],3,0),"open")</f>
        <v>ok</v>
      </c>
      <c r="C2829" s="117" t="s">
        <v>369</v>
      </c>
      <c r="D2829" t="s">
        <v>4776</v>
      </c>
      <c r="E2829" t="s">
        <v>4779</v>
      </c>
      <c r="F2829" s="117" t="s">
        <v>4779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4787</v>
      </c>
      <c r="J2829" s="94" t="b">
        <f>Proc[[#This Row],[Requested]]=Proc[[#This Row],[CurrentParent]]</f>
        <v>1</v>
      </c>
      <c r="K2829" s="94" t="str">
        <f>IF(Proc[[#This Row],[Author]]="Marcela Urrego",VLOOKUP(LEFT(Proc[[#This Row],[Requested]],1),Table3[#All],2,0),VLOOKUP(Proc[[#This Row],[Author]],Table4[],2,0))</f>
        <v>MGF</v>
      </c>
      <c r="L2829" s="125" t="s">
        <v>4896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31</v>
      </c>
      <c r="R2829" s="94" t="s">
        <v>515</v>
      </c>
      <c r="S2829" s="94"/>
    </row>
    <row r="2830" spans="1:19" hidden="1">
      <c r="A2830" s="103" t="s">
        <v>4767</v>
      </c>
      <c r="B2830" s="94" t="str">
        <f>IFERROR(VLOOKUP(Proc[[#This Row],[App]],Table2[],3,0),"open")</f>
        <v>ok</v>
      </c>
      <c r="C2830" s="117" t="s">
        <v>369</v>
      </c>
      <c r="D2830" t="s">
        <v>4777</v>
      </c>
      <c r="E2830" t="s">
        <v>4779</v>
      </c>
      <c r="F2830" s="117" t="s">
        <v>4779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4787</v>
      </c>
      <c r="J2830" s="94" t="b">
        <f>Proc[[#This Row],[Requested]]=Proc[[#This Row],[CurrentParent]]</f>
        <v>1</v>
      </c>
      <c r="K2830" s="94" t="str">
        <f>IF(Proc[[#This Row],[Author]]="Marcela Urrego",VLOOKUP(LEFT(Proc[[#This Row],[Requested]],1),Table3[#All],2,0),VLOOKUP(Proc[[#This Row],[Author]],Table4[],2,0))</f>
        <v>MGF</v>
      </c>
      <c r="L2830" s="125" t="s">
        <v>4896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31</v>
      </c>
      <c r="R2830" s="94" t="s">
        <v>515</v>
      </c>
      <c r="S2830" s="94"/>
    </row>
    <row r="2831" spans="1:19" hidden="1">
      <c r="A2831" s="103" t="s">
        <v>4767</v>
      </c>
      <c r="B2831" s="94" t="str">
        <f>IFERROR(VLOOKUP(Proc[[#This Row],[App]],Table2[],3,0),"open")</f>
        <v>ok</v>
      </c>
      <c r="C2831" s="117" t="s">
        <v>369</v>
      </c>
      <c r="D2831" t="s">
        <v>4802</v>
      </c>
      <c r="E2831" t="s">
        <v>4780</v>
      </c>
      <c r="F2831" s="117" t="s">
        <v>4780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4785</v>
      </c>
      <c r="J2831" s="94" t="b">
        <f>Proc[[#This Row],[Requested]]=Proc[[#This Row],[CurrentParent]]</f>
        <v>1</v>
      </c>
      <c r="K2831" s="94" t="str">
        <f>IF(Proc[[#This Row],[Author]]="Marcela Urrego",VLOOKUP(LEFT(Proc[[#This Row],[Requested]],1),Table3[#All],2,0),VLOOKUP(Proc[[#This Row],[Author]],Table4[],2,0))</f>
        <v>MGF</v>
      </c>
      <c r="L2831" s="125" t="s">
        <v>4896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31</v>
      </c>
      <c r="R2831" s="94" t="s">
        <v>515</v>
      </c>
      <c r="S2831" s="94"/>
    </row>
    <row r="2832" spans="1:19" hidden="1">
      <c r="A2832" s="103" t="s">
        <v>4767</v>
      </c>
      <c r="B2832" s="94" t="str">
        <f>IFERROR(VLOOKUP(Proc[[#This Row],[App]],Table2[],3,0),"open")</f>
        <v>ok</v>
      </c>
      <c r="C2832" s="117" t="s">
        <v>369</v>
      </c>
      <c r="D2832" t="s">
        <v>4778</v>
      </c>
      <c r="E2832" t="s">
        <v>4779</v>
      </c>
      <c r="F2832" s="117" t="s">
        <v>4779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94" t="str">
        <f>IF(Proc[[#This Row],[Author]]="Marcela Urrego",VLOOKUP(LEFT(Proc[[#This Row],[Requested]],1),Table3[#All],2,0),VLOOKUP(Proc[[#This Row],[Author]],Table4[],2,0))</f>
        <v>MGF</v>
      </c>
      <c r="L2832" s="125" t="s">
        <v>4896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31</v>
      </c>
      <c r="R2832" s="94" t="s">
        <v>515</v>
      </c>
      <c r="S2832" s="94"/>
    </row>
    <row r="2833" spans="1:19" hidden="1">
      <c r="A2833" t="s">
        <v>4784</v>
      </c>
      <c r="B2833" s="94" t="str">
        <f>IFERROR(VLOOKUP(Proc[[#This Row],[App]],Table2[],3,0),"open")</f>
        <v>ok</v>
      </c>
      <c r="C2833" s="117" t="s">
        <v>369</v>
      </c>
      <c r="D2833" t="s">
        <v>4781</v>
      </c>
      <c r="E2833" t="s">
        <v>4324</v>
      </c>
      <c r="F2833" s="120" t="s">
        <v>4324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4783</v>
      </c>
      <c r="J2833" s="94" t="b">
        <f>Proc[[#This Row],[Requested]]=Proc[[#This Row],[CurrentParent]]</f>
        <v>1</v>
      </c>
      <c r="K2833" s="94" t="str">
        <f>IF(Proc[[#This Row],[Author]]="Marcela Urrego",VLOOKUP(LEFT(Proc[[#This Row],[Requested]],1),Table3[#All],2,0),VLOOKUP(Proc[[#This Row],[Author]],Table4[],2,0))</f>
        <v>EL</v>
      </c>
      <c r="L2833" s="125" t="s">
        <v>4896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31</v>
      </c>
      <c r="R2833" s="110" t="s">
        <v>780</v>
      </c>
      <c r="S2833" s="94"/>
    </row>
    <row r="2834" spans="1:19" hidden="1">
      <c r="A2834" s="103" t="s">
        <v>4784</v>
      </c>
      <c r="B2834" s="94" t="str">
        <f>IFERROR(VLOOKUP(Proc[[#This Row],[App]],Table2[],3,0),"open")</f>
        <v>ok</v>
      </c>
      <c r="C2834" t="s">
        <v>369</v>
      </c>
      <c r="D2834" t="s">
        <v>4782</v>
      </c>
      <c r="E2834" t="s">
        <v>4324</v>
      </c>
      <c r="F2834" s="94" t="s">
        <v>4324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4783</v>
      </c>
      <c r="J2834" s="94" t="b">
        <f>Proc[[#This Row],[Requested]]=Proc[[#This Row],[CurrentParent]]</f>
        <v>1</v>
      </c>
      <c r="K2834" s="94" t="str">
        <f>IF(Proc[[#This Row],[Author]]="Marcela Urrego",VLOOKUP(LEFT(Proc[[#This Row],[Requested]],1),Table3[#All],2,0),VLOOKUP(Proc[[#This Row],[Author]],Table4[],2,0))</f>
        <v>EL</v>
      </c>
      <c r="L2834" s="125" t="s">
        <v>4896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31</v>
      </c>
      <c r="R2834" s="110" t="s">
        <v>780</v>
      </c>
      <c r="S2834" s="94"/>
    </row>
    <row r="2835" spans="1:19" hidden="1">
      <c r="A2835" t="s">
        <v>4788</v>
      </c>
      <c r="B2835" s="94" t="str">
        <f>IFERROR(VLOOKUP(Proc[[#This Row],[App]],Table2[],3,0),"open")</f>
        <v>ok</v>
      </c>
      <c r="C2835" s="117" t="s">
        <v>369</v>
      </c>
      <c r="D2835" t="s">
        <v>4809</v>
      </c>
      <c r="E2835" t="s">
        <v>4789</v>
      </c>
      <c r="F2835" s="94" t="s">
        <v>4789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94" t="str">
        <f>IF(Proc[[#This Row],[Author]]="Marcela Urrego",VLOOKUP(LEFT(Proc[[#This Row],[Requested]],1),Table3[#All],2,0),VLOOKUP(Proc[[#This Row],[Author]],Table4[],2,0))</f>
        <v>MGF</v>
      </c>
      <c r="L2835" s="125" t="s">
        <v>4896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29</v>
      </c>
      <c r="R2835" s="110" t="s">
        <v>1459</v>
      </c>
      <c r="S2835" s="94"/>
    </row>
    <row r="2836" spans="1:19" hidden="1">
      <c r="A2836" s="114" t="s">
        <v>4790</v>
      </c>
      <c r="B2836" s="94" t="str">
        <f>IFERROR(VLOOKUP(Proc[[#This Row],[App]],Table2[],3,0),"open")</f>
        <v>ok</v>
      </c>
      <c r="C2836" s="117" t="s">
        <v>369</v>
      </c>
      <c r="D2836" s="114" t="s">
        <v>4791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94" t="str">
        <f>IF(Proc[[#This Row],[Author]]="Marcela Urrego",VLOOKUP(LEFT(Proc[[#This Row],[Requested]],1),Table3[#All],2,0),VLOOKUP(Proc[[#This Row],[Author]],Table4[],2,0))</f>
        <v>LS</v>
      </c>
      <c r="L2836" s="125" t="s">
        <v>4896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29</v>
      </c>
      <c r="R2836" s="115" t="s">
        <v>489</v>
      </c>
      <c r="S2836" s="94"/>
    </row>
    <row r="2837" spans="1:19" hidden="1">
      <c r="A2837" s="114" t="s">
        <v>4790</v>
      </c>
      <c r="B2837" s="94" t="str">
        <f>IFERROR(VLOOKUP(Proc[[#This Row],[App]],Table2[],3,0),"open")</f>
        <v>ok</v>
      </c>
      <c r="C2837" s="117" t="s">
        <v>369</v>
      </c>
      <c r="D2837" s="114" t="s">
        <v>4792</v>
      </c>
      <c r="E2837" s="114" t="s">
        <v>3558</v>
      </c>
      <c r="F2837" s="94" t="s">
        <v>3558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94" t="str">
        <f>IF(Proc[[#This Row],[Author]]="Marcela Urrego",VLOOKUP(LEFT(Proc[[#This Row],[Requested]],1),Table3[#All],2,0),VLOOKUP(Proc[[#This Row],[Author]],Table4[],2,0))</f>
        <v>LS</v>
      </c>
      <c r="L2837" s="125" t="s">
        <v>4896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29</v>
      </c>
      <c r="R2837" s="115" t="s">
        <v>489</v>
      </c>
      <c r="S2837" s="94"/>
    </row>
    <row r="2838" spans="1:19" hidden="1">
      <c r="A2838" s="114" t="s">
        <v>4790</v>
      </c>
      <c r="B2838" s="94" t="str">
        <f>IFERROR(VLOOKUP(Proc[[#This Row],[App]],Table2[],3,0),"open")</f>
        <v>ok</v>
      </c>
      <c r="C2838" s="114" t="s">
        <v>377</v>
      </c>
      <c r="D2838" s="114" t="s">
        <v>4793</v>
      </c>
      <c r="E2838" s="114" t="s">
        <v>417</v>
      </c>
      <c r="F2838" s="94" t="s">
        <v>4806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94" t="str">
        <f>IF(Proc[[#This Row],[Author]]="Marcela Urrego",VLOOKUP(LEFT(Proc[[#This Row],[Requested]],1),Table3[#All],2,0),VLOOKUP(Proc[[#This Row],[Author]],Table4[],2,0))</f>
        <v>LS</v>
      </c>
      <c r="L2838" s="125" t="s">
        <v>4896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29</v>
      </c>
      <c r="R2838" s="115" t="s">
        <v>489</v>
      </c>
      <c r="S2838" s="94"/>
    </row>
    <row r="2839" spans="1:19" hidden="1">
      <c r="A2839" s="114" t="s">
        <v>4790</v>
      </c>
      <c r="B2839" s="94" t="str">
        <f>IFERROR(VLOOKUP(Proc[[#This Row],[App]],Table2[],3,0),"open")</f>
        <v>ok</v>
      </c>
      <c r="C2839" s="117" t="s">
        <v>377</v>
      </c>
      <c r="D2839" s="114" t="s">
        <v>4794</v>
      </c>
      <c r="E2839" s="114" t="s">
        <v>417</v>
      </c>
      <c r="F2839" s="94" t="s">
        <v>4806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94" t="str">
        <f>IF(Proc[[#This Row],[Author]]="Marcela Urrego",VLOOKUP(LEFT(Proc[[#This Row],[Requested]],1),Table3[#All],2,0),VLOOKUP(Proc[[#This Row],[Author]],Table4[],2,0))</f>
        <v>LS</v>
      </c>
      <c r="L2839" s="125" t="s">
        <v>4896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29</v>
      </c>
      <c r="R2839" s="115" t="s">
        <v>489</v>
      </c>
      <c r="S2839" s="94"/>
    </row>
    <row r="2840" spans="1:19" hidden="1">
      <c r="A2840" s="114" t="s">
        <v>4790</v>
      </c>
      <c r="B2840" s="94" t="str">
        <f>IFERROR(VLOOKUP(Proc[[#This Row],[App]],Table2[],3,0),"open")</f>
        <v>ok</v>
      </c>
      <c r="C2840" s="117" t="s">
        <v>377</v>
      </c>
      <c r="D2840" s="114" t="s">
        <v>4795</v>
      </c>
      <c r="E2840" s="114" t="s">
        <v>417</v>
      </c>
      <c r="F2840" s="94" t="s">
        <v>4807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94" t="str">
        <f>IF(Proc[[#This Row],[Author]]="Marcela Urrego",VLOOKUP(LEFT(Proc[[#This Row],[Requested]],1),Table3[#All],2,0),VLOOKUP(Proc[[#This Row],[Author]],Table4[],2,0))</f>
        <v>LS</v>
      </c>
      <c r="L2840" s="125" t="s">
        <v>4896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29</v>
      </c>
      <c r="R2840" s="115" t="s">
        <v>489</v>
      </c>
      <c r="S2840" s="94"/>
    </row>
    <row r="2841" spans="1:19" hidden="1">
      <c r="A2841" s="114" t="s">
        <v>4790</v>
      </c>
      <c r="B2841" s="94" t="str">
        <f>IFERROR(VLOOKUP(Proc[[#This Row],[App]],Table2[],3,0),"open")</f>
        <v>ok</v>
      </c>
      <c r="C2841" s="117" t="s">
        <v>377</v>
      </c>
      <c r="D2841" s="114" t="s">
        <v>4796</v>
      </c>
      <c r="E2841" s="114" t="s">
        <v>417</v>
      </c>
      <c r="F2841" s="94" t="s">
        <v>4808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94" t="str">
        <f>IF(Proc[[#This Row],[Author]]="Marcela Urrego",VLOOKUP(LEFT(Proc[[#This Row],[Requested]],1),Table3[#All],2,0),VLOOKUP(Proc[[#This Row],[Author]],Table4[],2,0))</f>
        <v>LS</v>
      </c>
      <c r="L2841" s="125" t="s">
        <v>4896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29</v>
      </c>
      <c r="R2841" s="115" t="s">
        <v>489</v>
      </c>
      <c r="S2841" s="94"/>
    </row>
    <row r="2842" spans="1:19" hidden="1">
      <c r="A2842" s="114" t="s">
        <v>4790</v>
      </c>
      <c r="B2842" s="94" t="str">
        <f>IFERROR(VLOOKUP(Proc[[#This Row],[App]],Table2[],3,0),"open")</f>
        <v>ok</v>
      </c>
      <c r="C2842" s="117" t="s">
        <v>369</v>
      </c>
      <c r="D2842" s="114" t="s">
        <v>4797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94" t="str">
        <f>IF(Proc[[#This Row],[Author]]="Marcela Urrego",VLOOKUP(LEFT(Proc[[#This Row],[Requested]],1),Table3[#All],2,0),VLOOKUP(Proc[[#This Row],[Author]],Table4[],2,0))</f>
        <v>LS</v>
      </c>
      <c r="L2842" s="125" t="s">
        <v>4896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29</v>
      </c>
      <c r="R2842" s="115" t="s">
        <v>489</v>
      </c>
      <c r="S2842" s="94"/>
    </row>
    <row r="2843" spans="1:19" hidden="1">
      <c r="A2843" t="s">
        <v>4798</v>
      </c>
      <c r="B2843" s="94" t="str">
        <f>IFERROR(VLOOKUP(Proc[[#This Row],[App]],Table2[],3,0),"open")</f>
        <v>ok</v>
      </c>
      <c r="C2843" s="114" t="s">
        <v>369</v>
      </c>
      <c r="D2843" t="s">
        <v>4803</v>
      </c>
      <c r="E2843" t="s">
        <v>4799</v>
      </c>
      <c r="F2843" s="94" t="s">
        <v>4799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4804</v>
      </c>
      <c r="J2843" s="94" t="b">
        <f>Proc[[#This Row],[Requested]]=Proc[[#This Row],[CurrentParent]]</f>
        <v>1</v>
      </c>
      <c r="K2843" s="94" t="str">
        <f>IF(Proc[[#This Row],[Author]]="Marcela Urrego",VLOOKUP(LEFT(Proc[[#This Row],[Requested]],1),Table3[#All],2,0),VLOOKUP(Proc[[#This Row],[Author]],Table4[],2,0))</f>
        <v>LS</v>
      </c>
      <c r="L2843" s="125" t="s">
        <v>4896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29</v>
      </c>
      <c r="R2843" s="115" t="s">
        <v>489</v>
      </c>
      <c r="S2843" s="94"/>
    </row>
    <row r="2844" spans="1:19" hidden="1">
      <c r="A2844" t="s">
        <v>4801</v>
      </c>
      <c r="B2844" s="94" t="str">
        <f>IFERROR(VLOOKUP(Proc[[#This Row],[App]],Table2[],3,0),"open")</f>
        <v>ok</v>
      </c>
      <c r="C2844" s="117" t="s">
        <v>369</v>
      </c>
      <c r="D2844" s="116" t="s">
        <v>4800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94" t="str">
        <f>IF(Proc[[#This Row],[Author]]="Marcela Urrego",VLOOKUP(LEFT(Proc[[#This Row],[Requested]],1),Table3[#All],2,0),VLOOKUP(Proc[[#This Row],[Author]],Table4[],2,0))</f>
        <v>MGF</v>
      </c>
      <c r="L2844" s="125" t="s">
        <v>4896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29</v>
      </c>
      <c r="R2844" s="115" t="s">
        <v>515</v>
      </c>
      <c r="S2844" s="94"/>
    </row>
    <row r="2845" spans="1:19" hidden="1">
      <c r="A2845" t="s">
        <v>4810</v>
      </c>
      <c r="B2845" s="94" t="str">
        <f>IFERROR(VLOOKUP(Proc[[#This Row],[App]],Table2[],3,0),"open")</f>
        <v>ok</v>
      </c>
      <c r="C2845" s="117" t="s">
        <v>369</v>
      </c>
      <c r="D2845" t="s">
        <v>4811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94" t="str">
        <f>IF(Proc[[#This Row],[Author]]="Marcela Urrego",VLOOKUP(LEFT(Proc[[#This Row],[Requested]],1),Table3[#All],2,0),VLOOKUP(Proc[[#This Row],[Author]],Table4[],2,0))</f>
        <v>LS</v>
      </c>
      <c r="L2845" s="125" t="s">
        <v>4896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28</v>
      </c>
      <c r="R2845" s="115" t="s">
        <v>489</v>
      </c>
      <c r="S2845" s="94"/>
    </row>
    <row r="2846" spans="1:19" hidden="1">
      <c r="A2846" s="117" t="s">
        <v>4810</v>
      </c>
      <c r="B2846" s="94" t="str">
        <f>IFERROR(VLOOKUP(Proc[[#This Row],[App]],Table2[],3,0),"open")</f>
        <v>ok</v>
      </c>
      <c r="C2846" s="117" t="s">
        <v>369</v>
      </c>
      <c r="D2846" t="s">
        <v>4812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94" t="str">
        <f>IF(Proc[[#This Row],[Author]]="Marcela Urrego",VLOOKUP(LEFT(Proc[[#This Row],[Requested]],1),Table3[#All],2,0),VLOOKUP(Proc[[#This Row],[Author]],Table4[],2,0))</f>
        <v>LS</v>
      </c>
      <c r="L2846" s="125" t="s">
        <v>4896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28</v>
      </c>
      <c r="R2846" s="115" t="s">
        <v>489</v>
      </c>
      <c r="S2846" s="94"/>
    </row>
    <row r="2847" spans="1:19" hidden="1">
      <c r="A2847" s="117" t="s">
        <v>4810</v>
      </c>
      <c r="B2847" s="94" t="str">
        <f>IFERROR(VLOOKUP(Proc[[#This Row],[App]],Table2[],3,0),"open")</f>
        <v>ok</v>
      </c>
      <c r="C2847" s="117" t="s">
        <v>369</v>
      </c>
      <c r="D2847" t="s">
        <v>4813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94" t="str">
        <f>IF(Proc[[#This Row],[Author]]="Marcela Urrego",VLOOKUP(LEFT(Proc[[#This Row],[Requested]],1),Table3[#All],2,0),VLOOKUP(Proc[[#This Row],[Author]],Table4[],2,0))</f>
        <v>LS</v>
      </c>
      <c r="L2847" s="125" t="s">
        <v>4896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28</v>
      </c>
      <c r="R2847" s="115" t="s">
        <v>489</v>
      </c>
      <c r="S2847" s="94"/>
    </row>
    <row r="2848" spans="1:19" hidden="1">
      <c r="A2848" t="s">
        <v>4814</v>
      </c>
      <c r="B2848" s="94" t="str">
        <f>IFERROR(VLOOKUP(Proc[[#This Row],[App]],Table2[],3,0),"open")</f>
        <v>ok</v>
      </c>
      <c r="C2848" s="117" t="s">
        <v>369</v>
      </c>
      <c r="D2848" t="s">
        <v>4823</v>
      </c>
      <c r="E2848" s="94" t="s">
        <v>4815</v>
      </c>
      <c r="F2848" s="94" t="s">
        <v>4815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94" t="str">
        <f>IF(Proc[[#This Row],[Author]]="Marcela Urrego",VLOOKUP(LEFT(Proc[[#This Row],[Requested]],1),Table3[#All],2,0),VLOOKUP(Proc[[#This Row],[Author]],Table4[],2,0))</f>
        <v>LS</v>
      </c>
      <c r="L2848" s="125" t="s">
        <v>4896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27</v>
      </c>
      <c r="R2848" s="115" t="s">
        <v>4822</v>
      </c>
      <c r="S2848" s="94"/>
    </row>
    <row r="2849" spans="1:19" hidden="1">
      <c r="A2849" t="s">
        <v>4816</v>
      </c>
      <c r="B2849" s="94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94" t="str">
        <f>IF(Proc[[#This Row],[Author]]="Marcela Urrego",VLOOKUP(LEFT(Proc[[#This Row],[Requested]],1),Table3[#All],2,0),VLOOKUP(Proc[[#This Row],[Author]],Table4[],2,0))</f>
        <v>LS</v>
      </c>
      <c r="L2849" s="125" t="s">
        <v>4896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27</v>
      </c>
      <c r="R2849" s="115" t="s">
        <v>4821</v>
      </c>
      <c r="S2849" s="94"/>
    </row>
    <row r="2850" spans="1:19" hidden="1">
      <c r="A2850" s="117" t="s">
        <v>4816</v>
      </c>
      <c r="B2850" s="94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94" t="str">
        <f>IF(Proc[[#This Row],[Author]]="Marcela Urrego",VLOOKUP(LEFT(Proc[[#This Row],[Requested]],1),Table3[#All],2,0),VLOOKUP(Proc[[#This Row],[Author]],Table4[],2,0))</f>
        <v>LS</v>
      </c>
      <c r="L2850" s="125" t="s">
        <v>4896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27</v>
      </c>
      <c r="R2850" s="115" t="s">
        <v>4821</v>
      </c>
      <c r="S2850" s="94"/>
    </row>
    <row r="2851" spans="1:19" hidden="1">
      <c r="A2851" s="117" t="s">
        <v>4816</v>
      </c>
      <c r="B2851" s="94" t="str">
        <f>IFERROR(VLOOKUP(Proc[[#This Row],[App]],Table2[],3,0),"open")</f>
        <v>ok</v>
      </c>
      <c r="C2851" s="117" t="s">
        <v>369</v>
      </c>
      <c r="D2851" t="s">
        <v>4824</v>
      </c>
      <c r="E2851" t="s">
        <v>4817</v>
      </c>
      <c r="F2851" s="94" t="s">
        <v>4817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94" t="str">
        <f>IF(Proc[[#This Row],[Author]]="Marcela Urrego",VLOOKUP(LEFT(Proc[[#This Row],[Requested]],1),Table3[#All],2,0),VLOOKUP(Proc[[#This Row],[Author]],Table4[],2,0))</f>
        <v>LS</v>
      </c>
      <c r="L2851" s="125" t="s">
        <v>4896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27</v>
      </c>
      <c r="R2851" s="115" t="s">
        <v>4821</v>
      </c>
      <c r="S2851" s="94"/>
    </row>
    <row r="2852" spans="1:19" hidden="1">
      <c r="A2852" t="s">
        <v>4818</v>
      </c>
      <c r="B2852" s="94" t="str">
        <f>IFERROR(VLOOKUP(Proc[[#This Row],[App]],Table2[],3,0),"open")</f>
        <v>ok</v>
      </c>
      <c r="C2852" s="117" t="s">
        <v>369</v>
      </c>
      <c r="D2852" t="s">
        <v>4819</v>
      </c>
      <c r="E2852" t="s">
        <v>3383</v>
      </c>
      <c r="F2852" s="117" t="s">
        <v>3383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94" t="str">
        <f>IF(Proc[[#This Row],[Author]]="Marcela Urrego",VLOOKUP(LEFT(Proc[[#This Row],[Requested]],1),Table3[#All],2,0),VLOOKUP(Proc[[#This Row],[Author]],Table4[],2,0))</f>
        <v>MGF</v>
      </c>
      <c r="L2852" s="125" t="s">
        <v>4896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27</v>
      </c>
      <c r="R2852" s="115" t="s">
        <v>481</v>
      </c>
      <c r="S2852" s="94"/>
    </row>
    <row r="2853" spans="1:19" hidden="1">
      <c r="A2853" s="117" t="s">
        <v>4818</v>
      </c>
      <c r="B2853" s="94" t="str">
        <f>IFERROR(VLOOKUP(Proc[[#This Row],[App]],Table2[],3,0),"open")</f>
        <v>ok</v>
      </c>
      <c r="C2853" s="117" t="s">
        <v>369</v>
      </c>
      <c r="D2853" t="s">
        <v>4820</v>
      </c>
      <c r="E2853" t="s">
        <v>3382</v>
      </c>
      <c r="F2853" s="117" t="s">
        <v>3382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94" t="str">
        <f>IF(Proc[[#This Row],[Author]]="Marcela Urrego",VLOOKUP(LEFT(Proc[[#This Row],[Requested]],1),Table3[#All],2,0),VLOOKUP(Proc[[#This Row],[Author]],Table4[],2,0))</f>
        <v>MGF</v>
      </c>
      <c r="L2853" s="125" t="s">
        <v>4896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27</v>
      </c>
      <c r="R2853" s="115" t="s">
        <v>481</v>
      </c>
      <c r="S2853" s="94"/>
    </row>
    <row r="2854" spans="1:19" hidden="1">
      <c r="A2854" t="s">
        <v>4825</v>
      </c>
      <c r="B2854" s="94" t="str">
        <f>IFERROR(VLOOKUP(Proc[[#This Row],[App]],Table2[],3,0),"open")</f>
        <v>ok</v>
      </c>
      <c r="C2854" s="117" t="s">
        <v>369</v>
      </c>
      <c r="D2854" s="99" t="s">
        <v>4826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94" t="str">
        <f>IF(Proc[[#This Row],[Author]]="Marcela Urrego",VLOOKUP(LEFT(Proc[[#This Row],[Requested]],1),Table3[#All],2,0),VLOOKUP(Proc[[#This Row],[Author]],Table4[],2,0))</f>
        <v>HC</v>
      </c>
      <c r="L2854" s="125" t="s">
        <v>4896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26</v>
      </c>
      <c r="R2854" s="115" t="s">
        <v>410</v>
      </c>
      <c r="S2854" s="94"/>
    </row>
    <row r="2855" spans="1:19" hidden="1">
      <c r="A2855" t="s">
        <v>4827</v>
      </c>
      <c r="B2855" s="94" t="str">
        <f>IFERROR(VLOOKUP(Proc[[#This Row],[App]],Table2[],3,0),"open")</f>
        <v>ok</v>
      </c>
      <c r="C2855" s="117" t="s">
        <v>369</v>
      </c>
      <c r="D2855" t="s">
        <v>4828</v>
      </c>
      <c r="E2855" t="s">
        <v>4829</v>
      </c>
      <c r="F2855" s="117" t="s">
        <v>4829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94" t="str">
        <f>IF(Proc[[#This Row],[Author]]="Marcela Urrego",VLOOKUP(LEFT(Proc[[#This Row],[Requested]],1),Table3[#All],2,0),VLOOKUP(Proc[[#This Row],[Author]],Table4[],2,0))</f>
        <v>LS</v>
      </c>
      <c r="L2855" s="125" t="s">
        <v>4896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26</v>
      </c>
      <c r="R2855" s="115" t="s">
        <v>4821</v>
      </c>
      <c r="S2855" s="94"/>
    </row>
    <row r="2856" spans="1:19" hidden="1">
      <c r="A2856" t="s">
        <v>4832</v>
      </c>
      <c r="B2856" s="94" t="str">
        <f>IFERROR(VLOOKUP(Proc[[#This Row],[App]],Table2[],3,0),"open")</f>
        <v>ok</v>
      </c>
      <c r="C2856" t="s">
        <v>369</v>
      </c>
      <c r="D2856" t="s">
        <v>4833</v>
      </c>
      <c r="E2856" t="s">
        <v>4831</v>
      </c>
      <c r="F2856" s="120" t="s">
        <v>4831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94" t="str">
        <f>IF(Proc[[#This Row],[Author]]="Marcela Urrego",VLOOKUP(LEFT(Proc[[#This Row],[Requested]],1),Table3[#All],2,0),VLOOKUP(Proc[[#This Row],[Author]],Table4[],2,0))</f>
        <v>HC</v>
      </c>
      <c r="L2856" s="125" t="s">
        <v>4896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24</v>
      </c>
      <c r="R2856" s="115" t="s">
        <v>410</v>
      </c>
      <c r="S2856" s="94"/>
    </row>
    <row r="2857" spans="1:19" hidden="1">
      <c r="A2857" t="s">
        <v>4836</v>
      </c>
      <c r="B2857" s="120" t="str">
        <f>IFERROR(VLOOKUP(Proc[[#This Row],[App]],Table2[],3,0),"open")</f>
        <v>ok</v>
      </c>
      <c r="C2857" s="121" t="s">
        <v>369</v>
      </c>
      <c r="D2857" s="119" t="s">
        <v>4841</v>
      </c>
      <c r="E2857" t="s">
        <v>4835</v>
      </c>
      <c r="F2857" s="125" t="s">
        <v>4835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20" t="str">
        <f>IF(Proc[[#This Row],[Author]]="Marcela Urrego",VLOOKUP(LEFT(Proc[[#This Row],[Requested]],1),Table3[#All],2,0),VLOOKUP(Proc[[#This Row],[Author]],Table4[],2,0))</f>
        <v>HC</v>
      </c>
      <c r="L2857" s="125" t="s">
        <v>4896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23</v>
      </c>
      <c r="R2857" s="115" t="s">
        <v>410</v>
      </c>
      <c r="S2857" s="120"/>
    </row>
    <row r="2858" spans="1:19" hidden="1">
      <c r="A2858" t="s">
        <v>4840</v>
      </c>
      <c r="B2858" s="120" t="str">
        <f>IFERROR(VLOOKUP(Proc[[#This Row],[App]],Table2[],3,0),"open")</f>
        <v>ok</v>
      </c>
      <c r="C2858" s="121" t="s">
        <v>369</v>
      </c>
      <c r="D2858" t="s">
        <v>4837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20" t="str">
        <f>IF(Proc[[#This Row],[Author]]="Marcela Urrego",VLOOKUP(LEFT(Proc[[#This Row],[Requested]],1),Table3[#All],2,0),VLOOKUP(Proc[[#This Row],[Author]],Table4[],2,0))</f>
        <v>EL</v>
      </c>
      <c r="L2858" s="125" t="s">
        <v>4896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23</v>
      </c>
      <c r="R2858" s="115" t="s">
        <v>780</v>
      </c>
      <c r="S2858" s="120"/>
    </row>
    <row r="2859" spans="1:19" hidden="1">
      <c r="A2859" s="119" t="s">
        <v>4840</v>
      </c>
      <c r="B2859" s="120" t="str">
        <f>IFERROR(VLOOKUP(Proc[[#This Row],[App]],Table2[],3,0),"open")</f>
        <v>ok</v>
      </c>
      <c r="C2859" s="121" t="s">
        <v>369</v>
      </c>
      <c r="D2859" t="s">
        <v>4838</v>
      </c>
      <c r="E2859" t="s">
        <v>4839</v>
      </c>
      <c r="F2859" s="125" t="s">
        <v>4839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20" t="str">
        <f>IF(Proc[[#This Row],[Author]]="Marcela Urrego",VLOOKUP(LEFT(Proc[[#This Row],[Requested]],1),Table3[#All],2,0),VLOOKUP(Proc[[#This Row],[Author]],Table4[],2,0))</f>
        <v>EL</v>
      </c>
      <c r="L2859" s="125" t="s">
        <v>4896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23</v>
      </c>
      <c r="R2859" s="115" t="s">
        <v>780</v>
      </c>
      <c r="S2859" s="120"/>
    </row>
    <row r="2860" spans="1:19" hidden="1">
      <c r="A2860" t="s">
        <v>4844</v>
      </c>
      <c r="B2860" s="120" t="str">
        <f>IFERROR(VLOOKUP(Proc[[#This Row],[App]],Table2[],3,0),"open")</f>
        <v>ok</v>
      </c>
      <c r="C2860" s="121" t="s">
        <v>369</v>
      </c>
      <c r="D2860" t="s">
        <v>4842</v>
      </c>
      <c r="E2860" t="s">
        <v>4843</v>
      </c>
      <c r="F2860" s="124" t="s">
        <v>4843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4845</v>
      </c>
      <c r="J2860" s="120" t="b">
        <f>Proc[[#This Row],[Requested]]=Proc[[#This Row],[CurrentParent]]</f>
        <v>1</v>
      </c>
      <c r="K2860" s="120" t="str">
        <f>IF(Proc[[#This Row],[Author]]="Marcela Urrego",VLOOKUP(LEFT(Proc[[#This Row],[Requested]],1),Table3[#All],2,0),VLOOKUP(Proc[[#This Row],[Author]],Table4[],2,0))</f>
        <v>MGF</v>
      </c>
      <c r="L2860" s="125" t="s">
        <v>4896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22</v>
      </c>
      <c r="R2860" s="115" t="s">
        <v>856</v>
      </c>
      <c r="S2860" s="120"/>
    </row>
    <row r="2861" spans="1:19" hidden="1">
      <c r="A2861" t="s">
        <v>4846</v>
      </c>
      <c r="B2861" s="120" t="str">
        <f>IFERROR(VLOOKUP(Proc[[#This Row],[App]],Table2[],3,0),"open")</f>
        <v>ok</v>
      </c>
      <c r="C2861" s="121" t="s">
        <v>369</v>
      </c>
      <c r="D2861" t="s">
        <v>4847</v>
      </c>
      <c r="E2861" t="s">
        <v>3535</v>
      </c>
      <c r="F2861" s="125" t="s">
        <v>3535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20" t="str">
        <f>IF(Proc[[#This Row],[Author]]="Marcela Urrego",VLOOKUP(LEFT(Proc[[#This Row],[Requested]],1),Table3[#All],2,0),VLOOKUP(Proc[[#This Row],[Author]],Table4[],2,0))</f>
        <v>MGF</v>
      </c>
      <c r="L2861" s="125" t="s">
        <v>4896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22</v>
      </c>
      <c r="R2861" s="115" t="s">
        <v>856</v>
      </c>
      <c r="S2861" s="120"/>
    </row>
    <row r="2862" spans="1:19" hidden="1">
      <c r="A2862" t="s">
        <v>4848</v>
      </c>
      <c r="B2862" s="120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20" t="str">
        <f>IF(Proc[[#This Row],[Author]]="Marcela Urrego",VLOOKUP(LEFT(Proc[[#This Row],[Requested]],1),Table3[#All],2,0),VLOOKUP(Proc[[#This Row],[Author]],Table4[],2,0))</f>
        <v>LS</v>
      </c>
      <c r="L2862" s="125" t="s">
        <v>4896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22</v>
      </c>
      <c r="R2862" s="115" t="s">
        <v>489</v>
      </c>
      <c r="S2862" s="120"/>
    </row>
    <row r="2863" spans="1:19" hidden="1">
      <c r="A2863" t="s">
        <v>4850</v>
      </c>
      <c r="B2863" s="120" t="str">
        <f>IFERROR(VLOOKUP(Proc[[#This Row],[App]],Table2[],3,0),"open")</f>
        <v>ok</v>
      </c>
      <c r="C2863" s="121" t="s">
        <v>369</v>
      </c>
      <c r="D2863" t="s">
        <v>4842</v>
      </c>
      <c r="E2863" t="s">
        <v>4849</v>
      </c>
      <c r="F2863" s="124" t="s">
        <v>4849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20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 hidden="1">
      <c r="A2864" t="s">
        <v>4855</v>
      </c>
      <c r="B2864" s="120" t="str">
        <f>IFERROR(VLOOKUP(Proc[[#This Row],[App]],Table2[],3,0),"open")</f>
        <v>ok</v>
      </c>
      <c r="C2864" t="s">
        <v>369</v>
      </c>
      <c r="D2864" t="s">
        <v>4851</v>
      </c>
      <c r="E2864" t="s">
        <v>4867</v>
      </c>
      <c r="F2864" s="125" t="s">
        <v>4867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20" t="str">
        <f>IF(Proc[[#This Row],[Author]]="Marcela Urrego",VLOOKUP(LEFT(Proc[[#This Row],[Requested]],1),Table3[#All],2,0),VLOOKUP(Proc[[#This Row],[Author]],Table4[],2,0))</f>
        <v>MGF</v>
      </c>
      <c r="L2864" s="125" t="s">
        <v>4896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20</v>
      </c>
      <c r="R2864" s="115" t="s">
        <v>515</v>
      </c>
      <c r="S2864" s="120"/>
    </row>
    <row r="2865" spans="1:19" hidden="1">
      <c r="A2865" s="121" t="s">
        <v>4855</v>
      </c>
      <c r="B2865" s="120" t="str">
        <f>IFERROR(VLOOKUP(Proc[[#This Row],[App]],Table2[],3,0),"open")</f>
        <v>ok</v>
      </c>
      <c r="C2865" s="124" t="s">
        <v>369</v>
      </c>
      <c r="D2865" t="s">
        <v>4852</v>
      </c>
      <c r="E2865" t="s">
        <v>4867</v>
      </c>
      <c r="F2865" s="125" t="s">
        <v>4867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20" t="str">
        <f>IF(Proc[[#This Row],[Author]]="Marcela Urrego",VLOOKUP(LEFT(Proc[[#This Row],[Requested]],1),Table3[#All],2,0),VLOOKUP(Proc[[#This Row],[Author]],Table4[],2,0))</f>
        <v>MGF</v>
      </c>
      <c r="L2865" s="125" t="s">
        <v>4896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20</v>
      </c>
      <c r="R2865" s="115" t="s">
        <v>515</v>
      </c>
      <c r="S2865" s="120"/>
    </row>
    <row r="2866" spans="1:19" hidden="1">
      <c r="A2866" s="121" t="s">
        <v>4855</v>
      </c>
      <c r="B2866" s="120" t="str">
        <f>IFERROR(VLOOKUP(Proc[[#This Row],[App]],Table2[],3,0),"open")</f>
        <v>ok</v>
      </c>
      <c r="C2866" s="121" t="s">
        <v>369</v>
      </c>
      <c r="D2866" t="s">
        <v>4853</v>
      </c>
      <c r="E2866" t="s">
        <v>4866</v>
      </c>
      <c r="F2866" s="124" t="s">
        <v>4866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20" t="str">
        <f>IF(Proc[[#This Row],[Author]]="Marcela Urrego",VLOOKUP(LEFT(Proc[[#This Row],[Requested]],1),Table3[#All],2,0),VLOOKUP(Proc[[#This Row],[Author]],Table4[],2,0))</f>
        <v>MGF</v>
      </c>
      <c r="L2866" s="125" t="s">
        <v>4896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20</v>
      </c>
      <c r="R2866" s="115" t="s">
        <v>515</v>
      </c>
      <c r="S2866" s="120"/>
    </row>
    <row r="2867" spans="1:19" hidden="1">
      <c r="A2867" s="121" t="s">
        <v>4855</v>
      </c>
      <c r="B2867" s="120" t="str">
        <f>IFERROR(VLOOKUP(Proc[[#This Row],[App]],Table2[],3,0),"open")</f>
        <v>ok</v>
      </c>
      <c r="C2867" s="124" t="s">
        <v>369</v>
      </c>
      <c r="D2867" t="s">
        <v>4854</v>
      </c>
      <c r="E2867" t="s">
        <v>4866</v>
      </c>
      <c r="F2867" s="124" t="s">
        <v>4866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20" t="str">
        <f>IF(Proc[[#This Row],[Author]]="Marcela Urrego",VLOOKUP(LEFT(Proc[[#This Row],[Requested]],1),Table3[#All],2,0),VLOOKUP(Proc[[#This Row],[Author]],Table4[],2,0))</f>
        <v>MGF</v>
      </c>
      <c r="L2867" s="125" t="s">
        <v>4896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20</v>
      </c>
      <c r="R2867" s="115" t="s">
        <v>515</v>
      </c>
      <c r="S2867" s="120"/>
    </row>
    <row r="2868" spans="1:19" hidden="1">
      <c r="A2868" t="s">
        <v>4856</v>
      </c>
      <c r="B2868" s="120" t="str">
        <f>IFERROR(VLOOKUP(Proc[[#This Row],[App]],Table2[],3,0),"open")</f>
        <v>ok</v>
      </c>
      <c r="C2868" s="124" t="s">
        <v>369</v>
      </c>
      <c r="D2868" t="s">
        <v>4863</v>
      </c>
      <c r="E2868" t="s">
        <v>4857</v>
      </c>
      <c r="F2868" s="124" t="s">
        <v>4857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20" t="str">
        <f>IF(Proc[[#This Row],[Author]]="Marcela Urrego",VLOOKUP(LEFT(Proc[[#This Row],[Requested]],1),Table3[#All],2,0),VLOOKUP(Proc[[#This Row],[Author]],Table4[],2,0))</f>
        <v>HC</v>
      </c>
      <c r="L2868" s="125" t="s">
        <v>4896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20</v>
      </c>
      <c r="R2868" s="115" t="s">
        <v>415</v>
      </c>
      <c r="S2868" s="120"/>
    </row>
    <row r="2869" spans="1:19" hidden="1">
      <c r="A2869" t="s">
        <v>4859</v>
      </c>
      <c r="B2869" s="123" t="str">
        <f>IFERROR(VLOOKUP(Proc[[#This Row],[App]],Table2[],3,0),"open")</f>
        <v>ok</v>
      </c>
      <c r="C2869" s="124" t="s">
        <v>369</v>
      </c>
      <c r="D2869" s="122" t="s">
        <v>4334</v>
      </c>
      <c r="E2869" s="125" t="s">
        <v>4858</v>
      </c>
      <c r="F2869" s="124" t="s">
        <v>4858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23" t="str">
        <f>IF(Proc[[#This Row],[Author]]="Marcela Urrego",VLOOKUP(LEFT(Proc[[#This Row],[Requested]],1),Table3[#All],2,0),VLOOKUP(Proc[[#This Row],[Author]],Table4[],2,0))</f>
        <v>HC</v>
      </c>
      <c r="L2869" s="125" t="s">
        <v>4896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20</v>
      </c>
      <c r="R2869" s="115" t="s">
        <v>410</v>
      </c>
      <c r="S2869" s="123"/>
    </row>
    <row r="2870" spans="1:19" hidden="1">
      <c r="A2870" t="s">
        <v>4860</v>
      </c>
      <c r="B2870" s="125" t="str">
        <f>IFERROR(VLOOKUP(Proc[[#This Row],[App]],Table2[],3,0),"open")</f>
        <v>ok</v>
      </c>
      <c r="C2870" s="124" t="s">
        <v>369</v>
      </c>
      <c r="D2870" t="s">
        <v>4861</v>
      </c>
      <c r="E2870" t="s">
        <v>4862</v>
      </c>
      <c r="F2870" s="124" t="s">
        <v>4862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25" t="str">
        <f>IF(Proc[[#This Row],[Author]]="Marcela Urrego",VLOOKUP(LEFT(Proc[[#This Row],[Requested]],1),Table3[#All],2,0),VLOOKUP(Proc[[#This Row],[Author]],Table4[],2,0))</f>
        <v>MGF</v>
      </c>
      <c r="L2870" s="125" t="s">
        <v>4896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20</v>
      </c>
      <c r="R2870" s="115" t="s">
        <v>856</v>
      </c>
      <c r="S2870" s="125"/>
    </row>
    <row r="2871" spans="1:19" hidden="1">
      <c r="A2871" t="s">
        <v>4864</v>
      </c>
      <c r="B2871" s="125" t="str">
        <f>IFERROR(VLOOKUP(Proc[[#This Row],[App]],Table2[],3,0),"open")</f>
        <v>ok</v>
      </c>
      <c r="C2871" s="124" t="s">
        <v>369</v>
      </c>
      <c r="D2871" t="s">
        <v>4865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25" t="str">
        <f>IF(Proc[[#This Row],[Author]]="Marcela Urrego",VLOOKUP(LEFT(Proc[[#This Row],[Requested]],1),Table3[#All],2,0),VLOOKUP(Proc[[#This Row],[Author]],Table4[],2,0))</f>
        <v>HC</v>
      </c>
      <c r="L2871" s="125" t="s">
        <v>4896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17</v>
      </c>
      <c r="R2871" s="115" t="s">
        <v>415</v>
      </c>
      <c r="S2871" s="125"/>
    </row>
    <row r="2872" spans="1:19" hidden="1">
      <c r="A2872" t="s">
        <v>4868</v>
      </c>
      <c r="B2872" s="125" t="str">
        <f>IFERROR(VLOOKUP(Proc[[#This Row],[App]],Table2[],3,0),"open")</f>
        <v>ok</v>
      </c>
      <c r="C2872" s="124" t="s">
        <v>369</v>
      </c>
      <c r="D2872" t="s">
        <v>4869</v>
      </c>
      <c r="E2872" s="124" t="s">
        <v>4901</v>
      </c>
      <c r="F2872" s="125" t="s">
        <v>4901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25" t="str">
        <f>IF(Proc[[#This Row],[Author]]="Marcela Urrego",VLOOKUP(LEFT(Proc[[#This Row],[Requested]],1),Table3[#All],2,0),VLOOKUP(Proc[[#This Row],[Author]],Table4[],2,0))</f>
        <v>MGF</v>
      </c>
      <c r="L2872" s="125" t="s">
        <v>4896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17</v>
      </c>
      <c r="R2872" s="115" t="s">
        <v>515</v>
      </c>
      <c r="S2872" s="125"/>
    </row>
    <row r="2873" spans="1:19" hidden="1">
      <c r="A2873" s="124" t="s">
        <v>4868</v>
      </c>
      <c r="B2873" s="125" t="str">
        <f>IFERROR(VLOOKUP(Proc[[#This Row],[App]],Table2[],3,0),"open")</f>
        <v>ok</v>
      </c>
      <c r="C2873" s="124" t="s">
        <v>369</v>
      </c>
      <c r="D2873" t="s">
        <v>4870</v>
      </c>
      <c r="E2873" s="124" t="s">
        <v>4901</v>
      </c>
      <c r="F2873" s="125" t="s">
        <v>4901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25" t="str">
        <f>IF(Proc[[#This Row],[Author]]="Marcela Urrego",VLOOKUP(LEFT(Proc[[#This Row],[Requested]],1),Table3[#All],2,0),VLOOKUP(Proc[[#This Row],[Author]],Table4[],2,0))</f>
        <v>MGF</v>
      </c>
      <c r="L2873" s="125" t="s">
        <v>4896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17</v>
      </c>
      <c r="R2873" s="115" t="s">
        <v>515</v>
      </c>
      <c r="S2873" s="125"/>
    </row>
    <row r="2874" spans="1:19" hidden="1">
      <c r="A2874" s="124" t="s">
        <v>4868</v>
      </c>
      <c r="B2874" s="125" t="str">
        <f>IFERROR(VLOOKUP(Proc[[#This Row],[App]],Table2[],3,0),"open")</f>
        <v>ok</v>
      </c>
      <c r="C2874" s="124" t="s">
        <v>369</v>
      </c>
      <c r="D2874" t="s">
        <v>4871</v>
      </c>
      <c r="E2874" s="124" t="s">
        <v>4901</v>
      </c>
      <c r="F2874" s="125" t="s">
        <v>4901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25" t="str">
        <f>IF(Proc[[#This Row],[Author]]="Marcela Urrego",VLOOKUP(LEFT(Proc[[#This Row],[Requested]],1),Table3[#All],2,0),VLOOKUP(Proc[[#This Row],[Author]],Table4[],2,0))</f>
        <v>MGF</v>
      </c>
      <c r="L2874" s="125" t="s">
        <v>4896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17</v>
      </c>
      <c r="R2874" s="115" t="s">
        <v>515</v>
      </c>
      <c r="S2874" s="125"/>
    </row>
    <row r="2875" spans="1:19" hidden="1">
      <c r="A2875" s="124" t="s">
        <v>4868</v>
      </c>
      <c r="B2875" s="125" t="str">
        <f>IFERROR(VLOOKUP(Proc[[#This Row],[App]],Table2[],3,0),"open")</f>
        <v>ok</v>
      </c>
      <c r="C2875" s="124" t="s">
        <v>369</v>
      </c>
      <c r="D2875" t="s">
        <v>4872</v>
      </c>
      <c r="E2875" s="124" t="s">
        <v>4901</v>
      </c>
      <c r="F2875" s="125" t="s">
        <v>4901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25" t="str">
        <f>IF(Proc[[#This Row],[Author]]="Marcela Urrego",VLOOKUP(LEFT(Proc[[#This Row],[Requested]],1),Table3[#All],2,0),VLOOKUP(Proc[[#This Row],[Author]],Table4[],2,0))</f>
        <v>MGF</v>
      </c>
      <c r="L2875" s="125" t="s">
        <v>4896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17</v>
      </c>
      <c r="R2875" s="115" t="s">
        <v>515</v>
      </c>
      <c r="S2875" s="125"/>
    </row>
    <row r="2876" spans="1:19" hidden="1">
      <c r="A2876" s="124" t="s">
        <v>4868</v>
      </c>
      <c r="B2876" s="125" t="str">
        <f>IFERROR(VLOOKUP(Proc[[#This Row],[App]],Table2[],3,0),"open")</f>
        <v>ok</v>
      </c>
      <c r="C2876" s="124" t="s">
        <v>369</v>
      </c>
      <c r="D2876" t="s">
        <v>4873</v>
      </c>
      <c r="E2876" s="124" t="s">
        <v>4901</v>
      </c>
      <c r="F2876" s="125" t="s">
        <v>4901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25" t="str">
        <f>IF(Proc[[#This Row],[Author]]="Marcela Urrego",VLOOKUP(LEFT(Proc[[#This Row],[Requested]],1),Table3[#All],2,0),VLOOKUP(Proc[[#This Row],[Author]],Table4[],2,0))</f>
        <v>MGF</v>
      </c>
      <c r="L2876" s="125" t="s">
        <v>4896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17</v>
      </c>
      <c r="R2876" s="115" t="s">
        <v>515</v>
      </c>
      <c r="S2876" s="125"/>
    </row>
    <row r="2877" spans="1:19" hidden="1">
      <c r="A2877" s="124" t="s">
        <v>4868</v>
      </c>
      <c r="B2877" s="125" t="str">
        <f>IFERROR(VLOOKUP(Proc[[#This Row],[App]],Table2[],3,0),"open")</f>
        <v>ok</v>
      </c>
      <c r="C2877" s="124" t="s">
        <v>369</v>
      </c>
      <c r="D2877" t="s">
        <v>4874</v>
      </c>
      <c r="E2877" s="124" t="s">
        <v>4901</v>
      </c>
      <c r="F2877" s="125" t="s">
        <v>4901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25" t="str">
        <f>IF(Proc[[#This Row],[Author]]="Marcela Urrego",VLOOKUP(LEFT(Proc[[#This Row],[Requested]],1),Table3[#All],2,0),VLOOKUP(Proc[[#This Row],[Author]],Table4[],2,0))</f>
        <v>MGF</v>
      </c>
      <c r="L2877" s="125" t="s">
        <v>4896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17</v>
      </c>
      <c r="R2877" s="115" t="s">
        <v>515</v>
      </c>
      <c r="S2877" s="125"/>
    </row>
    <row r="2878" spans="1:19" hidden="1">
      <c r="A2878" s="124" t="s">
        <v>4868</v>
      </c>
      <c r="B2878" s="125" t="str">
        <f>IFERROR(VLOOKUP(Proc[[#This Row],[App]],Table2[],3,0),"open")</f>
        <v>ok</v>
      </c>
      <c r="C2878" s="124" t="s">
        <v>369</v>
      </c>
      <c r="D2878" t="s">
        <v>4875</v>
      </c>
      <c r="E2878" s="124" t="s">
        <v>4901</v>
      </c>
      <c r="F2878" s="125" t="s">
        <v>4901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25" t="str">
        <f>IF(Proc[[#This Row],[Author]]="Marcela Urrego",VLOOKUP(LEFT(Proc[[#This Row],[Requested]],1),Table3[#All],2,0),VLOOKUP(Proc[[#This Row],[Author]],Table4[],2,0))</f>
        <v>MGF</v>
      </c>
      <c r="L2878" s="125" t="s">
        <v>4896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17</v>
      </c>
      <c r="R2878" s="115" t="s">
        <v>515</v>
      </c>
      <c r="S2878" s="125"/>
    </row>
    <row r="2879" spans="1:19" hidden="1">
      <c r="A2879" s="124" t="s">
        <v>4868</v>
      </c>
      <c r="B2879" s="125" t="str">
        <f>IFERROR(VLOOKUP(Proc[[#This Row],[App]],Table2[],3,0),"open")</f>
        <v>ok</v>
      </c>
      <c r="C2879" s="124" t="s">
        <v>369</v>
      </c>
      <c r="D2879" t="s">
        <v>4876</v>
      </c>
      <c r="E2879" s="124" t="s">
        <v>4901</v>
      </c>
      <c r="F2879" s="125" t="s">
        <v>4901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25" t="str">
        <f>IF(Proc[[#This Row],[Author]]="Marcela Urrego",VLOOKUP(LEFT(Proc[[#This Row],[Requested]],1),Table3[#All],2,0),VLOOKUP(Proc[[#This Row],[Author]],Table4[],2,0))</f>
        <v>MGF</v>
      </c>
      <c r="L2879" s="125" t="s">
        <v>4896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17</v>
      </c>
      <c r="R2879" s="115" t="s">
        <v>515</v>
      </c>
      <c r="S2879" s="125"/>
    </row>
    <row r="2880" spans="1:19" hidden="1">
      <c r="A2880" s="124" t="s">
        <v>4868</v>
      </c>
      <c r="B2880" s="125" t="str">
        <f>IFERROR(VLOOKUP(Proc[[#This Row],[App]],Table2[],3,0),"open")</f>
        <v>ok</v>
      </c>
      <c r="C2880" s="124" t="s">
        <v>369</v>
      </c>
      <c r="D2880" t="s">
        <v>4877</v>
      </c>
      <c r="E2880" s="124" t="s">
        <v>4901</v>
      </c>
      <c r="F2880" s="125" t="s">
        <v>4901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25" t="str">
        <f>IF(Proc[[#This Row],[Author]]="Marcela Urrego",VLOOKUP(LEFT(Proc[[#This Row],[Requested]],1),Table3[#All],2,0),VLOOKUP(Proc[[#This Row],[Author]],Table4[],2,0))</f>
        <v>MGF</v>
      </c>
      <c r="L2880" s="125" t="s">
        <v>4896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17</v>
      </c>
      <c r="R2880" s="115" t="s">
        <v>515</v>
      </c>
      <c r="S2880" s="125"/>
    </row>
    <row r="2881" spans="1:19" hidden="1">
      <c r="A2881" s="124" t="s">
        <v>4868</v>
      </c>
      <c r="B2881" s="125" t="str">
        <f>IFERROR(VLOOKUP(Proc[[#This Row],[App]],Table2[],3,0),"open")</f>
        <v>ok</v>
      </c>
      <c r="C2881" s="124" t="s">
        <v>369</v>
      </c>
      <c r="D2881" t="s">
        <v>4878</v>
      </c>
      <c r="E2881" s="124" t="s">
        <v>4901</v>
      </c>
      <c r="F2881" s="125" t="s">
        <v>4901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25" t="str">
        <f>IF(Proc[[#This Row],[Author]]="Marcela Urrego",VLOOKUP(LEFT(Proc[[#This Row],[Requested]],1),Table3[#All],2,0),VLOOKUP(Proc[[#This Row],[Author]],Table4[],2,0))</f>
        <v>MGF</v>
      </c>
      <c r="L2881" s="125" t="s">
        <v>4896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17</v>
      </c>
      <c r="R2881" s="115" t="s">
        <v>515</v>
      </c>
      <c r="S2881" s="125"/>
    </row>
    <row r="2882" spans="1:19" hidden="1">
      <c r="A2882" s="124" t="s">
        <v>4868</v>
      </c>
      <c r="B2882" s="125" t="str">
        <f>IFERROR(VLOOKUP(Proc[[#This Row],[App]],Table2[],3,0),"open")</f>
        <v>ok</v>
      </c>
      <c r="C2882" s="124" t="s">
        <v>369</v>
      </c>
      <c r="D2882" t="s">
        <v>4879</v>
      </c>
      <c r="E2882" s="124" t="s">
        <v>4901</v>
      </c>
      <c r="F2882" s="125" t="s">
        <v>4901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25" t="str">
        <f>IF(Proc[[#This Row],[Author]]="Marcela Urrego",VLOOKUP(LEFT(Proc[[#This Row],[Requested]],1),Table3[#All],2,0),VLOOKUP(Proc[[#This Row],[Author]],Table4[],2,0))</f>
        <v>MGF</v>
      </c>
      <c r="L2882" s="125" t="s">
        <v>4896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17</v>
      </c>
      <c r="R2882" s="115" t="s">
        <v>515</v>
      </c>
      <c r="S2882" s="125"/>
    </row>
    <row r="2883" spans="1:19" hidden="1">
      <c r="A2883" s="124" t="s">
        <v>4868</v>
      </c>
      <c r="B2883" s="125" t="str">
        <f>IFERROR(VLOOKUP(Proc[[#This Row],[App]],Table2[],3,0),"open")</f>
        <v>ok</v>
      </c>
      <c r="C2883" s="124" t="s">
        <v>369</v>
      </c>
      <c r="D2883" t="s">
        <v>4880</v>
      </c>
      <c r="E2883" s="124" t="s">
        <v>4901</v>
      </c>
      <c r="F2883" s="125" t="s">
        <v>4901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25" t="str">
        <f>IF(Proc[[#This Row],[Author]]="Marcela Urrego",VLOOKUP(LEFT(Proc[[#This Row],[Requested]],1),Table3[#All],2,0),VLOOKUP(Proc[[#This Row],[Author]],Table4[],2,0))</f>
        <v>MGF</v>
      </c>
      <c r="L2883" s="125" t="s">
        <v>4896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17</v>
      </c>
      <c r="R2883" s="115" t="s">
        <v>515</v>
      </c>
      <c r="S2883" s="125"/>
    </row>
    <row r="2884" spans="1:19" hidden="1">
      <c r="A2884" s="124" t="s">
        <v>4868</v>
      </c>
      <c r="B2884" s="125" t="str">
        <f>IFERROR(VLOOKUP(Proc[[#This Row],[App]],Table2[],3,0),"open")</f>
        <v>ok</v>
      </c>
      <c r="C2884" s="124" t="s">
        <v>369</v>
      </c>
      <c r="D2884" t="s">
        <v>4881</v>
      </c>
      <c r="E2884" s="124" t="s">
        <v>4901</v>
      </c>
      <c r="F2884" s="125" t="s">
        <v>4901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25" t="str">
        <f>IF(Proc[[#This Row],[Author]]="Marcela Urrego",VLOOKUP(LEFT(Proc[[#This Row],[Requested]],1),Table3[#All],2,0),VLOOKUP(Proc[[#This Row],[Author]],Table4[],2,0))</f>
        <v>MGF</v>
      </c>
      <c r="L2884" s="125" t="s">
        <v>4896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17</v>
      </c>
      <c r="R2884" s="115" t="s">
        <v>515</v>
      </c>
      <c r="S2884" s="125"/>
    </row>
    <row r="2885" spans="1:19" hidden="1">
      <c r="A2885" s="124" t="s">
        <v>4868</v>
      </c>
      <c r="B2885" s="125" t="str">
        <f>IFERROR(VLOOKUP(Proc[[#This Row],[App]],Table2[],3,0),"open")</f>
        <v>ok</v>
      </c>
      <c r="C2885" s="124" t="s">
        <v>369</v>
      </c>
      <c r="D2885" t="s">
        <v>4882</v>
      </c>
      <c r="E2885" s="124" t="s">
        <v>4901</v>
      </c>
      <c r="F2885" s="125" t="s">
        <v>4901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25" t="str">
        <f>IF(Proc[[#This Row],[Author]]="Marcela Urrego",VLOOKUP(LEFT(Proc[[#This Row],[Requested]],1),Table3[#All],2,0),VLOOKUP(Proc[[#This Row],[Author]],Table4[],2,0))</f>
        <v>MGF</v>
      </c>
      <c r="L2885" s="125" t="s">
        <v>4896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17</v>
      </c>
      <c r="R2885" s="115" t="s">
        <v>515</v>
      </c>
      <c r="S2885" s="125"/>
    </row>
    <row r="2886" spans="1:19" hidden="1">
      <c r="A2886" s="124" t="s">
        <v>4868</v>
      </c>
      <c r="B2886" s="125" t="str">
        <f>IFERROR(VLOOKUP(Proc[[#This Row],[App]],Table2[],3,0),"open")</f>
        <v>ok</v>
      </c>
      <c r="C2886" s="124" t="s">
        <v>369</v>
      </c>
      <c r="D2886" t="s">
        <v>4883</v>
      </c>
      <c r="E2886" s="124" t="s">
        <v>4901</v>
      </c>
      <c r="F2886" s="125" t="s">
        <v>4901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25" t="str">
        <f>IF(Proc[[#This Row],[Author]]="Marcela Urrego",VLOOKUP(LEFT(Proc[[#This Row],[Requested]],1),Table3[#All],2,0),VLOOKUP(Proc[[#This Row],[Author]],Table4[],2,0))</f>
        <v>MGF</v>
      </c>
      <c r="L2886" s="125" t="s">
        <v>4896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17</v>
      </c>
      <c r="R2886" s="115" t="s">
        <v>515</v>
      </c>
      <c r="S2886" s="125"/>
    </row>
    <row r="2887" spans="1:19" hidden="1">
      <c r="A2887" s="124" t="s">
        <v>4868</v>
      </c>
      <c r="B2887" s="125" t="str">
        <f>IFERROR(VLOOKUP(Proc[[#This Row],[App]],Table2[],3,0),"open")</f>
        <v>ok</v>
      </c>
      <c r="C2887" s="124" t="s">
        <v>369</v>
      </c>
      <c r="D2887" t="s">
        <v>4884</v>
      </c>
      <c r="E2887" s="124" t="s">
        <v>4901</v>
      </c>
      <c r="F2887" s="125" t="s">
        <v>4901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25" t="str">
        <f>IF(Proc[[#This Row],[Author]]="Marcela Urrego",VLOOKUP(LEFT(Proc[[#This Row],[Requested]],1),Table3[#All],2,0),VLOOKUP(Proc[[#This Row],[Author]],Table4[],2,0))</f>
        <v>MGF</v>
      </c>
      <c r="L2887" s="125" t="s">
        <v>4896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17</v>
      </c>
      <c r="R2887" s="115" t="s">
        <v>515</v>
      </c>
      <c r="S2887" s="125"/>
    </row>
    <row r="2888" spans="1:19" hidden="1">
      <c r="A2888" s="124" t="s">
        <v>4868</v>
      </c>
      <c r="B2888" s="125" t="str">
        <f>IFERROR(VLOOKUP(Proc[[#This Row],[App]],Table2[],3,0),"open")</f>
        <v>ok</v>
      </c>
      <c r="C2888" s="124" t="s">
        <v>369</v>
      </c>
      <c r="D2888" t="s">
        <v>4885</v>
      </c>
      <c r="E2888" t="s">
        <v>4901</v>
      </c>
      <c r="F2888" s="125" t="s">
        <v>4901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25" t="str">
        <f>IF(Proc[[#This Row],[Author]]="Marcela Urrego",VLOOKUP(LEFT(Proc[[#This Row],[Requested]],1),Table3[#All],2,0),VLOOKUP(Proc[[#This Row],[Author]],Table4[],2,0))</f>
        <v>MGF</v>
      </c>
      <c r="L2888" s="125" t="s">
        <v>4896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17</v>
      </c>
      <c r="R2888" s="115" t="s">
        <v>515</v>
      </c>
      <c r="S2888" s="125"/>
    </row>
    <row r="2889" spans="1:19" hidden="1">
      <c r="A2889" s="124" t="s">
        <v>4868</v>
      </c>
      <c r="B2889" s="125" t="str">
        <f>IFERROR(VLOOKUP(Proc[[#This Row],[App]],Table2[],3,0),"open")</f>
        <v>ok</v>
      </c>
      <c r="C2889" s="124" t="s">
        <v>369</v>
      </c>
      <c r="D2889" t="s">
        <v>4886</v>
      </c>
      <c r="E2889" s="124" t="s">
        <v>4901</v>
      </c>
      <c r="F2889" s="125" t="s">
        <v>4901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25" t="str">
        <f>IF(Proc[[#This Row],[Author]]="Marcela Urrego",VLOOKUP(LEFT(Proc[[#This Row],[Requested]],1),Table3[#All],2,0),VLOOKUP(Proc[[#This Row],[Author]],Table4[],2,0))</f>
        <v>MGF</v>
      </c>
      <c r="L2889" s="125" t="s">
        <v>4896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17</v>
      </c>
      <c r="R2889" s="115" t="s">
        <v>515</v>
      </c>
      <c r="S2889" s="125"/>
    </row>
    <row r="2890" spans="1:19" hidden="1">
      <c r="A2890" t="s">
        <v>4894</v>
      </c>
      <c r="B2890" s="125" t="str">
        <f>IFERROR(VLOOKUP(Proc[[#This Row],[App]],Table2[],3,0),"open")</f>
        <v>ok</v>
      </c>
      <c r="C2890" s="124" t="s">
        <v>369</v>
      </c>
      <c r="D2890" t="s">
        <v>4887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25" t="str">
        <f>IF(Proc[[#This Row],[Author]]="Marcela Urrego",VLOOKUP(LEFT(Proc[[#This Row],[Requested]],1),Table3[#All],2,0),VLOOKUP(Proc[[#This Row],[Author]],Table4[],2,0))</f>
        <v>LS</v>
      </c>
      <c r="L2890" s="125" t="s">
        <v>4896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17</v>
      </c>
      <c r="R2890" s="115" t="s">
        <v>489</v>
      </c>
      <c r="S2890" s="125"/>
    </row>
    <row r="2891" spans="1:19" hidden="1">
      <c r="A2891" s="124" t="s">
        <v>4894</v>
      </c>
      <c r="B2891" s="125" t="str">
        <f>IFERROR(VLOOKUP(Proc[[#This Row],[App]],Table2[],3,0),"open")</f>
        <v>ok</v>
      </c>
      <c r="C2891" s="124" t="s">
        <v>369</v>
      </c>
      <c r="D2891" t="s">
        <v>4895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25" t="str">
        <f>IF(Proc[[#This Row],[Author]]="Marcela Urrego",VLOOKUP(LEFT(Proc[[#This Row],[Requested]],1),Table3[#All],2,0),VLOOKUP(Proc[[#This Row],[Author]],Table4[],2,0))</f>
        <v>LS</v>
      </c>
      <c r="L2891" s="125" t="s">
        <v>4896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17</v>
      </c>
      <c r="R2891" s="115" t="s">
        <v>489</v>
      </c>
      <c r="S2891" s="125"/>
    </row>
    <row r="2892" spans="1:19" hidden="1">
      <c r="A2892" s="124" t="s">
        <v>4894</v>
      </c>
      <c r="B2892" s="125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4892</v>
      </c>
      <c r="F2892" s="125" t="s">
        <v>4892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25" t="str">
        <f>IF(Proc[[#This Row],[Author]]="Marcela Urrego",VLOOKUP(LEFT(Proc[[#This Row],[Requested]],1),Table3[#All],2,0),VLOOKUP(Proc[[#This Row],[Author]],Table4[],2,0))</f>
        <v>LS</v>
      </c>
      <c r="L2892" s="125" t="s">
        <v>4896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17</v>
      </c>
      <c r="R2892" s="115" t="s">
        <v>489</v>
      </c>
      <c r="S2892" s="125"/>
    </row>
    <row r="2893" spans="1:19" hidden="1">
      <c r="A2893" s="124" t="s">
        <v>4894</v>
      </c>
      <c r="B2893" s="125" t="str">
        <f>IFERROR(VLOOKUP(Proc[[#This Row],[App]],Table2[],3,0),"open")</f>
        <v>ok</v>
      </c>
      <c r="C2893" s="124" t="s">
        <v>369</v>
      </c>
      <c r="D2893" t="s">
        <v>4888</v>
      </c>
      <c r="E2893" s="124" t="s">
        <v>4391</v>
      </c>
      <c r="F2893" s="125" t="s">
        <v>4391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25" t="str">
        <f>IF(Proc[[#This Row],[Author]]="Marcela Urrego",VLOOKUP(LEFT(Proc[[#This Row],[Requested]],1),Table3[#All],2,0),VLOOKUP(Proc[[#This Row],[Author]],Table4[],2,0))</f>
        <v>LS</v>
      </c>
      <c r="L2893" s="125" t="s">
        <v>4896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17</v>
      </c>
      <c r="R2893" s="115" t="s">
        <v>489</v>
      </c>
      <c r="S2893" s="125"/>
    </row>
    <row r="2894" spans="1:19" hidden="1">
      <c r="A2894" s="124" t="s">
        <v>4894</v>
      </c>
      <c r="B2894" s="125" t="str">
        <f>IFERROR(VLOOKUP(Proc[[#This Row],[App]],Table2[],3,0),"open")</f>
        <v>ok</v>
      </c>
      <c r="C2894" s="124" t="s">
        <v>369</v>
      </c>
      <c r="D2894" t="s">
        <v>4889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25" t="str">
        <f>IF(Proc[[#This Row],[Author]]="Marcela Urrego",VLOOKUP(LEFT(Proc[[#This Row],[Requested]],1),Table3[#All],2,0),VLOOKUP(Proc[[#This Row],[Author]],Table4[],2,0))</f>
        <v>LS</v>
      </c>
      <c r="L2894" s="125" t="s">
        <v>4896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17</v>
      </c>
      <c r="R2894" s="115" t="s">
        <v>489</v>
      </c>
      <c r="S2894" s="125"/>
    </row>
    <row r="2895" spans="1:19" hidden="1">
      <c r="A2895" s="124" t="s">
        <v>4894</v>
      </c>
      <c r="B2895" s="125" t="str">
        <f>IFERROR(VLOOKUP(Proc[[#This Row],[App]],Table2[],3,0),"open")</f>
        <v>ok</v>
      </c>
      <c r="C2895" s="124" t="s">
        <v>369</v>
      </c>
      <c r="D2895" t="s">
        <v>4890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25" t="str">
        <f>IF(Proc[[#This Row],[Author]]="Marcela Urrego",VLOOKUP(LEFT(Proc[[#This Row],[Requested]],1),Table3[#All],2,0),VLOOKUP(Proc[[#This Row],[Author]],Table4[],2,0))</f>
        <v>LS</v>
      </c>
      <c r="L2895" s="125" t="s">
        <v>4896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17</v>
      </c>
      <c r="R2895" s="115" t="s">
        <v>489</v>
      </c>
      <c r="S2895" s="125"/>
    </row>
    <row r="2896" spans="1:19" hidden="1">
      <c r="A2896" s="124" t="s">
        <v>4894</v>
      </c>
      <c r="B2896" s="125" t="str">
        <f>IFERROR(VLOOKUP(Proc[[#This Row],[App]],Table2[],3,0),"open")</f>
        <v>ok</v>
      </c>
      <c r="C2896" s="124" t="s">
        <v>369</v>
      </c>
      <c r="D2896" t="s">
        <v>4891</v>
      </c>
      <c r="E2896" s="124" t="s">
        <v>4893</v>
      </c>
      <c r="F2896" s="125" t="s">
        <v>4893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25" t="str">
        <f>IF(Proc[[#This Row],[Author]]="Marcela Urrego",VLOOKUP(LEFT(Proc[[#This Row],[Requested]],1),Table3[#All],2,0),VLOOKUP(Proc[[#This Row],[Author]],Table4[],2,0))</f>
        <v>LS</v>
      </c>
      <c r="L2896" s="125" t="s">
        <v>4896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17</v>
      </c>
      <c r="R2896" s="115" t="s">
        <v>489</v>
      </c>
      <c r="S2896" s="125"/>
    </row>
    <row r="2897" spans="1:19" hidden="1">
      <c r="A2897" t="s">
        <v>4897</v>
      </c>
      <c r="B2897" s="125" t="str">
        <f>IFERROR(VLOOKUP(Proc[[#This Row],[App]],Table2[],3,0),"open")</f>
        <v>ok</v>
      </c>
      <c r="C2897" s="124" t="s">
        <v>369</v>
      </c>
      <c r="D2897" t="s">
        <v>4899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25" t="str">
        <f>IF(Proc[[#This Row],[Author]]="Marcela Urrego",VLOOKUP(LEFT(Proc[[#This Row],[Requested]],1),Table3[#All],2,0),VLOOKUP(Proc[[#This Row],[Author]],Table4[],2,0))</f>
        <v>LS</v>
      </c>
      <c r="L2897" s="125" t="s">
        <v>4896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17</v>
      </c>
      <c r="R2897" s="115" t="s">
        <v>972</v>
      </c>
      <c r="S2897" s="125"/>
    </row>
    <row r="2898" spans="1:19" hidden="1">
      <c r="A2898" s="124" t="s">
        <v>4897</v>
      </c>
      <c r="B2898" s="125" t="str">
        <f>IFERROR(VLOOKUP(Proc[[#This Row],[App]],Table2[],3,0),"open")</f>
        <v>ok</v>
      </c>
      <c r="C2898" s="124" t="s">
        <v>369</v>
      </c>
      <c r="D2898" t="s">
        <v>4900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25" t="str">
        <f>IF(Proc[[#This Row],[Author]]="Marcela Urrego",VLOOKUP(LEFT(Proc[[#This Row],[Requested]],1),Table3[#All],2,0),VLOOKUP(Proc[[#This Row],[Author]],Table4[],2,0))</f>
        <v>LS</v>
      </c>
      <c r="L2898" s="125" t="s">
        <v>4896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17</v>
      </c>
      <c r="R2898" s="115" t="s">
        <v>972</v>
      </c>
      <c r="S2898" s="125"/>
    </row>
    <row r="2899" spans="1:19" hidden="1">
      <c r="A2899" s="124" t="s">
        <v>4897</v>
      </c>
      <c r="B2899" s="125" t="str">
        <f>IFERROR(VLOOKUP(Proc[[#This Row],[App]],Table2[],3,0),"open")</f>
        <v>ok</v>
      </c>
      <c r="C2899" s="124" t="s">
        <v>369</v>
      </c>
      <c r="D2899" t="s">
        <v>4898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25" t="str">
        <f>IF(Proc[[#This Row],[Author]]="Marcela Urrego",VLOOKUP(LEFT(Proc[[#This Row],[Requested]],1),Table3[#All],2,0),VLOOKUP(Proc[[#This Row],[Author]],Table4[],2,0))</f>
        <v>LS</v>
      </c>
      <c r="L2899" s="125" t="s">
        <v>4896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17</v>
      </c>
      <c r="R2899" s="115" t="s">
        <v>972</v>
      </c>
      <c r="S2899" s="125"/>
    </row>
    <row r="2900" spans="1:19" hidden="1">
      <c r="A2900" t="s">
        <v>4904</v>
      </c>
      <c r="B2900" s="125" t="str">
        <f>IFERROR(VLOOKUP(Proc[[#This Row],[App]],Table2[],3,0),"open")</f>
        <v>ok</v>
      </c>
      <c r="C2900" t="s">
        <v>369</v>
      </c>
      <c r="D2900" t="s">
        <v>4902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4912</v>
      </c>
      <c r="J2900" s="125" t="b">
        <f>Proc[[#This Row],[Requested]]=Proc[[#This Row],[CurrentParent]]</f>
        <v>1</v>
      </c>
      <c r="K2900" s="125" t="str">
        <f>IF(Proc[[#This Row],[Author]]="Marcela Urrego",VLOOKUP(LEFT(Proc[[#This Row],[Requested]],1),Table3[#All],2,0),VLOOKUP(Proc[[#This Row],[Author]],Table4[],2,0))</f>
        <v>MGF</v>
      </c>
      <c r="L2900" s="125" t="s">
        <v>4896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16</v>
      </c>
      <c r="R2900" s="115" t="s">
        <v>515</v>
      </c>
      <c r="S2900" s="125"/>
    </row>
    <row r="2901" spans="1:19" hidden="1">
      <c r="A2901" t="s">
        <v>4904</v>
      </c>
      <c r="B2901" s="125" t="str">
        <f>IFERROR(VLOOKUP(Proc[[#This Row],[App]],Table2[],3,0),"open")</f>
        <v>ok</v>
      </c>
      <c r="C2901" s="124" t="s">
        <v>369</v>
      </c>
      <c r="D2901" t="s">
        <v>4903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4912</v>
      </c>
      <c r="J2901" s="125" t="b">
        <f>Proc[[#This Row],[Requested]]=Proc[[#This Row],[CurrentParent]]</f>
        <v>1</v>
      </c>
      <c r="K2901" s="125" t="str">
        <f>IF(Proc[[#This Row],[Author]]="Marcela Urrego",VLOOKUP(LEFT(Proc[[#This Row],[Requested]],1),Table3[#All],2,0),VLOOKUP(Proc[[#This Row],[Author]],Table4[],2,0))</f>
        <v>MGF</v>
      </c>
      <c r="L2901" s="125" t="s">
        <v>4896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16</v>
      </c>
      <c r="R2901" s="115" t="s">
        <v>515</v>
      </c>
      <c r="S2901" s="125"/>
    </row>
    <row r="2902" spans="1:19" hidden="1">
      <c r="A2902" t="s">
        <v>4905</v>
      </c>
      <c r="B2902" s="125" t="str">
        <f>IFERROR(VLOOKUP(Proc[[#This Row],[App]],Table2[],3,0),"open")</f>
        <v>ok</v>
      </c>
      <c r="C2902" s="124" t="s">
        <v>369</v>
      </c>
      <c r="D2902" t="s">
        <v>4902</v>
      </c>
      <c r="E2902" t="s">
        <v>4907</v>
      </c>
      <c r="F2902" s="125" t="s">
        <v>4907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25" t="str">
        <f>IF(Proc[[#This Row],[Author]]="Marcela Urrego",VLOOKUP(LEFT(Proc[[#This Row],[Requested]],1),Table3[#All],2,0),VLOOKUP(Proc[[#This Row],[Author]],Table4[],2,0))</f>
        <v>MGF</v>
      </c>
      <c r="L2902" s="125" t="s">
        <v>4896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14</v>
      </c>
      <c r="R2902" s="115" t="s">
        <v>515</v>
      </c>
      <c r="S2902" s="125"/>
    </row>
    <row r="2903" spans="1:19" hidden="1">
      <c r="A2903" s="124" t="s">
        <v>4905</v>
      </c>
      <c r="B2903" s="125" t="str">
        <f>IFERROR(VLOOKUP(Proc[[#This Row],[App]],Table2[],3,0),"open")</f>
        <v>ok</v>
      </c>
      <c r="C2903" s="124" t="s">
        <v>369</v>
      </c>
      <c r="D2903" t="s">
        <v>4903</v>
      </c>
      <c r="E2903" t="s">
        <v>4907</v>
      </c>
      <c r="F2903" s="125" t="s">
        <v>4907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25" t="str">
        <f>IF(Proc[[#This Row],[Author]]="Marcela Urrego",VLOOKUP(LEFT(Proc[[#This Row],[Requested]],1),Table3[#All],2,0),VLOOKUP(Proc[[#This Row],[Author]],Table4[],2,0))</f>
        <v>MGF</v>
      </c>
      <c r="L2903" s="125" t="s">
        <v>4896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14</v>
      </c>
      <c r="R2903" s="115" t="s">
        <v>515</v>
      </c>
      <c r="S2903" s="125"/>
    </row>
    <row r="2904" spans="1:19" hidden="1">
      <c r="A2904" s="124" t="s">
        <v>4905</v>
      </c>
      <c r="B2904" s="125" t="str">
        <f>IFERROR(VLOOKUP(Proc[[#This Row],[App]],Table2[],3,0),"open")</f>
        <v>ok</v>
      </c>
      <c r="C2904" s="124" t="s">
        <v>369</v>
      </c>
      <c r="D2904" t="s">
        <v>4906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25" t="str">
        <f>IF(Proc[[#This Row],[Author]]="Marcela Urrego",VLOOKUP(LEFT(Proc[[#This Row],[Requested]],1),Table3[#All],2,0),VLOOKUP(Proc[[#This Row],[Author]],Table4[],2,0))</f>
        <v>MGF</v>
      </c>
      <c r="L2904" s="125" t="s">
        <v>4896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14</v>
      </c>
      <c r="R2904" s="115" t="s">
        <v>515</v>
      </c>
      <c r="S2904" s="125"/>
    </row>
    <row r="2905" spans="1:19" hidden="1">
      <c r="A2905" t="s">
        <v>4908</v>
      </c>
      <c r="B2905" s="125" t="str">
        <f>IFERROR(VLOOKUP(Proc[[#This Row],[App]],Table2[],3,0),"open")</f>
        <v>ok</v>
      </c>
      <c r="C2905" s="124" t="s">
        <v>369</v>
      </c>
      <c r="D2905" t="s">
        <v>3130</v>
      </c>
      <c r="E2905" t="s">
        <v>4922</v>
      </c>
      <c r="F2905" s="125" t="s">
        <v>4922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25" t="str">
        <f>IF(Proc[[#This Row],[Author]]="Marcela Urrego",VLOOKUP(LEFT(Proc[[#This Row],[Requested]],1),Table3[#All],2,0),VLOOKUP(Proc[[#This Row],[Author]],Table4[],2,0))</f>
        <v>LS</v>
      </c>
      <c r="L2905" s="125" t="s">
        <v>4896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14</v>
      </c>
      <c r="R2905" s="115" t="s">
        <v>489</v>
      </c>
      <c r="S2905" s="125"/>
    </row>
    <row r="2906" spans="1:19" hidden="1">
      <c r="A2906" s="124" t="s">
        <v>4908</v>
      </c>
      <c r="B2906" s="125" t="str">
        <f>IFERROR(VLOOKUP(Proc[[#This Row],[App]],Table2[],3,0),"open")</f>
        <v>ok</v>
      </c>
      <c r="C2906" s="124" t="s">
        <v>369</v>
      </c>
      <c r="D2906" t="s">
        <v>3160</v>
      </c>
      <c r="E2906" t="s">
        <v>4922</v>
      </c>
      <c r="F2906" s="125" t="s">
        <v>4922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25" t="str">
        <f>IF(Proc[[#This Row],[Author]]="Marcela Urrego",VLOOKUP(LEFT(Proc[[#This Row],[Requested]],1),Table3[#All],2,0),VLOOKUP(Proc[[#This Row],[Author]],Table4[],2,0))</f>
        <v>LS</v>
      </c>
      <c r="L2906" s="125" t="s">
        <v>4896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14</v>
      </c>
      <c r="R2906" s="115" t="s">
        <v>489</v>
      </c>
      <c r="S2906" s="125"/>
    </row>
    <row r="2907" spans="1:19" hidden="1">
      <c r="A2907" t="s">
        <v>4909</v>
      </c>
      <c r="B2907" s="125" t="str">
        <f>IFERROR(VLOOKUP(Proc[[#This Row],[App]],Table2[],3,0),"open")</f>
        <v>ok</v>
      </c>
      <c r="C2907" s="124" t="s">
        <v>369</v>
      </c>
      <c r="D2907" t="s">
        <v>4910</v>
      </c>
      <c r="E2907" t="s">
        <v>4911</v>
      </c>
      <c r="F2907" s="125" t="s">
        <v>4911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25" t="str">
        <f>IF(Proc[[#This Row],[Author]]="Marcela Urrego",VLOOKUP(LEFT(Proc[[#This Row],[Requested]],1),Table3[#All],2,0),VLOOKUP(Proc[[#This Row],[Author]],Table4[],2,0))</f>
        <v>LS</v>
      </c>
      <c r="L2907" s="125" t="s">
        <v>4896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14</v>
      </c>
      <c r="R2907" s="115" t="s">
        <v>972</v>
      </c>
      <c r="S2907" s="125"/>
    </row>
    <row r="2908" spans="1:19" hidden="1">
      <c r="A2908" t="s">
        <v>4919</v>
      </c>
      <c r="B2908" s="125" t="str">
        <f>IFERROR(VLOOKUP(Proc[[#This Row],[App]],Table2[],3,0),"open")</f>
        <v>ok</v>
      </c>
      <c r="C2908" s="124" t="s">
        <v>369</v>
      </c>
      <c r="D2908" t="s">
        <v>4913</v>
      </c>
      <c r="E2908" t="s">
        <v>4916</v>
      </c>
      <c r="F2908" s="124" t="s">
        <v>4916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25" t="str">
        <f>IF(Proc[[#This Row],[Author]]="Marcela Urrego",VLOOKUP(LEFT(Proc[[#This Row],[Requested]],1),Table3[#All],2,0),VLOOKUP(Proc[[#This Row],[Author]],Table4[],2,0))</f>
        <v>HC</v>
      </c>
      <c r="L2908" s="125" t="s">
        <v>4896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14</v>
      </c>
      <c r="R2908" s="115" t="s">
        <v>764</v>
      </c>
      <c r="S2908" s="125"/>
    </row>
    <row r="2909" spans="1:19" hidden="1">
      <c r="A2909" s="124" t="s">
        <v>4919</v>
      </c>
      <c r="B2909" s="125" t="str">
        <f>IFERROR(VLOOKUP(Proc[[#This Row],[App]],Table2[],3,0),"open")</f>
        <v>ok</v>
      </c>
      <c r="C2909" s="124" t="s">
        <v>369</v>
      </c>
      <c r="D2909" t="s">
        <v>4914</v>
      </c>
      <c r="E2909" t="s">
        <v>4917</v>
      </c>
      <c r="F2909" s="124" t="s">
        <v>4917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25" t="str">
        <f>IF(Proc[[#This Row],[Author]]="Marcela Urrego",VLOOKUP(LEFT(Proc[[#This Row],[Requested]],1),Table3[#All],2,0),VLOOKUP(Proc[[#This Row],[Author]],Table4[],2,0))</f>
        <v>HC</v>
      </c>
      <c r="L2909" s="125" t="s">
        <v>4896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14</v>
      </c>
      <c r="R2909" s="115" t="s">
        <v>764</v>
      </c>
      <c r="S2909" s="125"/>
    </row>
    <row r="2910" spans="1:19" hidden="1">
      <c r="A2910" s="124" t="s">
        <v>4919</v>
      </c>
      <c r="B2910" s="125" t="str">
        <f>IFERROR(VLOOKUP(Proc[[#This Row],[App]],Table2[],3,0),"open")</f>
        <v>ok</v>
      </c>
      <c r="C2910" s="124" t="s">
        <v>369</v>
      </c>
      <c r="D2910" t="s">
        <v>4915</v>
      </c>
      <c r="E2910" t="s">
        <v>4918</v>
      </c>
      <c r="F2910" s="124" t="s">
        <v>4918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25" t="str">
        <f>IF(Proc[[#This Row],[Author]]="Marcela Urrego",VLOOKUP(LEFT(Proc[[#This Row],[Requested]],1),Table3[#All],2,0),VLOOKUP(Proc[[#This Row],[Author]],Table4[],2,0))</f>
        <v>HC</v>
      </c>
      <c r="L2910" s="125" t="s">
        <v>4896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14</v>
      </c>
      <c r="R2910" s="115" t="s">
        <v>764</v>
      </c>
      <c r="S2910" s="125"/>
    </row>
    <row r="2911" spans="1:19" hidden="1">
      <c r="A2911" t="s">
        <v>4921</v>
      </c>
      <c r="B2911" s="125" t="str">
        <f>IFERROR(VLOOKUP(Proc[[#This Row],[App]],Table2[],3,0),"open")</f>
        <v>ok</v>
      </c>
      <c r="C2911" s="124" t="s">
        <v>369</v>
      </c>
      <c r="D2911" t="s">
        <v>4920</v>
      </c>
      <c r="E2911" t="s">
        <v>4335</v>
      </c>
      <c r="F2911" s="124" t="s">
        <v>4335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25" t="str">
        <f>IF(Proc[[#This Row],[Author]]="Marcela Urrego",VLOOKUP(LEFT(Proc[[#This Row],[Requested]],1),Table3[#All],2,0),VLOOKUP(Proc[[#This Row],[Author]],Table4[],2,0))</f>
        <v>HC</v>
      </c>
      <c r="L2911" s="125" t="s">
        <v>4896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14</v>
      </c>
      <c r="R2911" s="115" t="s">
        <v>410</v>
      </c>
      <c r="S2911" s="125"/>
    </row>
    <row r="2912" spans="1:19" hidden="1">
      <c r="A2912" t="s">
        <v>4935</v>
      </c>
      <c r="B2912" s="125" t="str">
        <f>IFERROR(VLOOKUP(Proc[[#This Row],[App]],Table2[],3,0),"open")</f>
        <v>ok</v>
      </c>
      <c r="C2912" s="124" t="s">
        <v>369</v>
      </c>
      <c r="D2912" t="s">
        <v>4923</v>
      </c>
      <c r="E2912" t="s">
        <v>4929</v>
      </c>
      <c r="F2912" s="125" t="s">
        <v>4929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25" t="str">
        <f>IF(Proc[[#This Row],[Author]]="Marcela Urrego",VLOOKUP(LEFT(Proc[[#This Row],[Requested]],1),Table3[#All],2,0),VLOOKUP(Proc[[#This Row],[Author]],Table4[],2,0))</f>
        <v>LS</v>
      </c>
      <c r="L2912" s="125" t="s">
        <v>4896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12</v>
      </c>
      <c r="R2912" s="115" t="s">
        <v>972</v>
      </c>
      <c r="S2912" s="125"/>
    </row>
    <row r="2913" spans="1:19" hidden="1">
      <c r="A2913" s="124" t="s">
        <v>4935</v>
      </c>
      <c r="B2913" s="125" t="str">
        <f>IFERROR(VLOOKUP(Proc[[#This Row],[App]],Table2[],3,0),"open")</f>
        <v>ok</v>
      </c>
      <c r="C2913" s="124" t="s">
        <v>369</v>
      </c>
      <c r="D2913" t="s">
        <v>4924</v>
      </c>
      <c r="E2913" t="s">
        <v>4930</v>
      </c>
      <c r="F2913" s="125" t="s">
        <v>4930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25" t="str">
        <f>IF(Proc[[#This Row],[Author]]="Marcela Urrego",VLOOKUP(LEFT(Proc[[#This Row],[Requested]],1),Table3[#All],2,0),VLOOKUP(Proc[[#This Row],[Author]],Table4[],2,0))</f>
        <v>LS</v>
      </c>
      <c r="L2913" s="125" t="s">
        <v>4896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12</v>
      </c>
      <c r="R2913" s="115" t="s">
        <v>972</v>
      </c>
      <c r="S2913" s="125"/>
    </row>
    <row r="2914" spans="1:19" hidden="1">
      <c r="A2914" s="124" t="s">
        <v>4935</v>
      </c>
      <c r="B2914" s="125" t="str">
        <f>IFERROR(VLOOKUP(Proc[[#This Row],[App]],Table2[],3,0),"open")</f>
        <v>ok</v>
      </c>
      <c r="C2914" s="124" t="s">
        <v>369</v>
      </c>
      <c r="D2914" t="s">
        <v>4925</v>
      </c>
      <c r="E2914" t="s">
        <v>4931</v>
      </c>
      <c r="F2914" s="125" t="s">
        <v>4931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25" t="str">
        <f>IF(Proc[[#This Row],[Author]]="Marcela Urrego",VLOOKUP(LEFT(Proc[[#This Row],[Requested]],1),Table3[#All],2,0),VLOOKUP(Proc[[#This Row],[Author]],Table4[],2,0))</f>
        <v>LS</v>
      </c>
      <c r="L2914" s="125" t="s">
        <v>4896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12</v>
      </c>
      <c r="R2914" s="115" t="s">
        <v>972</v>
      </c>
      <c r="S2914" s="125"/>
    </row>
    <row r="2915" spans="1:19" hidden="1">
      <c r="A2915" s="124" t="s">
        <v>4935</v>
      </c>
      <c r="B2915" s="125" t="str">
        <f>IFERROR(VLOOKUP(Proc[[#This Row],[App]],Table2[],3,0),"open")</f>
        <v>ok</v>
      </c>
      <c r="C2915" s="124" t="s">
        <v>369</v>
      </c>
      <c r="D2915" t="s">
        <v>4926</v>
      </c>
      <c r="E2915" t="s">
        <v>4932</v>
      </c>
      <c r="F2915" s="125" t="s">
        <v>4932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25" t="str">
        <f>IF(Proc[[#This Row],[Author]]="Marcela Urrego",VLOOKUP(LEFT(Proc[[#This Row],[Requested]],1),Table3[#All],2,0),VLOOKUP(Proc[[#This Row],[Author]],Table4[],2,0))</f>
        <v>LS</v>
      </c>
      <c r="L2915" s="125" t="s">
        <v>4896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12</v>
      </c>
      <c r="R2915" s="115" t="s">
        <v>972</v>
      </c>
      <c r="S2915" s="125"/>
    </row>
    <row r="2916" spans="1:19" hidden="1">
      <c r="A2916" s="124" t="s">
        <v>4935</v>
      </c>
      <c r="B2916" s="125" t="str">
        <f>IFERROR(VLOOKUP(Proc[[#This Row],[App]],Table2[],3,0),"open")</f>
        <v>ok</v>
      </c>
      <c r="C2916" s="124" t="s">
        <v>369</v>
      </c>
      <c r="D2916" t="s">
        <v>4927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25" t="str">
        <f>IF(Proc[[#This Row],[Author]]="Marcela Urrego",VLOOKUP(LEFT(Proc[[#This Row],[Requested]],1),Table3[#All],2,0),VLOOKUP(Proc[[#This Row],[Author]],Table4[],2,0))</f>
        <v>LS</v>
      </c>
      <c r="L2916" s="125" t="s">
        <v>4896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12</v>
      </c>
      <c r="R2916" s="115" t="s">
        <v>972</v>
      </c>
      <c r="S2916" s="125"/>
    </row>
    <row r="2917" spans="1:19" hidden="1">
      <c r="A2917" s="124" t="s">
        <v>4935</v>
      </c>
      <c r="B2917" s="125" t="str">
        <f>IFERROR(VLOOKUP(Proc[[#This Row],[App]],Table2[],3,0),"open")</f>
        <v>ok</v>
      </c>
      <c r="C2917" s="124" t="s">
        <v>369</v>
      </c>
      <c r="D2917" t="s">
        <v>4928</v>
      </c>
      <c r="E2917" t="s">
        <v>4933</v>
      </c>
      <c r="F2917" s="125" t="s">
        <v>4933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25" t="str">
        <f>IF(Proc[[#This Row],[Author]]="Marcela Urrego",VLOOKUP(LEFT(Proc[[#This Row],[Requested]],1),Table3[#All],2,0),VLOOKUP(Proc[[#This Row],[Author]],Table4[],2,0))</f>
        <v>LS</v>
      </c>
      <c r="L2917" s="125" t="s">
        <v>4896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12</v>
      </c>
      <c r="R2917" s="115" t="s">
        <v>972</v>
      </c>
      <c r="S2917" s="125"/>
    </row>
    <row r="2918" spans="1:19" hidden="1">
      <c r="A2918" s="124" t="s">
        <v>4935</v>
      </c>
      <c r="B2918" s="125" t="str">
        <f>IFERROR(VLOOKUP(Proc[[#This Row],[App]],Table2[],3,0),"open")</f>
        <v>ok</v>
      </c>
      <c r="C2918" s="124" t="s">
        <v>369</v>
      </c>
      <c r="D2918" t="s">
        <v>4934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25" t="str">
        <f>IF(Proc[[#This Row],[Author]]="Marcela Urrego",VLOOKUP(LEFT(Proc[[#This Row],[Requested]],1),Table3[#All],2,0),VLOOKUP(Proc[[#This Row],[Author]],Table4[],2,0))</f>
        <v>LS</v>
      </c>
      <c r="L2918" s="125" t="s">
        <v>4896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12</v>
      </c>
      <c r="R2918" s="115" t="s">
        <v>972</v>
      </c>
      <c r="S2918" s="125"/>
    </row>
    <row r="2919" spans="1:19" hidden="1">
      <c r="A2919" t="s">
        <v>4936</v>
      </c>
      <c r="B2919" s="125" t="str">
        <f>IFERROR(VLOOKUP(Proc[[#This Row],[App]],Table2[],3,0),"open")</f>
        <v>ok</v>
      </c>
      <c r="C2919" s="124" t="s">
        <v>369</v>
      </c>
      <c r="D2919" t="s">
        <v>4957</v>
      </c>
      <c r="E2919" t="s">
        <v>4937</v>
      </c>
      <c r="F2919" s="125" t="s">
        <v>4937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25" t="str">
        <f>IF(Proc[[#This Row],[Author]]="Marcela Urrego",VLOOKUP(LEFT(Proc[[#This Row],[Requested]],1),Table3[#All],2,0),VLOOKUP(Proc[[#This Row],[Author]],Table4[],2,0))</f>
        <v>MGF</v>
      </c>
      <c r="L2919" s="125" t="s">
        <v>4896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12</v>
      </c>
      <c r="R2919" s="115" t="s">
        <v>515</v>
      </c>
      <c r="S2919" s="125"/>
    </row>
    <row r="2920" spans="1:19" hidden="1">
      <c r="A2920" s="124" t="s">
        <v>4936</v>
      </c>
      <c r="B2920" s="125" t="str">
        <f>IFERROR(VLOOKUP(Proc[[#This Row],[App]],Table2[],3,0),"open")</f>
        <v>ok</v>
      </c>
      <c r="C2920" s="124" t="s">
        <v>369</v>
      </c>
      <c r="D2920" t="s">
        <v>4943</v>
      </c>
      <c r="E2920" t="s">
        <v>4938</v>
      </c>
      <c r="F2920" s="125" t="s">
        <v>4938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25" t="str">
        <f>IF(Proc[[#This Row],[Author]]="Marcela Urrego",VLOOKUP(LEFT(Proc[[#This Row],[Requested]],1),Table3[#All],2,0),VLOOKUP(Proc[[#This Row],[Author]],Table4[],2,0))</f>
        <v>HC</v>
      </c>
      <c r="L2920" s="125" t="s">
        <v>4896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11</v>
      </c>
      <c r="R2920" s="115" t="s">
        <v>415</v>
      </c>
      <c r="S2920" s="125"/>
    </row>
    <row r="2921" spans="1:19" hidden="1">
      <c r="A2921" s="124" t="s">
        <v>4936</v>
      </c>
      <c r="B2921" s="125" t="str">
        <f>IFERROR(VLOOKUP(Proc[[#This Row],[App]],Table2[],3,0),"open")</f>
        <v>ok</v>
      </c>
      <c r="C2921" s="124" t="s">
        <v>369</v>
      </c>
      <c r="D2921" t="s">
        <v>4944</v>
      </c>
      <c r="E2921" t="s">
        <v>4938</v>
      </c>
      <c r="F2921" s="125" t="s">
        <v>4938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25" t="str">
        <f>IF(Proc[[#This Row],[Author]]="Marcela Urrego",VLOOKUP(LEFT(Proc[[#This Row],[Requested]],1),Table3[#All],2,0),VLOOKUP(Proc[[#This Row],[Author]],Table4[],2,0))</f>
        <v>HC</v>
      </c>
      <c r="L2921" s="125" t="s">
        <v>4896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11</v>
      </c>
      <c r="R2921" s="115" t="s">
        <v>415</v>
      </c>
      <c r="S2921" s="125"/>
    </row>
    <row r="2922" spans="1:19" hidden="1">
      <c r="A2922" s="124" t="s">
        <v>4936</v>
      </c>
      <c r="B2922" s="125" t="str">
        <f>IFERROR(VLOOKUP(Proc[[#This Row],[App]],Table2[],3,0),"open")</f>
        <v>ok</v>
      </c>
      <c r="C2922" s="124" t="s">
        <v>369</v>
      </c>
      <c r="D2922" t="s">
        <v>4945</v>
      </c>
      <c r="E2922" t="s">
        <v>4939</v>
      </c>
      <c r="F2922" s="125" t="s">
        <v>4939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25" t="str">
        <f>IF(Proc[[#This Row],[Author]]="Marcela Urrego",VLOOKUP(LEFT(Proc[[#This Row],[Requested]],1),Table3[#All],2,0),VLOOKUP(Proc[[#This Row],[Author]],Table4[],2,0))</f>
        <v>HC</v>
      </c>
      <c r="L2922" s="125" t="s">
        <v>4896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11</v>
      </c>
      <c r="R2922" s="115" t="s">
        <v>415</v>
      </c>
      <c r="S2922" s="125"/>
    </row>
    <row r="2923" spans="1:19" hidden="1">
      <c r="A2923" s="124" t="s">
        <v>4936</v>
      </c>
      <c r="B2923" s="125" t="str">
        <f>IFERROR(VLOOKUP(Proc[[#This Row],[App]],Table2[],3,0),"open")</f>
        <v>ok</v>
      </c>
      <c r="C2923" s="124" t="s">
        <v>369</v>
      </c>
      <c r="D2923" t="s">
        <v>4946</v>
      </c>
      <c r="E2923" t="s">
        <v>4939</v>
      </c>
      <c r="F2923" s="125" t="s">
        <v>4939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25" t="str">
        <f>IF(Proc[[#This Row],[Author]]="Marcela Urrego",VLOOKUP(LEFT(Proc[[#This Row],[Requested]],1),Table3[#All],2,0),VLOOKUP(Proc[[#This Row],[Author]],Table4[],2,0))</f>
        <v>HC</v>
      </c>
      <c r="L2923" s="125" t="s">
        <v>4896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11</v>
      </c>
      <c r="R2923" s="115" t="s">
        <v>415</v>
      </c>
      <c r="S2923" s="125"/>
    </row>
    <row r="2924" spans="1:19" hidden="1">
      <c r="A2924" s="124" t="s">
        <v>4936</v>
      </c>
      <c r="B2924" s="125" t="str">
        <f>IFERROR(VLOOKUP(Proc[[#This Row],[App]],Table2[],3,0),"open")</f>
        <v>ok</v>
      </c>
      <c r="C2924" s="124" t="s">
        <v>369</v>
      </c>
      <c r="D2924" t="s">
        <v>4947</v>
      </c>
      <c r="E2924" t="s">
        <v>4939</v>
      </c>
      <c r="F2924" s="125" t="s">
        <v>4939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25" t="str">
        <f>IF(Proc[[#This Row],[Author]]="Marcela Urrego",VLOOKUP(LEFT(Proc[[#This Row],[Requested]],1),Table3[#All],2,0),VLOOKUP(Proc[[#This Row],[Author]],Table4[],2,0))</f>
        <v>HC</v>
      </c>
      <c r="L2924" s="125" t="s">
        <v>4896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11</v>
      </c>
      <c r="R2924" s="115" t="s">
        <v>415</v>
      </c>
      <c r="S2924" s="125"/>
    </row>
    <row r="2925" spans="1:19" hidden="1">
      <c r="A2925" s="124" t="s">
        <v>4936</v>
      </c>
      <c r="B2925" s="125" t="str">
        <f>IFERROR(VLOOKUP(Proc[[#This Row],[App]],Table2[],3,0),"open")</f>
        <v>ok</v>
      </c>
      <c r="C2925" s="124" t="s">
        <v>369</v>
      </c>
      <c r="D2925" t="s">
        <v>4948</v>
      </c>
      <c r="E2925" t="s">
        <v>4939</v>
      </c>
      <c r="F2925" s="125" t="s">
        <v>4939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25" t="str">
        <f>IF(Proc[[#This Row],[Author]]="Marcela Urrego",VLOOKUP(LEFT(Proc[[#This Row],[Requested]],1),Table3[#All],2,0),VLOOKUP(Proc[[#This Row],[Author]],Table4[],2,0))</f>
        <v>HC</v>
      </c>
      <c r="L2925" s="125" t="s">
        <v>4896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11</v>
      </c>
      <c r="R2925" s="115" t="s">
        <v>415</v>
      </c>
      <c r="S2925" s="125"/>
    </row>
    <row r="2926" spans="1:19" hidden="1">
      <c r="A2926" s="124" t="s">
        <v>4936</v>
      </c>
      <c r="B2926" s="125" t="str">
        <f>IFERROR(VLOOKUP(Proc[[#This Row],[App]],Table2[],3,0),"open")</f>
        <v>ok</v>
      </c>
      <c r="C2926" s="124" t="s">
        <v>369</v>
      </c>
      <c r="D2926" t="s">
        <v>4949</v>
      </c>
      <c r="E2926" t="s">
        <v>4939</v>
      </c>
      <c r="F2926" s="125" t="s">
        <v>4939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25" t="str">
        <f>IF(Proc[[#This Row],[Author]]="Marcela Urrego",VLOOKUP(LEFT(Proc[[#This Row],[Requested]],1),Table3[#All],2,0),VLOOKUP(Proc[[#This Row],[Author]],Table4[],2,0))</f>
        <v>HC</v>
      </c>
      <c r="L2926" s="125" t="s">
        <v>4896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11</v>
      </c>
      <c r="R2926" s="115" t="s">
        <v>415</v>
      </c>
      <c r="S2926" s="125"/>
    </row>
    <row r="2927" spans="1:19" hidden="1">
      <c r="A2927" s="124" t="s">
        <v>4936</v>
      </c>
      <c r="B2927" s="125" t="str">
        <f>IFERROR(VLOOKUP(Proc[[#This Row],[App]],Table2[],3,0),"open")</f>
        <v>ok</v>
      </c>
      <c r="C2927" s="124" t="s">
        <v>369</v>
      </c>
      <c r="D2927" t="s">
        <v>4950</v>
      </c>
      <c r="E2927" t="s">
        <v>4939</v>
      </c>
      <c r="F2927" s="125" t="s">
        <v>4939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25" t="str">
        <f>IF(Proc[[#This Row],[Author]]="Marcela Urrego",VLOOKUP(LEFT(Proc[[#This Row],[Requested]],1),Table3[#All],2,0),VLOOKUP(Proc[[#This Row],[Author]],Table4[],2,0))</f>
        <v>HC</v>
      </c>
      <c r="L2927" s="125" t="s">
        <v>4896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11</v>
      </c>
      <c r="R2927" s="115" t="s">
        <v>415</v>
      </c>
      <c r="S2927" s="125"/>
    </row>
    <row r="2928" spans="1:19" hidden="1">
      <c r="A2928" s="124" t="s">
        <v>4936</v>
      </c>
      <c r="B2928" s="125" t="str">
        <f>IFERROR(VLOOKUP(Proc[[#This Row],[App]],Table2[],3,0),"open")</f>
        <v>ok</v>
      </c>
      <c r="C2928" s="124" t="s">
        <v>369</v>
      </c>
      <c r="D2928" t="s">
        <v>4951</v>
      </c>
      <c r="E2928" t="s">
        <v>4939</v>
      </c>
      <c r="F2928" s="125" t="s">
        <v>4939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25" t="str">
        <f>IF(Proc[[#This Row],[Author]]="Marcela Urrego",VLOOKUP(LEFT(Proc[[#This Row],[Requested]],1),Table3[#All],2,0),VLOOKUP(Proc[[#This Row],[Author]],Table4[],2,0))</f>
        <v>HC</v>
      </c>
      <c r="L2928" s="125" t="s">
        <v>4896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11</v>
      </c>
      <c r="R2928" s="115" t="s">
        <v>415</v>
      </c>
      <c r="S2928" s="125"/>
    </row>
    <row r="2929" spans="1:19" hidden="1">
      <c r="A2929" s="124" t="s">
        <v>4936</v>
      </c>
      <c r="B2929" s="125" t="str">
        <f>IFERROR(VLOOKUP(Proc[[#This Row],[App]],Table2[],3,0),"open")</f>
        <v>ok</v>
      </c>
      <c r="C2929" s="124" t="s">
        <v>369</v>
      </c>
      <c r="D2929" t="s">
        <v>2823</v>
      </c>
      <c r="E2929" t="s">
        <v>4940</v>
      </c>
      <c r="F2929" s="125" t="s">
        <v>4940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25" t="str">
        <f>IF(Proc[[#This Row],[Author]]="Marcela Urrego",VLOOKUP(LEFT(Proc[[#This Row],[Requested]],1),Table3[#All],2,0),VLOOKUP(Proc[[#This Row],[Author]],Table4[],2,0))</f>
        <v>HC</v>
      </c>
      <c r="L2929" s="125" t="s">
        <v>4896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11</v>
      </c>
      <c r="R2929" s="115" t="s">
        <v>415</v>
      </c>
      <c r="S2929" s="125"/>
    </row>
    <row r="2930" spans="1:19" hidden="1">
      <c r="A2930" s="124" t="s">
        <v>4936</v>
      </c>
      <c r="B2930" s="125" t="str">
        <f>IFERROR(VLOOKUP(Proc[[#This Row],[App]],Table2[],3,0),"open")</f>
        <v>ok</v>
      </c>
      <c r="C2930" s="124" t="s">
        <v>369</v>
      </c>
      <c r="D2930" t="s">
        <v>2824</v>
      </c>
      <c r="E2930" t="s">
        <v>4940</v>
      </c>
      <c r="F2930" s="125" t="s">
        <v>4940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25" t="str">
        <f>IF(Proc[[#This Row],[Author]]="Marcela Urrego",VLOOKUP(LEFT(Proc[[#This Row],[Requested]],1),Table3[#All],2,0),VLOOKUP(Proc[[#This Row],[Author]],Table4[],2,0))</f>
        <v>HC</v>
      </c>
      <c r="L2930" s="125" t="s">
        <v>4896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11</v>
      </c>
      <c r="R2930" s="115" t="s">
        <v>415</v>
      </c>
      <c r="S2930" s="125"/>
    </row>
    <row r="2931" spans="1:19" hidden="1">
      <c r="A2931" s="124" t="s">
        <v>4936</v>
      </c>
      <c r="B2931" s="125" t="str">
        <f>IFERROR(VLOOKUP(Proc[[#This Row],[App]],Table2[],3,0),"open")</f>
        <v>ok</v>
      </c>
      <c r="C2931" s="124" t="s">
        <v>369</v>
      </c>
      <c r="D2931" t="s">
        <v>2822</v>
      </c>
      <c r="E2931" t="s">
        <v>4940</v>
      </c>
      <c r="F2931" s="125" t="s">
        <v>4940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25" t="str">
        <f>IF(Proc[[#This Row],[Author]]="Marcela Urrego",VLOOKUP(LEFT(Proc[[#This Row],[Requested]],1),Table3[#All],2,0),VLOOKUP(Proc[[#This Row],[Author]],Table4[],2,0))</f>
        <v>HC</v>
      </c>
      <c r="L2931" s="125" t="s">
        <v>4896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11</v>
      </c>
      <c r="R2931" s="115" t="s">
        <v>415</v>
      </c>
      <c r="S2931" s="125"/>
    </row>
    <row r="2932" spans="1:19" hidden="1">
      <c r="A2932" s="124" t="s">
        <v>4936</v>
      </c>
      <c r="B2932" s="125" t="str">
        <f>IFERROR(VLOOKUP(Proc[[#This Row],[App]],Table2[],3,0),"open")</f>
        <v>ok</v>
      </c>
      <c r="C2932" s="124" t="s">
        <v>369</v>
      </c>
      <c r="D2932" t="s">
        <v>4952</v>
      </c>
      <c r="E2932" t="s">
        <v>4941</v>
      </c>
      <c r="F2932" s="125" t="s">
        <v>4941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25" t="str">
        <f>IF(Proc[[#This Row],[Author]]="Marcela Urrego",VLOOKUP(LEFT(Proc[[#This Row],[Requested]],1),Table3[#All],2,0),VLOOKUP(Proc[[#This Row],[Author]],Table4[],2,0))</f>
        <v>HC</v>
      </c>
      <c r="L2932" s="125" t="s">
        <v>4896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11</v>
      </c>
      <c r="R2932" s="115" t="s">
        <v>415</v>
      </c>
      <c r="S2932" s="125"/>
    </row>
    <row r="2933" spans="1:19" hidden="1">
      <c r="A2933" s="124" t="s">
        <v>4936</v>
      </c>
      <c r="B2933" s="125" t="str">
        <f>IFERROR(VLOOKUP(Proc[[#This Row],[App]],Table2[],3,0),"open")</f>
        <v>ok</v>
      </c>
      <c r="C2933" s="124" t="s">
        <v>369</v>
      </c>
      <c r="D2933" t="s">
        <v>4953</v>
      </c>
      <c r="E2933" t="s">
        <v>4941</v>
      </c>
      <c r="F2933" s="125" t="s">
        <v>4941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25" t="str">
        <f>IF(Proc[[#This Row],[Author]]="Marcela Urrego",VLOOKUP(LEFT(Proc[[#This Row],[Requested]],1),Table3[#All],2,0),VLOOKUP(Proc[[#This Row],[Author]],Table4[],2,0))</f>
        <v>HC</v>
      </c>
      <c r="L2933" s="125" t="s">
        <v>4896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11</v>
      </c>
      <c r="R2933" s="115" t="s">
        <v>415</v>
      </c>
      <c r="S2933" s="125"/>
    </row>
    <row r="2934" spans="1:19" hidden="1">
      <c r="A2934" s="124" t="s">
        <v>4936</v>
      </c>
      <c r="B2934" s="125" t="str">
        <f>IFERROR(VLOOKUP(Proc[[#This Row],[App]],Table2[],3,0),"open")</f>
        <v>ok</v>
      </c>
      <c r="C2934" s="124" t="s">
        <v>369</v>
      </c>
      <c r="D2934" t="s">
        <v>4954</v>
      </c>
      <c r="E2934" t="s">
        <v>4939</v>
      </c>
      <c r="F2934" s="125" t="s">
        <v>4939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25" t="str">
        <f>IF(Proc[[#This Row],[Author]]="Marcela Urrego",VLOOKUP(LEFT(Proc[[#This Row],[Requested]],1),Table3[#All],2,0),VLOOKUP(Proc[[#This Row],[Author]],Table4[],2,0))</f>
        <v>HC</v>
      </c>
      <c r="L2934" s="125" t="s">
        <v>4896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11</v>
      </c>
      <c r="R2934" s="115" t="s">
        <v>415</v>
      </c>
      <c r="S2934" s="125"/>
    </row>
    <row r="2935" spans="1:19" hidden="1">
      <c r="A2935" s="124" t="s">
        <v>4936</v>
      </c>
      <c r="B2935" s="125" t="str">
        <f>IFERROR(VLOOKUP(Proc[[#This Row],[App]],Table2[],3,0),"open")</f>
        <v>ok</v>
      </c>
      <c r="C2935" s="124" t="s">
        <v>369</v>
      </c>
      <c r="D2935" t="s">
        <v>4955</v>
      </c>
      <c r="E2935" t="s">
        <v>4942</v>
      </c>
      <c r="F2935" s="125" t="s">
        <v>4942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25" t="str">
        <f>IF(Proc[[#This Row],[Author]]="Marcela Urrego",VLOOKUP(LEFT(Proc[[#This Row],[Requested]],1),Table3[#All],2,0),VLOOKUP(Proc[[#This Row],[Author]],Table4[],2,0))</f>
        <v>HC</v>
      </c>
      <c r="L2935" s="125" t="s">
        <v>4896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11</v>
      </c>
      <c r="R2935" s="115" t="s">
        <v>415</v>
      </c>
      <c r="S2935" s="125"/>
    </row>
    <row r="2936" spans="1:19" hidden="1">
      <c r="A2936" s="124" t="s">
        <v>4936</v>
      </c>
      <c r="B2936" s="125" t="str">
        <f>IFERROR(VLOOKUP(Proc[[#This Row],[App]],Table2[],3,0),"open")</f>
        <v>ok</v>
      </c>
      <c r="C2936" s="124" t="s">
        <v>369</v>
      </c>
      <c r="D2936" t="s">
        <v>4956</v>
      </c>
      <c r="E2936" t="s">
        <v>4942</v>
      </c>
      <c r="F2936" s="125" t="s">
        <v>4942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25" t="str">
        <f>IF(Proc[[#This Row],[Author]]="Marcela Urrego",VLOOKUP(LEFT(Proc[[#This Row],[Requested]],1),Table3[#All],2,0),VLOOKUP(Proc[[#This Row],[Author]],Table4[],2,0))</f>
        <v>HC</v>
      </c>
      <c r="L2936" s="125" t="s">
        <v>4896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11</v>
      </c>
      <c r="R2936" s="115" t="s">
        <v>415</v>
      </c>
      <c r="S2936" s="125"/>
    </row>
    <row r="2937" spans="1:19" hidden="1">
      <c r="A2937" t="s">
        <v>5260</v>
      </c>
      <c r="B2937" s="125" t="str">
        <f>IFERROR(VLOOKUP(Proc[[#This Row],[App]],Table2[],3,0),"open")</f>
        <v>ok</v>
      </c>
      <c r="C2937" s="124" t="s">
        <v>369</v>
      </c>
      <c r="D2937" t="s">
        <v>4958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25" t="str">
        <f>IF(Proc[[#This Row],[Author]]="Marcela Urrego",VLOOKUP(LEFT(Proc[[#This Row],[Requested]],1),Table3[#All],2,0),VLOOKUP(Proc[[#This Row],[Author]],Table4[],2,0))</f>
        <v>HC</v>
      </c>
      <c r="L2937" s="125" t="s">
        <v>4896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9</v>
      </c>
      <c r="R2937" s="115" t="s">
        <v>1013</v>
      </c>
      <c r="S2937" s="125"/>
    </row>
    <row r="2938" spans="1:19" hidden="1">
      <c r="A2938" s="124" t="s">
        <v>5260</v>
      </c>
      <c r="B2938" s="125" t="str">
        <f>IFERROR(VLOOKUP(Proc[[#This Row],[App]],Table2[],3,0),"open")</f>
        <v>ok</v>
      </c>
      <c r="C2938" s="124" t="s">
        <v>369</v>
      </c>
      <c r="D2938" t="s">
        <v>4959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25" t="str">
        <f>IF(Proc[[#This Row],[Author]]="Marcela Urrego",VLOOKUP(LEFT(Proc[[#This Row],[Requested]],1),Table3[#All],2,0),VLOOKUP(Proc[[#This Row],[Author]],Table4[],2,0))</f>
        <v>HC</v>
      </c>
      <c r="L2938" s="125" t="s">
        <v>4896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9</v>
      </c>
      <c r="R2938" s="115" t="s">
        <v>1013</v>
      </c>
      <c r="S2938" s="125"/>
    </row>
    <row r="2939" spans="1:19" hidden="1">
      <c r="A2939" s="124" t="s">
        <v>5260</v>
      </c>
      <c r="B2939" s="125" t="str">
        <f>IFERROR(VLOOKUP(Proc[[#This Row],[App]],Table2[],3,0),"open")</f>
        <v>ok</v>
      </c>
      <c r="C2939" s="124" t="s">
        <v>369</v>
      </c>
      <c r="D2939" t="s">
        <v>4960</v>
      </c>
      <c r="E2939" t="s">
        <v>5253</v>
      </c>
      <c r="F2939" s="125" t="s">
        <v>5253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25" t="str">
        <f>IF(Proc[[#This Row],[Author]]="Marcela Urrego",VLOOKUP(LEFT(Proc[[#This Row],[Requested]],1),Table3[#All],2,0),VLOOKUP(Proc[[#This Row],[Author]],Table4[],2,0))</f>
        <v>HC</v>
      </c>
      <c r="L2939" s="125" t="s">
        <v>4896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9</v>
      </c>
      <c r="R2939" s="115" t="s">
        <v>1013</v>
      </c>
      <c r="S2939" s="125"/>
    </row>
    <row r="2940" spans="1:19" hidden="1">
      <c r="A2940" s="124" t="s">
        <v>5260</v>
      </c>
      <c r="B2940" s="125" t="str">
        <f>IFERROR(VLOOKUP(Proc[[#This Row],[App]],Table2[],3,0),"open")</f>
        <v>ok</v>
      </c>
      <c r="C2940" s="124" t="s">
        <v>369</v>
      </c>
      <c r="D2940" t="s">
        <v>4961</v>
      </c>
      <c r="E2940" t="s">
        <v>5253</v>
      </c>
      <c r="F2940" s="125" t="s">
        <v>5253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25" t="str">
        <f>IF(Proc[[#This Row],[Author]]="Marcela Urrego",VLOOKUP(LEFT(Proc[[#This Row],[Requested]],1),Table3[#All],2,0),VLOOKUP(Proc[[#This Row],[Author]],Table4[],2,0))</f>
        <v>HC</v>
      </c>
      <c r="L2940" s="125" t="s">
        <v>4896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9</v>
      </c>
      <c r="R2940" s="115" t="s">
        <v>1013</v>
      </c>
      <c r="S2940" s="125"/>
    </row>
    <row r="2941" spans="1:19" hidden="1">
      <c r="A2941" s="124" t="s">
        <v>5260</v>
      </c>
      <c r="B2941" s="125" t="str">
        <f>IFERROR(VLOOKUP(Proc[[#This Row],[App]],Table2[],3,0),"open")</f>
        <v>ok</v>
      </c>
      <c r="C2941" s="124" t="s">
        <v>369</v>
      </c>
      <c r="D2941" t="s">
        <v>4962</v>
      </c>
      <c r="E2941" t="s">
        <v>5253</v>
      </c>
      <c r="F2941" s="125" t="s">
        <v>5253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25" t="str">
        <f>IF(Proc[[#This Row],[Author]]="Marcela Urrego",VLOOKUP(LEFT(Proc[[#This Row],[Requested]],1),Table3[#All],2,0),VLOOKUP(Proc[[#This Row],[Author]],Table4[],2,0))</f>
        <v>HC</v>
      </c>
      <c r="L2941" s="125" t="s">
        <v>4896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9</v>
      </c>
      <c r="R2941" s="115" t="s">
        <v>1013</v>
      </c>
      <c r="S2941" s="125"/>
    </row>
    <row r="2942" spans="1:19" hidden="1">
      <c r="A2942" s="124" t="s">
        <v>5260</v>
      </c>
      <c r="B2942" s="125" t="str">
        <f>IFERROR(VLOOKUP(Proc[[#This Row],[App]],Table2[],3,0),"open")</f>
        <v>ok</v>
      </c>
      <c r="C2942" s="124" t="s">
        <v>369</v>
      </c>
      <c r="D2942" t="s">
        <v>4963</v>
      </c>
      <c r="E2942" t="s">
        <v>3003</v>
      </c>
      <c r="F2942" s="125" t="s">
        <v>3003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25" t="str">
        <f>IF(Proc[[#This Row],[Author]]="Marcela Urrego",VLOOKUP(LEFT(Proc[[#This Row],[Requested]],1),Table3[#All],2,0),VLOOKUP(Proc[[#This Row],[Author]],Table4[],2,0))</f>
        <v>HC</v>
      </c>
      <c r="L2942" s="125" t="s">
        <v>4896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9</v>
      </c>
      <c r="R2942" s="115" t="s">
        <v>1013</v>
      </c>
      <c r="S2942" s="125"/>
    </row>
    <row r="2943" spans="1:19" hidden="1">
      <c r="A2943" s="124" t="s">
        <v>5260</v>
      </c>
      <c r="B2943" s="125" t="str">
        <f>IFERROR(VLOOKUP(Proc[[#This Row],[App]],Table2[],3,0),"open")</f>
        <v>ok</v>
      </c>
      <c r="C2943" s="124" t="s">
        <v>369</v>
      </c>
      <c r="D2943" t="s">
        <v>4964</v>
      </c>
      <c r="E2943" t="s">
        <v>3003</v>
      </c>
      <c r="F2943" s="125" t="s">
        <v>3003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25" t="str">
        <f>IF(Proc[[#This Row],[Author]]="Marcela Urrego",VLOOKUP(LEFT(Proc[[#This Row],[Requested]],1),Table3[#All],2,0),VLOOKUP(Proc[[#This Row],[Author]],Table4[],2,0))</f>
        <v>HC</v>
      </c>
      <c r="L2943" s="125" t="s">
        <v>4896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9</v>
      </c>
      <c r="R2943" s="115" t="s">
        <v>1013</v>
      </c>
      <c r="S2943" s="125"/>
    </row>
    <row r="2944" spans="1:19" hidden="1">
      <c r="A2944" s="124" t="s">
        <v>5260</v>
      </c>
      <c r="B2944" s="125" t="str">
        <f>IFERROR(VLOOKUP(Proc[[#This Row],[App]],Table2[],3,0),"open")</f>
        <v>ok</v>
      </c>
      <c r="C2944" s="124" t="s">
        <v>369</v>
      </c>
      <c r="D2944" t="s">
        <v>4965</v>
      </c>
      <c r="E2944" t="s">
        <v>3003</v>
      </c>
      <c r="F2944" s="125" t="s">
        <v>3003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25" t="str">
        <f>IF(Proc[[#This Row],[Author]]="Marcela Urrego",VLOOKUP(LEFT(Proc[[#This Row],[Requested]],1),Table3[#All],2,0),VLOOKUP(Proc[[#This Row],[Author]],Table4[],2,0))</f>
        <v>HC</v>
      </c>
      <c r="L2944" s="125" t="s">
        <v>4896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9</v>
      </c>
      <c r="R2944" s="115" t="s">
        <v>1013</v>
      </c>
      <c r="S2944" s="125"/>
    </row>
    <row r="2945" spans="1:19" hidden="1">
      <c r="A2945" s="124" t="s">
        <v>5260</v>
      </c>
      <c r="B2945" s="125" t="str">
        <f>IFERROR(VLOOKUP(Proc[[#This Row],[App]],Table2[],3,0),"open")</f>
        <v>ok</v>
      </c>
      <c r="C2945" s="124" t="s">
        <v>369</v>
      </c>
      <c r="D2945" t="s">
        <v>4966</v>
      </c>
      <c r="E2945" t="s">
        <v>3008</v>
      </c>
      <c r="F2945" s="125" t="s">
        <v>3008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25" t="str">
        <f>IF(Proc[[#This Row],[Author]]="Marcela Urrego",VLOOKUP(LEFT(Proc[[#This Row],[Requested]],1),Table3[#All],2,0),VLOOKUP(Proc[[#This Row],[Author]],Table4[],2,0))</f>
        <v>HC</v>
      </c>
      <c r="L2945" s="125" t="s">
        <v>4896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9</v>
      </c>
      <c r="R2945" s="115" t="s">
        <v>1013</v>
      </c>
      <c r="S2945" s="125"/>
    </row>
    <row r="2946" spans="1:19" hidden="1">
      <c r="A2946" s="124" t="s">
        <v>5260</v>
      </c>
      <c r="B2946" s="125" t="str">
        <f>IFERROR(VLOOKUP(Proc[[#This Row],[App]],Table2[],3,0),"open")</f>
        <v>ok</v>
      </c>
      <c r="C2946" s="124" t="s">
        <v>369</v>
      </c>
      <c r="D2946" t="s">
        <v>4967</v>
      </c>
      <c r="E2946" t="s">
        <v>3003</v>
      </c>
      <c r="F2946" s="125" t="s">
        <v>3003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25" t="str">
        <f>IF(Proc[[#This Row],[Author]]="Marcela Urrego",VLOOKUP(LEFT(Proc[[#This Row],[Requested]],1),Table3[#All],2,0),VLOOKUP(Proc[[#This Row],[Author]],Table4[],2,0))</f>
        <v>HC</v>
      </c>
      <c r="L2946" s="125" t="s">
        <v>4896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9</v>
      </c>
      <c r="R2946" s="115" t="s">
        <v>1013</v>
      </c>
      <c r="S2946" s="125"/>
    </row>
    <row r="2947" spans="1:19" hidden="1">
      <c r="A2947" s="124" t="s">
        <v>5260</v>
      </c>
      <c r="B2947" s="125" t="str">
        <f>IFERROR(VLOOKUP(Proc[[#This Row],[App]],Table2[],3,0),"open")</f>
        <v>ok</v>
      </c>
      <c r="C2947" s="124" t="s">
        <v>369</v>
      </c>
      <c r="D2947" t="s">
        <v>4968</v>
      </c>
      <c r="E2947" t="s">
        <v>3003</v>
      </c>
      <c r="F2947" s="125" t="s">
        <v>3003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25" t="str">
        <f>IF(Proc[[#This Row],[Author]]="Marcela Urrego",VLOOKUP(LEFT(Proc[[#This Row],[Requested]],1),Table3[#All],2,0),VLOOKUP(Proc[[#This Row],[Author]],Table4[],2,0))</f>
        <v>HC</v>
      </c>
      <c r="L2947" s="125" t="s">
        <v>4896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9</v>
      </c>
      <c r="R2947" s="115" t="s">
        <v>1013</v>
      </c>
      <c r="S2947" s="125"/>
    </row>
    <row r="2948" spans="1:19" hidden="1">
      <c r="A2948" s="124" t="s">
        <v>5260</v>
      </c>
      <c r="B2948" s="125" t="str">
        <f>IFERROR(VLOOKUP(Proc[[#This Row],[App]],Table2[],3,0),"open")</f>
        <v>ok</v>
      </c>
      <c r="C2948" s="124" t="s">
        <v>369</v>
      </c>
      <c r="D2948" t="s">
        <v>4969</v>
      </c>
      <c r="E2948" t="s">
        <v>3003</v>
      </c>
      <c r="F2948" s="125" t="s">
        <v>3003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25" t="str">
        <f>IF(Proc[[#This Row],[Author]]="Marcela Urrego",VLOOKUP(LEFT(Proc[[#This Row],[Requested]],1),Table3[#All],2,0),VLOOKUP(Proc[[#This Row],[Author]],Table4[],2,0))</f>
        <v>HC</v>
      </c>
      <c r="L2948" s="125" t="s">
        <v>4896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9</v>
      </c>
      <c r="R2948" s="115" t="s">
        <v>1013</v>
      </c>
      <c r="S2948" s="125"/>
    </row>
    <row r="2949" spans="1:19" hidden="1">
      <c r="A2949" s="124" t="s">
        <v>5260</v>
      </c>
      <c r="B2949" s="125" t="str">
        <f>IFERROR(VLOOKUP(Proc[[#This Row],[App]],Table2[],3,0),"open")</f>
        <v>ok</v>
      </c>
      <c r="C2949" s="124" t="s">
        <v>369</v>
      </c>
      <c r="D2949" t="s">
        <v>4970</v>
      </c>
      <c r="E2949" t="s">
        <v>3003</v>
      </c>
      <c r="F2949" s="125" t="s">
        <v>3003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25" t="str">
        <f>IF(Proc[[#This Row],[Author]]="Marcela Urrego",VLOOKUP(LEFT(Proc[[#This Row],[Requested]],1),Table3[#All],2,0),VLOOKUP(Proc[[#This Row],[Author]],Table4[],2,0))</f>
        <v>HC</v>
      </c>
      <c r="L2949" s="125" t="s">
        <v>4896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9</v>
      </c>
      <c r="R2949" s="115" t="s">
        <v>1013</v>
      </c>
      <c r="S2949" s="125"/>
    </row>
    <row r="2950" spans="1:19" hidden="1">
      <c r="A2950" s="124" t="s">
        <v>5260</v>
      </c>
      <c r="B2950" s="125" t="str">
        <f>IFERROR(VLOOKUP(Proc[[#This Row],[App]],Table2[],3,0),"open")</f>
        <v>ok</v>
      </c>
      <c r="C2950" s="124" t="s">
        <v>369</v>
      </c>
      <c r="D2950" t="s">
        <v>4971</v>
      </c>
      <c r="E2950" t="s">
        <v>3003</v>
      </c>
      <c r="F2950" s="125" t="s">
        <v>3003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25" t="str">
        <f>IF(Proc[[#This Row],[Author]]="Marcela Urrego",VLOOKUP(LEFT(Proc[[#This Row],[Requested]],1),Table3[#All],2,0),VLOOKUP(Proc[[#This Row],[Author]],Table4[],2,0))</f>
        <v>HC</v>
      </c>
      <c r="L2950" s="125" t="s">
        <v>4896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9</v>
      </c>
      <c r="R2950" s="115" t="s">
        <v>1013</v>
      </c>
      <c r="S2950" s="125"/>
    </row>
    <row r="2951" spans="1:19" hidden="1">
      <c r="A2951" s="124" t="s">
        <v>5260</v>
      </c>
      <c r="B2951" s="125" t="str">
        <f>IFERROR(VLOOKUP(Proc[[#This Row],[App]],Table2[],3,0),"open")</f>
        <v>ok</v>
      </c>
      <c r="C2951" s="124" t="s">
        <v>369</v>
      </c>
      <c r="D2951" t="s">
        <v>4972</v>
      </c>
      <c r="E2951" t="s">
        <v>5253</v>
      </c>
      <c r="F2951" s="125" t="s">
        <v>5253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25" t="str">
        <f>IF(Proc[[#This Row],[Author]]="Marcela Urrego",VLOOKUP(LEFT(Proc[[#This Row],[Requested]],1),Table3[#All],2,0),VLOOKUP(Proc[[#This Row],[Author]],Table4[],2,0))</f>
        <v>HC</v>
      </c>
      <c r="L2951" s="125" t="s">
        <v>4896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9</v>
      </c>
      <c r="R2951" s="115" t="s">
        <v>1013</v>
      </c>
      <c r="S2951" s="125"/>
    </row>
    <row r="2952" spans="1:19" hidden="1">
      <c r="A2952" s="124" t="s">
        <v>5260</v>
      </c>
      <c r="B2952" s="125" t="str">
        <f>IFERROR(VLOOKUP(Proc[[#This Row],[App]],Table2[],3,0),"open")</f>
        <v>ok</v>
      </c>
      <c r="C2952" s="124" t="s">
        <v>369</v>
      </c>
      <c r="D2952" t="s">
        <v>4973</v>
      </c>
      <c r="E2952" t="s">
        <v>3007</v>
      </c>
      <c r="F2952" s="125" t="s">
        <v>3007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25" t="str">
        <f>IF(Proc[[#This Row],[Author]]="Marcela Urrego",VLOOKUP(LEFT(Proc[[#This Row],[Requested]],1),Table3[#All],2,0),VLOOKUP(Proc[[#This Row],[Author]],Table4[],2,0))</f>
        <v>HC</v>
      </c>
      <c r="L2952" s="125" t="s">
        <v>4896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9</v>
      </c>
      <c r="R2952" s="115" t="s">
        <v>1013</v>
      </c>
      <c r="S2952" s="125"/>
    </row>
    <row r="2953" spans="1:19" hidden="1">
      <c r="A2953" s="124" t="s">
        <v>5260</v>
      </c>
      <c r="B2953" s="125" t="str">
        <f>IFERROR(VLOOKUP(Proc[[#This Row],[App]],Table2[],3,0),"open")</f>
        <v>ok</v>
      </c>
      <c r="C2953" s="124" t="s">
        <v>369</v>
      </c>
      <c r="D2953" t="s">
        <v>4974</v>
      </c>
      <c r="E2953" t="s">
        <v>3009</v>
      </c>
      <c r="F2953" s="125" t="s">
        <v>3009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25" t="str">
        <f>IF(Proc[[#This Row],[Author]]="Marcela Urrego",VLOOKUP(LEFT(Proc[[#This Row],[Requested]],1),Table3[#All],2,0),VLOOKUP(Proc[[#This Row],[Author]],Table4[],2,0))</f>
        <v>HC</v>
      </c>
      <c r="L2953" s="125" t="s">
        <v>4896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9</v>
      </c>
      <c r="R2953" s="115" t="s">
        <v>1013</v>
      </c>
      <c r="S2953" s="125"/>
    </row>
    <row r="2954" spans="1:19" hidden="1">
      <c r="A2954" s="124" t="s">
        <v>5260</v>
      </c>
      <c r="B2954" s="125" t="str">
        <f>IFERROR(VLOOKUP(Proc[[#This Row],[App]],Table2[],3,0),"open")</f>
        <v>ok</v>
      </c>
      <c r="C2954" s="124" t="s">
        <v>369</v>
      </c>
      <c r="D2954" t="s">
        <v>4975</v>
      </c>
      <c r="E2954" t="s">
        <v>3003</v>
      </c>
      <c r="F2954" s="125" t="s">
        <v>3003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25" t="str">
        <f>IF(Proc[[#This Row],[Author]]="Marcela Urrego",VLOOKUP(LEFT(Proc[[#This Row],[Requested]],1),Table3[#All],2,0),VLOOKUP(Proc[[#This Row],[Author]],Table4[],2,0))</f>
        <v>HC</v>
      </c>
      <c r="L2954" s="125" t="s">
        <v>4896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9</v>
      </c>
      <c r="R2954" s="115" t="s">
        <v>1013</v>
      </c>
      <c r="S2954" s="125"/>
    </row>
    <row r="2955" spans="1:19" hidden="1">
      <c r="A2955" s="124" t="s">
        <v>5260</v>
      </c>
      <c r="B2955" s="125" t="str">
        <f>IFERROR(VLOOKUP(Proc[[#This Row],[App]],Table2[],3,0),"open")</f>
        <v>ok</v>
      </c>
      <c r="C2955" s="124" t="s">
        <v>369</v>
      </c>
      <c r="D2955" t="s">
        <v>4976</v>
      </c>
      <c r="E2955" t="s">
        <v>3003</v>
      </c>
      <c r="F2955" s="125" t="s">
        <v>3003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25" t="str">
        <f>IF(Proc[[#This Row],[Author]]="Marcela Urrego",VLOOKUP(LEFT(Proc[[#This Row],[Requested]],1),Table3[#All],2,0),VLOOKUP(Proc[[#This Row],[Author]],Table4[],2,0))</f>
        <v>HC</v>
      </c>
      <c r="L2955" s="125" t="s">
        <v>4896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9</v>
      </c>
      <c r="R2955" s="115" t="s">
        <v>1013</v>
      </c>
      <c r="S2955" s="125"/>
    </row>
    <row r="2956" spans="1:19" hidden="1">
      <c r="A2956" s="124" t="s">
        <v>5260</v>
      </c>
      <c r="B2956" s="125" t="str">
        <f>IFERROR(VLOOKUP(Proc[[#This Row],[App]],Table2[],3,0),"open")</f>
        <v>ok</v>
      </c>
      <c r="C2956" s="124" t="s">
        <v>369</v>
      </c>
      <c r="D2956" t="s">
        <v>4977</v>
      </c>
      <c r="E2956" t="s">
        <v>3003</v>
      </c>
      <c r="F2956" s="125" t="s">
        <v>3003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25" t="str">
        <f>IF(Proc[[#This Row],[Author]]="Marcela Urrego",VLOOKUP(LEFT(Proc[[#This Row],[Requested]],1),Table3[#All],2,0),VLOOKUP(Proc[[#This Row],[Author]],Table4[],2,0))</f>
        <v>HC</v>
      </c>
      <c r="L2956" s="125" t="s">
        <v>4896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9</v>
      </c>
      <c r="R2956" s="115" t="s">
        <v>1013</v>
      </c>
      <c r="S2956" s="125"/>
    </row>
    <row r="2957" spans="1:19" hidden="1">
      <c r="A2957" s="124" t="s">
        <v>5260</v>
      </c>
      <c r="B2957" s="125" t="str">
        <f>IFERROR(VLOOKUP(Proc[[#This Row],[App]],Table2[],3,0),"open")</f>
        <v>ok</v>
      </c>
      <c r="C2957" s="124" t="s">
        <v>369</v>
      </c>
      <c r="D2957" t="s">
        <v>4978</v>
      </c>
      <c r="E2957" t="s">
        <v>3009</v>
      </c>
      <c r="F2957" s="125" t="s">
        <v>3009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25" t="str">
        <f>IF(Proc[[#This Row],[Author]]="Marcela Urrego",VLOOKUP(LEFT(Proc[[#This Row],[Requested]],1),Table3[#All],2,0),VLOOKUP(Proc[[#This Row],[Author]],Table4[],2,0))</f>
        <v>HC</v>
      </c>
      <c r="L2957" s="125" t="s">
        <v>4896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9</v>
      </c>
      <c r="R2957" s="115" t="s">
        <v>1013</v>
      </c>
      <c r="S2957" s="125"/>
    </row>
    <row r="2958" spans="1:19" hidden="1">
      <c r="A2958" s="124" t="s">
        <v>5260</v>
      </c>
      <c r="B2958" s="125" t="str">
        <f>IFERROR(VLOOKUP(Proc[[#This Row],[App]],Table2[],3,0),"open")</f>
        <v>ok</v>
      </c>
      <c r="C2958" s="124" t="s">
        <v>369</v>
      </c>
      <c r="D2958" t="s">
        <v>4979</v>
      </c>
      <c r="E2958" t="s">
        <v>3003</v>
      </c>
      <c r="F2958" s="125" t="s">
        <v>3003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25" t="str">
        <f>IF(Proc[[#This Row],[Author]]="Marcela Urrego",VLOOKUP(LEFT(Proc[[#This Row],[Requested]],1),Table3[#All],2,0),VLOOKUP(Proc[[#This Row],[Author]],Table4[],2,0))</f>
        <v>HC</v>
      </c>
      <c r="L2958" s="125" t="s">
        <v>4896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9</v>
      </c>
      <c r="R2958" s="115" t="s">
        <v>1013</v>
      </c>
      <c r="S2958" s="125"/>
    </row>
    <row r="2959" spans="1:19" hidden="1">
      <c r="A2959" s="124" t="s">
        <v>5260</v>
      </c>
      <c r="B2959" s="125" t="str">
        <f>IFERROR(VLOOKUP(Proc[[#This Row],[App]],Table2[],3,0),"open")</f>
        <v>ok</v>
      </c>
      <c r="C2959" s="124" t="s">
        <v>369</v>
      </c>
      <c r="D2959" t="s">
        <v>4980</v>
      </c>
      <c r="E2959" t="s">
        <v>3003</v>
      </c>
      <c r="F2959" s="125" t="s">
        <v>3003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25" t="str">
        <f>IF(Proc[[#This Row],[Author]]="Marcela Urrego",VLOOKUP(LEFT(Proc[[#This Row],[Requested]],1),Table3[#All],2,0),VLOOKUP(Proc[[#This Row],[Author]],Table4[],2,0))</f>
        <v>HC</v>
      </c>
      <c r="L2959" s="125" t="s">
        <v>4896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9</v>
      </c>
      <c r="R2959" s="115" t="s">
        <v>1013</v>
      </c>
      <c r="S2959" s="125"/>
    </row>
    <row r="2960" spans="1:19" hidden="1">
      <c r="A2960" s="124" t="s">
        <v>5260</v>
      </c>
      <c r="B2960" s="125" t="str">
        <f>IFERROR(VLOOKUP(Proc[[#This Row],[App]],Table2[],3,0),"open")</f>
        <v>ok</v>
      </c>
      <c r="C2960" s="124" t="s">
        <v>369</v>
      </c>
      <c r="D2960" t="s">
        <v>4981</v>
      </c>
      <c r="E2960" t="s">
        <v>3009</v>
      </c>
      <c r="F2960" s="125" t="s">
        <v>3009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25" t="str">
        <f>IF(Proc[[#This Row],[Author]]="Marcela Urrego",VLOOKUP(LEFT(Proc[[#This Row],[Requested]],1),Table3[#All],2,0),VLOOKUP(Proc[[#This Row],[Author]],Table4[],2,0))</f>
        <v>HC</v>
      </c>
      <c r="L2960" s="125" t="s">
        <v>4896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9</v>
      </c>
      <c r="R2960" s="115" t="s">
        <v>1013</v>
      </c>
      <c r="S2960" s="125"/>
    </row>
    <row r="2961" spans="1:19" hidden="1">
      <c r="A2961" s="124" t="s">
        <v>5260</v>
      </c>
      <c r="B2961" s="125" t="str">
        <f>IFERROR(VLOOKUP(Proc[[#This Row],[App]],Table2[],3,0),"open")</f>
        <v>ok</v>
      </c>
      <c r="C2961" s="124" t="s">
        <v>369</v>
      </c>
      <c r="D2961" t="s">
        <v>4982</v>
      </c>
      <c r="E2961" t="s">
        <v>3003</v>
      </c>
      <c r="F2961" s="125" t="s">
        <v>3003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25" t="str">
        <f>IF(Proc[[#This Row],[Author]]="Marcela Urrego",VLOOKUP(LEFT(Proc[[#This Row],[Requested]],1),Table3[#All],2,0),VLOOKUP(Proc[[#This Row],[Author]],Table4[],2,0))</f>
        <v>HC</v>
      </c>
      <c r="L2961" s="125" t="s">
        <v>4896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9</v>
      </c>
      <c r="R2961" s="115" t="s">
        <v>1013</v>
      </c>
      <c r="S2961" s="125"/>
    </row>
    <row r="2962" spans="1:19" hidden="1">
      <c r="A2962" s="124" t="s">
        <v>5260</v>
      </c>
      <c r="B2962" s="125" t="str">
        <f>IFERROR(VLOOKUP(Proc[[#This Row],[App]],Table2[],3,0),"open")</f>
        <v>ok</v>
      </c>
      <c r="C2962" s="124" t="s">
        <v>369</v>
      </c>
      <c r="D2962" t="s">
        <v>4983</v>
      </c>
      <c r="E2962" t="s">
        <v>3003</v>
      </c>
      <c r="F2962" s="125" t="s">
        <v>3003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25" t="str">
        <f>IF(Proc[[#This Row],[Author]]="Marcela Urrego",VLOOKUP(LEFT(Proc[[#This Row],[Requested]],1),Table3[#All],2,0),VLOOKUP(Proc[[#This Row],[Author]],Table4[],2,0))</f>
        <v>HC</v>
      </c>
      <c r="L2962" s="125" t="s">
        <v>4896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9</v>
      </c>
      <c r="R2962" s="115" t="s">
        <v>1013</v>
      </c>
      <c r="S2962" s="125"/>
    </row>
    <row r="2963" spans="1:19" hidden="1">
      <c r="A2963" s="124" t="s">
        <v>5260</v>
      </c>
      <c r="B2963" s="125" t="str">
        <f>IFERROR(VLOOKUP(Proc[[#This Row],[App]],Table2[],3,0),"open")</f>
        <v>ok</v>
      </c>
      <c r="C2963" s="124" t="s">
        <v>369</v>
      </c>
      <c r="D2963" t="s">
        <v>4984</v>
      </c>
      <c r="E2963" t="s">
        <v>3004</v>
      </c>
      <c r="F2963" s="125" t="s">
        <v>3004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25" t="str">
        <f>IF(Proc[[#This Row],[Author]]="Marcela Urrego",VLOOKUP(LEFT(Proc[[#This Row],[Requested]],1),Table3[#All],2,0),VLOOKUP(Proc[[#This Row],[Author]],Table4[],2,0))</f>
        <v>HC</v>
      </c>
      <c r="L2963" s="125" t="s">
        <v>4896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9</v>
      </c>
      <c r="R2963" s="115" t="s">
        <v>1013</v>
      </c>
      <c r="S2963" s="125"/>
    </row>
    <row r="2964" spans="1:19" hidden="1">
      <c r="A2964" s="124" t="s">
        <v>5260</v>
      </c>
      <c r="B2964" s="125" t="str">
        <f>IFERROR(VLOOKUP(Proc[[#This Row],[App]],Table2[],3,0),"open")</f>
        <v>ok</v>
      </c>
      <c r="C2964" s="124" t="s">
        <v>369</v>
      </c>
      <c r="D2964" t="s">
        <v>4985</v>
      </c>
      <c r="E2964" t="s">
        <v>3003</v>
      </c>
      <c r="F2964" s="125" t="s">
        <v>3003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25" t="str">
        <f>IF(Proc[[#This Row],[Author]]="Marcela Urrego",VLOOKUP(LEFT(Proc[[#This Row],[Requested]],1),Table3[#All],2,0),VLOOKUP(Proc[[#This Row],[Author]],Table4[],2,0))</f>
        <v>HC</v>
      </c>
      <c r="L2964" s="125" t="s">
        <v>4896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9</v>
      </c>
      <c r="R2964" s="115" t="s">
        <v>1013</v>
      </c>
      <c r="S2964" s="125"/>
    </row>
    <row r="2965" spans="1:19" hidden="1">
      <c r="A2965" s="124" t="s">
        <v>5260</v>
      </c>
      <c r="B2965" s="125" t="str">
        <f>IFERROR(VLOOKUP(Proc[[#This Row],[App]],Table2[],3,0),"open")</f>
        <v>ok</v>
      </c>
      <c r="C2965" s="124" t="s">
        <v>369</v>
      </c>
      <c r="D2965" t="s">
        <v>4986</v>
      </c>
      <c r="E2965" t="s">
        <v>3005</v>
      </c>
      <c r="F2965" s="125" t="s">
        <v>3005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25" t="str">
        <f>IF(Proc[[#This Row],[Author]]="Marcela Urrego",VLOOKUP(LEFT(Proc[[#This Row],[Requested]],1),Table3[#All],2,0),VLOOKUP(Proc[[#This Row],[Author]],Table4[],2,0))</f>
        <v>HC</v>
      </c>
      <c r="L2965" s="125" t="s">
        <v>4896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9</v>
      </c>
      <c r="R2965" s="115" t="s">
        <v>1013</v>
      </c>
      <c r="S2965" s="125"/>
    </row>
    <row r="2966" spans="1:19" hidden="1">
      <c r="A2966" s="124" t="s">
        <v>5260</v>
      </c>
      <c r="B2966" s="125" t="str">
        <f>IFERROR(VLOOKUP(Proc[[#This Row],[App]],Table2[],3,0),"open")</f>
        <v>ok</v>
      </c>
      <c r="C2966" s="124" t="s">
        <v>369</v>
      </c>
      <c r="D2966" t="s">
        <v>4987</v>
      </c>
      <c r="E2966" t="s">
        <v>3004</v>
      </c>
      <c r="F2966" s="125" t="s">
        <v>3004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25" t="str">
        <f>IF(Proc[[#This Row],[Author]]="Marcela Urrego",VLOOKUP(LEFT(Proc[[#This Row],[Requested]],1),Table3[#All],2,0),VLOOKUP(Proc[[#This Row],[Author]],Table4[],2,0))</f>
        <v>HC</v>
      </c>
      <c r="L2966" s="125" t="s">
        <v>4896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9</v>
      </c>
      <c r="R2966" s="115" t="s">
        <v>1013</v>
      </c>
      <c r="S2966" s="125"/>
    </row>
    <row r="2967" spans="1:19" hidden="1">
      <c r="A2967" s="124" t="s">
        <v>5260</v>
      </c>
      <c r="B2967" s="125" t="str">
        <f>IFERROR(VLOOKUP(Proc[[#This Row],[App]],Table2[],3,0),"open")</f>
        <v>ok</v>
      </c>
      <c r="C2967" s="124" t="s">
        <v>369</v>
      </c>
      <c r="D2967" t="s">
        <v>4988</v>
      </c>
      <c r="E2967" t="s">
        <v>3004</v>
      </c>
      <c r="F2967" s="125" t="s">
        <v>3004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25" t="str">
        <f>IF(Proc[[#This Row],[Author]]="Marcela Urrego",VLOOKUP(LEFT(Proc[[#This Row],[Requested]],1),Table3[#All],2,0),VLOOKUP(Proc[[#This Row],[Author]],Table4[],2,0))</f>
        <v>HC</v>
      </c>
      <c r="L2967" s="125" t="s">
        <v>4896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9</v>
      </c>
      <c r="R2967" s="115" t="s">
        <v>1013</v>
      </c>
      <c r="S2967" s="125"/>
    </row>
    <row r="2968" spans="1:19" hidden="1">
      <c r="A2968" s="124" t="s">
        <v>5260</v>
      </c>
      <c r="B2968" s="125" t="str">
        <f>IFERROR(VLOOKUP(Proc[[#This Row],[App]],Table2[],3,0),"open")</f>
        <v>ok</v>
      </c>
      <c r="C2968" s="124" t="s">
        <v>369</v>
      </c>
      <c r="D2968" t="s">
        <v>4989</v>
      </c>
      <c r="E2968" t="s">
        <v>3006</v>
      </c>
      <c r="F2968" s="125" t="s">
        <v>3006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25" t="str">
        <f>IF(Proc[[#This Row],[Author]]="Marcela Urrego",VLOOKUP(LEFT(Proc[[#This Row],[Requested]],1),Table3[#All],2,0),VLOOKUP(Proc[[#This Row],[Author]],Table4[],2,0))</f>
        <v>HC</v>
      </c>
      <c r="L2968" s="125" t="s">
        <v>4896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9</v>
      </c>
      <c r="R2968" s="115" t="s">
        <v>1013</v>
      </c>
      <c r="S2968" s="125"/>
    </row>
    <row r="2969" spans="1:19" hidden="1">
      <c r="A2969" s="124" t="s">
        <v>5260</v>
      </c>
      <c r="B2969" s="125" t="str">
        <f>IFERROR(VLOOKUP(Proc[[#This Row],[App]],Table2[],3,0),"open")</f>
        <v>ok</v>
      </c>
      <c r="C2969" s="124" t="s">
        <v>369</v>
      </c>
      <c r="D2969" t="s">
        <v>4990</v>
      </c>
      <c r="E2969" t="s">
        <v>3004</v>
      </c>
      <c r="F2969" s="125" t="s">
        <v>3004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25" t="str">
        <f>IF(Proc[[#This Row],[Author]]="Marcela Urrego",VLOOKUP(LEFT(Proc[[#This Row],[Requested]],1),Table3[#All],2,0),VLOOKUP(Proc[[#This Row],[Author]],Table4[],2,0))</f>
        <v>HC</v>
      </c>
      <c r="L2969" s="125" t="s">
        <v>4896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9</v>
      </c>
      <c r="R2969" s="115" t="s">
        <v>1013</v>
      </c>
      <c r="S2969" s="125"/>
    </row>
    <row r="2970" spans="1:19" hidden="1">
      <c r="A2970" s="124" t="s">
        <v>5260</v>
      </c>
      <c r="B2970" s="125" t="str">
        <f>IFERROR(VLOOKUP(Proc[[#This Row],[App]],Table2[],3,0),"open")</f>
        <v>ok</v>
      </c>
      <c r="C2970" s="124" t="s">
        <v>369</v>
      </c>
      <c r="D2970" t="s">
        <v>4991</v>
      </c>
      <c r="E2970" t="s">
        <v>3004</v>
      </c>
      <c r="F2970" s="125" t="s">
        <v>3004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25" t="str">
        <f>IF(Proc[[#This Row],[Author]]="Marcela Urrego",VLOOKUP(LEFT(Proc[[#This Row],[Requested]],1),Table3[#All],2,0),VLOOKUP(Proc[[#This Row],[Author]],Table4[],2,0))</f>
        <v>HC</v>
      </c>
      <c r="L2970" s="125" t="s">
        <v>4896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9</v>
      </c>
      <c r="R2970" s="115" t="s">
        <v>1013</v>
      </c>
      <c r="S2970" s="125"/>
    </row>
    <row r="2971" spans="1:19" hidden="1">
      <c r="A2971" s="124" t="s">
        <v>5260</v>
      </c>
      <c r="B2971" s="125" t="str">
        <f>IFERROR(VLOOKUP(Proc[[#This Row],[App]],Table2[],3,0),"open")</f>
        <v>ok</v>
      </c>
      <c r="C2971" s="124" t="s">
        <v>369</v>
      </c>
      <c r="D2971" t="s">
        <v>4992</v>
      </c>
      <c r="E2971" t="s">
        <v>5253</v>
      </c>
      <c r="F2971" s="125" t="s">
        <v>5253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25" t="str">
        <f>IF(Proc[[#This Row],[Author]]="Marcela Urrego",VLOOKUP(LEFT(Proc[[#This Row],[Requested]],1),Table3[#All],2,0),VLOOKUP(Proc[[#This Row],[Author]],Table4[],2,0))</f>
        <v>HC</v>
      </c>
      <c r="L2971" s="125" t="s">
        <v>4896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9</v>
      </c>
      <c r="R2971" s="115" t="s">
        <v>1013</v>
      </c>
      <c r="S2971" s="125"/>
    </row>
    <row r="2972" spans="1:19" hidden="1">
      <c r="A2972" s="124" t="s">
        <v>5260</v>
      </c>
      <c r="B2972" s="125" t="str">
        <f>IFERROR(VLOOKUP(Proc[[#This Row],[App]],Table2[],3,0),"open")</f>
        <v>ok</v>
      </c>
      <c r="C2972" s="124" t="s">
        <v>369</v>
      </c>
      <c r="D2972" t="s">
        <v>4993</v>
      </c>
      <c r="E2972" t="s">
        <v>5254</v>
      </c>
      <c r="F2972" s="125" t="s">
        <v>5254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25" t="str">
        <f>IF(Proc[[#This Row],[Author]]="Marcela Urrego",VLOOKUP(LEFT(Proc[[#This Row],[Requested]],1),Table3[#All],2,0),VLOOKUP(Proc[[#This Row],[Author]],Table4[],2,0))</f>
        <v>HC</v>
      </c>
      <c r="L2972" s="125" t="s">
        <v>4896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9</v>
      </c>
      <c r="R2972" s="115" t="s">
        <v>1013</v>
      </c>
      <c r="S2972" s="125"/>
    </row>
    <row r="2973" spans="1:19" hidden="1">
      <c r="A2973" s="124" t="s">
        <v>5260</v>
      </c>
      <c r="B2973" s="125" t="str">
        <f>IFERROR(VLOOKUP(Proc[[#This Row],[App]],Table2[],3,0),"open")</f>
        <v>ok</v>
      </c>
      <c r="C2973" s="124" t="s">
        <v>369</v>
      </c>
      <c r="D2973" t="s">
        <v>4994</v>
      </c>
      <c r="E2973" t="s">
        <v>3008</v>
      </c>
      <c r="F2973" s="125" t="s">
        <v>3008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25" t="str">
        <f>IF(Proc[[#This Row],[Author]]="Marcela Urrego",VLOOKUP(LEFT(Proc[[#This Row],[Requested]],1),Table3[#All],2,0),VLOOKUP(Proc[[#This Row],[Author]],Table4[],2,0))</f>
        <v>HC</v>
      </c>
      <c r="L2973" s="125" t="s">
        <v>4896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9</v>
      </c>
      <c r="R2973" s="115" t="s">
        <v>1013</v>
      </c>
      <c r="S2973" s="125"/>
    </row>
    <row r="2974" spans="1:19" hidden="1">
      <c r="A2974" s="124" t="s">
        <v>5260</v>
      </c>
      <c r="B2974" s="125" t="str">
        <f>IFERROR(VLOOKUP(Proc[[#This Row],[App]],Table2[],3,0),"open")</f>
        <v>ok</v>
      </c>
      <c r="C2974" s="124" t="s">
        <v>369</v>
      </c>
      <c r="D2974" t="s">
        <v>4995</v>
      </c>
      <c r="E2974" t="s">
        <v>3008</v>
      </c>
      <c r="F2974" s="125" t="s">
        <v>3008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25" t="str">
        <f>IF(Proc[[#This Row],[Author]]="Marcela Urrego",VLOOKUP(LEFT(Proc[[#This Row],[Requested]],1),Table3[#All],2,0),VLOOKUP(Proc[[#This Row],[Author]],Table4[],2,0))</f>
        <v>HC</v>
      </c>
      <c r="L2974" s="125" t="s">
        <v>4896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9</v>
      </c>
      <c r="R2974" s="115" t="s">
        <v>1013</v>
      </c>
      <c r="S2974" s="125"/>
    </row>
    <row r="2975" spans="1:19" hidden="1">
      <c r="A2975" s="124" t="s">
        <v>5260</v>
      </c>
      <c r="B2975" s="125" t="str">
        <f>IFERROR(VLOOKUP(Proc[[#This Row],[App]],Table2[],3,0),"open")</f>
        <v>ok</v>
      </c>
      <c r="C2975" s="124" t="s">
        <v>369</v>
      </c>
      <c r="D2975" t="s">
        <v>4996</v>
      </c>
      <c r="E2975" t="s">
        <v>3007</v>
      </c>
      <c r="F2975" s="125" t="s">
        <v>3007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25" t="str">
        <f>IF(Proc[[#This Row],[Author]]="Marcela Urrego",VLOOKUP(LEFT(Proc[[#This Row],[Requested]],1),Table3[#All],2,0),VLOOKUP(Proc[[#This Row],[Author]],Table4[],2,0))</f>
        <v>HC</v>
      </c>
      <c r="L2975" s="125" t="s">
        <v>4896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9</v>
      </c>
      <c r="R2975" s="115" t="s">
        <v>1013</v>
      </c>
      <c r="S2975" s="125"/>
    </row>
    <row r="2976" spans="1:19" hidden="1">
      <c r="A2976" s="124" t="s">
        <v>5260</v>
      </c>
      <c r="B2976" s="125" t="str">
        <f>IFERROR(VLOOKUP(Proc[[#This Row],[App]],Table2[],3,0),"open")</f>
        <v>ok</v>
      </c>
      <c r="C2976" s="124" t="s">
        <v>369</v>
      </c>
      <c r="D2976" t="s">
        <v>4997</v>
      </c>
      <c r="E2976" t="s">
        <v>3008</v>
      </c>
      <c r="F2976" s="125" t="s">
        <v>3008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25" t="str">
        <f>IF(Proc[[#This Row],[Author]]="Marcela Urrego",VLOOKUP(LEFT(Proc[[#This Row],[Requested]],1),Table3[#All],2,0),VLOOKUP(Proc[[#This Row],[Author]],Table4[],2,0))</f>
        <v>HC</v>
      </c>
      <c r="L2976" s="125" t="s">
        <v>4896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9</v>
      </c>
      <c r="R2976" s="115" t="s">
        <v>1013</v>
      </c>
      <c r="S2976" s="125"/>
    </row>
    <row r="2977" spans="1:19" hidden="1">
      <c r="A2977" s="124" t="s">
        <v>5260</v>
      </c>
      <c r="B2977" s="125" t="str">
        <f>IFERROR(VLOOKUP(Proc[[#This Row],[App]],Table2[],3,0),"open")</f>
        <v>ok</v>
      </c>
      <c r="C2977" s="124" t="s">
        <v>369</v>
      </c>
      <c r="D2977" t="s">
        <v>4998</v>
      </c>
      <c r="E2977" t="s">
        <v>3003</v>
      </c>
      <c r="F2977" s="125" t="s">
        <v>3003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25" t="str">
        <f>IF(Proc[[#This Row],[Author]]="Marcela Urrego",VLOOKUP(LEFT(Proc[[#This Row],[Requested]],1),Table3[#All],2,0),VLOOKUP(Proc[[#This Row],[Author]],Table4[],2,0))</f>
        <v>HC</v>
      </c>
      <c r="L2977" s="125" t="s">
        <v>4896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9</v>
      </c>
      <c r="R2977" s="115" t="s">
        <v>1013</v>
      </c>
      <c r="S2977" s="125"/>
    </row>
    <row r="2978" spans="1:19" hidden="1">
      <c r="A2978" s="124" t="s">
        <v>5260</v>
      </c>
      <c r="B2978" s="125" t="str">
        <f>IFERROR(VLOOKUP(Proc[[#This Row],[App]],Table2[],3,0),"open")</f>
        <v>ok</v>
      </c>
      <c r="C2978" s="124" t="s">
        <v>369</v>
      </c>
      <c r="D2978" t="s">
        <v>4999</v>
      </c>
      <c r="E2978" t="s">
        <v>3005</v>
      </c>
      <c r="F2978" s="125" t="s">
        <v>3005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25" t="str">
        <f>IF(Proc[[#This Row],[Author]]="Marcela Urrego",VLOOKUP(LEFT(Proc[[#This Row],[Requested]],1),Table3[#All],2,0),VLOOKUP(Proc[[#This Row],[Author]],Table4[],2,0))</f>
        <v>HC</v>
      </c>
      <c r="L2978" s="125" t="s">
        <v>4896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9</v>
      </c>
      <c r="R2978" s="115" t="s">
        <v>1013</v>
      </c>
      <c r="S2978" s="125"/>
    </row>
    <row r="2979" spans="1:19" hidden="1">
      <c r="A2979" s="124" t="s">
        <v>5260</v>
      </c>
      <c r="B2979" s="125" t="str">
        <f>IFERROR(VLOOKUP(Proc[[#This Row],[App]],Table2[],3,0),"open")</f>
        <v>ok</v>
      </c>
      <c r="C2979" s="124" t="s">
        <v>369</v>
      </c>
      <c r="D2979" t="s">
        <v>5000</v>
      </c>
      <c r="E2979" t="s">
        <v>5253</v>
      </c>
      <c r="F2979" s="125" t="s">
        <v>5253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25" t="str">
        <f>IF(Proc[[#This Row],[Author]]="Marcela Urrego",VLOOKUP(LEFT(Proc[[#This Row],[Requested]],1),Table3[#All],2,0),VLOOKUP(Proc[[#This Row],[Author]],Table4[],2,0))</f>
        <v>HC</v>
      </c>
      <c r="L2979" s="125" t="s">
        <v>4896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9</v>
      </c>
      <c r="R2979" s="115" t="s">
        <v>1013</v>
      </c>
      <c r="S2979" s="125"/>
    </row>
    <row r="2980" spans="1:19" hidden="1">
      <c r="A2980" s="124" t="s">
        <v>5260</v>
      </c>
      <c r="B2980" s="125" t="str">
        <f>IFERROR(VLOOKUP(Proc[[#This Row],[App]],Table2[],3,0),"open")</f>
        <v>ok</v>
      </c>
      <c r="C2980" s="124" t="s">
        <v>369</v>
      </c>
      <c r="D2980" t="s">
        <v>5001</v>
      </c>
      <c r="E2980" t="s">
        <v>3007</v>
      </c>
      <c r="F2980" s="125" t="s">
        <v>3007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25" t="str">
        <f>IF(Proc[[#This Row],[Author]]="Marcela Urrego",VLOOKUP(LEFT(Proc[[#This Row],[Requested]],1),Table3[#All],2,0),VLOOKUP(Proc[[#This Row],[Author]],Table4[],2,0))</f>
        <v>HC</v>
      </c>
      <c r="L2980" s="125" t="s">
        <v>4896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9</v>
      </c>
      <c r="R2980" s="115" t="s">
        <v>1013</v>
      </c>
      <c r="S2980" s="125"/>
    </row>
    <row r="2981" spans="1:19" hidden="1">
      <c r="A2981" s="124" t="s">
        <v>5260</v>
      </c>
      <c r="B2981" s="125" t="str">
        <f>IFERROR(VLOOKUP(Proc[[#This Row],[App]],Table2[],3,0),"open")</f>
        <v>ok</v>
      </c>
      <c r="C2981" s="124" t="s">
        <v>369</v>
      </c>
      <c r="D2981" t="s">
        <v>5002</v>
      </c>
      <c r="E2981" t="s">
        <v>3004</v>
      </c>
      <c r="F2981" s="125" t="s">
        <v>3004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25" t="str">
        <f>IF(Proc[[#This Row],[Author]]="Marcela Urrego",VLOOKUP(LEFT(Proc[[#This Row],[Requested]],1),Table3[#All],2,0),VLOOKUP(Proc[[#This Row],[Author]],Table4[],2,0))</f>
        <v>HC</v>
      </c>
      <c r="L2981" s="125" t="s">
        <v>4896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9</v>
      </c>
      <c r="R2981" s="115" t="s">
        <v>1013</v>
      </c>
      <c r="S2981" s="125"/>
    </row>
    <row r="2982" spans="1:19" hidden="1">
      <c r="A2982" s="124" t="s">
        <v>5260</v>
      </c>
      <c r="B2982" s="125" t="str">
        <f>IFERROR(VLOOKUP(Proc[[#This Row],[App]],Table2[],3,0),"open")</f>
        <v>ok</v>
      </c>
      <c r="C2982" s="124" t="s">
        <v>369</v>
      </c>
      <c r="D2982" t="s">
        <v>5003</v>
      </c>
      <c r="E2982" t="s">
        <v>4069</v>
      </c>
      <c r="F2982" s="125" t="s">
        <v>4069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25" t="str">
        <f>IF(Proc[[#This Row],[Author]]="Marcela Urrego",VLOOKUP(LEFT(Proc[[#This Row],[Requested]],1),Table3[#All],2,0),VLOOKUP(Proc[[#This Row],[Author]],Table4[],2,0))</f>
        <v>HC</v>
      </c>
      <c r="L2982" s="125" t="s">
        <v>4896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9</v>
      </c>
      <c r="R2982" s="115" t="s">
        <v>1013</v>
      </c>
      <c r="S2982" s="125"/>
    </row>
    <row r="2983" spans="1:19" hidden="1">
      <c r="A2983" s="124" t="s">
        <v>5260</v>
      </c>
      <c r="B2983" s="125" t="str">
        <f>IFERROR(VLOOKUP(Proc[[#This Row],[App]],Table2[],3,0),"open")</f>
        <v>ok</v>
      </c>
      <c r="C2983" s="124" t="s">
        <v>369</v>
      </c>
      <c r="D2983" t="s">
        <v>5004</v>
      </c>
      <c r="E2983" t="s">
        <v>4069</v>
      </c>
      <c r="F2983" s="125" t="s">
        <v>4069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25" t="str">
        <f>IF(Proc[[#This Row],[Author]]="Marcela Urrego",VLOOKUP(LEFT(Proc[[#This Row],[Requested]],1),Table3[#All],2,0),VLOOKUP(Proc[[#This Row],[Author]],Table4[],2,0))</f>
        <v>HC</v>
      </c>
      <c r="L2983" s="125" t="s">
        <v>4896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9</v>
      </c>
      <c r="R2983" s="115" t="s">
        <v>1013</v>
      </c>
      <c r="S2983" s="125"/>
    </row>
    <row r="2984" spans="1:19" hidden="1">
      <c r="A2984" s="124" t="s">
        <v>5260</v>
      </c>
      <c r="B2984" s="125" t="str">
        <f>IFERROR(VLOOKUP(Proc[[#This Row],[App]],Table2[],3,0),"open")</f>
        <v>ok</v>
      </c>
      <c r="C2984" s="124" t="s">
        <v>369</v>
      </c>
      <c r="D2984" t="s">
        <v>5005</v>
      </c>
      <c r="E2984" t="s">
        <v>4069</v>
      </c>
      <c r="F2984" s="125" t="s">
        <v>4069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25" t="str">
        <f>IF(Proc[[#This Row],[Author]]="Marcela Urrego",VLOOKUP(LEFT(Proc[[#This Row],[Requested]],1),Table3[#All],2,0),VLOOKUP(Proc[[#This Row],[Author]],Table4[],2,0))</f>
        <v>HC</v>
      </c>
      <c r="L2984" s="125" t="s">
        <v>4896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9</v>
      </c>
      <c r="R2984" s="115" t="s">
        <v>1013</v>
      </c>
      <c r="S2984" s="125"/>
    </row>
    <row r="2985" spans="1:19" hidden="1">
      <c r="A2985" s="124" t="s">
        <v>5260</v>
      </c>
      <c r="B2985" s="125" t="str">
        <f>IFERROR(VLOOKUP(Proc[[#This Row],[App]],Table2[],3,0),"open")</f>
        <v>ok</v>
      </c>
      <c r="C2985" s="124" t="s">
        <v>369</v>
      </c>
      <c r="D2985" t="s">
        <v>5006</v>
      </c>
      <c r="E2985" t="s">
        <v>4069</v>
      </c>
      <c r="F2985" s="125" t="s">
        <v>4069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25" t="str">
        <f>IF(Proc[[#This Row],[Author]]="Marcela Urrego",VLOOKUP(LEFT(Proc[[#This Row],[Requested]],1),Table3[#All],2,0),VLOOKUP(Proc[[#This Row],[Author]],Table4[],2,0))</f>
        <v>HC</v>
      </c>
      <c r="L2985" s="125" t="s">
        <v>4896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9</v>
      </c>
      <c r="R2985" s="115" t="s">
        <v>1013</v>
      </c>
      <c r="S2985" s="125"/>
    </row>
    <row r="2986" spans="1:19" hidden="1">
      <c r="A2986" s="124" t="s">
        <v>5260</v>
      </c>
      <c r="B2986" s="125" t="str">
        <f>IFERROR(VLOOKUP(Proc[[#This Row],[App]],Table2[],3,0),"open")</f>
        <v>ok</v>
      </c>
      <c r="C2986" s="124" t="s">
        <v>369</v>
      </c>
      <c r="D2986" t="s">
        <v>5007</v>
      </c>
      <c r="E2986" t="s">
        <v>4069</v>
      </c>
      <c r="F2986" s="125" t="s">
        <v>4069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25" t="str">
        <f>IF(Proc[[#This Row],[Author]]="Marcela Urrego",VLOOKUP(LEFT(Proc[[#This Row],[Requested]],1),Table3[#All],2,0),VLOOKUP(Proc[[#This Row],[Author]],Table4[],2,0))</f>
        <v>HC</v>
      </c>
      <c r="L2986" s="125" t="s">
        <v>4896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9</v>
      </c>
      <c r="R2986" s="115" t="s">
        <v>1013</v>
      </c>
      <c r="S2986" s="125"/>
    </row>
    <row r="2987" spans="1:19" hidden="1">
      <c r="A2987" s="124" t="s">
        <v>5260</v>
      </c>
      <c r="B2987" s="125" t="str">
        <f>IFERROR(VLOOKUP(Proc[[#This Row],[App]],Table2[],3,0),"open")</f>
        <v>ok</v>
      </c>
      <c r="C2987" s="124" t="s">
        <v>369</v>
      </c>
      <c r="D2987" t="s">
        <v>5008</v>
      </c>
      <c r="E2987" t="s">
        <v>4069</v>
      </c>
      <c r="F2987" s="125" t="s">
        <v>4069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25" t="str">
        <f>IF(Proc[[#This Row],[Author]]="Marcela Urrego",VLOOKUP(LEFT(Proc[[#This Row],[Requested]],1),Table3[#All],2,0),VLOOKUP(Proc[[#This Row],[Author]],Table4[],2,0))</f>
        <v>HC</v>
      </c>
      <c r="L2987" s="125" t="s">
        <v>4896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9</v>
      </c>
      <c r="R2987" s="115" t="s">
        <v>1013</v>
      </c>
      <c r="S2987" s="125"/>
    </row>
    <row r="2988" spans="1:19" hidden="1">
      <c r="A2988" s="124" t="s">
        <v>5260</v>
      </c>
      <c r="B2988" s="125" t="str">
        <f>IFERROR(VLOOKUP(Proc[[#This Row],[App]],Table2[],3,0),"open")</f>
        <v>ok</v>
      </c>
      <c r="C2988" s="124" t="s">
        <v>369</v>
      </c>
      <c r="D2988" t="s">
        <v>5009</v>
      </c>
      <c r="E2988" t="s">
        <v>4069</v>
      </c>
      <c r="F2988" s="125" t="s">
        <v>4069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25" t="str">
        <f>IF(Proc[[#This Row],[Author]]="Marcela Urrego",VLOOKUP(LEFT(Proc[[#This Row],[Requested]],1),Table3[#All],2,0),VLOOKUP(Proc[[#This Row],[Author]],Table4[],2,0))</f>
        <v>HC</v>
      </c>
      <c r="L2988" s="125" t="s">
        <v>4896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9</v>
      </c>
      <c r="R2988" s="115" t="s">
        <v>1013</v>
      </c>
      <c r="S2988" s="125"/>
    </row>
    <row r="2989" spans="1:19" hidden="1">
      <c r="A2989" s="124" t="s">
        <v>5260</v>
      </c>
      <c r="B2989" s="125" t="str">
        <f>IFERROR(VLOOKUP(Proc[[#This Row],[App]],Table2[],3,0),"open")</f>
        <v>ok</v>
      </c>
      <c r="C2989" s="124" t="s">
        <v>369</v>
      </c>
      <c r="D2989" t="s">
        <v>5010</v>
      </c>
      <c r="E2989" t="s">
        <v>4069</v>
      </c>
      <c r="F2989" s="125" t="s">
        <v>4069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25" t="str">
        <f>IF(Proc[[#This Row],[Author]]="Marcela Urrego",VLOOKUP(LEFT(Proc[[#This Row],[Requested]],1),Table3[#All],2,0),VLOOKUP(Proc[[#This Row],[Author]],Table4[],2,0))</f>
        <v>HC</v>
      </c>
      <c r="L2989" s="125" t="s">
        <v>4896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9</v>
      </c>
      <c r="R2989" s="115" t="s">
        <v>1013</v>
      </c>
      <c r="S2989" s="125"/>
    </row>
    <row r="2990" spans="1:19" hidden="1">
      <c r="A2990" s="124" t="s">
        <v>5260</v>
      </c>
      <c r="B2990" s="125" t="str">
        <f>IFERROR(VLOOKUP(Proc[[#This Row],[App]],Table2[],3,0),"open")</f>
        <v>ok</v>
      </c>
      <c r="C2990" s="124" t="s">
        <v>369</v>
      </c>
      <c r="D2990" t="s">
        <v>5011</v>
      </c>
      <c r="E2990" t="s">
        <v>4069</v>
      </c>
      <c r="F2990" s="125" t="s">
        <v>4069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25" t="str">
        <f>IF(Proc[[#This Row],[Author]]="Marcela Urrego",VLOOKUP(LEFT(Proc[[#This Row],[Requested]],1),Table3[#All],2,0),VLOOKUP(Proc[[#This Row],[Author]],Table4[],2,0))</f>
        <v>HC</v>
      </c>
      <c r="L2990" s="125" t="s">
        <v>4896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9</v>
      </c>
      <c r="R2990" s="115" t="s">
        <v>1013</v>
      </c>
      <c r="S2990" s="125"/>
    </row>
    <row r="2991" spans="1:19" hidden="1">
      <c r="A2991" s="124" t="s">
        <v>5260</v>
      </c>
      <c r="B2991" s="125" t="str">
        <f>IFERROR(VLOOKUP(Proc[[#This Row],[App]],Table2[],3,0),"open")</f>
        <v>ok</v>
      </c>
      <c r="C2991" s="124" t="s">
        <v>369</v>
      </c>
      <c r="D2991" t="s">
        <v>5012</v>
      </c>
      <c r="E2991" t="s">
        <v>4069</v>
      </c>
      <c r="F2991" s="125" t="s">
        <v>4069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25" t="str">
        <f>IF(Proc[[#This Row],[Author]]="Marcela Urrego",VLOOKUP(LEFT(Proc[[#This Row],[Requested]],1),Table3[#All],2,0),VLOOKUP(Proc[[#This Row],[Author]],Table4[],2,0))</f>
        <v>HC</v>
      </c>
      <c r="L2991" s="125" t="s">
        <v>4896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9</v>
      </c>
      <c r="R2991" s="115" t="s">
        <v>1013</v>
      </c>
      <c r="S2991" s="125"/>
    </row>
    <row r="2992" spans="1:19" hidden="1">
      <c r="A2992" s="124" t="s">
        <v>5260</v>
      </c>
      <c r="B2992" s="125" t="str">
        <f>IFERROR(VLOOKUP(Proc[[#This Row],[App]],Table2[],3,0),"open")</f>
        <v>ok</v>
      </c>
      <c r="C2992" s="124" t="s">
        <v>369</v>
      </c>
      <c r="D2992" t="s">
        <v>5013</v>
      </c>
      <c r="E2992" t="s">
        <v>4069</v>
      </c>
      <c r="F2992" s="125" t="s">
        <v>4069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25" t="str">
        <f>IF(Proc[[#This Row],[Author]]="Marcela Urrego",VLOOKUP(LEFT(Proc[[#This Row],[Requested]],1),Table3[#All],2,0),VLOOKUP(Proc[[#This Row],[Author]],Table4[],2,0))</f>
        <v>HC</v>
      </c>
      <c r="L2992" s="125" t="s">
        <v>4896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9</v>
      </c>
      <c r="R2992" s="115" t="s">
        <v>1013</v>
      </c>
      <c r="S2992" s="125"/>
    </row>
    <row r="2993" spans="1:19" hidden="1">
      <c r="A2993" s="124" t="s">
        <v>5260</v>
      </c>
      <c r="B2993" s="125" t="str">
        <f>IFERROR(VLOOKUP(Proc[[#This Row],[App]],Table2[],3,0),"open")</f>
        <v>ok</v>
      </c>
      <c r="C2993" s="124" t="s">
        <v>369</v>
      </c>
      <c r="D2993" t="s">
        <v>5014</v>
      </c>
      <c r="E2993" t="s">
        <v>4069</v>
      </c>
      <c r="F2993" s="125" t="s">
        <v>4069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25" t="str">
        <f>IF(Proc[[#This Row],[Author]]="Marcela Urrego",VLOOKUP(LEFT(Proc[[#This Row],[Requested]],1),Table3[#All],2,0),VLOOKUP(Proc[[#This Row],[Author]],Table4[],2,0))</f>
        <v>HC</v>
      </c>
      <c r="L2993" s="125" t="s">
        <v>4896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9</v>
      </c>
      <c r="R2993" s="115" t="s">
        <v>1013</v>
      </c>
      <c r="S2993" s="125"/>
    </row>
    <row r="2994" spans="1:19" hidden="1">
      <c r="A2994" s="124" t="s">
        <v>5260</v>
      </c>
      <c r="B2994" s="125" t="str">
        <f>IFERROR(VLOOKUP(Proc[[#This Row],[App]],Table2[],3,0),"open")</f>
        <v>ok</v>
      </c>
      <c r="C2994" s="124" t="s">
        <v>369</v>
      </c>
      <c r="D2994" t="s">
        <v>5015</v>
      </c>
      <c r="E2994" t="s">
        <v>4069</v>
      </c>
      <c r="F2994" s="125" t="s">
        <v>4069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25" t="str">
        <f>IF(Proc[[#This Row],[Author]]="Marcela Urrego",VLOOKUP(LEFT(Proc[[#This Row],[Requested]],1),Table3[#All],2,0),VLOOKUP(Proc[[#This Row],[Author]],Table4[],2,0))</f>
        <v>HC</v>
      </c>
      <c r="L2994" s="125" t="s">
        <v>4896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9</v>
      </c>
      <c r="R2994" s="115" t="s">
        <v>1013</v>
      </c>
      <c r="S2994" s="125"/>
    </row>
    <row r="2995" spans="1:19" hidden="1">
      <c r="A2995" s="124" t="s">
        <v>5260</v>
      </c>
      <c r="B2995" s="125" t="str">
        <f>IFERROR(VLOOKUP(Proc[[#This Row],[App]],Table2[],3,0),"open")</f>
        <v>ok</v>
      </c>
      <c r="C2995" s="124" t="s">
        <v>369</v>
      </c>
      <c r="D2995" t="s">
        <v>5016</v>
      </c>
      <c r="E2995" t="s">
        <v>4069</v>
      </c>
      <c r="F2995" s="125" t="s">
        <v>4069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25" t="str">
        <f>IF(Proc[[#This Row],[Author]]="Marcela Urrego",VLOOKUP(LEFT(Proc[[#This Row],[Requested]],1),Table3[#All],2,0),VLOOKUP(Proc[[#This Row],[Author]],Table4[],2,0))</f>
        <v>HC</v>
      </c>
      <c r="L2995" s="125" t="s">
        <v>4896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9</v>
      </c>
      <c r="R2995" s="115" t="s">
        <v>1013</v>
      </c>
      <c r="S2995" s="125"/>
    </row>
    <row r="2996" spans="1:19" hidden="1">
      <c r="A2996" s="124" t="s">
        <v>5260</v>
      </c>
      <c r="B2996" s="125" t="str">
        <f>IFERROR(VLOOKUP(Proc[[#This Row],[App]],Table2[],3,0),"open")</f>
        <v>ok</v>
      </c>
      <c r="C2996" s="124" t="s">
        <v>369</v>
      </c>
      <c r="D2996" t="s">
        <v>5017</v>
      </c>
      <c r="E2996" t="s">
        <v>4069</v>
      </c>
      <c r="F2996" s="125" t="s">
        <v>4069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25" t="str">
        <f>IF(Proc[[#This Row],[Author]]="Marcela Urrego",VLOOKUP(LEFT(Proc[[#This Row],[Requested]],1),Table3[#All],2,0),VLOOKUP(Proc[[#This Row],[Author]],Table4[],2,0))</f>
        <v>HC</v>
      </c>
      <c r="L2996" s="125" t="s">
        <v>4896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9</v>
      </c>
      <c r="R2996" s="115" t="s">
        <v>1013</v>
      </c>
      <c r="S2996" s="125"/>
    </row>
    <row r="2997" spans="1:19" hidden="1">
      <c r="A2997" s="124" t="s">
        <v>5260</v>
      </c>
      <c r="B2997" s="125" t="str">
        <f>IFERROR(VLOOKUP(Proc[[#This Row],[App]],Table2[],3,0),"open")</f>
        <v>ok</v>
      </c>
      <c r="C2997" s="124" t="s">
        <v>369</v>
      </c>
      <c r="D2997" t="s">
        <v>5018</v>
      </c>
      <c r="E2997" t="s">
        <v>4069</v>
      </c>
      <c r="F2997" s="125" t="s">
        <v>4069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25" t="str">
        <f>IF(Proc[[#This Row],[Author]]="Marcela Urrego",VLOOKUP(LEFT(Proc[[#This Row],[Requested]],1),Table3[#All],2,0),VLOOKUP(Proc[[#This Row],[Author]],Table4[],2,0))</f>
        <v>HC</v>
      </c>
      <c r="L2997" s="125" t="s">
        <v>4896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9</v>
      </c>
      <c r="R2997" s="115" t="s">
        <v>1013</v>
      </c>
      <c r="S2997" s="125"/>
    </row>
    <row r="2998" spans="1:19" hidden="1">
      <c r="A2998" s="124" t="s">
        <v>5260</v>
      </c>
      <c r="B2998" s="125" t="str">
        <f>IFERROR(VLOOKUP(Proc[[#This Row],[App]],Table2[],3,0),"open")</f>
        <v>ok</v>
      </c>
      <c r="C2998" s="124" t="s">
        <v>369</v>
      </c>
      <c r="D2998" t="s">
        <v>5019</v>
      </c>
      <c r="E2998" t="s">
        <v>4069</v>
      </c>
      <c r="F2998" s="125" t="s">
        <v>4069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25" t="str">
        <f>IF(Proc[[#This Row],[Author]]="Marcela Urrego",VLOOKUP(LEFT(Proc[[#This Row],[Requested]],1),Table3[#All],2,0),VLOOKUP(Proc[[#This Row],[Author]],Table4[],2,0))</f>
        <v>HC</v>
      </c>
      <c r="L2998" s="125" t="s">
        <v>4896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9</v>
      </c>
      <c r="R2998" s="115" t="s">
        <v>1013</v>
      </c>
      <c r="S2998" s="125"/>
    </row>
    <row r="2999" spans="1:19" hidden="1">
      <c r="A2999" s="124" t="s">
        <v>5260</v>
      </c>
      <c r="B2999" s="125" t="str">
        <f>IFERROR(VLOOKUP(Proc[[#This Row],[App]],Table2[],3,0),"open")</f>
        <v>ok</v>
      </c>
      <c r="C2999" s="124" t="s">
        <v>369</v>
      </c>
      <c r="D2999" t="s">
        <v>5020</v>
      </c>
      <c r="E2999" t="s">
        <v>4069</v>
      </c>
      <c r="F2999" s="125" t="s">
        <v>4069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25" t="str">
        <f>IF(Proc[[#This Row],[Author]]="Marcela Urrego",VLOOKUP(LEFT(Proc[[#This Row],[Requested]],1),Table3[#All],2,0),VLOOKUP(Proc[[#This Row],[Author]],Table4[],2,0))</f>
        <v>HC</v>
      </c>
      <c r="L2999" s="125" t="s">
        <v>4896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9</v>
      </c>
      <c r="R2999" s="115" t="s">
        <v>1013</v>
      </c>
      <c r="S2999" s="125"/>
    </row>
    <row r="3000" spans="1:19" hidden="1">
      <c r="A3000" s="124" t="s">
        <v>5260</v>
      </c>
      <c r="B3000" s="125" t="str">
        <f>IFERROR(VLOOKUP(Proc[[#This Row],[App]],Table2[],3,0),"open")</f>
        <v>ok</v>
      </c>
      <c r="C3000" s="124" t="s">
        <v>369</v>
      </c>
      <c r="D3000" t="s">
        <v>5021</v>
      </c>
      <c r="E3000" t="s">
        <v>4069</v>
      </c>
      <c r="F3000" s="125" t="s">
        <v>4069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25" t="str">
        <f>IF(Proc[[#This Row],[Author]]="Marcela Urrego",VLOOKUP(LEFT(Proc[[#This Row],[Requested]],1),Table3[#All],2,0),VLOOKUP(Proc[[#This Row],[Author]],Table4[],2,0))</f>
        <v>HC</v>
      </c>
      <c r="L3000" s="125" t="s">
        <v>4896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9</v>
      </c>
      <c r="R3000" s="115" t="s">
        <v>1013</v>
      </c>
      <c r="S3000" s="125"/>
    </row>
    <row r="3001" spans="1:19" hidden="1">
      <c r="A3001" s="124" t="s">
        <v>5260</v>
      </c>
      <c r="B3001" s="125" t="str">
        <f>IFERROR(VLOOKUP(Proc[[#This Row],[App]],Table2[],3,0),"open")</f>
        <v>ok</v>
      </c>
      <c r="C3001" s="124" t="s">
        <v>369</v>
      </c>
      <c r="D3001" t="s">
        <v>5022</v>
      </c>
      <c r="E3001" t="s">
        <v>4069</v>
      </c>
      <c r="F3001" s="125" t="s">
        <v>4069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25" t="str">
        <f>IF(Proc[[#This Row],[Author]]="Marcela Urrego",VLOOKUP(LEFT(Proc[[#This Row],[Requested]],1),Table3[#All],2,0),VLOOKUP(Proc[[#This Row],[Author]],Table4[],2,0))</f>
        <v>HC</v>
      </c>
      <c r="L3001" s="125" t="s">
        <v>4896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9</v>
      </c>
      <c r="R3001" s="115" t="s">
        <v>1013</v>
      </c>
      <c r="S3001" s="125"/>
    </row>
    <row r="3002" spans="1:19" hidden="1">
      <c r="A3002" s="124" t="s">
        <v>5260</v>
      </c>
      <c r="B3002" s="125" t="str">
        <f>IFERROR(VLOOKUP(Proc[[#This Row],[App]],Table2[],3,0),"open")</f>
        <v>ok</v>
      </c>
      <c r="C3002" s="124" t="s">
        <v>369</v>
      </c>
      <c r="D3002" t="s">
        <v>5023</v>
      </c>
      <c r="E3002" t="s">
        <v>4069</v>
      </c>
      <c r="F3002" s="125" t="s">
        <v>4069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25" t="str">
        <f>IF(Proc[[#This Row],[Author]]="Marcela Urrego",VLOOKUP(LEFT(Proc[[#This Row],[Requested]],1),Table3[#All],2,0),VLOOKUP(Proc[[#This Row],[Author]],Table4[],2,0))</f>
        <v>HC</v>
      </c>
      <c r="L3002" s="125" t="s">
        <v>4896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9</v>
      </c>
      <c r="R3002" s="115" t="s">
        <v>1013</v>
      </c>
      <c r="S3002" s="125"/>
    </row>
    <row r="3003" spans="1:19" hidden="1">
      <c r="A3003" s="124" t="s">
        <v>5260</v>
      </c>
      <c r="B3003" s="125" t="str">
        <f>IFERROR(VLOOKUP(Proc[[#This Row],[App]],Table2[],3,0),"open")</f>
        <v>ok</v>
      </c>
      <c r="C3003" s="124" t="s">
        <v>369</v>
      </c>
      <c r="D3003" t="s">
        <v>5024</v>
      </c>
      <c r="E3003" t="s">
        <v>4069</v>
      </c>
      <c r="F3003" s="125" t="s">
        <v>4069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25" t="str">
        <f>IF(Proc[[#This Row],[Author]]="Marcela Urrego",VLOOKUP(LEFT(Proc[[#This Row],[Requested]],1),Table3[#All],2,0),VLOOKUP(Proc[[#This Row],[Author]],Table4[],2,0))</f>
        <v>HC</v>
      </c>
      <c r="L3003" s="125" t="s">
        <v>4896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9</v>
      </c>
      <c r="R3003" s="115" t="s">
        <v>1013</v>
      </c>
      <c r="S3003" s="125"/>
    </row>
    <row r="3004" spans="1:19" hidden="1">
      <c r="A3004" s="124" t="s">
        <v>5260</v>
      </c>
      <c r="B3004" s="125" t="str">
        <f>IFERROR(VLOOKUP(Proc[[#This Row],[App]],Table2[],3,0),"open")</f>
        <v>ok</v>
      </c>
      <c r="C3004" s="124" t="s">
        <v>369</v>
      </c>
      <c r="D3004" t="s">
        <v>5025</v>
      </c>
      <c r="E3004" t="s">
        <v>4069</v>
      </c>
      <c r="F3004" s="125" t="s">
        <v>4069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25" t="str">
        <f>IF(Proc[[#This Row],[Author]]="Marcela Urrego",VLOOKUP(LEFT(Proc[[#This Row],[Requested]],1),Table3[#All],2,0),VLOOKUP(Proc[[#This Row],[Author]],Table4[],2,0))</f>
        <v>HC</v>
      </c>
      <c r="L3004" s="125" t="s">
        <v>4896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9</v>
      </c>
      <c r="R3004" s="115" t="s">
        <v>1013</v>
      </c>
      <c r="S3004" s="125"/>
    </row>
    <row r="3005" spans="1:19" hidden="1">
      <c r="A3005" s="124" t="s">
        <v>5260</v>
      </c>
      <c r="B3005" s="125" t="str">
        <f>IFERROR(VLOOKUP(Proc[[#This Row],[App]],Table2[],3,0),"open")</f>
        <v>ok</v>
      </c>
      <c r="C3005" s="124" t="s">
        <v>369</v>
      </c>
      <c r="D3005" t="s">
        <v>5026</v>
      </c>
      <c r="E3005" t="s">
        <v>4069</v>
      </c>
      <c r="F3005" s="125" t="s">
        <v>4069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25" t="str">
        <f>IF(Proc[[#This Row],[Author]]="Marcela Urrego",VLOOKUP(LEFT(Proc[[#This Row],[Requested]],1),Table3[#All],2,0),VLOOKUP(Proc[[#This Row],[Author]],Table4[],2,0))</f>
        <v>HC</v>
      </c>
      <c r="L3005" s="125" t="s">
        <v>4896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9</v>
      </c>
      <c r="R3005" s="115" t="s">
        <v>1013</v>
      </c>
      <c r="S3005" s="125"/>
    </row>
    <row r="3006" spans="1:19" hidden="1">
      <c r="A3006" s="124" t="s">
        <v>5260</v>
      </c>
      <c r="B3006" s="125" t="str">
        <f>IFERROR(VLOOKUP(Proc[[#This Row],[App]],Table2[],3,0),"open")</f>
        <v>ok</v>
      </c>
      <c r="C3006" s="124" t="s">
        <v>369</v>
      </c>
      <c r="D3006" t="s">
        <v>5027</v>
      </c>
      <c r="E3006" t="s">
        <v>4069</v>
      </c>
      <c r="F3006" s="125" t="s">
        <v>4069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25" t="str">
        <f>IF(Proc[[#This Row],[Author]]="Marcela Urrego",VLOOKUP(LEFT(Proc[[#This Row],[Requested]],1),Table3[#All],2,0),VLOOKUP(Proc[[#This Row],[Author]],Table4[],2,0))</f>
        <v>HC</v>
      </c>
      <c r="L3006" s="125" t="s">
        <v>4896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9</v>
      </c>
      <c r="R3006" s="115" t="s">
        <v>1013</v>
      </c>
      <c r="S3006" s="125"/>
    </row>
    <row r="3007" spans="1:19" hidden="1">
      <c r="A3007" s="124" t="s">
        <v>5260</v>
      </c>
      <c r="B3007" s="125" t="str">
        <f>IFERROR(VLOOKUP(Proc[[#This Row],[App]],Table2[],3,0),"open")</f>
        <v>ok</v>
      </c>
      <c r="C3007" s="124" t="s">
        <v>369</v>
      </c>
      <c r="D3007" t="s">
        <v>5028</v>
      </c>
      <c r="E3007" t="s">
        <v>4069</v>
      </c>
      <c r="F3007" s="125" t="s">
        <v>4069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25" t="str">
        <f>IF(Proc[[#This Row],[Author]]="Marcela Urrego",VLOOKUP(LEFT(Proc[[#This Row],[Requested]],1),Table3[#All],2,0),VLOOKUP(Proc[[#This Row],[Author]],Table4[],2,0))</f>
        <v>HC</v>
      </c>
      <c r="L3007" s="125" t="s">
        <v>4896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9</v>
      </c>
      <c r="R3007" s="115" t="s">
        <v>1013</v>
      </c>
      <c r="S3007" s="125"/>
    </row>
    <row r="3008" spans="1:19" hidden="1">
      <c r="A3008" s="124" t="s">
        <v>5260</v>
      </c>
      <c r="B3008" s="125" t="str">
        <f>IFERROR(VLOOKUP(Proc[[#This Row],[App]],Table2[],3,0),"open")</f>
        <v>ok</v>
      </c>
      <c r="C3008" s="124" t="s">
        <v>369</v>
      </c>
      <c r="D3008" t="s">
        <v>5029</v>
      </c>
      <c r="E3008" t="s">
        <v>4069</v>
      </c>
      <c r="F3008" s="125" t="s">
        <v>4069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25" t="str">
        <f>IF(Proc[[#This Row],[Author]]="Marcela Urrego",VLOOKUP(LEFT(Proc[[#This Row],[Requested]],1),Table3[#All],2,0),VLOOKUP(Proc[[#This Row],[Author]],Table4[],2,0))</f>
        <v>HC</v>
      </c>
      <c r="L3008" s="125" t="s">
        <v>4896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9</v>
      </c>
      <c r="R3008" s="115" t="s">
        <v>1013</v>
      </c>
      <c r="S3008" s="125"/>
    </row>
    <row r="3009" spans="1:19" hidden="1">
      <c r="A3009" s="124" t="s">
        <v>5260</v>
      </c>
      <c r="B3009" s="125" t="str">
        <f>IFERROR(VLOOKUP(Proc[[#This Row],[App]],Table2[],3,0),"open")</f>
        <v>ok</v>
      </c>
      <c r="C3009" s="124" t="s">
        <v>369</v>
      </c>
      <c r="D3009" t="s">
        <v>5030</v>
      </c>
      <c r="E3009" t="s">
        <v>4069</v>
      </c>
      <c r="F3009" s="125" t="s">
        <v>4069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25" t="str">
        <f>IF(Proc[[#This Row],[Author]]="Marcela Urrego",VLOOKUP(LEFT(Proc[[#This Row],[Requested]],1),Table3[#All],2,0),VLOOKUP(Proc[[#This Row],[Author]],Table4[],2,0))</f>
        <v>HC</v>
      </c>
      <c r="L3009" s="125" t="s">
        <v>4896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9</v>
      </c>
      <c r="R3009" s="115" t="s">
        <v>1013</v>
      </c>
      <c r="S3009" s="125"/>
    </row>
    <row r="3010" spans="1:19" hidden="1">
      <c r="A3010" s="124" t="s">
        <v>5260</v>
      </c>
      <c r="B3010" s="125" t="str">
        <f>IFERROR(VLOOKUP(Proc[[#This Row],[App]],Table2[],3,0),"open")</f>
        <v>ok</v>
      </c>
      <c r="C3010" s="124" t="s">
        <v>369</v>
      </c>
      <c r="D3010" t="s">
        <v>5031</v>
      </c>
      <c r="E3010" t="s">
        <v>4069</v>
      </c>
      <c r="F3010" s="125" t="s">
        <v>4069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25" t="str">
        <f>IF(Proc[[#This Row],[Author]]="Marcela Urrego",VLOOKUP(LEFT(Proc[[#This Row],[Requested]],1),Table3[#All],2,0),VLOOKUP(Proc[[#This Row],[Author]],Table4[],2,0))</f>
        <v>HC</v>
      </c>
      <c r="L3010" s="125" t="s">
        <v>4896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9</v>
      </c>
      <c r="R3010" s="115" t="s">
        <v>1013</v>
      </c>
      <c r="S3010" s="125"/>
    </row>
    <row r="3011" spans="1:19" hidden="1">
      <c r="A3011" s="124" t="s">
        <v>5260</v>
      </c>
      <c r="B3011" s="125" t="str">
        <f>IFERROR(VLOOKUP(Proc[[#This Row],[App]],Table2[],3,0),"open")</f>
        <v>ok</v>
      </c>
      <c r="C3011" s="124" t="s">
        <v>369</v>
      </c>
      <c r="D3011" t="s">
        <v>5032</v>
      </c>
      <c r="E3011" t="s">
        <v>4069</v>
      </c>
      <c r="F3011" s="125" t="s">
        <v>4069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25" t="str">
        <f>IF(Proc[[#This Row],[Author]]="Marcela Urrego",VLOOKUP(LEFT(Proc[[#This Row],[Requested]],1),Table3[#All],2,0),VLOOKUP(Proc[[#This Row],[Author]],Table4[],2,0))</f>
        <v>HC</v>
      </c>
      <c r="L3011" s="125" t="s">
        <v>4896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9</v>
      </c>
      <c r="R3011" s="115" t="s">
        <v>1013</v>
      </c>
      <c r="S3011" s="125"/>
    </row>
    <row r="3012" spans="1:19" hidden="1">
      <c r="A3012" s="124" t="s">
        <v>5260</v>
      </c>
      <c r="B3012" s="125" t="str">
        <f>IFERROR(VLOOKUP(Proc[[#This Row],[App]],Table2[],3,0),"open")</f>
        <v>ok</v>
      </c>
      <c r="C3012" s="124" t="s">
        <v>369</v>
      </c>
      <c r="D3012" t="s">
        <v>5033</v>
      </c>
      <c r="E3012" t="s">
        <v>4069</v>
      </c>
      <c r="F3012" s="125" t="s">
        <v>4069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25" t="str">
        <f>IF(Proc[[#This Row],[Author]]="Marcela Urrego",VLOOKUP(LEFT(Proc[[#This Row],[Requested]],1),Table3[#All],2,0),VLOOKUP(Proc[[#This Row],[Author]],Table4[],2,0))</f>
        <v>HC</v>
      </c>
      <c r="L3012" s="125" t="s">
        <v>4896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9</v>
      </c>
      <c r="R3012" s="115" t="s">
        <v>1013</v>
      </c>
      <c r="S3012" s="125"/>
    </row>
    <row r="3013" spans="1:19" hidden="1">
      <c r="A3013" s="124" t="s">
        <v>5260</v>
      </c>
      <c r="B3013" s="125" t="str">
        <f>IFERROR(VLOOKUP(Proc[[#This Row],[App]],Table2[],3,0),"open")</f>
        <v>ok</v>
      </c>
      <c r="C3013" s="124" t="s">
        <v>369</v>
      </c>
      <c r="D3013" t="s">
        <v>5034</v>
      </c>
      <c r="E3013" t="s">
        <v>4069</v>
      </c>
      <c r="F3013" s="125" t="s">
        <v>4069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25" t="str">
        <f>IF(Proc[[#This Row],[Author]]="Marcela Urrego",VLOOKUP(LEFT(Proc[[#This Row],[Requested]],1),Table3[#All],2,0),VLOOKUP(Proc[[#This Row],[Author]],Table4[],2,0))</f>
        <v>HC</v>
      </c>
      <c r="L3013" s="125" t="s">
        <v>4896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9</v>
      </c>
      <c r="R3013" s="115" t="s">
        <v>1013</v>
      </c>
      <c r="S3013" s="125"/>
    </row>
    <row r="3014" spans="1:19" hidden="1">
      <c r="A3014" s="124" t="s">
        <v>5260</v>
      </c>
      <c r="B3014" s="125" t="str">
        <f>IFERROR(VLOOKUP(Proc[[#This Row],[App]],Table2[],3,0),"open")</f>
        <v>ok</v>
      </c>
      <c r="C3014" s="124" t="s">
        <v>369</v>
      </c>
      <c r="D3014" t="s">
        <v>5035</v>
      </c>
      <c r="E3014" t="s">
        <v>4069</v>
      </c>
      <c r="F3014" s="125" t="s">
        <v>4069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25" t="str">
        <f>IF(Proc[[#This Row],[Author]]="Marcela Urrego",VLOOKUP(LEFT(Proc[[#This Row],[Requested]],1),Table3[#All],2,0),VLOOKUP(Proc[[#This Row],[Author]],Table4[],2,0))</f>
        <v>HC</v>
      </c>
      <c r="L3014" s="125" t="s">
        <v>4896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9</v>
      </c>
      <c r="R3014" s="115" t="s">
        <v>1013</v>
      </c>
      <c r="S3014" s="125"/>
    </row>
    <row r="3015" spans="1:19" hidden="1">
      <c r="A3015" s="124" t="s">
        <v>5260</v>
      </c>
      <c r="B3015" s="125" t="str">
        <f>IFERROR(VLOOKUP(Proc[[#This Row],[App]],Table2[],3,0),"open")</f>
        <v>ok</v>
      </c>
      <c r="C3015" s="124" t="s">
        <v>369</v>
      </c>
      <c r="D3015" t="s">
        <v>5036</v>
      </c>
      <c r="E3015" t="s">
        <v>4069</v>
      </c>
      <c r="F3015" s="125" t="s">
        <v>4069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25" t="str">
        <f>IF(Proc[[#This Row],[Author]]="Marcela Urrego",VLOOKUP(LEFT(Proc[[#This Row],[Requested]],1),Table3[#All],2,0),VLOOKUP(Proc[[#This Row],[Author]],Table4[],2,0))</f>
        <v>HC</v>
      </c>
      <c r="L3015" s="125" t="s">
        <v>4896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9</v>
      </c>
      <c r="R3015" s="115" t="s">
        <v>1013</v>
      </c>
      <c r="S3015" s="125"/>
    </row>
    <row r="3016" spans="1:19" hidden="1">
      <c r="A3016" s="124" t="s">
        <v>5260</v>
      </c>
      <c r="B3016" s="125" t="str">
        <f>IFERROR(VLOOKUP(Proc[[#This Row],[App]],Table2[],3,0),"open")</f>
        <v>ok</v>
      </c>
      <c r="C3016" s="124" t="s">
        <v>369</v>
      </c>
      <c r="D3016" t="s">
        <v>5037</v>
      </c>
      <c r="E3016" t="s">
        <v>4069</v>
      </c>
      <c r="F3016" s="125" t="s">
        <v>4069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25" t="str">
        <f>IF(Proc[[#This Row],[Author]]="Marcela Urrego",VLOOKUP(LEFT(Proc[[#This Row],[Requested]],1),Table3[#All],2,0),VLOOKUP(Proc[[#This Row],[Author]],Table4[],2,0))</f>
        <v>HC</v>
      </c>
      <c r="L3016" s="125" t="s">
        <v>4896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9</v>
      </c>
      <c r="R3016" s="115" t="s">
        <v>1013</v>
      </c>
      <c r="S3016" s="125"/>
    </row>
    <row r="3017" spans="1:19" hidden="1">
      <c r="A3017" s="124" t="s">
        <v>5260</v>
      </c>
      <c r="B3017" s="125" t="str">
        <f>IFERROR(VLOOKUP(Proc[[#This Row],[App]],Table2[],3,0),"open")</f>
        <v>ok</v>
      </c>
      <c r="C3017" s="124" t="s">
        <v>369</v>
      </c>
      <c r="D3017" t="s">
        <v>5038</v>
      </c>
      <c r="E3017" t="s">
        <v>4069</v>
      </c>
      <c r="F3017" s="125" t="s">
        <v>4069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25" t="str">
        <f>IF(Proc[[#This Row],[Author]]="Marcela Urrego",VLOOKUP(LEFT(Proc[[#This Row],[Requested]],1),Table3[#All],2,0),VLOOKUP(Proc[[#This Row],[Author]],Table4[],2,0))</f>
        <v>HC</v>
      </c>
      <c r="L3017" s="125" t="s">
        <v>4896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9</v>
      </c>
      <c r="R3017" s="115" t="s">
        <v>1013</v>
      </c>
      <c r="S3017" s="125"/>
    </row>
    <row r="3018" spans="1:19" hidden="1">
      <c r="A3018" s="124" t="s">
        <v>5260</v>
      </c>
      <c r="B3018" s="125" t="str">
        <f>IFERROR(VLOOKUP(Proc[[#This Row],[App]],Table2[],3,0),"open")</f>
        <v>ok</v>
      </c>
      <c r="C3018" s="124" t="s">
        <v>369</v>
      </c>
      <c r="D3018" t="s">
        <v>5039</v>
      </c>
      <c r="E3018" t="s">
        <v>4069</v>
      </c>
      <c r="F3018" s="125" t="s">
        <v>4069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25" t="str">
        <f>IF(Proc[[#This Row],[Author]]="Marcela Urrego",VLOOKUP(LEFT(Proc[[#This Row],[Requested]],1),Table3[#All],2,0),VLOOKUP(Proc[[#This Row],[Author]],Table4[],2,0))</f>
        <v>HC</v>
      </c>
      <c r="L3018" s="125" t="s">
        <v>4896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9</v>
      </c>
      <c r="R3018" s="115" t="s">
        <v>1013</v>
      </c>
      <c r="S3018" s="125"/>
    </row>
    <row r="3019" spans="1:19" hidden="1">
      <c r="A3019" s="124" t="s">
        <v>5260</v>
      </c>
      <c r="B3019" s="125" t="str">
        <f>IFERROR(VLOOKUP(Proc[[#This Row],[App]],Table2[],3,0),"open")</f>
        <v>ok</v>
      </c>
      <c r="C3019" s="124" t="s">
        <v>369</v>
      </c>
      <c r="D3019" t="s">
        <v>5040</v>
      </c>
      <c r="E3019" t="s">
        <v>4069</v>
      </c>
      <c r="F3019" s="125" t="s">
        <v>4069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25" t="str">
        <f>IF(Proc[[#This Row],[Author]]="Marcela Urrego",VLOOKUP(LEFT(Proc[[#This Row],[Requested]],1),Table3[#All],2,0),VLOOKUP(Proc[[#This Row],[Author]],Table4[],2,0))</f>
        <v>HC</v>
      </c>
      <c r="L3019" s="125" t="s">
        <v>4896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9</v>
      </c>
      <c r="R3019" s="115" t="s">
        <v>1013</v>
      </c>
      <c r="S3019" s="125"/>
    </row>
    <row r="3020" spans="1:19" hidden="1">
      <c r="A3020" s="124" t="s">
        <v>5260</v>
      </c>
      <c r="B3020" s="125" t="str">
        <f>IFERROR(VLOOKUP(Proc[[#This Row],[App]],Table2[],3,0),"open")</f>
        <v>ok</v>
      </c>
      <c r="C3020" s="124" t="s">
        <v>369</v>
      </c>
      <c r="D3020" t="s">
        <v>5041</v>
      </c>
      <c r="E3020" t="s">
        <v>4069</v>
      </c>
      <c r="F3020" s="125" t="s">
        <v>4069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25" t="str">
        <f>IF(Proc[[#This Row],[Author]]="Marcela Urrego",VLOOKUP(LEFT(Proc[[#This Row],[Requested]],1),Table3[#All],2,0),VLOOKUP(Proc[[#This Row],[Author]],Table4[],2,0))</f>
        <v>HC</v>
      </c>
      <c r="L3020" s="125" t="s">
        <v>4896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9</v>
      </c>
      <c r="R3020" s="115" t="s">
        <v>1013</v>
      </c>
      <c r="S3020" s="125"/>
    </row>
    <row r="3021" spans="1:19" hidden="1">
      <c r="A3021" s="124" t="s">
        <v>5260</v>
      </c>
      <c r="B3021" s="125" t="str">
        <f>IFERROR(VLOOKUP(Proc[[#This Row],[App]],Table2[],3,0),"open")</f>
        <v>ok</v>
      </c>
      <c r="C3021" s="124" t="s">
        <v>369</v>
      </c>
      <c r="D3021" t="s">
        <v>5042</v>
      </c>
      <c r="E3021" t="s">
        <v>4069</v>
      </c>
      <c r="F3021" s="125" t="s">
        <v>4069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25" t="str">
        <f>IF(Proc[[#This Row],[Author]]="Marcela Urrego",VLOOKUP(LEFT(Proc[[#This Row],[Requested]],1),Table3[#All],2,0),VLOOKUP(Proc[[#This Row],[Author]],Table4[],2,0))</f>
        <v>HC</v>
      </c>
      <c r="L3021" s="125" t="s">
        <v>4896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9</v>
      </c>
      <c r="R3021" s="115" t="s">
        <v>1013</v>
      </c>
      <c r="S3021" s="125"/>
    </row>
    <row r="3022" spans="1:19" hidden="1">
      <c r="A3022" s="124" t="s">
        <v>5260</v>
      </c>
      <c r="B3022" s="125" t="str">
        <f>IFERROR(VLOOKUP(Proc[[#This Row],[App]],Table2[],3,0),"open")</f>
        <v>ok</v>
      </c>
      <c r="C3022" s="124" t="s">
        <v>369</v>
      </c>
      <c r="D3022" t="s">
        <v>5043</v>
      </c>
      <c r="E3022" t="s">
        <v>4069</v>
      </c>
      <c r="F3022" s="125" t="s">
        <v>4069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25" t="str">
        <f>IF(Proc[[#This Row],[Author]]="Marcela Urrego",VLOOKUP(LEFT(Proc[[#This Row],[Requested]],1),Table3[#All],2,0),VLOOKUP(Proc[[#This Row],[Author]],Table4[],2,0))</f>
        <v>HC</v>
      </c>
      <c r="L3022" s="125" t="s">
        <v>4896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9</v>
      </c>
      <c r="R3022" s="115" t="s">
        <v>1013</v>
      </c>
      <c r="S3022" s="125"/>
    </row>
    <row r="3023" spans="1:19" hidden="1">
      <c r="A3023" s="124" t="s">
        <v>5260</v>
      </c>
      <c r="B3023" s="125" t="str">
        <f>IFERROR(VLOOKUP(Proc[[#This Row],[App]],Table2[],3,0),"open")</f>
        <v>ok</v>
      </c>
      <c r="C3023" s="124" t="s">
        <v>369</v>
      </c>
      <c r="D3023" t="s">
        <v>5044</v>
      </c>
      <c r="E3023" t="s">
        <v>4069</v>
      </c>
      <c r="F3023" s="125" t="s">
        <v>4069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25" t="str">
        <f>IF(Proc[[#This Row],[Author]]="Marcela Urrego",VLOOKUP(LEFT(Proc[[#This Row],[Requested]],1),Table3[#All],2,0),VLOOKUP(Proc[[#This Row],[Author]],Table4[],2,0))</f>
        <v>HC</v>
      </c>
      <c r="L3023" s="125" t="s">
        <v>4896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9</v>
      </c>
      <c r="R3023" s="115" t="s">
        <v>1013</v>
      </c>
      <c r="S3023" s="125"/>
    </row>
    <row r="3024" spans="1:19" hidden="1">
      <c r="A3024" s="124" t="s">
        <v>5260</v>
      </c>
      <c r="B3024" s="125" t="str">
        <f>IFERROR(VLOOKUP(Proc[[#This Row],[App]],Table2[],3,0),"open")</f>
        <v>ok</v>
      </c>
      <c r="C3024" s="124" t="s">
        <v>369</v>
      </c>
      <c r="D3024" t="s">
        <v>5045</v>
      </c>
      <c r="E3024" t="s">
        <v>4069</v>
      </c>
      <c r="F3024" s="125" t="s">
        <v>4069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25" t="str">
        <f>IF(Proc[[#This Row],[Author]]="Marcela Urrego",VLOOKUP(LEFT(Proc[[#This Row],[Requested]],1),Table3[#All],2,0),VLOOKUP(Proc[[#This Row],[Author]],Table4[],2,0))</f>
        <v>HC</v>
      </c>
      <c r="L3024" s="125" t="s">
        <v>4896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9</v>
      </c>
      <c r="R3024" s="115" t="s">
        <v>1013</v>
      </c>
      <c r="S3024" s="125"/>
    </row>
    <row r="3025" spans="1:19" hidden="1">
      <c r="A3025" s="124" t="s">
        <v>5260</v>
      </c>
      <c r="B3025" s="125" t="str">
        <f>IFERROR(VLOOKUP(Proc[[#This Row],[App]],Table2[],3,0),"open")</f>
        <v>ok</v>
      </c>
      <c r="C3025" s="124" t="s">
        <v>369</v>
      </c>
      <c r="D3025" t="s">
        <v>5046</v>
      </c>
      <c r="E3025" t="s">
        <v>4069</v>
      </c>
      <c r="F3025" s="125" t="s">
        <v>4069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25" t="str">
        <f>IF(Proc[[#This Row],[Author]]="Marcela Urrego",VLOOKUP(LEFT(Proc[[#This Row],[Requested]],1),Table3[#All],2,0),VLOOKUP(Proc[[#This Row],[Author]],Table4[],2,0))</f>
        <v>HC</v>
      </c>
      <c r="L3025" s="125" t="s">
        <v>4896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9</v>
      </c>
      <c r="R3025" s="115" t="s">
        <v>1013</v>
      </c>
      <c r="S3025" s="125"/>
    </row>
    <row r="3026" spans="1:19" hidden="1">
      <c r="A3026" s="124" t="s">
        <v>5260</v>
      </c>
      <c r="B3026" s="125" t="str">
        <f>IFERROR(VLOOKUP(Proc[[#This Row],[App]],Table2[],3,0),"open")</f>
        <v>ok</v>
      </c>
      <c r="C3026" s="124" t="s">
        <v>369</v>
      </c>
      <c r="D3026" t="s">
        <v>5047</v>
      </c>
      <c r="E3026" t="s">
        <v>4069</v>
      </c>
      <c r="F3026" s="125" t="s">
        <v>4069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25" t="str">
        <f>IF(Proc[[#This Row],[Author]]="Marcela Urrego",VLOOKUP(LEFT(Proc[[#This Row],[Requested]],1),Table3[#All],2,0),VLOOKUP(Proc[[#This Row],[Author]],Table4[],2,0))</f>
        <v>HC</v>
      </c>
      <c r="L3026" s="125" t="s">
        <v>4896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9</v>
      </c>
      <c r="R3026" s="115" t="s">
        <v>1013</v>
      </c>
      <c r="S3026" s="125"/>
    </row>
    <row r="3027" spans="1:19" hidden="1">
      <c r="A3027" s="124" t="s">
        <v>5260</v>
      </c>
      <c r="B3027" s="125" t="str">
        <f>IFERROR(VLOOKUP(Proc[[#This Row],[App]],Table2[],3,0),"open")</f>
        <v>ok</v>
      </c>
      <c r="C3027" s="124" t="s">
        <v>369</v>
      </c>
      <c r="D3027" t="s">
        <v>5048</v>
      </c>
      <c r="E3027" t="s">
        <v>4069</v>
      </c>
      <c r="F3027" s="125" t="s">
        <v>4069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25" t="str">
        <f>IF(Proc[[#This Row],[Author]]="Marcela Urrego",VLOOKUP(LEFT(Proc[[#This Row],[Requested]],1),Table3[#All],2,0),VLOOKUP(Proc[[#This Row],[Author]],Table4[],2,0))</f>
        <v>HC</v>
      </c>
      <c r="L3027" s="125" t="s">
        <v>4896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9</v>
      </c>
      <c r="R3027" s="115" t="s">
        <v>1013</v>
      </c>
      <c r="S3027" s="125"/>
    </row>
    <row r="3028" spans="1:19" hidden="1">
      <c r="A3028" s="124" t="s">
        <v>5260</v>
      </c>
      <c r="B3028" s="125" t="str">
        <f>IFERROR(VLOOKUP(Proc[[#This Row],[App]],Table2[],3,0),"open")</f>
        <v>ok</v>
      </c>
      <c r="C3028" s="124" t="s">
        <v>369</v>
      </c>
      <c r="D3028" t="s">
        <v>5049</v>
      </c>
      <c r="E3028" t="s">
        <v>4069</v>
      </c>
      <c r="F3028" s="125" t="s">
        <v>4069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25" t="str">
        <f>IF(Proc[[#This Row],[Author]]="Marcela Urrego",VLOOKUP(LEFT(Proc[[#This Row],[Requested]],1),Table3[#All],2,0),VLOOKUP(Proc[[#This Row],[Author]],Table4[],2,0))</f>
        <v>HC</v>
      </c>
      <c r="L3028" s="125" t="s">
        <v>4896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9</v>
      </c>
      <c r="R3028" s="115" t="s">
        <v>1013</v>
      </c>
      <c r="S3028" s="125"/>
    </row>
    <row r="3029" spans="1:19" hidden="1">
      <c r="A3029" s="124" t="s">
        <v>5260</v>
      </c>
      <c r="B3029" s="125" t="str">
        <f>IFERROR(VLOOKUP(Proc[[#This Row],[App]],Table2[],3,0),"open")</f>
        <v>ok</v>
      </c>
      <c r="C3029" s="124" t="s">
        <v>369</v>
      </c>
      <c r="D3029" t="s">
        <v>5050</v>
      </c>
      <c r="E3029" t="s">
        <v>4069</v>
      </c>
      <c r="F3029" s="125" t="s">
        <v>4069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25" t="str">
        <f>IF(Proc[[#This Row],[Author]]="Marcela Urrego",VLOOKUP(LEFT(Proc[[#This Row],[Requested]],1),Table3[#All],2,0),VLOOKUP(Proc[[#This Row],[Author]],Table4[],2,0))</f>
        <v>HC</v>
      </c>
      <c r="L3029" s="125" t="s">
        <v>4896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9</v>
      </c>
      <c r="R3029" s="115" t="s">
        <v>1013</v>
      </c>
      <c r="S3029" s="125"/>
    </row>
    <row r="3030" spans="1:19" hidden="1">
      <c r="A3030" s="124" t="s">
        <v>5260</v>
      </c>
      <c r="B3030" s="125" t="str">
        <f>IFERROR(VLOOKUP(Proc[[#This Row],[App]],Table2[],3,0),"open")</f>
        <v>ok</v>
      </c>
      <c r="C3030" s="124" t="s">
        <v>369</v>
      </c>
      <c r="D3030" t="s">
        <v>5051</v>
      </c>
      <c r="E3030" t="s">
        <v>4069</v>
      </c>
      <c r="F3030" s="125" t="s">
        <v>4069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25" t="str">
        <f>IF(Proc[[#This Row],[Author]]="Marcela Urrego",VLOOKUP(LEFT(Proc[[#This Row],[Requested]],1),Table3[#All],2,0),VLOOKUP(Proc[[#This Row],[Author]],Table4[],2,0))</f>
        <v>HC</v>
      </c>
      <c r="L3030" s="125" t="s">
        <v>4896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9</v>
      </c>
      <c r="R3030" s="115" t="s">
        <v>1013</v>
      </c>
      <c r="S3030" s="125"/>
    </row>
    <row r="3031" spans="1:19" hidden="1">
      <c r="A3031" s="124" t="s">
        <v>5260</v>
      </c>
      <c r="B3031" s="125" t="str">
        <f>IFERROR(VLOOKUP(Proc[[#This Row],[App]],Table2[],3,0),"open")</f>
        <v>ok</v>
      </c>
      <c r="C3031" s="124" t="s">
        <v>369</v>
      </c>
      <c r="D3031" t="s">
        <v>5052</v>
      </c>
      <c r="E3031" t="s">
        <v>4069</v>
      </c>
      <c r="F3031" s="125" t="s">
        <v>4069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25" t="str">
        <f>IF(Proc[[#This Row],[Author]]="Marcela Urrego",VLOOKUP(LEFT(Proc[[#This Row],[Requested]],1),Table3[#All],2,0),VLOOKUP(Proc[[#This Row],[Author]],Table4[],2,0))</f>
        <v>HC</v>
      </c>
      <c r="L3031" s="125" t="s">
        <v>4896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9</v>
      </c>
      <c r="R3031" s="115" t="s">
        <v>1013</v>
      </c>
      <c r="S3031" s="125"/>
    </row>
    <row r="3032" spans="1:19" hidden="1">
      <c r="A3032" s="124" t="s">
        <v>5260</v>
      </c>
      <c r="B3032" s="125" t="str">
        <f>IFERROR(VLOOKUP(Proc[[#This Row],[App]],Table2[],3,0),"open")</f>
        <v>ok</v>
      </c>
      <c r="C3032" s="124" t="s">
        <v>369</v>
      </c>
      <c r="D3032" t="s">
        <v>5053</v>
      </c>
      <c r="E3032" t="s">
        <v>4069</v>
      </c>
      <c r="F3032" s="125" t="s">
        <v>4069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25" t="str">
        <f>IF(Proc[[#This Row],[Author]]="Marcela Urrego",VLOOKUP(LEFT(Proc[[#This Row],[Requested]],1),Table3[#All],2,0),VLOOKUP(Proc[[#This Row],[Author]],Table4[],2,0))</f>
        <v>HC</v>
      </c>
      <c r="L3032" s="125" t="s">
        <v>4896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9</v>
      </c>
      <c r="R3032" s="115" t="s">
        <v>1013</v>
      </c>
      <c r="S3032" s="125"/>
    </row>
    <row r="3033" spans="1:19" hidden="1">
      <c r="A3033" s="124" t="s">
        <v>5260</v>
      </c>
      <c r="B3033" s="125" t="str">
        <f>IFERROR(VLOOKUP(Proc[[#This Row],[App]],Table2[],3,0),"open")</f>
        <v>ok</v>
      </c>
      <c r="C3033" s="124" t="s">
        <v>369</v>
      </c>
      <c r="D3033" t="s">
        <v>5054</v>
      </c>
      <c r="E3033" t="s">
        <v>4069</v>
      </c>
      <c r="F3033" s="125" t="s">
        <v>4069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25" t="str">
        <f>IF(Proc[[#This Row],[Author]]="Marcela Urrego",VLOOKUP(LEFT(Proc[[#This Row],[Requested]],1),Table3[#All],2,0),VLOOKUP(Proc[[#This Row],[Author]],Table4[],2,0))</f>
        <v>HC</v>
      </c>
      <c r="L3033" s="125" t="s">
        <v>4896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9</v>
      </c>
      <c r="R3033" s="115" t="s">
        <v>1013</v>
      </c>
      <c r="S3033" s="125"/>
    </row>
    <row r="3034" spans="1:19" hidden="1">
      <c r="A3034" s="124" t="s">
        <v>5260</v>
      </c>
      <c r="B3034" s="125" t="str">
        <f>IFERROR(VLOOKUP(Proc[[#This Row],[App]],Table2[],3,0),"open")</f>
        <v>ok</v>
      </c>
      <c r="C3034" s="124" t="s">
        <v>369</v>
      </c>
      <c r="D3034" t="s">
        <v>5055</v>
      </c>
      <c r="E3034" t="s">
        <v>4069</v>
      </c>
      <c r="F3034" s="125" t="s">
        <v>4069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25" t="str">
        <f>IF(Proc[[#This Row],[Author]]="Marcela Urrego",VLOOKUP(LEFT(Proc[[#This Row],[Requested]],1),Table3[#All],2,0),VLOOKUP(Proc[[#This Row],[Author]],Table4[],2,0))</f>
        <v>HC</v>
      </c>
      <c r="L3034" s="125" t="s">
        <v>4896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9</v>
      </c>
      <c r="R3034" s="115" t="s">
        <v>1013</v>
      </c>
      <c r="S3034" s="125"/>
    </row>
    <row r="3035" spans="1:19" hidden="1">
      <c r="A3035" s="124" t="s">
        <v>5260</v>
      </c>
      <c r="B3035" s="125" t="str">
        <f>IFERROR(VLOOKUP(Proc[[#This Row],[App]],Table2[],3,0),"open")</f>
        <v>ok</v>
      </c>
      <c r="C3035" s="124" t="s">
        <v>369</v>
      </c>
      <c r="D3035" t="s">
        <v>5056</v>
      </c>
      <c r="E3035" t="s">
        <v>4069</v>
      </c>
      <c r="F3035" s="125" t="s">
        <v>4069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25" t="str">
        <f>IF(Proc[[#This Row],[Author]]="Marcela Urrego",VLOOKUP(LEFT(Proc[[#This Row],[Requested]],1),Table3[#All],2,0),VLOOKUP(Proc[[#This Row],[Author]],Table4[],2,0))</f>
        <v>HC</v>
      </c>
      <c r="L3035" s="125" t="s">
        <v>4896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9</v>
      </c>
      <c r="R3035" s="115" t="s">
        <v>1013</v>
      </c>
      <c r="S3035" s="125"/>
    </row>
    <row r="3036" spans="1:19" hidden="1">
      <c r="A3036" s="124" t="s">
        <v>5260</v>
      </c>
      <c r="B3036" s="125" t="str">
        <f>IFERROR(VLOOKUP(Proc[[#This Row],[App]],Table2[],3,0),"open")</f>
        <v>ok</v>
      </c>
      <c r="C3036" s="124" t="s">
        <v>369</v>
      </c>
      <c r="D3036" t="s">
        <v>5057</v>
      </c>
      <c r="E3036" t="s">
        <v>4069</v>
      </c>
      <c r="F3036" s="125" t="s">
        <v>4069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25" t="str">
        <f>IF(Proc[[#This Row],[Author]]="Marcela Urrego",VLOOKUP(LEFT(Proc[[#This Row],[Requested]],1),Table3[#All],2,0),VLOOKUP(Proc[[#This Row],[Author]],Table4[],2,0))</f>
        <v>HC</v>
      </c>
      <c r="L3036" s="125" t="s">
        <v>4896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9</v>
      </c>
      <c r="R3036" s="115" t="s">
        <v>1013</v>
      </c>
      <c r="S3036" s="125"/>
    </row>
    <row r="3037" spans="1:19" hidden="1">
      <c r="A3037" s="124" t="s">
        <v>5260</v>
      </c>
      <c r="B3037" s="125" t="str">
        <f>IFERROR(VLOOKUP(Proc[[#This Row],[App]],Table2[],3,0),"open")</f>
        <v>ok</v>
      </c>
      <c r="C3037" s="124" t="s">
        <v>369</v>
      </c>
      <c r="D3037" t="s">
        <v>5058</v>
      </c>
      <c r="E3037" t="s">
        <v>4069</v>
      </c>
      <c r="F3037" s="125" t="s">
        <v>4069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25" t="str">
        <f>IF(Proc[[#This Row],[Author]]="Marcela Urrego",VLOOKUP(LEFT(Proc[[#This Row],[Requested]],1),Table3[#All],2,0),VLOOKUP(Proc[[#This Row],[Author]],Table4[],2,0))</f>
        <v>HC</v>
      </c>
      <c r="L3037" s="125" t="s">
        <v>4896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9</v>
      </c>
      <c r="R3037" s="115" t="s">
        <v>1013</v>
      </c>
      <c r="S3037" s="125"/>
    </row>
    <row r="3038" spans="1:19" hidden="1">
      <c r="A3038" s="124" t="s">
        <v>5260</v>
      </c>
      <c r="B3038" s="125" t="str">
        <f>IFERROR(VLOOKUP(Proc[[#This Row],[App]],Table2[],3,0),"open")</f>
        <v>ok</v>
      </c>
      <c r="C3038" s="124" t="s">
        <v>369</v>
      </c>
      <c r="D3038" t="s">
        <v>5059</v>
      </c>
      <c r="E3038" t="s">
        <v>4069</v>
      </c>
      <c r="F3038" s="125" t="s">
        <v>4069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25" t="str">
        <f>IF(Proc[[#This Row],[Author]]="Marcela Urrego",VLOOKUP(LEFT(Proc[[#This Row],[Requested]],1),Table3[#All],2,0),VLOOKUP(Proc[[#This Row],[Author]],Table4[],2,0))</f>
        <v>HC</v>
      </c>
      <c r="L3038" s="125" t="s">
        <v>4896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9</v>
      </c>
      <c r="R3038" s="115" t="s">
        <v>1013</v>
      </c>
      <c r="S3038" s="125"/>
    </row>
    <row r="3039" spans="1:19" hidden="1">
      <c r="A3039" s="124" t="s">
        <v>5260</v>
      </c>
      <c r="B3039" s="125" t="str">
        <f>IFERROR(VLOOKUP(Proc[[#This Row],[App]],Table2[],3,0),"open")</f>
        <v>ok</v>
      </c>
      <c r="C3039" s="124" t="s">
        <v>369</v>
      </c>
      <c r="D3039" t="s">
        <v>5060</v>
      </c>
      <c r="E3039" t="s">
        <v>4069</v>
      </c>
      <c r="F3039" s="125" t="s">
        <v>4069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25" t="str">
        <f>IF(Proc[[#This Row],[Author]]="Marcela Urrego",VLOOKUP(LEFT(Proc[[#This Row],[Requested]],1),Table3[#All],2,0),VLOOKUP(Proc[[#This Row],[Author]],Table4[],2,0))</f>
        <v>HC</v>
      </c>
      <c r="L3039" s="125" t="s">
        <v>4896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9</v>
      </c>
      <c r="R3039" s="115" t="s">
        <v>1013</v>
      </c>
      <c r="S3039" s="125"/>
    </row>
    <row r="3040" spans="1:19" hidden="1">
      <c r="A3040" s="124" t="s">
        <v>5260</v>
      </c>
      <c r="B3040" s="125" t="str">
        <f>IFERROR(VLOOKUP(Proc[[#This Row],[App]],Table2[],3,0),"open")</f>
        <v>ok</v>
      </c>
      <c r="C3040" s="124" t="s">
        <v>369</v>
      </c>
      <c r="D3040" t="s">
        <v>5061</v>
      </c>
      <c r="E3040" t="s">
        <v>4069</v>
      </c>
      <c r="F3040" s="125" t="s">
        <v>4069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25" t="str">
        <f>IF(Proc[[#This Row],[Author]]="Marcela Urrego",VLOOKUP(LEFT(Proc[[#This Row],[Requested]],1),Table3[#All],2,0),VLOOKUP(Proc[[#This Row],[Author]],Table4[],2,0))</f>
        <v>HC</v>
      </c>
      <c r="L3040" s="125" t="s">
        <v>4896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9</v>
      </c>
      <c r="R3040" s="115" t="s">
        <v>1013</v>
      </c>
      <c r="S3040" s="125"/>
    </row>
    <row r="3041" spans="1:19" hidden="1">
      <c r="A3041" s="124" t="s">
        <v>5260</v>
      </c>
      <c r="B3041" s="125" t="str">
        <f>IFERROR(VLOOKUP(Proc[[#This Row],[App]],Table2[],3,0),"open")</f>
        <v>ok</v>
      </c>
      <c r="C3041" s="124" t="s">
        <v>369</v>
      </c>
      <c r="D3041" t="s">
        <v>5062</v>
      </c>
      <c r="E3041" t="s">
        <v>4069</v>
      </c>
      <c r="F3041" s="125" t="s">
        <v>4069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25" t="str">
        <f>IF(Proc[[#This Row],[Author]]="Marcela Urrego",VLOOKUP(LEFT(Proc[[#This Row],[Requested]],1),Table3[#All],2,0),VLOOKUP(Proc[[#This Row],[Author]],Table4[],2,0))</f>
        <v>HC</v>
      </c>
      <c r="L3041" s="125" t="s">
        <v>4896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9</v>
      </c>
      <c r="R3041" s="115" t="s">
        <v>1013</v>
      </c>
      <c r="S3041" s="125"/>
    </row>
    <row r="3042" spans="1:19" hidden="1">
      <c r="A3042" s="124" t="s">
        <v>5260</v>
      </c>
      <c r="B3042" s="125" t="str">
        <f>IFERROR(VLOOKUP(Proc[[#This Row],[App]],Table2[],3,0),"open")</f>
        <v>ok</v>
      </c>
      <c r="C3042" s="124" t="s">
        <v>369</v>
      </c>
      <c r="D3042" t="s">
        <v>5063</v>
      </c>
      <c r="E3042" t="s">
        <v>4069</v>
      </c>
      <c r="F3042" s="125" t="s">
        <v>4069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25" t="str">
        <f>IF(Proc[[#This Row],[Author]]="Marcela Urrego",VLOOKUP(LEFT(Proc[[#This Row],[Requested]],1),Table3[#All],2,0),VLOOKUP(Proc[[#This Row],[Author]],Table4[],2,0))</f>
        <v>HC</v>
      </c>
      <c r="L3042" s="125" t="s">
        <v>4896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9</v>
      </c>
      <c r="R3042" s="115" t="s">
        <v>1013</v>
      </c>
      <c r="S3042" s="125"/>
    </row>
    <row r="3043" spans="1:19" hidden="1">
      <c r="A3043" s="124" t="s">
        <v>5260</v>
      </c>
      <c r="B3043" s="125" t="str">
        <f>IFERROR(VLOOKUP(Proc[[#This Row],[App]],Table2[],3,0),"open")</f>
        <v>ok</v>
      </c>
      <c r="C3043" s="124" t="s">
        <v>369</v>
      </c>
      <c r="D3043" t="s">
        <v>5064</v>
      </c>
      <c r="E3043" t="s">
        <v>4069</v>
      </c>
      <c r="F3043" s="125" t="s">
        <v>4069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25" t="str">
        <f>IF(Proc[[#This Row],[Author]]="Marcela Urrego",VLOOKUP(LEFT(Proc[[#This Row],[Requested]],1),Table3[#All],2,0),VLOOKUP(Proc[[#This Row],[Author]],Table4[],2,0))</f>
        <v>HC</v>
      </c>
      <c r="L3043" s="125" t="s">
        <v>4896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9</v>
      </c>
      <c r="R3043" s="115" t="s">
        <v>1013</v>
      </c>
      <c r="S3043" s="125"/>
    </row>
    <row r="3044" spans="1:19" hidden="1">
      <c r="A3044" s="124" t="s">
        <v>5260</v>
      </c>
      <c r="B3044" s="125" t="str">
        <f>IFERROR(VLOOKUP(Proc[[#This Row],[App]],Table2[],3,0),"open")</f>
        <v>ok</v>
      </c>
      <c r="C3044" s="124" t="s">
        <v>369</v>
      </c>
      <c r="D3044" t="s">
        <v>5065</v>
      </c>
      <c r="E3044" t="s">
        <v>4069</v>
      </c>
      <c r="F3044" s="125" t="s">
        <v>4069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25" t="str">
        <f>IF(Proc[[#This Row],[Author]]="Marcela Urrego",VLOOKUP(LEFT(Proc[[#This Row],[Requested]],1),Table3[#All],2,0),VLOOKUP(Proc[[#This Row],[Author]],Table4[],2,0))</f>
        <v>HC</v>
      </c>
      <c r="L3044" s="125" t="s">
        <v>4896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9</v>
      </c>
      <c r="R3044" s="115" t="s">
        <v>1013</v>
      </c>
      <c r="S3044" s="125"/>
    </row>
    <row r="3045" spans="1:19" hidden="1">
      <c r="A3045" s="124" t="s">
        <v>5260</v>
      </c>
      <c r="B3045" s="125" t="str">
        <f>IFERROR(VLOOKUP(Proc[[#This Row],[App]],Table2[],3,0),"open")</f>
        <v>ok</v>
      </c>
      <c r="C3045" s="124" t="s">
        <v>369</v>
      </c>
      <c r="D3045" t="s">
        <v>5066</v>
      </c>
      <c r="E3045" t="s">
        <v>4069</v>
      </c>
      <c r="F3045" s="125" t="s">
        <v>4069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25" t="str">
        <f>IF(Proc[[#This Row],[Author]]="Marcela Urrego",VLOOKUP(LEFT(Proc[[#This Row],[Requested]],1),Table3[#All],2,0),VLOOKUP(Proc[[#This Row],[Author]],Table4[],2,0))</f>
        <v>HC</v>
      </c>
      <c r="L3045" s="125" t="s">
        <v>4896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9</v>
      </c>
      <c r="R3045" s="115" t="s">
        <v>1013</v>
      </c>
      <c r="S3045" s="125"/>
    </row>
    <row r="3046" spans="1:19" hidden="1">
      <c r="A3046" s="124" t="s">
        <v>5260</v>
      </c>
      <c r="B3046" s="125" t="str">
        <f>IFERROR(VLOOKUP(Proc[[#This Row],[App]],Table2[],3,0),"open")</f>
        <v>ok</v>
      </c>
      <c r="C3046" s="124" t="s">
        <v>369</v>
      </c>
      <c r="D3046" t="s">
        <v>5067</v>
      </c>
      <c r="E3046" t="s">
        <v>4069</v>
      </c>
      <c r="F3046" s="125" t="s">
        <v>4069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25" t="str">
        <f>IF(Proc[[#This Row],[Author]]="Marcela Urrego",VLOOKUP(LEFT(Proc[[#This Row],[Requested]],1),Table3[#All],2,0),VLOOKUP(Proc[[#This Row],[Author]],Table4[],2,0))</f>
        <v>HC</v>
      </c>
      <c r="L3046" s="125" t="s">
        <v>4896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9</v>
      </c>
      <c r="R3046" s="115" t="s">
        <v>1013</v>
      </c>
      <c r="S3046" s="125"/>
    </row>
    <row r="3047" spans="1:19" hidden="1">
      <c r="A3047" s="124" t="s">
        <v>5260</v>
      </c>
      <c r="B3047" s="125" t="str">
        <f>IFERROR(VLOOKUP(Proc[[#This Row],[App]],Table2[],3,0),"open")</f>
        <v>ok</v>
      </c>
      <c r="C3047" s="124" t="s">
        <v>369</v>
      </c>
      <c r="D3047" t="s">
        <v>5068</v>
      </c>
      <c r="E3047" t="s">
        <v>4069</v>
      </c>
      <c r="F3047" s="125" t="s">
        <v>4069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25" t="str">
        <f>IF(Proc[[#This Row],[Author]]="Marcela Urrego",VLOOKUP(LEFT(Proc[[#This Row],[Requested]],1),Table3[#All],2,0),VLOOKUP(Proc[[#This Row],[Author]],Table4[],2,0))</f>
        <v>HC</v>
      </c>
      <c r="L3047" s="125" t="s">
        <v>4896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9</v>
      </c>
      <c r="R3047" s="115" t="s">
        <v>1013</v>
      </c>
      <c r="S3047" s="125"/>
    </row>
    <row r="3048" spans="1:19" hidden="1">
      <c r="A3048" s="124" t="s">
        <v>5260</v>
      </c>
      <c r="B3048" s="125" t="str">
        <f>IFERROR(VLOOKUP(Proc[[#This Row],[App]],Table2[],3,0),"open")</f>
        <v>ok</v>
      </c>
      <c r="C3048" s="124" t="s">
        <v>369</v>
      </c>
      <c r="D3048" t="s">
        <v>5069</v>
      </c>
      <c r="E3048" t="s">
        <v>4069</v>
      </c>
      <c r="F3048" s="125" t="s">
        <v>4069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25" t="str">
        <f>IF(Proc[[#This Row],[Author]]="Marcela Urrego",VLOOKUP(LEFT(Proc[[#This Row],[Requested]],1),Table3[#All],2,0),VLOOKUP(Proc[[#This Row],[Author]],Table4[],2,0))</f>
        <v>HC</v>
      </c>
      <c r="L3048" s="125" t="s">
        <v>4896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9</v>
      </c>
      <c r="R3048" s="115" t="s">
        <v>1013</v>
      </c>
      <c r="S3048" s="125"/>
    </row>
    <row r="3049" spans="1:19" hidden="1">
      <c r="A3049" s="124" t="s">
        <v>5260</v>
      </c>
      <c r="B3049" s="125" t="str">
        <f>IFERROR(VLOOKUP(Proc[[#This Row],[App]],Table2[],3,0),"open")</f>
        <v>ok</v>
      </c>
      <c r="C3049" s="124" t="s">
        <v>369</v>
      </c>
      <c r="D3049" t="s">
        <v>5070</v>
      </c>
      <c r="E3049" t="s">
        <v>4069</v>
      </c>
      <c r="F3049" s="125" t="s">
        <v>4069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25" t="str">
        <f>IF(Proc[[#This Row],[Author]]="Marcela Urrego",VLOOKUP(LEFT(Proc[[#This Row],[Requested]],1),Table3[#All],2,0),VLOOKUP(Proc[[#This Row],[Author]],Table4[],2,0))</f>
        <v>HC</v>
      </c>
      <c r="L3049" s="125" t="s">
        <v>4896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9</v>
      </c>
      <c r="R3049" s="115" t="s">
        <v>1013</v>
      </c>
      <c r="S3049" s="125"/>
    </row>
    <row r="3050" spans="1:19" hidden="1">
      <c r="A3050" s="124" t="s">
        <v>5260</v>
      </c>
      <c r="B3050" s="125" t="str">
        <f>IFERROR(VLOOKUP(Proc[[#This Row],[App]],Table2[],3,0),"open")</f>
        <v>ok</v>
      </c>
      <c r="C3050" s="124" t="s">
        <v>369</v>
      </c>
      <c r="D3050" t="s">
        <v>5071</v>
      </c>
      <c r="E3050" t="s">
        <v>4069</v>
      </c>
      <c r="F3050" s="125" t="s">
        <v>4069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25" t="str">
        <f>IF(Proc[[#This Row],[Author]]="Marcela Urrego",VLOOKUP(LEFT(Proc[[#This Row],[Requested]],1),Table3[#All],2,0),VLOOKUP(Proc[[#This Row],[Author]],Table4[],2,0))</f>
        <v>HC</v>
      </c>
      <c r="L3050" s="125" t="s">
        <v>4896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9</v>
      </c>
      <c r="R3050" s="115" t="s">
        <v>1013</v>
      </c>
      <c r="S3050" s="125"/>
    </row>
    <row r="3051" spans="1:19" hidden="1">
      <c r="A3051" s="124" t="s">
        <v>5260</v>
      </c>
      <c r="B3051" s="125" t="str">
        <f>IFERROR(VLOOKUP(Proc[[#This Row],[App]],Table2[],3,0),"open")</f>
        <v>ok</v>
      </c>
      <c r="C3051" s="124" t="s">
        <v>369</v>
      </c>
      <c r="D3051" t="s">
        <v>5072</v>
      </c>
      <c r="E3051" t="s">
        <v>4069</v>
      </c>
      <c r="F3051" s="125" t="s">
        <v>4069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25" t="str">
        <f>IF(Proc[[#This Row],[Author]]="Marcela Urrego",VLOOKUP(LEFT(Proc[[#This Row],[Requested]],1),Table3[#All],2,0),VLOOKUP(Proc[[#This Row],[Author]],Table4[],2,0))</f>
        <v>HC</v>
      </c>
      <c r="L3051" s="125" t="s">
        <v>4896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9</v>
      </c>
      <c r="R3051" s="115" t="s">
        <v>1013</v>
      </c>
      <c r="S3051" s="125"/>
    </row>
    <row r="3052" spans="1:19" hidden="1">
      <c r="A3052" s="124" t="s">
        <v>5260</v>
      </c>
      <c r="B3052" s="125" t="str">
        <f>IFERROR(VLOOKUP(Proc[[#This Row],[App]],Table2[],3,0),"open")</f>
        <v>ok</v>
      </c>
      <c r="C3052" s="124" t="s">
        <v>369</v>
      </c>
      <c r="D3052" t="s">
        <v>5073</v>
      </c>
      <c r="E3052" t="s">
        <v>4069</v>
      </c>
      <c r="F3052" s="125" t="s">
        <v>4069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25" t="str">
        <f>IF(Proc[[#This Row],[Author]]="Marcela Urrego",VLOOKUP(LEFT(Proc[[#This Row],[Requested]],1),Table3[#All],2,0),VLOOKUP(Proc[[#This Row],[Author]],Table4[],2,0))</f>
        <v>HC</v>
      </c>
      <c r="L3052" s="125" t="s">
        <v>4896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9</v>
      </c>
      <c r="R3052" s="115" t="s">
        <v>1013</v>
      </c>
      <c r="S3052" s="125"/>
    </row>
    <row r="3053" spans="1:19" hidden="1">
      <c r="A3053" s="124" t="s">
        <v>5260</v>
      </c>
      <c r="B3053" s="125" t="str">
        <f>IFERROR(VLOOKUP(Proc[[#This Row],[App]],Table2[],3,0),"open")</f>
        <v>ok</v>
      </c>
      <c r="C3053" s="124" t="s">
        <v>369</v>
      </c>
      <c r="D3053" t="s">
        <v>5074</v>
      </c>
      <c r="E3053" t="s">
        <v>4069</v>
      </c>
      <c r="F3053" s="125" t="s">
        <v>4069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25" t="str">
        <f>IF(Proc[[#This Row],[Author]]="Marcela Urrego",VLOOKUP(LEFT(Proc[[#This Row],[Requested]],1),Table3[#All],2,0),VLOOKUP(Proc[[#This Row],[Author]],Table4[],2,0))</f>
        <v>HC</v>
      </c>
      <c r="L3053" s="125" t="s">
        <v>4896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9</v>
      </c>
      <c r="R3053" s="115" t="s">
        <v>1013</v>
      </c>
      <c r="S3053" s="125"/>
    </row>
    <row r="3054" spans="1:19" hidden="1">
      <c r="A3054" s="124" t="s">
        <v>5260</v>
      </c>
      <c r="B3054" s="125" t="str">
        <f>IFERROR(VLOOKUP(Proc[[#This Row],[App]],Table2[],3,0),"open")</f>
        <v>ok</v>
      </c>
      <c r="C3054" s="124" t="s">
        <v>369</v>
      </c>
      <c r="D3054" t="s">
        <v>5075</v>
      </c>
      <c r="E3054" t="s">
        <v>4069</v>
      </c>
      <c r="F3054" s="125" t="s">
        <v>4069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25" t="str">
        <f>IF(Proc[[#This Row],[Author]]="Marcela Urrego",VLOOKUP(LEFT(Proc[[#This Row],[Requested]],1),Table3[#All],2,0),VLOOKUP(Proc[[#This Row],[Author]],Table4[],2,0))</f>
        <v>HC</v>
      </c>
      <c r="L3054" s="125" t="s">
        <v>4896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9</v>
      </c>
      <c r="R3054" s="115" t="s">
        <v>1013</v>
      </c>
      <c r="S3054" s="125"/>
    </row>
    <row r="3055" spans="1:19" hidden="1">
      <c r="A3055" s="124" t="s">
        <v>5260</v>
      </c>
      <c r="B3055" s="125" t="str">
        <f>IFERROR(VLOOKUP(Proc[[#This Row],[App]],Table2[],3,0),"open")</f>
        <v>ok</v>
      </c>
      <c r="C3055" s="124" t="s">
        <v>369</v>
      </c>
      <c r="D3055" t="s">
        <v>5076</v>
      </c>
      <c r="E3055" t="s">
        <v>4069</v>
      </c>
      <c r="F3055" s="125" t="s">
        <v>4069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25" t="str">
        <f>IF(Proc[[#This Row],[Author]]="Marcela Urrego",VLOOKUP(LEFT(Proc[[#This Row],[Requested]],1),Table3[#All],2,0),VLOOKUP(Proc[[#This Row],[Author]],Table4[],2,0))</f>
        <v>HC</v>
      </c>
      <c r="L3055" s="125" t="s">
        <v>4896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9</v>
      </c>
      <c r="R3055" s="115" t="s">
        <v>1013</v>
      </c>
      <c r="S3055" s="125"/>
    </row>
    <row r="3056" spans="1:19" hidden="1">
      <c r="A3056" s="124" t="s">
        <v>5260</v>
      </c>
      <c r="B3056" s="125" t="str">
        <f>IFERROR(VLOOKUP(Proc[[#This Row],[App]],Table2[],3,0),"open")</f>
        <v>ok</v>
      </c>
      <c r="C3056" s="124" t="s">
        <v>369</v>
      </c>
      <c r="D3056" t="s">
        <v>5077</v>
      </c>
      <c r="E3056" t="s">
        <v>4069</v>
      </c>
      <c r="F3056" s="125" t="s">
        <v>4069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25" t="str">
        <f>IF(Proc[[#This Row],[Author]]="Marcela Urrego",VLOOKUP(LEFT(Proc[[#This Row],[Requested]],1),Table3[#All],2,0),VLOOKUP(Proc[[#This Row],[Author]],Table4[],2,0))</f>
        <v>HC</v>
      </c>
      <c r="L3056" s="125" t="s">
        <v>4896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9</v>
      </c>
      <c r="R3056" s="115" t="s">
        <v>1013</v>
      </c>
      <c r="S3056" s="125"/>
    </row>
    <row r="3057" spans="1:19" hidden="1">
      <c r="A3057" s="124" t="s">
        <v>5260</v>
      </c>
      <c r="B3057" s="125" t="str">
        <f>IFERROR(VLOOKUP(Proc[[#This Row],[App]],Table2[],3,0),"open")</f>
        <v>ok</v>
      </c>
      <c r="C3057" s="124" t="s">
        <v>369</v>
      </c>
      <c r="D3057" t="s">
        <v>5078</v>
      </c>
      <c r="E3057" t="s">
        <v>4069</v>
      </c>
      <c r="F3057" s="125" t="s">
        <v>4069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25" t="str">
        <f>IF(Proc[[#This Row],[Author]]="Marcela Urrego",VLOOKUP(LEFT(Proc[[#This Row],[Requested]],1),Table3[#All],2,0),VLOOKUP(Proc[[#This Row],[Author]],Table4[],2,0))</f>
        <v>HC</v>
      </c>
      <c r="L3057" s="125" t="s">
        <v>4896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9</v>
      </c>
      <c r="R3057" s="115" t="s">
        <v>1013</v>
      </c>
      <c r="S3057" s="125"/>
    </row>
    <row r="3058" spans="1:19" hidden="1">
      <c r="A3058" s="124" t="s">
        <v>5260</v>
      </c>
      <c r="B3058" s="125" t="str">
        <f>IFERROR(VLOOKUP(Proc[[#This Row],[App]],Table2[],3,0),"open")</f>
        <v>ok</v>
      </c>
      <c r="C3058" s="124" t="s">
        <v>369</v>
      </c>
      <c r="D3058" t="s">
        <v>5079</v>
      </c>
      <c r="E3058" t="s">
        <v>4069</v>
      </c>
      <c r="F3058" s="125" t="s">
        <v>4069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25" t="str">
        <f>IF(Proc[[#This Row],[Author]]="Marcela Urrego",VLOOKUP(LEFT(Proc[[#This Row],[Requested]],1),Table3[#All],2,0),VLOOKUP(Proc[[#This Row],[Author]],Table4[],2,0))</f>
        <v>HC</v>
      </c>
      <c r="L3058" s="125" t="s">
        <v>4896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9</v>
      </c>
      <c r="R3058" s="115" t="s">
        <v>1013</v>
      </c>
      <c r="S3058" s="125"/>
    </row>
    <row r="3059" spans="1:19" hidden="1">
      <c r="A3059" s="124" t="s">
        <v>5260</v>
      </c>
      <c r="B3059" s="125" t="str">
        <f>IFERROR(VLOOKUP(Proc[[#This Row],[App]],Table2[],3,0),"open")</f>
        <v>ok</v>
      </c>
      <c r="C3059" s="124" t="s">
        <v>369</v>
      </c>
      <c r="D3059" t="s">
        <v>5080</v>
      </c>
      <c r="E3059" t="s">
        <v>4069</v>
      </c>
      <c r="F3059" s="125" t="s">
        <v>4069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25" t="str">
        <f>IF(Proc[[#This Row],[Author]]="Marcela Urrego",VLOOKUP(LEFT(Proc[[#This Row],[Requested]],1),Table3[#All],2,0),VLOOKUP(Proc[[#This Row],[Author]],Table4[],2,0))</f>
        <v>HC</v>
      </c>
      <c r="L3059" s="125" t="s">
        <v>4896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9</v>
      </c>
      <c r="R3059" s="115" t="s">
        <v>1013</v>
      </c>
      <c r="S3059" s="125"/>
    </row>
    <row r="3060" spans="1:19" hidden="1">
      <c r="A3060" s="124" t="s">
        <v>5260</v>
      </c>
      <c r="B3060" s="125" t="str">
        <f>IFERROR(VLOOKUP(Proc[[#This Row],[App]],Table2[],3,0),"open")</f>
        <v>ok</v>
      </c>
      <c r="C3060" s="124" t="s">
        <v>369</v>
      </c>
      <c r="D3060" t="s">
        <v>5081</v>
      </c>
      <c r="E3060" t="s">
        <v>4069</v>
      </c>
      <c r="F3060" s="125" t="s">
        <v>4069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25" t="str">
        <f>IF(Proc[[#This Row],[Author]]="Marcela Urrego",VLOOKUP(LEFT(Proc[[#This Row],[Requested]],1),Table3[#All],2,0),VLOOKUP(Proc[[#This Row],[Author]],Table4[],2,0))</f>
        <v>HC</v>
      </c>
      <c r="L3060" s="125" t="s">
        <v>4896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9</v>
      </c>
      <c r="R3060" s="115" t="s">
        <v>1013</v>
      </c>
      <c r="S3060" s="125"/>
    </row>
    <row r="3061" spans="1:19" hidden="1">
      <c r="A3061" s="124" t="s">
        <v>5260</v>
      </c>
      <c r="B3061" s="125" t="str">
        <f>IFERROR(VLOOKUP(Proc[[#This Row],[App]],Table2[],3,0),"open")</f>
        <v>ok</v>
      </c>
      <c r="C3061" s="124" t="s">
        <v>369</v>
      </c>
      <c r="D3061" t="s">
        <v>5082</v>
      </c>
      <c r="E3061" t="s">
        <v>4069</v>
      </c>
      <c r="F3061" s="125" t="s">
        <v>4069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25" t="str">
        <f>IF(Proc[[#This Row],[Author]]="Marcela Urrego",VLOOKUP(LEFT(Proc[[#This Row],[Requested]],1),Table3[#All],2,0),VLOOKUP(Proc[[#This Row],[Author]],Table4[],2,0))</f>
        <v>HC</v>
      </c>
      <c r="L3061" s="125" t="s">
        <v>4896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9</v>
      </c>
      <c r="R3061" s="115" t="s">
        <v>1013</v>
      </c>
      <c r="S3061" s="125"/>
    </row>
    <row r="3062" spans="1:19" hidden="1">
      <c r="A3062" s="124" t="s">
        <v>5260</v>
      </c>
      <c r="B3062" s="125" t="str">
        <f>IFERROR(VLOOKUP(Proc[[#This Row],[App]],Table2[],3,0),"open")</f>
        <v>ok</v>
      </c>
      <c r="C3062" s="124" t="s">
        <v>369</v>
      </c>
      <c r="D3062" t="s">
        <v>5083</v>
      </c>
      <c r="E3062" t="s">
        <v>4069</v>
      </c>
      <c r="F3062" s="125" t="s">
        <v>4069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25" t="str">
        <f>IF(Proc[[#This Row],[Author]]="Marcela Urrego",VLOOKUP(LEFT(Proc[[#This Row],[Requested]],1),Table3[#All],2,0),VLOOKUP(Proc[[#This Row],[Author]],Table4[],2,0))</f>
        <v>HC</v>
      </c>
      <c r="L3062" s="125" t="s">
        <v>4896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9</v>
      </c>
      <c r="R3062" s="115" t="s">
        <v>1013</v>
      </c>
      <c r="S3062" s="125"/>
    </row>
    <row r="3063" spans="1:19" hidden="1">
      <c r="A3063" s="124" t="s">
        <v>5260</v>
      </c>
      <c r="B3063" s="125" t="str">
        <f>IFERROR(VLOOKUP(Proc[[#This Row],[App]],Table2[],3,0),"open")</f>
        <v>ok</v>
      </c>
      <c r="C3063" s="124" t="s">
        <v>369</v>
      </c>
      <c r="D3063" t="s">
        <v>5084</v>
      </c>
      <c r="E3063" t="s">
        <v>4069</v>
      </c>
      <c r="F3063" s="125" t="s">
        <v>4069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25" t="str">
        <f>IF(Proc[[#This Row],[Author]]="Marcela Urrego",VLOOKUP(LEFT(Proc[[#This Row],[Requested]],1),Table3[#All],2,0),VLOOKUP(Proc[[#This Row],[Author]],Table4[],2,0))</f>
        <v>HC</v>
      </c>
      <c r="L3063" s="125" t="s">
        <v>4896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9</v>
      </c>
      <c r="R3063" s="115" t="s">
        <v>1013</v>
      </c>
      <c r="S3063" s="125"/>
    </row>
    <row r="3064" spans="1:19" hidden="1">
      <c r="A3064" s="124" t="s">
        <v>5260</v>
      </c>
      <c r="B3064" s="125" t="str">
        <f>IFERROR(VLOOKUP(Proc[[#This Row],[App]],Table2[],3,0),"open")</f>
        <v>ok</v>
      </c>
      <c r="C3064" s="124" t="s">
        <v>369</v>
      </c>
      <c r="D3064" t="s">
        <v>5085</v>
      </c>
      <c r="E3064" t="s">
        <v>4069</v>
      </c>
      <c r="F3064" s="125" t="s">
        <v>4069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25" t="str">
        <f>IF(Proc[[#This Row],[Author]]="Marcela Urrego",VLOOKUP(LEFT(Proc[[#This Row],[Requested]],1),Table3[#All],2,0),VLOOKUP(Proc[[#This Row],[Author]],Table4[],2,0))</f>
        <v>HC</v>
      </c>
      <c r="L3064" s="125" t="s">
        <v>4896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9</v>
      </c>
      <c r="R3064" s="115" t="s">
        <v>1013</v>
      </c>
      <c r="S3064" s="125"/>
    </row>
    <row r="3065" spans="1:19" hidden="1">
      <c r="A3065" s="124" t="s">
        <v>5260</v>
      </c>
      <c r="B3065" s="125" t="str">
        <f>IFERROR(VLOOKUP(Proc[[#This Row],[App]],Table2[],3,0),"open")</f>
        <v>ok</v>
      </c>
      <c r="C3065" s="124" t="s">
        <v>369</v>
      </c>
      <c r="D3065" t="s">
        <v>5086</v>
      </c>
      <c r="E3065" t="s">
        <v>4069</v>
      </c>
      <c r="F3065" s="125" t="s">
        <v>4069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25" t="str">
        <f>IF(Proc[[#This Row],[Author]]="Marcela Urrego",VLOOKUP(LEFT(Proc[[#This Row],[Requested]],1),Table3[#All],2,0),VLOOKUP(Proc[[#This Row],[Author]],Table4[],2,0))</f>
        <v>HC</v>
      </c>
      <c r="L3065" s="125" t="s">
        <v>4896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9</v>
      </c>
      <c r="R3065" s="115" t="s">
        <v>1013</v>
      </c>
      <c r="S3065" s="125"/>
    </row>
    <row r="3066" spans="1:19" hidden="1">
      <c r="A3066" s="124" t="s">
        <v>5260</v>
      </c>
      <c r="B3066" s="125" t="str">
        <f>IFERROR(VLOOKUP(Proc[[#This Row],[App]],Table2[],3,0),"open")</f>
        <v>ok</v>
      </c>
      <c r="C3066" s="124" t="s">
        <v>369</v>
      </c>
      <c r="D3066" t="s">
        <v>5087</v>
      </c>
      <c r="E3066" t="s">
        <v>4069</v>
      </c>
      <c r="F3066" s="125" t="s">
        <v>4069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25" t="str">
        <f>IF(Proc[[#This Row],[Author]]="Marcela Urrego",VLOOKUP(LEFT(Proc[[#This Row],[Requested]],1),Table3[#All],2,0),VLOOKUP(Proc[[#This Row],[Author]],Table4[],2,0))</f>
        <v>HC</v>
      </c>
      <c r="L3066" s="125" t="s">
        <v>4896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9</v>
      </c>
      <c r="R3066" s="115" t="s">
        <v>1013</v>
      </c>
      <c r="S3066" s="125"/>
    </row>
    <row r="3067" spans="1:19" hidden="1">
      <c r="A3067" s="124" t="s">
        <v>5260</v>
      </c>
      <c r="B3067" s="125" t="str">
        <f>IFERROR(VLOOKUP(Proc[[#This Row],[App]],Table2[],3,0),"open")</f>
        <v>ok</v>
      </c>
      <c r="C3067" s="124" t="s">
        <v>369</v>
      </c>
      <c r="D3067" t="s">
        <v>5088</v>
      </c>
      <c r="E3067" t="s">
        <v>4069</v>
      </c>
      <c r="F3067" s="125" t="s">
        <v>4069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25" t="str">
        <f>IF(Proc[[#This Row],[Author]]="Marcela Urrego",VLOOKUP(LEFT(Proc[[#This Row],[Requested]],1),Table3[#All],2,0),VLOOKUP(Proc[[#This Row],[Author]],Table4[],2,0))</f>
        <v>HC</v>
      </c>
      <c r="L3067" s="125" t="s">
        <v>4896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9</v>
      </c>
      <c r="R3067" s="115" t="s">
        <v>1013</v>
      </c>
      <c r="S3067" s="125"/>
    </row>
    <row r="3068" spans="1:19" hidden="1">
      <c r="A3068" s="124" t="s">
        <v>5260</v>
      </c>
      <c r="B3068" s="125" t="str">
        <f>IFERROR(VLOOKUP(Proc[[#This Row],[App]],Table2[],3,0),"open")</f>
        <v>ok</v>
      </c>
      <c r="C3068" s="124" t="s">
        <v>369</v>
      </c>
      <c r="D3068" t="s">
        <v>5089</v>
      </c>
      <c r="E3068" t="s">
        <v>4069</v>
      </c>
      <c r="F3068" s="125" t="s">
        <v>4069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25" t="str">
        <f>IF(Proc[[#This Row],[Author]]="Marcela Urrego",VLOOKUP(LEFT(Proc[[#This Row],[Requested]],1),Table3[#All],2,0),VLOOKUP(Proc[[#This Row],[Author]],Table4[],2,0))</f>
        <v>HC</v>
      </c>
      <c r="L3068" s="125" t="s">
        <v>4896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9</v>
      </c>
      <c r="R3068" s="115" t="s">
        <v>1013</v>
      </c>
      <c r="S3068" s="125"/>
    </row>
    <row r="3069" spans="1:19" hidden="1">
      <c r="A3069" s="124" t="s">
        <v>5260</v>
      </c>
      <c r="B3069" s="125" t="str">
        <f>IFERROR(VLOOKUP(Proc[[#This Row],[App]],Table2[],3,0),"open")</f>
        <v>ok</v>
      </c>
      <c r="C3069" s="124" t="s">
        <v>369</v>
      </c>
      <c r="D3069" t="s">
        <v>5090</v>
      </c>
      <c r="E3069" t="s">
        <v>4069</v>
      </c>
      <c r="F3069" s="125" t="s">
        <v>4069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25" t="str">
        <f>IF(Proc[[#This Row],[Author]]="Marcela Urrego",VLOOKUP(LEFT(Proc[[#This Row],[Requested]],1),Table3[#All],2,0),VLOOKUP(Proc[[#This Row],[Author]],Table4[],2,0))</f>
        <v>HC</v>
      </c>
      <c r="L3069" s="125" t="s">
        <v>4896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9</v>
      </c>
      <c r="R3069" s="115" t="s">
        <v>1013</v>
      </c>
      <c r="S3069" s="125"/>
    </row>
    <row r="3070" spans="1:19" hidden="1">
      <c r="A3070" s="124" t="s">
        <v>5260</v>
      </c>
      <c r="B3070" s="125" t="str">
        <f>IFERROR(VLOOKUP(Proc[[#This Row],[App]],Table2[],3,0),"open")</f>
        <v>ok</v>
      </c>
      <c r="C3070" s="124" t="s">
        <v>369</v>
      </c>
      <c r="D3070" t="s">
        <v>5091</v>
      </c>
      <c r="E3070" t="s">
        <v>4069</v>
      </c>
      <c r="F3070" s="125" t="s">
        <v>4069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25" t="str">
        <f>IF(Proc[[#This Row],[Author]]="Marcela Urrego",VLOOKUP(LEFT(Proc[[#This Row],[Requested]],1),Table3[#All],2,0),VLOOKUP(Proc[[#This Row],[Author]],Table4[],2,0))</f>
        <v>HC</v>
      </c>
      <c r="L3070" s="125" t="s">
        <v>4896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9</v>
      </c>
      <c r="R3070" s="115" t="s">
        <v>1013</v>
      </c>
      <c r="S3070" s="125"/>
    </row>
    <row r="3071" spans="1:19" hidden="1">
      <c r="A3071" s="124" t="s">
        <v>5260</v>
      </c>
      <c r="B3071" s="125" t="str">
        <f>IFERROR(VLOOKUP(Proc[[#This Row],[App]],Table2[],3,0),"open")</f>
        <v>ok</v>
      </c>
      <c r="C3071" s="124" t="s">
        <v>369</v>
      </c>
      <c r="D3071" t="s">
        <v>5092</v>
      </c>
      <c r="E3071" t="s">
        <v>4069</v>
      </c>
      <c r="F3071" s="125" t="s">
        <v>4069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25" t="str">
        <f>IF(Proc[[#This Row],[Author]]="Marcela Urrego",VLOOKUP(LEFT(Proc[[#This Row],[Requested]],1),Table3[#All],2,0),VLOOKUP(Proc[[#This Row],[Author]],Table4[],2,0))</f>
        <v>HC</v>
      </c>
      <c r="L3071" s="125" t="s">
        <v>4896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9</v>
      </c>
      <c r="R3071" s="115" t="s">
        <v>1013</v>
      </c>
      <c r="S3071" s="125"/>
    </row>
    <row r="3072" spans="1:19" hidden="1">
      <c r="A3072" s="124" t="s">
        <v>5260</v>
      </c>
      <c r="B3072" s="125" t="str">
        <f>IFERROR(VLOOKUP(Proc[[#This Row],[App]],Table2[],3,0),"open")</f>
        <v>ok</v>
      </c>
      <c r="C3072" s="124" t="s">
        <v>369</v>
      </c>
      <c r="D3072" t="s">
        <v>5093</v>
      </c>
      <c r="E3072" t="s">
        <v>4069</v>
      </c>
      <c r="F3072" s="125" t="s">
        <v>4069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25" t="str">
        <f>IF(Proc[[#This Row],[Author]]="Marcela Urrego",VLOOKUP(LEFT(Proc[[#This Row],[Requested]],1),Table3[#All],2,0),VLOOKUP(Proc[[#This Row],[Author]],Table4[],2,0))</f>
        <v>HC</v>
      </c>
      <c r="L3072" s="125" t="s">
        <v>4896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9</v>
      </c>
      <c r="R3072" s="115" t="s">
        <v>1013</v>
      </c>
      <c r="S3072" s="125"/>
    </row>
    <row r="3073" spans="1:19" hidden="1">
      <c r="A3073" s="124" t="s">
        <v>5260</v>
      </c>
      <c r="B3073" s="125" t="str">
        <f>IFERROR(VLOOKUP(Proc[[#This Row],[App]],Table2[],3,0),"open")</f>
        <v>ok</v>
      </c>
      <c r="C3073" s="124" t="s">
        <v>369</v>
      </c>
      <c r="D3073" t="s">
        <v>5094</v>
      </c>
      <c r="E3073" t="s">
        <v>4069</v>
      </c>
      <c r="F3073" s="125" t="s">
        <v>4069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25" t="str">
        <f>IF(Proc[[#This Row],[Author]]="Marcela Urrego",VLOOKUP(LEFT(Proc[[#This Row],[Requested]],1),Table3[#All],2,0),VLOOKUP(Proc[[#This Row],[Author]],Table4[],2,0))</f>
        <v>HC</v>
      </c>
      <c r="L3073" s="125" t="s">
        <v>4896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9</v>
      </c>
      <c r="R3073" s="115" t="s">
        <v>1013</v>
      </c>
      <c r="S3073" s="125"/>
    </row>
    <row r="3074" spans="1:19" hidden="1">
      <c r="A3074" s="124" t="s">
        <v>5260</v>
      </c>
      <c r="B3074" s="125" t="str">
        <f>IFERROR(VLOOKUP(Proc[[#This Row],[App]],Table2[],3,0),"open")</f>
        <v>ok</v>
      </c>
      <c r="C3074" s="124" t="s">
        <v>369</v>
      </c>
      <c r="D3074" t="s">
        <v>5095</v>
      </c>
      <c r="E3074" t="s">
        <v>4069</v>
      </c>
      <c r="F3074" s="125" t="s">
        <v>4069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25" t="str">
        <f>IF(Proc[[#This Row],[Author]]="Marcela Urrego",VLOOKUP(LEFT(Proc[[#This Row],[Requested]],1),Table3[#All],2,0),VLOOKUP(Proc[[#This Row],[Author]],Table4[],2,0))</f>
        <v>HC</v>
      </c>
      <c r="L3074" s="125" t="s">
        <v>4896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9</v>
      </c>
      <c r="R3074" s="115" t="s">
        <v>1013</v>
      </c>
      <c r="S3074" s="125"/>
    </row>
    <row r="3075" spans="1:19" hidden="1">
      <c r="A3075" s="124" t="s">
        <v>5260</v>
      </c>
      <c r="B3075" s="125" t="str">
        <f>IFERROR(VLOOKUP(Proc[[#This Row],[App]],Table2[],3,0),"open")</f>
        <v>ok</v>
      </c>
      <c r="C3075" s="124" t="s">
        <v>369</v>
      </c>
      <c r="D3075" t="s">
        <v>5096</v>
      </c>
      <c r="E3075" t="s">
        <v>4069</v>
      </c>
      <c r="F3075" s="125" t="s">
        <v>4069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25" t="str">
        <f>IF(Proc[[#This Row],[Author]]="Marcela Urrego",VLOOKUP(LEFT(Proc[[#This Row],[Requested]],1),Table3[#All],2,0),VLOOKUP(Proc[[#This Row],[Author]],Table4[],2,0))</f>
        <v>HC</v>
      </c>
      <c r="L3075" s="125" t="s">
        <v>4896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9</v>
      </c>
      <c r="R3075" s="115" t="s">
        <v>1013</v>
      </c>
      <c r="S3075" s="125"/>
    </row>
    <row r="3076" spans="1:19" hidden="1">
      <c r="A3076" s="124" t="s">
        <v>5260</v>
      </c>
      <c r="B3076" s="125" t="str">
        <f>IFERROR(VLOOKUP(Proc[[#This Row],[App]],Table2[],3,0),"open")</f>
        <v>ok</v>
      </c>
      <c r="C3076" s="124" t="s">
        <v>369</v>
      </c>
      <c r="D3076" t="s">
        <v>5097</v>
      </c>
      <c r="E3076" t="s">
        <v>4069</v>
      </c>
      <c r="F3076" s="125" t="s">
        <v>4069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25" t="str">
        <f>IF(Proc[[#This Row],[Author]]="Marcela Urrego",VLOOKUP(LEFT(Proc[[#This Row],[Requested]],1),Table3[#All],2,0),VLOOKUP(Proc[[#This Row],[Author]],Table4[],2,0))</f>
        <v>HC</v>
      </c>
      <c r="L3076" s="125" t="s">
        <v>4896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9</v>
      </c>
      <c r="R3076" s="115" t="s">
        <v>1013</v>
      </c>
      <c r="S3076" s="125"/>
    </row>
    <row r="3077" spans="1:19" hidden="1">
      <c r="A3077" s="124" t="s">
        <v>5260</v>
      </c>
      <c r="B3077" s="125" t="str">
        <f>IFERROR(VLOOKUP(Proc[[#This Row],[App]],Table2[],3,0),"open")</f>
        <v>ok</v>
      </c>
      <c r="C3077" s="124" t="s">
        <v>369</v>
      </c>
      <c r="D3077" t="s">
        <v>5098</v>
      </c>
      <c r="E3077" t="s">
        <v>4069</v>
      </c>
      <c r="F3077" s="125" t="s">
        <v>4069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25" t="str">
        <f>IF(Proc[[#This Row],[Author]]="Marcela Urrego",VLOOKUP(LEFT(Proc[[#This Row],[Requested]],1),Table3[#All],2,0),VLOOKUP(Proc[[#This Row],[Author]],Table4[],2,0))</f>
        <v>HC</v>
      </c>
      <c r="L3077" s="125" t="s">
        <v>4896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9</v>
      </c>
      <c r="R3077" s="115" t="s">
        <v>1013</v>
      </c>
      <c r="S3077" s="125"/>
    </row>
    <row r="3078" spans="1:19" hidden="1">
      <c r="A3078" s="124" t="s">
        <v>5260</v>
      </c>
      <c r="B3078" s="125" t="str">
        <f>IFERROR(VLOOKUP(Proc[[#This Row],[App]],Table2[],3,0),"open")</f>
        <v>ok</v>
      </c>
      <c r="C3078" s="124" t="s">
        <v>369</v>
      </c>
      <c r="D3078" t="s">
        <v>5099</v>
      </c>
      <c r="E3078" t="s">
        <v>4069</v>
      </c>
      <c r="F3078" s="125" t="s">
        <v>4069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25" t="str">
        <f>IF(Proc[[#This Row],[Author]]="Marcela Urrego",VLOOKUP(LEFT(Proc[[#This Row],[Requested]],1),Table3[#All],2,0),VLOOKUP(Proc[[#This Row],[Author]],Table4[],2,0))</f>
        <v>HC</v>
      </c>
      <c r="L3078" s="125" t="s">
        <v>4896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9</v>
      </c>
      <c r="R3078" s="115" t="s">
        <v>1013</v>
      </c>
      <c r="S3078" s="125"/>
    </row>
    <row r="3079" spans="1:19" hidden="1">
      <c r="A3079" s="124" t="s">
        <v>5260</v>
      </c>
      <c r="B3079" s="125" t="str">
        <f>IFERROR(VLOOKUP(Proc[[#This Row],[App]],Table2[],3,0),"open")</f>
        <v>ok</v>
      </c>
      <c r="C3079" s="124" t="s">
        <v>369</v>
      </c>
      <c r="D3079" t="s">
        <v>5100</v>
      </c>
      <c r="E3079" t="s">
        <v>4069</v>
      </c>
      <c r="F3079" s="125" t="s">
        <v>4069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25" t="str">
        <f>IF(Proc[[#This Row],[Author]]="Marcela Urrego",VLOOKUP(LEFT(Proc[[#This Row],[Requested]],1),Table3[#All],2,0),VLOOKUP(Proc[[#This Row],[Author]],Table4[],2,0))</f>
        <v>HC</v>
      </c>
      <c r="L3079" s="125" t="s">
        <v>4896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9</v>
      </c>
      <c r="R3079" s="115" t="s">
        <v>1013</v>
      </c>
      <c r="S3079" s="125"/>
    </row>
    <row r="3080" spans="1:19" hidden="1">
      <c r="A3080" s="124" t="s">
        <v>5260</v>
      </c>
      <c r="B3080" s="125" t="str">
        <f>IFERROR(VLOOKUP(Proc[[#This Row],[App]],Table2[],3,0),"open")</f>
        <v>ok</v>
      </c>
      <c r="C3080" s="124" t="s">
        <v>369</v>
      </c>
      <c r="D3080" t="s">
        <v>5101</v>
      </c>
      <c r="E3080" t="s">
        <v>4069</v>
      </c>
      <c r="F3080" s="125" t="s">
        <v>4069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25" t="str">
        <f>IF(Proc[[#This Row],[Author]]="Marcela Urrego",VLOOKUP(LEFT(Proc[[#This Row],[Requested]],1),Table3[#All],2,0),VLOOKUP(Proc[[#This Row],[Author]],Table4[],2,0))</f>
        <v>HC</v>
      </c>
      <c r="L3080" s="125" t="s">
        <v>4896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9</v>
      </c>
      <c r="R3080" s="115" t="s">
        <v>1013</v>
      </c>
      <c r="S3080" s="125"/>
    </row>
    <row r="3081" spans="1:19" hidden="1">
      <c r="A3081" s="124" t="s">
        <v>5260</v>
      </c>
      <c r="B3081" s="125" t="str">
        <f>IFERROR(VLOOKUP(Proc[[#This Row],[App]],Table2[],3,0),"open")</f>
        <v>ok</v>
      </c>
      <c r="C3081" s="124" t="s">
        <v>369</v>
      </c>
      <c r="D3081" t="s">
        <v>5102</v>
      </c>
      <c r="E3081" t="s">
        <v>4069</v>
      </c>
      <c r="F3081" s="125" t="s">
        <v>4069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25" t="str">
        <f>IF(Proc[[#This Row],[Author]]="Marcela Urrego",VLOOKUP(LEFT(Proc[[#This Row],[Requested]],1),Table3[#All],2,0),VLOOKUP(Proc[[#This Row],[Author]],Table4[],2,0))</f>
        <v>HC</v>
      </c>
      <c r="L3081" s="125" t="s">
        <v>4896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9</v>
      </c>
      <c r="R3081" s="115" t="s">
        <v>1013</v>
      </c>
      <c r="S3081" s="125"/>
    </row>
    <row r="3082" spans="1:19" hidden="1">
      <c r="A3082" s="124" t="s">
        <v>5260</v>
      </c>
      <c r="B3082" s="125" t="str">
        <f>IFERROR(VLOOKUP(Proc[[#This Row],[App]],Table2[],3,0),"open")</f>
        <v>ok</v>
      </c>
      <c r="C3082" s="124" t="s">
        <v>369</v>
      </c>
      <c r="D3082" t="s">
        <v>5103</v>
      </c>
      <c r="E3082" t="s">
        <v>4069</v>
      </c>
      <c r="F3082" s="125" t="s">
        <v>4069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25" t="str">
        <f>IF(Proc[[#This Row],[Author]]="Marcela Urrego",VLOOKUP(LEFT(Proc[[#This Row],[Requested]],1),Table3[#All],2,0),VLOOKUP(Proc[[#This Row],[Author]],Table4[],2,0))</f>
        <v>HC</v>
      </c>
      <c r="L3082" s="125" t="s">
        <v>4896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9</v>
      </c>
      <c r="R3082" s="115" t="s">
        <v>1013</v>
      </c>
      <c r="S3082" s="125"/>
    </row>
    <row r="3083" spans="1:19" hidden="1">
      <c r="A3083" s="124" t="s">
        <v>5260</v>
      </c>
      <c r="B3083" s="125" t="str">
        <f>IFERROR(VLOOKUP(Proc[[#This Row],[App]],Table2[],3,0),"open")</f>
        <v>ok</v>
      </c>
      <c r="C3083" s="124" t="s">
        <v>369</v>
      </c>
      <c r="D3083" t="s">
        <v>5104</v>
      </c>
      <c r="E3083" t="s">
        <v>4069</v>
      </c>
      <c r="F3083" s="125" t="s">
        <v>4069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25" t="str">
        <f>IF(Proc[[#This Row],[Author]]="Marcela Urrego",VLOOKUP(LEFT(Proc[[#This Row],[Requested]],1),Table3[#All],2,0),VLOOKUP(Proc[[#This Row],[Author]],Table4[],2,0))</f>
        <v>HC</v>
      </c>
      <c r="L3083" s="125" t="s">
        <v>4896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9</v>
      </c>
      <c r="R3083" s="115" t="s">
        <v>1013</v>
      </c>
      <c r="S3083" s="125"/>
    </row>
    <row r="3084" spans="1:19" hidden="1">
      <c r="A3084" s="124" t="s">
        <v>5260</v>
      </c>
      <c r="B3084" s="125" t="str">
        <f>IFERROR(VLOOKUP(Proc[[#This Row],[App]],Table2[],3,0),"open")</f>
        <v>ok</v>
      </c>
      <c r="C3084" s="124" t="s">
        <v>369</v>
      </c>
      <c r="D3084" t="s">
        <v>5105</v>
      </c>
      <c r="E3084" t="s">
        <v>4069</v>
      </c>
      <c r="F3084" s="125" t="s">
        <v>4069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25" t="str">
        <f>IF(Proc[[#This Row],[Author]]="Marcela Urrego",VLOOKUP(LEFT(Proc[[#This Row],[Requested]],1),Table3[#All],2,0),VLOOKUP(Proc[[#This Row],[Author]],Table4[],2,0))</f>
        <v>HC</v>
      </c>
      <c r="L3084" s="125" t="s">
        <v>4896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9</v>
      </c>
      <c r="R3084" s="115" t="s">
        <v>1013</v>
      </c>
      <c r="S3084" s="125"/>
    </row>
    <row r="3085" spans="1:19" hidden="1">
      <c r="A3085" s="124" t="s">
        <v>5260</v>
      </c>
      <c r="B3085" s="125" t="str">
        <f>IFERROR(VLOOKUP(Proc[[#This Row],[App]],Table2[],3,0),"open")</f>
        <v>ok</v>
      </c>
      <c r="C3085" s="124" t="s">
        <v>369</v>
      </c>
      <c r="D3085" t="s">
        <v>5106</v>
      </c>
      <c r="E3085" t="s">
        <v>4069</v>
      </c>
      <c r="F3085" s="125" t="s">
        <v>4069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25" t="str">
        <f>IF(Proc[[#This Row],[Author]]="Marcela Urrego",VLOOKUP(LEFT(Proc[[#This Row],[Requested]],1),Table3[#All],2,0),VLOOKUP(Proc[[#This Row],[Author]],Table4[],2,0))</f>
        <v>HC</v>
      </c>
      <c r="L3085" s="125" t="s">
        <v>4896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9</v>
      </c>
      <c r="R3085" s="115" t="s">
        <v>1013</v>
      </c>
      <c r="S3085" s="125"/>
    </row>
    <row r="3086" spans="1:19" hidden="1">
      <c r="A3086" s="124" t="s">
        <v>5260</v>
      </c>
      <c r="B3086" s="125" t="str">
        <f>IFERROR(VLOOKUP(Proc[[#This Row],[App]],Table2[],3,0),"open")</f>
        <v>ok</v>
      </c>
      <c r="C3086" s="124" t="s">
        <v>369</v>
      </c>
      <c r="D3086" t="s">
        <v>5107</v>
      </c>
      <c r="E3086" t="s">
        <v>4069</v>
      </c>
      <c r="F3086" s="125" t="s">
        <v>4069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25" t="str">
        <f>IF(Proc[[#This Row],[Author]]="Marcela Urrego",VLOOKUP(LEFT(Proc[[#This Row],[Requested]],1),Table3[#All],2,0),VLOOKUP(Proc[[#This Row],[Author]],Table4[],2,0))</f>
        <v>HC</v>
      </c>
      <c r="L3086" s="125" t="s">
        <v>4896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9</v>
      </c>
      <c r="R3086" s="115" t="s">
        <v>1013</v>
      </c>
      <c r="S3086" s="125"/>
    </row>
    <row r="3087" spans="1:19" hidden="1">
      <c r="A3087" s="124" t="s">
        <v>5260</v>
      </c>
      <c r="B3087" s="125" t="str">
        <f>IFERROR(VLOOKUP(Proc[[#This Row],[App]],Table2[],3,0),"open")</f>
        <v>ok</v>
      </c>
      <c r="C3087" s="124" t="s">
        <v>369</v>
      </c>
      <c r="D3087" t="s">
        <v>5108</v>
      </c>
      <c r="E3087" t="s">
        <v>4069</v>
      </c>
      <c r="F3087" s="125" t="s">
        <v>4069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25" t="str">
        <f>IF(Proc[[#This Row],[Author]]="Marcela Urrego",VLOOKUP(LEFT(Proc[[#This Row],[Requested]],1),Table3[#All],2,0),VLOOKUP(Proc[[#This Row],[Author]],Table4[],2,0))</f>
        <v>HC</v>
      </c>
      <c r="L3087" s="125" t="s">
        <v>4896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9</v>
      </c>
      <c r="R3087" s="115" t="s">
        <v>1013</v>
      </c>
      <c r="S3087" s="125"/>
    </row>
    <row r="3088" spans="1:19" hidden="1">
      <c r="A3088" s="124" t="s">
        <v>5260</v>
      </c>
      <c r="B3088" s="125" t="str">
        <f>IFERROR(VLOOKUP(Proc[[#This Row],[App]],Table2[],3,0),"open")</f>
        <v>ok</v>
      </c>
      <c r="C3088" s="124" t="s">
        <v>369</v>
      </c>
      <c r="D3088" t="s">
        <v>5109</v>
      </c>
      <c r="E3088" t="s">
        <v>4069</v>
      </c>
      <c r="F3088" s="125" t="s">
        <v>4069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25" t="str">
        <f>IF(Proc[[#This Row],[Author]]="Marcela Urrego",VLOOKUP(LEFT(Proc[[#This Row],[Requested]],1),Table3[#All],2,0),VLOOKUP(Proc[[#This Row],[Author]],Table4[],2,0))</f>
        <v>HC</v>
      </c>
      <c r="L3088" s="125" t="s">
        <v>4896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9</v>
      </c>
      <c r="R3088" s="115" t="s">
        <v>1013</v>
      </c>
      <c r="S3088" s="125"/>
    </row>
    <row r="3089" spans="1:19" hidden="1">
      <c r="A3089" s="124" t="s">
        <v>5260</v>
      </c>
      <c r="B3089" s="125" t="str">
        <f>IFERROR(VLOOKUP(Proc[[#This Row],[App]],Table2[],3,0),"open")</f>
        <v>ok</v>
      </c>
      <c r="C3089" s="124" t="s">
        <v>369</v>
      </c>
      <c r="D3089" t="s">
        <v>5110</v>
      </c>
      <c r="E3089" t="s">
        <v>4069</v>
      </c>
      <c r="F3089" s="125" t="s">
        <v>4069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25" t="str">
        <f>IF(Proc[[#This Row],[Author]]="Marcela Urrego",VLOOKUP(LEFT(Proc[[#This Row],[Requested]],1),Table3[#All],2,0),VLOOKUP(Proc[[#This Row],[Author]],Table4[],2,0))</f>
        <v>HC</v>
      </c>
      <c r="L3089" s="125" t="s">
        <v>4896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9</v>
      </c>
      <c r="R3089" s="115" t="s">
        <v>1013</v>
      </c>
      <c r="S3089" s="125"/>
    </row>
    <row r="3090" spans="1:19" hidden="1">
      <c r="A3090" s="124" t="s">
        <v>5260</v>
      </c>
      <c r="B3090" s="125" t="str">
        <f>IFERROR(VLOOKUP(Proc[[#This Row],[App]],Table2[],3,0),"open")</f>
        <v>ok</v>
      </c>
      <c r="C3090" s="124" t="s">
        <v>369</v>
      </c>
      <c r="D3090" t="s">
        <v>5111</v>
      </c>
      <c r="E3090" t="s">
        <v>4069</v>
      </c>
      <c r="F3090" s="125" t="s">
        <v>4069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25" t="str">
        <f>IF(Proc[[#This Row],[Author]]="Marcela Urrego",VLOOKUP(LEFT(Proc[[#This Row],[Requested]],1),Table3[#All],2,0),VLOOKUP(Proc[[#This Row],[Author]],Table4[],2,0))</f>
        <v>HC</v>
      </c>
      <c r="L3090" s="125" t="s">
        <v>4896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9</v>
      </c>
      <c r="R3090" s="115" t="s">
        <v>1013</v>
      </c>
      <c r="S3090" s="125"/>
    </row>
    <row r="3091" spans="1:19" hidden="1">
      <c r="A3091" s="124" t="s">
        <v>5260</v>
      </c>
      <c r="B3091" s="125" t="str">
        <f>IFERROR(VLOOKUP(Proc[[#This Row],[App]],Table2[],3,0),"open")</f>
        <v>ok</v>
      </c>
      <c r="C3091" s="124" t="s">
        <v>369</v>
      </c>
      <c r="D3091" t="s">
        <v>5112</v>
      </c>
      <c r="E3091" t="s">
        <v>4069</v>
      </c>
      <c r="F3091" s="125" t="s">
        <v>4069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25" t="str">
        <f>IF(Proc[[#This Row],[Author]]="Marcela Urrego",VLOOKUP(LEFT(Proc[[#This Row],[Requested]],1),Table3[#All],2,0),VLOOKUP(Proc[[#This Row],[Author]],Table4[],2,0))</f>
        <v>HC</v>
      </c>
      <c r="L3091" s="125" t="s">
        <v>4896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9</v>
      </c>
      <c r="R3091" s="115" t="s">
        <v>1013</v>
      </c>
      <c r="S3091" s="125"/>
    </row>
    <row r="3092" spans="1:19" hidden="1">
      <c r="A3092" s="124" t="s">
        <v>5260</v>
      </c>
      <c r="B3092" s="125" t="str">
        <f>IFERROR(VLOOKUP(Proc[[#This Row],[App]],Table2[],3,0),"open")</f>
        <v>ok</v>
      </c>
      <c r="C3092" s="124" t="s">
        <v>369</v>
      </c>
      <c r="D3092" t="s">
        <v>5113</v>
      </c>
      <c r="E3092" t="s">
        <v>4069</v>
      </c>
      <c r="F3092" s="125" t="s">
        <v>4069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25" t="str">
        <f>IF(Proc[[#This Row],[Author]]="Marcela Urrego",VLOOKUP(LEFT(Proc[[#This Row],[Requested]],1),Table3[#All],2,0),VLOOKUP(Proc[[#This Row],[Author]],Table4[],2,0))</f>
        <v>HC</v>
      </c>
      <c r="L3092" s="125" t="s">
        <v>4896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9</v>
      </c>
      <c r="R3092" s="115" t="s">
        <v>1013</v>
      </c>
      <c r="S3092" s="125"/>
    </row>
    <row r="3093" spans="1:19" hidden="1">
      <c r="A3093" s="124" t="s">
        <v>5260</v>
      </c>
      <c r="B3093" s="125" t="str">
        <f>IFERROR(VLOOKUP(Proc[[#This Row],[App]],Table2[],3,0),"open")</f>
        <v>ok</v>
      </c>
      <c r="C3093" s="124" t="s">
        <v>369</v>
      </c>
      <c r="D3093" t="s">
        <v>5114</v>
      </c>
      <c r="E3093" t="s">
        <v>4069</v>
      </c>
      <c r="F3093" s="125" t="s">
        <v>4069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25" t="str">
        <f>IF(Proc[[#This Row],[Author]]="Marcela Urrego",VLOOKUP(LEFT(Proc[[#This Row],[Requested]],1),Table3[#All],2,0),VLOOKUP(Proc[[#This Row],[Author]],Table4[],2,0))</f>
        <v>HC</v>
      </c>
      <c r="L3093" s="125" t="s">
        <v>4896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9</v>
      </c>
      <c r="R3093" s="115" t="s">
        <v>1013</v>
      </c>
      <c r="S3093" s="125"/>
    </row>
    <row r="3094" spans="1:19" hidden="1">
      <c r="A3094" s="124" t="s">
        <v>5260</v>
      </c>
      <c r="B3094" s="125" t="str">
        <f>IFERROR(VLOOKUP(Proc[[#This Row],[App]],Table2[],3,0),"open")</f>
        <v>ok</v>
      </c>
      <c r="C3094" s="124" t="s">
        <v>369</v>
      </c>
      <c r="D3094" t="s">
        <v>5115</v>
      </c>
      <c r="E3094" t="s">
        <v>4069</v>
      </c>
      <c r="F3094" s="125" t="s">
        <v>4069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25" t="str">
        <f>IF(Proc[[#This Row],[Author]]="Marcela Urrego",VLOOKUP(LEFT(Proc[[#This Row],[Requested]],1),Table3[#All],2,0),VLOOKUP(Proc[[#This Row],[Author]],Table4[],2,0))</f>
        <v>HC</v>
      </c>
      <c r="L3094" s="125" t="s">
        <v>4896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9</v>
      </c>
      <c r="R3094" s="115" t="s">
        <v>1013</v>
      </c>
      <c r="S3094" s="125"/>
    </row>
    <row r="3095" spans="1:19" hidden="1">
      <c r="A3095" s="124" t="s">
        <v>5260</v>
      </c>
      <c r="B3095" s="125" t="str">
        <f>IFERROR(VLOOKUP(Proc[[#This Row],[App]],Table2[],3,0),"open")</f>
        <v>ok</v>
      </c>
      <c r="C3095" s="124" t="s">
        <v>369</v>
      </c>
      <c r="D3095" t="s">
        <v>5116</v>
      </c>
      <c r="E3095" t="s">
        <v>4069</v>
      </c>
      <c r="F3095" s="125" t="s">
        <v>4069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25" t="str">
        <f>IF(Proc[[#This Row],[Author]]="Marcela Urrego",VLOOKUP(LEFT(Proc[[#This Row],[Requested]],1),Table3[#All],2,0),VLOOKUP(Proc[[#This Row],[Author]],Table4[],2,0))</f>
        <v>HC</v>
      </c>
      <c r="L3095" s="125" t="s">
        <v>4896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9</v>
      </c>
      <c r="R3095" s="115" t="s">
        <v>1013</v>
      </c>
      <c r="S3095" s="125"/>
    </row>
    <row r="3096" spans="1:19" hidden="1">
      <c r="A3096" s="124" t="s">
        <v>5260</v>
      </c>
      <c r="B3096" s="125" t="str">
        <f>IFERROR(VLOOKUP(Proc[[#This Row],[App]],Table2[],3,0),"open")</f>
        <v>ok</v>
      </c>
      <c r="C3096" s="124" t="s">
        <v>369</v>
      </c>
      <c r="D3096" t="s">
        <v>5117</v>
      </c>
      <c r="E3096" t="s">
        <v>4069</v>
      </c>
      <c r="F3096" s="125" t="s">
        <v>4069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25" t="str">
        <f>IF(Proc[[#This Row],[Author]]="Marcela Urrego",VLOOKUP(LEFT(Proc[[#This Row],[Requested]],1),Table3[#All],2,0),VLOOKUP(Proc[[#This Row],[Author]],Table4[],2,0))</f>
        <v>HC</v>
      </c>
      <c r="L3096" s="125" t="s">
        <v>4896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9</v>
      </c>
      <c r="R3096" s="115" t="s">
        <v>1013</v>
      </c>
      <c r="S3096" s="125"/>
    </row>
    <row r="3097" spans="1:19" hidden="1">
      <c r="A3097" s="124" t="s">
        <v>5260</v>
      </c>
      <c r="B3097" s="125" t="str">
        <f>IFERROR(VLOOKUP(Proc[[#This Row],[App]],Table2[],3,0),"open")</f>
        <v>ok</v>
      </c>
      <c r="C3097" s="124" t="s">
        <v>369</v>
      </c>
      <c r="D3097" t="s">
        <v>5118</v>
      </c>
      <c r="E3097" t="s">
        <v>4069</v>
      </c>
      <c r="F3097" s="125" t="s">
        <v>4069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25" t="str">
        <f>IF(Proc[[#This Row],[Author]]="Marcela Urrego",VLOOKUP(LEFT(Proc[[#This Row],[Requested]],1),Table3[#All],2,0),VLOOKUP(Proc[[#This Row],[Author]],Table4[],2,0))</f>
        <v>HC</v>
      </c>
      <c r="L3097" s="125" t="s">
        <v>4896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9</v>
      </c>
      <c r="R3097" s="115" t="s">
        <v>1013</v>
      </c>
      <c r="S3097" s="125"/>
    </row>
    <row r="3098" spans="1:19" hidden="1">
      <c r="A3098" s="124" t="s">
        <v>5260</v>
      </c>
      <c r="B3098" s="125" t="str">
        <f>IFERROR(VLOOKUP(Proc[[#This Row],[App]],Table2[],3,0),"open")</f>
        <v>ok</v>
      </c>
      <c r="C3098" s="124" t="s">
        <v>369</v>
      </c>
      <c r="D3098" t="s">
        <v>5119</v>
      </c>
      <c r="E3098" t="s">
        <v>4069</v>
      </c>
      <c r="F3098" s="125" t="s">
        <v>4069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25" t="str">
        <f>IF(Proc[[#This Row],[Author]]="Marcela Urrego",VLOOKUP(LEFT(Proc[[#This Row],[Requested]],1),Table3[#All],2,0),VLOOKUP(Proc[[#This Row],[Author]],Table4[],2,0))</f>
        <v>HC</v>
      </c>
      <c r="L3098" s="125" t="s">
        <v>4896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9</v>
      </c>
      <c r="R3098" s="115" t="s">
        <v>1013</v>
      </c>
      <c r="S3098" s="125"/>
    </row>
    <row r="3099" spans="1:19" hidden="1">
      <c r="A3099" s="124" t="s">
        <v>5260</v>
      </c>
      <c r="B3099" s="125" t="str">
        <f>IFERROR(VLOOKUP(Proc[[#This Row],[App]],Table2[],3,0),"open")</f>
        <v>ok</v>
      </c>
      <c r="C3099" s="124" t="s">
        <v>369</v>
      </c>
      <c r="D3099" t="s">
        <v>5120</v>
      </c>
      <c r="E3099" t="s">
        <v>4069</v>
      </c>
      <c r="F3099" s="125" t="s">
        <v>4069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25" t="str">
        <f>IF(Proc[[#This Row],[Author]]="Marcela Urrego",VLOOKUP(LEFT(Proc[[#This Row],[Requested]],1),Table3[#All],2,0),VLOOKUP(Proc[[#This Row],[Author]],Table4[],2,0))</f>
        <v>HC</v>
      </c>
      <c r="L3099" s="125" t="s">
        <v>4896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9</v>
      </c>
      <c r="R3099" s="115" t="s">
        <v>1013</v>
      </c>
      <c r="S3099" s="125"/>
    </row>
    <row r="3100" spans="1:19" hidden="1">
      <c r="A3100" s="124" t="s">
        <v>5260</v>
      </c>
      <c r="B3100" s="125" t="str">
        <f>IFERROR(VLOOKUP(Proc[[#This Row],[App]],Table2[],3,0),"open")</f>
        <v>ok</v>
      </c>
      <c r="C3100" s="124" t="s">
        <v>369</v>
      </c>
      <c r="D3100" t="s">
        <v>5121</v>
      </c>
      <c r="E3100" t="s">
        <v>4069</v>
      </c>
      <c r="F3100" s="125" t="s">
        <v>4069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25" t="str">
        <f>IF(Proc[[#This Row],[Author]]="Marcela Urrego",VLOOKUP(LEFT(Proc[[#This Row],[Requested]],1),Table3[#All],2,0),VLOOKUP(Proc[[#This Row],[Author]],Table4[],2,0))</f>
        <v>HC</v>
      </c>
      <c r="L3100" s="125" t="s">
        <v>4896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9</v>
      </c>
      <c r="R3100" s="115" t="s">
        <v>1013</v>
      </c>
      <c r="S3100" s="125"/>
    </row>
    <row r="3101" spans="1:19" hidden="1">
      <c r="A3101" s="124" t="s">
        <v>5260</v>
      </c>
      <c r="B3101" s="125" t="str">
        <f>IFERROR(VLOOKUP(Proc[[#This Row],[App]],Table2[],3,0),"open")</f>
        <v>ok</v>
      </c>
      <c r="C3101" s="124" t="s">
        <v>369</v>
      </c>
      <c r="D3101" t="s">
        <v>5122</v>
      </c>
      <c r="E3101" t="s">
        <v>4069</v>
      </c>
      <c r="F3101" s="125" t="s">
        <v>4069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25" t="str">
        <f>IF(Proc[[#This Row],[Author]]="Marcela Urrego",VLOOKUP(LEFT(Proc[[#This Row],[Requested]],1),Table3[#All],2,0),VLOOKUP(Proc[[#This Row],[Author]],Table4[],2,0))</f>
        <v>HC</v>
      </c>
      <c r="L3101" s="125" t="s">
        <v>4896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9</v>
      </c>
      <c r="R3101" s="115" t="s">
        <v>1013</v>
      </c>
      <c r="S3101" s="125"/>
    </row>
    <row r="3102" spans="1:19" hidden="1">
      <c r="A3102" s="124" t="s">
        <v>5260</v>
      </c>
      <c r="B3102" s="125" t="str">
        <f>IFERROR(VLOOKUP(Proc[[#This Row],[App]],Table2[],3,0),"open")</f>
        <v>ok</v>
      </c>
      <c r="C3102" s="124" t="s">
        <v>369</v>
      </c>
      <c r="D3102" t="s">
        <v>5123</v>
      </c>
      <c r="E3102" t="s">
        <v>4069</v>
      </c>
      <c r="F3102" s="125" t="s">
        <v>4069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25" t="str">
        <f>IF(Proc[[#This Row],[Author]]="Marcela Urrego",VLOOKUP(LEFT(Proc[[#This Row],[Requested]],1),Table3[#All],2,0),VLOOKUP(Proc[[#This Row],[Author]],Table4[],2,0))</f>
        <v>HC</v>
      </c>
      <c r="L3102" s="125" t="s">
        <v>4896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9</v>
      </c>
      <c r="R3102" s="115" t="s">
        <v>1013</v>
      </c>
      <c r="S3102" s="125"/>
    </row>
    <row r="3103" spans="1:19" hidden="1">
      <c r="A3103" s="124" t="s">
        <v>5260</v>
      </c>
      <c r="B3103" s="125" t="str">
        <f>IFERROR(VLOOKUP(Proc[[#This Row],[App]],Table2[],3,0),"open")</f>
        <v>ok</v>
      </c>
      <c r="C3103" s="124" t="s">
        <v>369</v>
      </c>
      <c r="D3103" t="s">
        <v>5124</v>
      </c>
      <c r="E3103" t="s">
        <v>4069</v>
      </c>
      <c r="F3103" s="125" t="s">
        <v>4069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25" t="str">
        <f>IF(Proc[[#This Row],[Author]]="Marcela Urrego",VLOOKUP(LEFT(Proc[[#This Row],[Requested]],1),Table3[#All],2,0),VLOOKUP(Proc[[#This Row],[Author]],Table4[],2,0))</f>
        <v>HC</v>
      </c>
      <c r="L3103" s="125" t="s">
        <v>4896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9</v>
      </c>
      <c r="R3103" s="115" t="s">
        <v>1013</v>
      </c>
      <c r="S3103" s="125"/>
    </row>
    <row r="3104" spans="1:19" hidden="1">
      <c r="A3104" s="124" t="s">
        <v>5260</v>
      </c>
      <c r="B3104" s="125" t="str">
        <f>IFERROR(VLOOKUP(Proc[[#This Row],[App]],Table2[],3,0),"open")</f>
        <v>ok</v>
      </c>
      <c r="C3104" s="124" t="s">
        <v>369</v>
      </c>
      <c r="D3104" t="s">
        <v>5125</v>
      </c>
      <c r="E3104" t="s">
        <v>4069</v>
      </c>
      <c r="F3104" s="125" t="s">
        <v>4069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25" t="str">
        <f>IF(Proc[[#This Row],[Author]]="Marcela Urrego",VLOOKUP(LEFT(Proc[[#This Row],[Requested]],1),Table3[#All],2,0),VLOOKUP(Proc[[#This Row],[Author]],Table4[],2,0))</f>
        <v>HC</v>
      </c>
      <c r="L3104" s="125" t="s">
        <v>4896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9</v>
      </c>
      <c r="R3104" s="115" t="s">
        <v>1013</v>
      </c>
      <c r="S3104" s="125"/>
    </row>
    <row r="3105" spans="1:19" hidden="1">
      <c r="A3105" s="124" t="s">
        <v>5260</v>
      </c>
      <c r="B3105" s="125" t="str">
        <f>IFERROR(VLOOKUP(Proc[[#This Row],[App]],Table2[],3,0),"open")</f>
        <v>ok</v>
      </c>
      <c r="C3105" s="124" t="s">
        <v>369</v>
      </c>
      <c r="D3105" t="s">
        <v>5126</v>
      </c>
      <c r="E3105" t="s">
        <v>4069</v>
      </c>
      <c r="F3105" s="125" t="s">
        <v>4069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25" t="str">
        <f>IF(Proc[[#This Row],[Author]]="Marcela Urrego",VLOOKUP(LEFT(Proc[[#This Row],[Requested]],1),Table3[#All],2,0),VLOOKUP(Proc[[#This Row],[Author]],Table4[],2,0))</f>
        <v>HC</v>
      </c>
      <c r="L3105" s="125" t="s">
        <v>4896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9</v>
      </c>
      <c r="R3105" s="115" t="s">
        <v>1013</v>
      </c>
      <c r="S3105" s="125"/>
    </row>
    <row r="3106" spans="1:19" hidden="1">
      <c r="A3106" s="124" t="s">
        <v>5260</v>
      </c>
      <c r="B3106" s="125" t="str">
        <f>IFERROR(VLOOKUP(Proc[[#This Row],[App]],Table2[],3,0),"open")</f>
        <v>ok</v>
      </c>
      <c r="C3106" s="124" t="s">
        <v>369</v>
      </c>
      <c r="D3106" t="s">
        <v>5127</v>
      </c>
      <c r="E3106" t="s">
        <v>4069</v>
      </c>
      <c r="F3106" s="125" t="s">
        <v>4069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25" t="str">
        <f>IF(Proc[[#This Row],[Author]]="Marcela Urrego",VLOOKUP(LEFT(Proc[[#This Row],[Requested]],1),Table3[#All],2,0),VLOOKUP(Proc[[#This Row],[Author]],Table4[],2,0))</f>
        <v>HC</v>
      </c>
      <c r="L3106" s="125" t="s">
        <v>4896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9</v>
      </c>
      <c r="R3106" s="115" t="s">
        <v>1013</v>
      </c>
      <c r="S3106" s="125"/>
    </row>
    <row r="3107" spans="1:19" hidden="1">
      <c r="A3107" s="124" t="s">
        <v>5260</v>
      </c>
      <c r="B3107" s="125" t="str">
        <f>IFERROR(VLOOKUP(Proc[[#This Row],[App]],Table2[],3,0),"open")</f>
        <v>ok</v>
      </c>
      <c r="C3107" s="124" t="s">
        <v>369</v>
      </c>
      <c r="D3107" t="s">
        <v>5128</v>
      </c>
      <c r="E3107" t="s">
        <v>4069</v>
      </c>
      <c r="F3107" s="125" t="s">
        <v>4069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25" t="str">
        <f>IF(Proc[[#This Row],[Author]]="Marcela Urrego",VLOOKUP(LEFT(Proc[[#This Row],[Requested]],1),Table3[#All],2,0),VLOOKUP(Proc[[#This Row],[Author]],Table4[],2,0))</f>
        <v>HC</v>
      </c>
      <c r="L3107" s="125" t="s">
        <v>4896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9</v>
      </c>
      <c r="R3107" s="115" t="s">
        <v>1013</v>
      </c>
      <c r="S3107" s="125"/>
    </row>
    <row r="3108" spans="1:19" hidden="1">
      <c r="A3108" s="124" t="s">
        <v>5260</v>
      </c>
      <c r="B3108" s="125" t="str">
        <f>IFERROR(VLOOKUP(Proc[[#This Row],[App]],Table2[],3,0),"open")</f>
        <v>ok</v>
      </c>
      <c r="C3108" s="124" t="s">
        <v>369</v>
      </c>
      <c r="D3108" t="s">
        <v>5129</v>
      </c>
      <c r="E3108" t="s">
        <v>4069</v>
      </c>
      <c r="F3108" s="125" t="s">
        <v>4069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25" t="str">
        <f>IF(Proc[[#This Row],[Author]]="Marcela Urrego",VLOOKUP(LEFT(Proc[[#This Row],[Requested]],1),Table3[#All],2,0),VLOOKUP(Proc[[#This Row],[Author]],Table4[],2,0))</f>
        <v>HC</v>
      </c>
      <c r="L3108" s="125" t="s">
        <v>4896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9</v>
      </c>
      <c r="R3108" s="115" t="s">
        <v>1013</v>
      </c>
      <c r="S3108" s="125"/>
    </row>
    <row r="3109" spans="1:19" hidden="1">
      <c r="A3109" s="124" t="s">
        <v>5260</v>
      </c>
      <c r="B3109" s="125" t="str">
        <f>IFERROR(VLOOKUP(Proc[[#This Row],[App]],Table2[],3,0),"open")</f>
        <v>ok</v>
      </c>
      <c r="C3109" s="124" t="s">
        <v>369</v>
      </c>
      <c r="D3109" t="s">
        <v>5130</v>
      </c>
      <c r="E3109" t="s">
        <v>4069</v>
      </c>
      <c r="F3109" s="125" t="s">
        <v>4069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25" t="str">
        <f>IF(Proc[[#This Row],[Author]]="Marcela Urrego",VLOOKUP(LEFT(Proc[[#This Row],[Requested]],1),Table3[#All],2,0),VLOOKUP(Proc[[#This Row],[Author]],Table4[],2,0))</f>
        <v>HC</v>
      </c>
      <c r="L3109" s="125" t="s">
        <v>4896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9</v>
      </c>
      <c r="R3109" s="115" t="s">
        <v>1013</v>
      </c>
      <c r="S3109" s="125"/>
    </row>
    <row r="3110" spans="1:19" hidden="1">
      <c r="A3110" s="124" t="s">
        <v>5260</v>
      </c>
      <c r="B3110" s="125" t="str">
        <f>IFERROR(VLOOKUP(Proc[[#This Row],[App]],Table2[],3,0),"open")</f>
        <v>ok</v>
      </c>
      <c r="C3110" s="124" t="s">
        <v>369</v>
      </c>
      <c r="D3110" t="s">
        <v>5131</v>
      </c>
      <c r="E3110" t="s">
        <v>4069</v>
      </c>
      <c r="F3110" s="125" t="s">
        <v>4069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25" t="str">
        <f>IF(Proc[[#This Row],[Author]]="Marcela Urrego",VLOOKUP(LEFT(Proc[[#This Row],[Requested]],1),Table3[#All],2,0),VLOOKUP(Proc[[#This Row],[Author]],Table4[],2,0))</f>
        <v>HC</v>
      </c>
      <c r="L3110" s="125" t="s">
        <v>4896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9</v>
      </c>
      <c r="R3110" s="115" t="s">
        <v>1013</v>
      </c>
      <c r="S3110" s="125"/>
    </row>
    <row r="3111" spans="1:19" hidden="1">
      <c r="A3111" s="124" t="s">
        <v>5260</v>
      </c>
      <c r="B3111" s="125" t="str">
        <f>IFERROR(VLOOKUP(Proc[[#This Row],[App]],Table2[],3,0),"open")</f>
        <v>ok</v>
      </c>
      <c r="C3111" s="124" t="s">
        <v>369</v>
      </c>
      <c r="D3111" t="s">
        <v>5132</v>
      </c>
      <c r="E3111" t="s">
        <v>4069</v>
      </c>
      <c r="F3111" s="125" t="s">
        <v>4069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25" t="str">
        <f>IF(Proc[[#This Row],[Author]]="Marcela Urrego",VLOOKUP(LEFT(Proc[[#This Row],[Requested]],1),Table3[#All],2,0),VLOOKUP(Proc[[#This Row],[Author]],Table4[],2,0))</f>
        <v>HC</v>
      </c>
      <c r="L3111" s="125" t="s">
        <v>4896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9</v>
      </c>
      <c r="R3111" s="115" t="s">
        <v>1013</v>
      </c>
      <c r="S3111" s="125"/>
    </row>
    <row r="3112" spans="1:19" hidden="1">
      <c r="A3112" s="124" t="s">
        <v>5260</v>
      </c>
      <c r="B3112" s="125" t="str">
        <f>IFERROR(VLOOKUP(Proc[[#This Row],[App]],Table2[],3,0),"open")</f>
        <v>ok</v>
      </c>
      <c r="C3112" s="124" t="s">
        <v>369</v>
      </c>
      <c r="D3112" t="s">
        <v>5133</v>
      </c>
      <c r="E3112" t="s">
        <v>4069</v>
      </c>
      <c r="F3112" s="125" t="s">
        <v>4069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25" t="str">
        <f>IF(Proc[[#This Row],[Author]]="Marcela Urrego",VLOOKUP(LEFT(Proc[[#This Row],[Requested]],1),Table3[#All],2,0),VLOOKUP(Proc[[#This Row],[Author]],Table4[],2,0))</f>
        <v>HC</v>
      </c>
      <c r="L3112" s="125" t="s">
        <v>4896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9</v>
      </c>
      <c r="R3112" s="115" t="s">
        <v>1013</v>
      </c>
      <c r="S3112" s="125"/>
    </row>
    <row r="3113" spans="1:19" hidden="1">
      <c r="A3113" s="124" t="s">
        <v>5260</v>
      </c>
      <c r="B3113" s="125" t="str">
        <f>IFERROR(VLOOKUP(Proc[[#This Row],[App]],Table2[],3,0),"open")</f>
        <v>ok</v>
      </c>
      <c r="C3113" s="124" t="s">
        <v>369</v>
      </c>
      <c r="D3113" t="s">
        <v>5134</v>
      </c>
      <c r="E3113" t="s">
        <v>4069</v>
      </c>
      <c r="F3113" s="125" t="s">
        <v>4069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25" t="str">
        <f>IF(Proc[[#This Row],[Author]]="Marcela Urrego",VLOOKUP(LEFT(Proc[[#This Row],[Requested]],1),Table3[#All],2,0),VLOOKUP(Proc[[#This Row],[Author]],Table4[],2,0))</f>
        <v>HC</v>
      </c>
      <c r="L3113" s="125" t="s">
        <v>4896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9</v>
      </c>
      <c r="R3113" s="115" t="s">
        <v>1013</v>
      </c>
      <c r="S3113" s="125"/>
    </row>
    <row r="3114" spans="1:19" hidden="1">
      <c r="A3114" s="124" t="s">
        <v>5260</v>
      </c>
      <c r="B3114" s="125" t="str">
        <f>IFERROR(VLOOKUP(Proc[[#This Row],[App]],Table2[],3,0),"open")</f>
        <v>ok</v>
      </c>
      <c r="C3114" s="124" t="s">
        <v>369</v>
      </c>
      <c r="D3114" t="s">
        <v>5135</v>
      </c>
      <c r="E3114" t="s">
        <v>4069</v>
      </c>
      <c r="F3114" s="125" t="s">
        <v>4069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25" t="str">
        <f>IF(Proc[[#This Row],[Author]]="Marcela Urrego",VLOOKUP(LEFT(Proc[[#This Row],[Requested]],1),Table3[#All],2,0),VLOOKUP(Proc[[#This Row],[Author]],Table4[],2,0))</f>
        <v>HC</v>
      </c>
      <c r="L3114" s="125" t="s">
        <v>4896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9</v>
      </c>
      <c r="R3114" s="115" t="s">
        <v>1013</v>
      </c>
      <c r="S3114" s="125"/>
    </row>
    <row r="3115" spans="1:19" hidden="1">
      <c r="A3115" s="124" t="s">
        <v>5260</v>
      </c>
      <c r="B3115" s="125" t="str">
        <f>IFERROR(VLOOKUP(Proc[[#This Row],[App]],Table2[],3,0),"open")</f>
        <v>ok</v>
      </c>
      <c r="C3115" s="124" t="s">
        <v>369</v>
      </c>
      <c r="D3115" t="s">
        <v>5136</v>
      </c>
      <c r="E3115" t="s">
        <v>4069</v>
      </c>
      <c r="F3115" s="125" t="s">
        <v>4069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25" t="str">
        <f>IF(Proc[[#This Row],[Author]]="Marcela Urrego",VLOOKUP(LEFT(Proc[[#This Row],[Requested]],1),Table3[#All],2,0),VLOOKUP(Proc[[#This Row],[Author]],Table4[],2,0))</f>
        <v>HC</v>
      </c>
      <c r="L3115" s="125" t="s">
        <v>4896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9</v>
      </c>
      <c r="R3115" s="115" t="s">
        <v>1013</v>
      </c>
      <c r="S3115" s="125"/>
    </row>
    <row r="3116" spans="1:19" hidden="1">
      <c r="A3116" s="124" t="s">
        <v>5260</v>
      </c>
      <c r="B3116" s="125" t="str">
        <f>IFERROR(VLOOKUP(Proc[[#This Row],[App]],Table2[],3,0),"open")</f>
        <v>ok</v>
      </c>
      <c r="C3116" s="124" t="s">
        <v>369</v>
      </c>
      <c r="D3116" t="s">
        <v>5137</v>
      </c>
      <c r="E3116" t="s">
        <v>4069</v>
      </c>
      <c r="F3116" s="125" t="s">
        <v>4069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25" t="str">
        <f>IF(Proc[[#This Row],[Author]]="Marcela Urrego",VLOOKUP(LEFT(Proc[[#This Row],[Requested]],1),Table3[#All],2,0),VLOOKUP(Proc[[#This Row],[Author]],Table4[],2,0))</f>
        <v>HC</v>
      </c>
      <c r="L3116" s="125" t="s">
        <v>4896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9</v>
      </c>
      <c r="R3116" s="115" t="s">
        <v>1013</v>
      </c>
      <c r="S3116" s="125"/>
    </row>
    <row r="3117" spans="1:19" hidden="1">
      <c r="A3117" s="124" t="s">
        <v>5260</v>
      </c>
      <c r="B3117" s="125" t="str">
        <f>IFERROR(VLOOKUP(Proc[[#This Row],[App]],Table2[],3,0),"open")</f>
        <v>ok</v>
      </c>
      <c r="C3117" s="124" t="s">
        <v>369</v>
      </c>
      <c r="D3117" t="s">
        <v>5138</v>
      </c>
      <c r="E3117" t="s">
        <v>4069</v>
      </c>
      <c r="F3117" s="125" t="s">
        <v>4069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25" t="str">
        <f>IF(Proc[[#This Row],[Author]]="Marcela Urrego",VLOOKUP(LEFT(Proc[[#This Row],[Requested]],1),Table3[#All],2,0),VLOOKUP(Proc[[#This Row],[Author]],Table4[],2,0))</f>
        <v>HC</v>
      </c>
      <c r="L3117" s="125" t="s">
        <v>4896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9</v>
      </c>
      <c r="R3117" s="115" t="s">
        <v>1013</v>
      </c>
      <c r="S3117" s="125"/>
    </row>
    <row r="3118" spans="1:19" hidden="1">
      <c r="A3118" s="124" t="s">
        <v>5260</v>
      </c>
      <c r="B3118" s="125" t="str">
        <f>IFERROR(VLOOKUP(Proc[[#This Row],[App]],Table2[],3,0),"open")</f>
        <v>ok</v>
      </c>
      <c r="C3118" s="124" t="s">
        <v>369</v>
      </c>
      <c r="D3118" t="s">
        <v>5139</v>
      </c>
      <c r="E3118" t="s">
        <v>4069</v>
      </c>
      <c r="F3118" s="125" t="s">
        <v>4069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25" t="str">
        <f>IF(Proc[[#This Row],[Author]]="Marcela Urrego",VLOOKUP(LEFT(Proc[[#This Row],[Requested]],1),Table3[#All],2,0),VLOOKUP(Proc[[#This Row],[Author]],Table4[],2,0))</f>
        <v>HC</v>
      </c>
      <c r="L3118" s="125" t="s">
        <v>4896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9</v>
      </c>
      <c r="R3118" s="115" t="s">
        <v>1013</v>
      </c>
      <c r="S3118" s="125"/>
    </row>
    <row r="3119" spans="1:19" hidden="1">
      <c r="A3119" s="124" t="s">
        <v>5260</v>
      </c>
      <c r="B3119" s="125" t="str">
        <f>IFERROR(VLOOKUP(Proc[[#This Row],[App]],Table2[],3,0),"open")</f>
        <v>ok</v>
      </c>
      <c r="C3119" s="124" t="s">
        <v>369</v>
      </c>
      <c r="D3119" t="s">
        <v>5140</v>
      </c>
      <c r="E3119" t="s">
        <v>4069</v>
      </c>
      <c r="F3119" s="125" t="s">
        <v>4069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25" t="str">
        <f>IF(Proc[[#This Row],[Author]]="Marcela Urrego",VLOOKUP(LEFT(Proc[[#This Row],[Requested]],1),Table3[#All],2,0),VLOOKUP(Proc[[#This Row],[Author]],Table4[],2,0))</f>
        <v>HC</v>
      </c>
      <c r="L3119" s="125" t="s">
        <v>4896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9</v>
      </c>
      <c r="R3119" s="115" t="s">
        <v>1013</v>
      </c>
      <c r="S3119" s="125"/>
    </row>
    <row r="3120" spans="1:19" hidden="1">
      <c r="A3120" s="124" t="s">
        <v>5260</v>
      </c>
      <c r="B3120" s="125" t="str">
        <f>IFERROR(VLOOKUP(Proc[[#This Row],[App]],Table2[],3,0),"open")</f>
        <v>ok</v>
      </c>
      <c r="C3120" s="124" t="s">
        <v>369</v>
      </c>
      <c r="D3120" t="s">
        <v>5141</v>
      </c>
      <c r="E3120" t="s">
        <v>4069</v>
      </c>
      <c r="F3120" s="125" t="s">
        <v>4069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25" t="str">
        <f>IF(Proc[[#This Row],[Author]]="Marcela Urrego",VLOOKUP(LEFT(Proc[[#This Row],[Requested]],1),Table3[#All],2,0),VLOOKUP(Proc[[#This Row],[Author]],Table4[],2,0))</f>
        <v>HC</v>
      </c>
      <c r="L3120" s="125" t="s">
        <v>4896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9</v>
      </c>
      <c r="R3120" s="115" t="s">
        <v>1013</v>
      </c>
      <c r="S3120" s="125"/>
    </row>
    <row r="3121" spans="1:19" hidden="1">
      <c r="A3121" s="124" t="s">
        <v>5260</v>
      </c>
      <c r="B3121" s="125" t="str">
        <f>IFERROR(VLOOKUP(Proc[[#This Row],[App]],Table2[],3,0),"open")</f>
        <v>ok</v>
      </c>
      <c r="C3121" s="124" t="s">
        <v>369</v>
      </c>
      <c r="D3121" t="s">
        <v>5142</v>
      </c>
      <c r="E3121" t="s">
        <v>4069</v>
      </c>
      <c r="F3121" s="125" t="s">
        <v>4069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25" t="str">
        <f>IF(Proc[[#This Row],[Author]]="Marcela Urrego",VLOOKUP(LEFT(Proc[[#This Row],[Requested]],1),Table3[#All],2,0),VLOOKUP(Proc[[#This Row],[Author]],Table4[],2,0))</f>
        <v>HC</v>
      </c>
      <c r="L3121" s="125" t="s">
        <v>4896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9</v>
      </c>
      <c r="R3121" s="115" t="s">
        <v>1013</v>
      </c>
      <c r="S3121" s="125"/>
    </row>
    <row r="3122" spans="1:19" hidden="1">
      <c r="A3122" s="124" t="s">
        <v>5260</v>
      </c>
      <c r="B3122" s="125" t="str">
        <f>IFERROR(VLOOKUP(Proc[[#This Row],[App]],Table2[],3,0),"open")</f>
        <v>ok</v>
      </c>
      <c r="C3122" s="124" t="s">
        <v>369</v>
      </c>
      <c r="D3122" t="s">
        <v>5143</v>
      </c>
      <c r="E3122" t="s">
        <v>4069</v>
      </c>
      <c r="F3122" s="125" t="s">
        <v>4069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25" t="str">
        <f>IF(Proc[[#This Row],[Author]]="Marcela Urrego",VLOOKUP(LEFT(Proc[[#This Row],[Requested]],1),Table3[#All],2,0),VLOOKUP(Proc[[#This Row],[Author]],Table4[],2,0))</f>
        <v>HC</v>
      </c>
      <c r="L3122" s="125" t="s">
        <v>4896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9</v>
      </c>
      <c r="R3122" s="115" t="s">
        <v>1013</v>
      </c>
      <c r="S3122" s="125"/>
    </row>
    <row r="3123" spans="1:19" hidden="1">
      <c r="A3123" s="124" t="s">
        <v>5260</v>
      </c>
      <c r="B3123" s="125" t="str">
        <f>IFERROR(VLOOKUP(Proc[[#This Row],[App]],Table2[],3,0),"open")</f>
        <v>ok</v>
      </c>
      <c r="C3123" s="124" t="s">
        <v>369</v>
      </c>
      <c r="D3123" t="s">
        <v>5144</v>
      </c>
      <c r="E3123" t="s">
        <v>4069</v>
      </c>
      <c r="F3123" s="125" t="s">
        <v>4069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25" t="str">
        <f>IF(Proc[[#This Row],[Author]]="Marcela Urrego",VLOOKUP(LEFT(Proc[[#This Row],[Requested]],1),Table3[#All],2,0),VLOOKUP(Proc[[#This Row],[Author]],Table4[],2,0))</f>
        <v>HC</v>
      </c>
      <c r="L3123" s="125" t="s">
        <v>4896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9</v>
      </c>
      <c r="R3123" s="115" t="s">
        <v>1013</v>
      </c>
      <c r="S3123" s="125"/>
    </row>
    <row r="3124" spans="1:19" hidden="1">
      <c r="A3124" s="124" t="s">
        <v>5260</v>
      </c>
      <c r="B3124" s="125" t="str">
        <f>IFERROR(VLOOKUP(Proc[[#This Row],[App]],Table2[],3,0),"open")</f>
        <v>ok</v>
      </c>
      <c r="C3124" s="124" t="s">
        <v>369</v>
      </c>
      <c r="D3124" t="s">
        <v>5145</v>
      </c>
      <c r="E3124" t="s">
        <v>4069</v>
      </c>
      <c r="F3124" s="125" t="s">
        <v>4069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25" t="str">
        <f>IF(Proc[[#This Row],[Author]]="Marcela Urrego",VLOOKUP(LEFT(Proc[[#This Row],[Requested]],1),Table3[#All],2,0),VLOOKUP(Proc[[#This Row],[Author]],Table4[],2,0))</f>
        <v>HC</v>
      </c>
      <c r="L3124" s="125" t="s">
        <v>4896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9</v>
      </c>
      <c r="R3124" s="115" t="s">
        <v>1013</v>
      </c>
      <c r="S3124" s="125"/>
    </row>
    <row r="3125" spans="1:19" hidden="1">
      <c r="A3125" s="124" t="s">
        <v>5260</v>
      </c>
      <c r="B3125" s="125" t="str">
        <f>IFERROR(VLOOKUP(Proc[[#This Row],[App]],Table2[],3,0),"open")</f>
        <v>ok</v>
      </c>
      <c r="C3125" s="124" t="s">
        <v>369</v>
      </c>
      <c r="D3125" t="s">
        <v>5146</v>
      </c>
      <c r="E3125" t="s">
        <v>4069</v>
      </c>
      <c r="F3125" s="125" t="s">
        <v>4069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25" t="str">
        <f>IF(Proc[[#This Row],[Author]]="Marcela Urrego",VLOOKUP(LEFT(Proc[[#This Row],[Requested]],1),Table3[#All],2,0),VLOOKUP(Proc[[#This Row],[Author]],Table4[],2,0))</f>
        <v>HC</v>
      </c>
      <c r="L3125" s="125" t="s">
        <v>4896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9</v>
      </c>
      <c r="R3125" s="115" t="s">
        <v>1013</v>
      </c>
      <c r="S3125" s="125"/>
    </row>
    <row r="3126" spans="1:19" hidden="1">
      <c r="A3126" s="124" t="s">
        <v>5260</v>
      </c>
      <c r="B3126" s="125" t="str">
        <f>IFERROR(VLOOKUP(Proc[[#This Row],[App]],Table2[],3,0),"open")</f>
        <v>ok</v>
      </c>
      <c r="C3126" s="124" t="s">
        <v>369</v>
      </c>
      <c r="D3126" t="s">
        <v>5147</v>
      </c>
      <c r="E3126" t="s">
        <v>4069</v>
      </c>
      <c r="F3126" s="125" t="s">
        <v>4069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25" t="str">
        <f>IF(Proc[[#This Row],[Author]]="Marcela Urrego",VLOOKUP(LEFT(Proc[[#This Row],[Requested]],1),Table3[#All],2,0),VLOOKUP(Proc[[#This Row],[Author]],Table4[],2,0))</f>
        <v>HC</v>
      </c>
      <c r="L3126" s="125" t="s">
        <v>4896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9</v>
      </c>
      <c r="R3126" s="115" t="s">
        <v>1013</v>
      </c>
      <c r="S3126" s="125"/>
    </row>
    <row r="3127" spans="1:19" hidden="1">
      <c r="A3127" s="124" t="s">
        <v>5260</v>
      </c>
      <c r="B3127" s="125" t="str">
        <f>IFERROR(VLOOKUP(Proc[[#This Row],[App]],Table2[],3,0),"open")</f>
        <v>ok</v>
      </c>
      <c r="C3127" s="124" t="s">
        <v>369</v>
      </c>
      <c r="D3127" t="s">
        <v>5148</v>
      </c>
      <c r="E3127" t="s">
        <v>4069</v>
      </c>
      <c r="F3127" s="125" t="s">
        <v>4069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25" t="str">
        <f>IF(Proc[[#This Row],[Author]]="Marcela Urrego",VLOOKUP(LEFT(Proc[[#This Row],[Requested]],1),Table3[#All],2,0),VLOOKUP(Proc[[#This Row],[Author]],Table4[],2,0))</f>
        <v>HC</v>
      </c>
      <c r="L3127" s="125" t="s">
        <v>4896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9</v>
      </c>
      <c r="R3127" s="115" t="s">
        <v>1013</v>
      </c>
      <c r="S3127" s="125"/>
    </row>
    <row r="3128" spans="1:19" hidden="1">
      <c r="A3128" s="124" t="s">
        <v>5260</v>
      </c>
      <c r="B3128" s="125" t="str">
        <f>IFERROR(VLOOKUP(Proc[[#This Row],[App]],Table2[],3,0),"open")</f>
        <v>ok</v>
      </c>
      <c r="C3128" s="124" t="s">
        <v>369</v>
      </c>
      <c r="D3128" t="s">
        <v>5149</v>
      </c>
      <c r="E3128" t="s">
        <v>4069</v>
      </c>
      <c r="F3128" s="125" t="s">
        <v>4069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25" t="str">
        <f>IF(Proc[[#This Row],[Author]]="Marcela Urrego",VLOOKUP(LEFT(Proc[[#This Row],[Requested]],1),Table3[#All],2,0),VLOOKUP(Proc[[#This Row],[Author]],Table4[],2,0))</f>
        <v>HC</v>
      </c>
      <c r="L3128" s="125" t="s">
        <v>4896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9</v>
      </c>
      <c r="R3128" s="115" t="s">
        <v>1013</v>
      </c>
      <c r="S3128" s="125"/>
    </row>
    <row r="3129" spans="1:19" hidden="1">
      <c r="A3129" s="124" t="s">
        <v>5260</v>
      </c>
      <c r="B3129" s="125" t="str">
        <f>IFERROR(VLOOKUP(Proc[[#This Row],[App]],Table2[],3,0),"open")</f>
        <v>ok</v>
      </c>
      <c r="C3129" s="124" t="s">
        <v>369</v>
      </c>
      <c r="D3129" t="s">
        <v>5150</v>
      </c>
      <c r="E3129" t="s">
        <v>4069</v>
      </c>
      <c r="F3129" s="125" t="s">
        <v>4069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25" t="str">
        <f>IF(Proc[[#This Row],[Author]]="Marcela Urrego",VLOOKUP(LEFT(Proc[[#This Row],[Requested]],1),Table3[#All],2,0),VLOOKUP(Proc[[#This Row],[Author]],Table4[],2,0))</f>
        <v>HC</v>
      </c>
      <c r="L3129" s="125" t="s">
        <v>4896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9</v>
      </c>
      <c r="R3129" s="115" t="s">
        <v>1013</v>
      </c>
      <c r="S3129" s="125"/>
    </row>
    <row r="3130" spans="1:19" hidden="1">
      <c r="A3130" s="124" t="s">
        <v>5260</v>
      </c>
      <c r="B3130" s="125" t="str">
        <f>IFERROR(VLOOKUP(Proc[[#This Row],[App]],Table2[],3,0),"open")</f>
        <v>ok</v>
      </c>
      <c r="C3130" s="124" t="s">
        <v>369</v>
      </c>
      <c r="D3130" t="s">
        <v>5151</v>
      </c>
      <c r="E3130" t="s">
        <v>4069</v>
      </c>
      <c r="F3130" s="125" t="s">
        <v>4069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25" t="str">
        <f>IF(Proc[[#This Row],[Author]]="Marcela Urrego",VLOOKUP(LEFT(Proc[[#This Row],[Requested]],1),Table3[#All],2,0),VLOOKUP(Proc[[#This Row],[Author]],Table4[],2,0))</f>
        <v>HC</v>
      </c>
      <c r="L3130" s="125" t="s">
        <v>4896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9</v>
      </c>
      <c r="R3130" s="115" t="s">
        <v>1013</v>
      </c>
      <c r="S3130" s="125"/>
    </row>
    <row r="3131" spans="1:19" hidden="1">
      <c r="A3131" s="124" t="s">
        <v>5260</v>
      </c>
      <c r="B3131" s="125" t="str">
        <f>IFERROR(VLOOKUP(Proc[[#This Row],[App]],Table2[],3,0),"open")</f>
        <v>ok</v>
      </c>
      <c r="C3131" s="124" t="s">
        <v>369</v>
      </c>
      <c r="D3131" t="s">
        <v>5152</v>
      </c>
      <c r="E3131" t="s">
        <v>4069</v>
      </c>
      <c r="F3131" s="125" t="s">
        <v>4069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25" t="str">
        <f>IF(Proc[[#This Row],[Author]]="Marcela Urrego",VLOOKUP(LEFT(Proc[[#This Row],[Requested]],1),Table3[#All],2,0),VLOOKUP(Proc[[#This Row],[Author]],Table4[],2,0))</f>
        <v>HC</v>
      </c>
      <c r="L3131" s="125" t="s">
        <v>4896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9</v>
      </c>
      <c r="R3131" s="115" t="s">
        <v>1013</v>
      </c>
      <c r="S3131" s="125"/>
    </row>
    <row r="3132" spans="1:19" hidden="1">
      <c r="A3132" s="124" t="s">
        <v>5260</v>
      </c>
      <c r="B3132" s="125" t="str">
        <f>IFERROR(VLOOKUP(Proc[[#This Row],[App]],Table2[],3,0),"open")</f>
        <v>ok</v>
      </c>
      <c r="C3132" s="124" t="s">
        <v>369</v>
      </c>
      <c r="D3132" t="s">
        <v>5153</v>
      </c>
      <c r="E3132" t="s">
        <v>4069</v>
      </c>
      <c r="F3132" s="125" t="s">
        <v>4069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25" t="str">
        <f>IF(Proc[[#This Row],[Author]]="Marcela Urrego",VLOOKUP(LEFT(Proc[[#This Row],[Requested]],1),Table3[#All],2,0),VLOOKUP(Proc[[#This Row],[Author]],Table4[],2,0))</f>
        <v>HC</v>
      </c>
      <c r="L3132" s="125" t="s">
        <v>4896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9</v>
      </c>
      <c r="R3132" s="115" t="s">
        <v>1013</v>
      </c>
      <c r="S3132" s="125"/>
    </row>
    <row r="3133" spans="1:19" hidden="1">
      <c r="A3133" s="124" t="s">
        <v>5260</v>
      </c>
      <c r="B3133" s="125" t="str">
        <f>IFERROR(VLOOKUP(Proc[[#This Row],[App]],Table2[],3,0),"open")</f>
        <v>ok</v>
      </c>
      <c r="C3133" s="124" t="s">
        <v>369</v>
      </c>
      <c r="D3133" t="s">
        <v>5154</v>
      </c>
      <c r="E3133" t="s">
        <v>4069</v>
      </c>
      <c r="F3133" s="125" t="s">
        <v>4069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25" t="str">
        <f>IF(Proc[[#This Row],[Author]]="Marcela Urrego",VLOOKUP(LEFT(Proc[[#This Row],[Requested]],1),Table3[#All],2,0),VLOOKUP(Proc[[#This Row],[Author]],Table4[],2,0))</f>
        <v>HC</v>
      </c>
      <c r="L3133" s="125" t="s">
        <v>4896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9</v>
      </c>
      <c r="R3133" s="115" t="s">
        <v>1013</v>
      </c>
      <c r="S3133" s="125"/>
    </row>
    <row r="3134" spans="1:19" hidden="1">
      <c r="A3134" s="124" t="s">
        <v>5260</v>
      </c>
      <c r="B3134" s="125" t="str">
        <f>IFERROR(VLOOKUP(Proc[[#This Row],[App]],Table2[],3,0),"open")</f>
        <v>ok</v>
      </c>
      <c r="C3134" s="124" t="s">
        <v>369</v>
      </c>
      <c r="D3134" t="s">
        <v>5155</v>
      </c>
      <c r="E3134" t="s">
        <v>4069</v>
      </c>
      <c r="F3134" s="125" t="s">
        <v>4069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25" t="str">
        <f>IF(Proc[[#This Row],[Author]]="Marcela Urrego",VLOOKUP(LEFT(Proc[[#This Row],[Requested]],1),Table3[#All],2,0),VLOOKUP(Proc[[#This Row],[Author]],Table4[],2,0))</f>
        <v>HC</v>
      </c>
      <c r="L3134" s="125" t="s">
        <v>4896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9</v>
      </c>
      <c r="R3134" s="115" t="s">
        <v>1013</v>
      </c>
      <c r="S3134" s="125"/>
    </row>
    <row r="3135" spans="1:19" hidden="1">
      <c r="A3135" s="124" t="s">
        <v>5260</v>
      </c>
      <c r="B3135" s="125" t="str">
        <f>IFERROR(VLOOKUP(Proc[[#This Row],[App]],Table2[],3,0),"open")</f>
        <v>ok</v>
      </c>
      <c r="C3135" s="124" t="s">
        <v>369</v>
      </c>
      <c r="D3135" t="s">
        <v>5156</v>
      </c>
      <c r="E3135" t="s">
        <v>4069</v>
      </c>
      <c r="F3135" s="125" t="s">
        <v>4069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25" t="str">
        <f>IF(Proc[[#This Row],[Author]]="Marcela Urrego",VLOOKUP(LEFT(Proc[[#This Row],[Requested]],1),Table3[#All],2,0),VLOOKUP(Proc[[#This Row],[Author]],Table4[],2,0))</f>
        <v>HC</v>
      </c>
      <c r="L3135" s="125" t="s">
        <v>4896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9</v>
      </c>
      <c r="R3135" s="115" t="s">
        <v>1013</v>
      </c>
      <c r="S3135" s="125"/>
    </row>
    <row r="3136" spans="1:19" hidden="1">
      <c r="A3136" s="124" t="s">
        <v>5260</v>
      </c>
      <c r="B3136" s="125" t="str">
        <f>IFERROR(VLOOKUP(Proc[[#This Row],[App]],Table2[],3,0),"open")</f>
        <v>ok</v>
      </c>
      <c r="C3136" s="124" t="s">
        <v>369</v>
      </c>
      <c r="D3136" t="s">
        <v>5157</v>
      </c>
      <c r="E3136" t="s">
        <v>4069</v>
      </c>
      <c r="F3136" s="125" t="s">
        <v>4069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25" t="str">
        <f>IF(Proc[[#This Row],[Author]]="Marcela Urrego",VLOOKUP(LEFT(Proc[[#This Row],[Requested]],1),Table3[#All],2,0),VLOOKUP(Proc[[#This Row],[Author]],Table4[],2,0))</f>
        <v>HC</v>
      </c>
      <c r="L3136" s="125" t="s">
        <v>4896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9</v>
      </c>
      <c r="R3136" s="115" t="s">
        <v>1013</v>
      </c>
      <c r="S3136" s="125"/>
    </row>
    <row r="3137" spans="1:19" hidden="1">
      <c r="A3137" s="124" t="s">
        <v>5260</v>
      </c>
      <c r="B3137" s="125" t="str">
        <f>IFERROR(VLOOKUP(Proc[[#This Row],[App]],Table2[],3,0),"open")</f>
        <v>ok</v>
      </c>
      <c r="C3137" s="124" t="s">
        <v>369</v>
      </c>
      <c r="D3137" t="s">
        <v>5158</v>
      </c>
      <c r="E3137" t="s">
        <v>4069</v>
      </c>
      <c r="F3137" s="125" t="s">
        <v>4069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25" t="str">
        <f>IF(Proc[[#This Row],[Author]]="Marcela Urrego",VLOOKUP(LEFT(Proc[[#This Row],[Requested]],1),Table3[#All],2,0),VLOOKUP(Proc[[#This Row],[Author]],Table4[],2,0))</f>
        <v>HC</v>
      </c>
      <c r="L3137" s="125" t="s">
        <v>4896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9</v>
      </c>
      <c r="R3137" s="115" t="s">
        <v>1013</v>
      </c>
      <c r="S3137" s="125"/>
    </row>
    <row r="3138" spans="1:19" hidden="1">
      <c r="A3138" s="124" t="s">
        <v>5260</v>
      </c>
      <c r="B3138" s="125" t="str">
        <f>IFERROR(VLOOKUP(Proc[[#This Row],[App]],Table2[],3,0),"open")</f>
        <v>ok</v>
      </c>
      <c r="C3138" s="124" t="s">
        <v>369</v>
      </c>
      <c r="D3138" t="s">
        <v>5159</v>
      </c>
      <c r="E3138" t="s">
        <v>4069</v>
      </c>
      <c r="F3138" s="125" t="s">
        <v>4069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25" t="str">
        <f>IF(Proc[[#This Row],[Author]]="Marcela Urrego",VLOOKUP(LEFT(Proc[[#This Row],[Requested]],1),Table3[#All],2,0),VLOOKUP(Proc[[#This Row],[Author]],Table4[],2,0))</f>
        <v>HC</v>
      </c>
      <c r="L3138" s="125" t="s">
        <v>4896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9</v>
      </c>
      <c r="R3138" s="115" t="s">
        <v>1013</v>
      </c>
      <c r="S3138" s="125"/>
    </row>
    <row r="3139" spans="1:19" hidden="1">
      <c r="A3139" s="124" t="s">
        <v>5260</v>
      </c>
      <c r="B3139" s="125" t="str">
        <f>IFERROR(VLOOKUP(Proc[[#This Row],[App]],Table2[],3,0),"open")</f>
        <v>ok</v>
      </c>
      <c r="C3139" s="124" t="s">
        <v>369</v>
      </c>
      <c r="D3139" t="s">
        <v>5160</v>
      </c>
      <c r="E3139" t="s">
        <v>4069</v>
      </c>
      <c r="F3139" s="125" t="s">
        <v>4069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25" t="str">
        <f>IF(Proc[[#This Row],[Author]]="Marcela Urrego",VLOOKUP(LEFT(Proc[[#This Row],[Requested]],1),Table3[#All],2,0),VLOOKUP(Proc[[#This Row],[Author]],Table4[],2,0))</f>
        <v>HC</v>
      </c>
      <c r="L3139" s="125" t="s">
        <v>4896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9</v>
      </c>
      <c r="R3139" s="115" t="s">
        <v>1013</v>
      </c>
      <c r="S3139" s="125"/>
    </row>
    <row r="3140" spans="1:19" hidden="1">
      <c r="A3140" s="124" t="s">
        <v>5260</v>
      </c>
      <c r="B3140" s="125" t="str">
        <f>IFERROR(VLOOKUP(Proc[[#This Row],[App]],Table2[],3,0),"open")</f>
        <v>ok</v>
      </c>
      <c r="C3140" s="124" t="s">
        <v>369</v>
      </c>
      <c r="D3140" t="s">
        <v>5161</v>
      </c>
      <c r="E3140" t="s">
        <v>4069</v>
      </c>
      <c r="F3140" s="125" t="s">
        <v>4069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25" t="str">
        <f>IF(Proc[[#This Row],[Author]]="Marcela Urrego",VLOOKUP(LEFT(Proc[[#This Row],[Requested]],1),Table3[#All],2,0),VLOOKUP(Proc[[#This Row],[Author]],Table4[],2,0))</f>
        <v>HC</v>
      </c>
      <c r="L3140" s="125" t="s">
        <v>4896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9</v>
      </c>
      <c r="R3140" s="115" t="s">
        <v>1013</v>
      </c>
      <c r="S3140" s="125"/>
    </row>
    <row r="3141" spans="1:19" hidden="1">
      <c r="A3141" s="124" t="s">
        <v>5260</v>
      </c>
      <c r="B3141" s="125" t="str">
        <f>IFERROR(VLOOKUP(Proc[[#This Row],[App]],Table2[],3,0),"open")</f>
        <v>ok</v>
      </c>
      <c r="C3141" s="124" t="s">
        <v>369</v>
      </c>
      <c r="D3141" t="s">
        <v>5162</v>
      </c>
      <c r="E3141" t="s">
        <v>4069</v>
      </c>
      <c r="F3141" s="125" t="s">
        <v>4069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25" t="str">
        <f>IF(Proc[[#This Row],[Author]]="Marcela Urrego",VLOOKUP(LEFT(Proc[[#This Row],[Requested]],1),Table3[#All],2,0),VLOOKUP(Proc[[#This Row],[Author]],Table4[],2,0))</f>
        <v>HC</v>
      </c>
      <c r="L3141" s="125" t="s">
        <v>4896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9</v>
      </c>
      <c r="R3141" s="115" t="s">
        <v>1013</v>
      </c>
      <c r="S3141" s="125"/>
    </row>
    <row r="3142" spans="1:19" hidden="1">
      <c r="A3142" s="124" t="s">
        <v>5260</v>
      </c>
      <c r="B3142" s="125" t="str">
        <f>IFERROR(VLOOKUP(Proc[[#This Row],[App]],Table2[],3,0),"open")</f>
        <v>ok</v>
      </c>
      <c r="C3142" s="124" t="s">
        <v>369</v>
      </c>
      <c r="D3142" t="s">
        <v>5163</v>
      </c>
      <c r="E3142" t="s">
        <v>4069</v>
      </c>
      <c r="F3142" s="125" t="s">
        <v>4069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25" t="str">
        <f>IF(Proc[[#This Row],[Author]]="Marcela Urrego",VLOOKUP(LEFT(Proc[[#This Row],[Requested]],1),Table3[#All],2,0),VLOOKUP(Proc[[#This Row],[Author]],Table4[],2,0))</f>
        <v>HC</v>
      </c>
      <c r="L3142" s="125" t="s">
        <v>4896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9</v>
      </c>
      <c r="R3142" s="115" t="s">
        <v>1013</v>
      </c>
      <c r="S3142" s="125"/>
    </row>
    <row r="3143" spans="1:19" hidden="1">
      <c r="A3143" s="124" t="s">
        <v>5260</v>
      </c>
      <c r="B3143" s="125" t="str">
        <f>IFERROR(VLOOKUP(Proc[[#This Row],[App]],Table2[],3,0),"open")</f>
        <v>ok</v>
      </c>
      <c r="C3143" s="124" t="s">
        <v>369</v>
      </c>
      <c r="D3143" t="s">
        <v>5164</v>
      </c>
      <c r="E3143" t="s">
        <v>4069</v>
      </c>
      <c r="F3143" s="125" t="s">
        <v>4069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25" t="str">
        <f>IF(Proc[[#This Row],[Author]]="Marcela Urrego",VLOOKUP(LEFT(Proc[[#This Row],[Requested]],1),Table3[#All],2,0),VLOOKUP(Proc[[#This Row],[Author]],Table4[],2,0))</f>
        <v>HC</v>
      </c>
      <c r="L3143" s="125" t="s">
        <v>4896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9</v>
      </c>
      <c r="R3143" s="115" t="s">
        <v>1013</v>
      </c>
      <c r="S3143" s="125"/>
    </row>
    <row r="3144" spans="1:19" hidden="1">
      <c r="A3144" s="124" t="s">
        <v>5260</v>
      </c>
      <c r="B3144" s="125" t="str">
        <f>IFERROR(VLOOKUP(Proc[[#This Row],[App]],Table2[],3,0),"open")</f>
        <v>ok</v>
      </c>
      <c r="C3144" s="124" t="s">
        <v>369</v>
      </c>
      <c r="D3144" t="s">
        <v>5165</v>
      </c>
      <c r="E3144" t="s">
        <v>4069</v>
      </c>
      <c r="F3144" s="125" t="s">
        <v>4069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25" t="str">
        <f>IF(Proc[[#This Row],[Author]]="Marcela Urrego",VLOOKUP(LEFT(Proc[[#This Row],[Requested]],1),Table3[#All],2,0),VLOOKUP(Proc[[#This Row],[Author]],Table4[],2,0))</f>
        <v>HC</v>
      </c>
      <c r="L3144" s="125" t="s">
        <v>4896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9</v>
      </c>
      <c r="R3144" s="115" t="s">
        <v>1013</v>
      </c>
      <c r="S3144" s="125"/>
    </row>
    <row r="3145" spans="1:19" hidden="1">
      <c r="A3145" s="124" t="s">
        <v>5260</v>
      </c>
      <c r="B3145" s="125" t="str">
        <f>IFERROR(VLOOKUP(Proc[[#This Row],[App]],Table2[],3,0),"open")</f>
        <v>ok</v>
      </c>
      <c r="C3145" s="124" t="s">
        <v>369</v>
      </c>
      <c r="D3145" t="s">
        <v>5166</v>
      </c>
      <c r="E3145" t="s">
        <v>4069</v>
      </c>
      <c r="F3145" s="125" t="s">
        <v>4069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25" t="str">
        <f>IF(Proc[[#This Row],[Author]]="Marcela Urrego",VLOOKUP(LEFT(Proc[[#This Row],[Requested]],1),Table3[#All],2,0),VLOOKUP(Proc[[#This Row],[Author]],Table4[],2,0))</f>
        <v>HC</v>
      </c>
      <c r="L3145" s="125" t="s">
        <v>4896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9</v>
      </c>
      <c r="R3145" s="115" t="s">
        <v>1013</v>
      </c>
      <c r="S3145" s="125"/>
    </row>
    <row r="3146" spans="1:19" hidden="1">
      <c r="A3146" s="124" t="s">
        <v>5260</v>
      </c>
      <c r="B3146" s="125" t="str">
        <f>IFERROR(VLOOKUP(Proc[[#This Row],[App]],Table2[],3,0),"open")</f>
        <v>ok</v>
      </c>
      <c r="C3146" s="124" t="s">
        <v>369</v>
      </c>
      <c r="D3146" t="s">
        <v>5167</v>
      </c>
      <c r="E3146" t="s">
        <v>4069</v>
      </c>
      <c r="F3146" s="125" t="s">
        <v>4069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25" t="str">
        <f>IF(Proc[[#This Row],[Author]]="Marcela Urrego",VLOOKUP(LEFT(Proc[[#This Row],[Requested]],1),Table3[#All],2,0),VLOOKUP(Proc[[#This Row],[Author]],Table4[],2,0))</f>
        <v>HC</v>
      </c>
      <c r="L3146" s="125" t="s">
        <v>4896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9</v>
      </c>
      <c r="R3146" s="115" t="s">
        <v>1013</v>
      </c>
      <c r="S3146" s="125"/>
    </row>
    <row r="3147" spans="1:19" hidden="1">
      <c r="A3147" s="124" t="s">
        <v>5260</v>
      </c>
      <c r="B3147" s="125" t="str">
        <f>IFERROR(VLOOKUP(Proc[[#This Row],[App]],Table2[],3,0),"open")</f>
        <v>ok</v>
      </c>
      <c r="C3147" s="124" t="s">
        <v>369</v>
      </c>
      <c r="D3147" t="s">
        <v>5168</v>
      </c>
      <c r="E3147" t="s">
        <v>4069</v>
      </c>
      <c r="F3147" s="125" t="s">
        <v>4069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25" t="str">
        <f>IF(Proc[[#This Row],[Author]]="Marcela Urrego",VLOOKUP(LEFT(Proc[[#This Row],[Requested]],1),Table3[#All],2,0),VLOOKUP(Proc[[#This Row],[Author]],Table4[],2,0))</f>
        <v>HC</v>
      </c>
      <c r="L3147" s="125" t="s">
        <v>4896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9</v>
      </c>
      <c r="R3147" s="115" t="s">
        <v>1013</v>
      </c>
      <c r="S3147" s="125"/>
    </row>
    <row r="3148" spans="1:19" hidden="1">
      <c r="A3148" s="124" t="s">
        <v>5260</v>
      </c>
      <c r="B3148" s="125" t="str">
        <f>IFERROR(VLOOKUP(Proc[[#This Row],[App]],Table2[],3,0),"open")</f>
        <v>ok</v>
      </c>
      <c r="C3148" s="124" t="s">
        <v>369</v>
      </c>
      <c r="D3148" t="s">
        <v>5169</v>
      </c>
      <c r="E3148" t="s">
        <v>4069</v>
      </c>
      <c r="F3148" s="125" t="s">
        <v>4069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25" t="str">
        <f>IF(Proc[[#This Row],[Author]]="Marcela Urrego",VLOOKUP(LEFT(Proc[[#This Row],[Requested]],1),Table3[#All],2,0),VLOOKUP(Proc[[#This Row],[Author]],Table4[],2,0))</f>
        <v>HC</v>
      </c>
      <c r="L3148" s="125" t="s">
        <v>4896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9</v>
      </c>
      <c r="R3148" s="115" t="s">
        <v>1013</v>
      </c>
      <c r="S3148" s="125"/>
    </row>
    <row r="3149" spans="1:19" hidden="1">
      <c r="A3149" s="124" t="s">
        <v>5260</v>
      </c>
      <c r="B3149" s="125" t="str">
        <f>IFERROR(VLOOKUP(Proc[[#This Row],[App]],Table2[],3,0),"open")</f>
        <v>ok</v>
      </c>
      <c r="C3149" s="124" t="s">
        <v>369</v>
      </c>
      <c r="D3149" t="s">
        <v>5170</v>
      </c>
      <c r="E3149" t="s">
        <v>4069</v>
      </c>
      <c r="F3149" s="125" t="s">
        <v>4069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25" t="str">
        <f>IF(Proc[[#This Row],[Author]]="Marcela Urrego",VLOOKUP(LEFT(Proc[[#This Row],[Requested]],1),Table3[#All],2,0),VLOOKUP(Proc[[#This Row],[Author]],Table4[],2,0))</f>
        <v>HC</v>
      </c>
      <c r="L3149" s="125" t="s">
        <v>4896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9</v>
      </c>
      <c r="R3149" s="115" t="s">
        <v>1013</v>
      </c>
      <c r="S3149" s="125"/>
    </row>
    <row r="3150" spans="1:19" hidden="1">
      <c r="A3150" s="124" t="s">
        <v>5260</v>
      </c>
      <c r="B3150" s="125" t="str">
        <f>IFERROR(VLOOKUP(Proc[[#This Row],[App]],Table2[],3,0),"open")</f>
        <v>ok</v>
      </c>
      <c r="C3150" s="124" t="s">
        <v>369</v>
      </c>
      <c r="D3150" t="s">
        <v>5171</v>
      </c>
      <c r="E3150" t="s">
        <v>4069</v>
      </c>
      <c r="F3150" s="125" t="s">
        <v>4069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25" t="str">
        <f>IF(Proc[[#This Row],[Author]]="Marcela Urrego",VLOOKUP(LEFT(Proc[[#This Row],[Requested]],1),Table3[#All],2,0),VLOOKUP(Proc[[#This Row],[Author]],Table4[],2,0))</f>
        <v>HC</v>
      </c>
      <c r="L3150" s="125" t="s">
        <v>4896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9</v>
      </c>
      <c r="R3150" s="115" t="s">
        <v>1013</v>
      </c>
      <c r="S3150" s="125"/>
    </row>
    <row r="3151" spans="1:19" hidden="1">
      <c r="A3151" s="124" t="s">
        <v>5260</v>
      </c>
      <c r="B3151" s="125" t="str">
        <f>IFERROR(VLOOKUP(Proc[[#This Row],[App]],Table2[],3,0),"open")</f>
        <v>ok</v>
      </c>
      <c r="C3151" s="124" t="s">
        <v>369</v>
      </c>
      <c r="D3151" t="s">
        <v>5172</v>
      </c>
      <c r="E3151" t="s">
        <v>4069</v>
      </c>
      <c r="F3151" s="125" t="s">
        <v>4069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25" t="str">
        <f>IF(Proc[[#This Row],[Author]]="Marcela Urrego",VLOOKUP(LEFT(Proc[[#This Row],[Requested]],1),Table3[#All],2,0),VLOOKUP(Proc[[#This Row],[Author]],Table4[],2,0))</f>
        <v>HC</v>
      </c>
      <c r="L3151" s="125" t="s">
        <v>4896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9</v>
      </c>
      <c r="R3151" s="115" t="s">
        <v>1013</v>
      </c>
      <c r="S3151" s="125"/>
    </row>
    <row r="3152" spans="1:19" hidden="1">
      <c r="A3152" s="124" t="s">
        <v>5260</v>
      </c>
      <c r="B3152" s="125" t="str">
        <f>IFERROR(VLOOKUP(Proc[[#This Row],[App]],Table2[],3,0),"open")</f>
        <v>ok</v>
      </c>
      <c r="C3152" s="124" t="s">
        <v>369</v>
      </c>
      <c r="D3152" t="s">
        <v>5173</v>
      </c>
      <c r="E3152" t="s">
        <v>4069</v>
      </c>
      <c r="F3152" s="125" t="s">
        <v>4069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25" t="str">
        <f>IF(Proc[[#This Row],[Author]]="Marcela Urrego",VLOOKUP(LEFT(Proc[[#This Row],[Requested]],1),Table3[#All],2,0),VLOOKUP(Proc[[#This Row],[Author]],Table4[],2,0))</f>
        <v>HC</v>
      </c>
      <c r="L3152" s="125" t="s">
        <v>4896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9</v>
      </c>
      <c r="R3152" s="115" t="s">
        <v>1013</v>
      </c>
      <c r="S3152" s="125"/>
    </row>
    <row r="3153" spans="1:19" hidden="1">
      <c r="A3153" s="124" t="s">
        <v>5260</v>
      </c>
      <c r="B3153" s="125" t="str">
        <f>IFERROR(VLOOKUP(Proc[[#This Row],[App]],Table2[],3,0),"open")</f>
        <v>ok</v>
      </c>
      <c r="C3153" s="124" t="s">
        <v>369</v>
      </c>
      <c r="D3153" t="s">
        <v>5174</v>
      </c>
      <c r="E3153" t="s">
        <v>4069</v>
      </c>
      <c r="F3153" s="125" t="s">
        <v>4069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25" t="str">
        <f>IF(Proc[[#This Row],[Author]]="Marcela Urrego",VLOOKUP(LEFT(Proc[[#This Row],[Requested]],1),Table3[#All],2,0),VLOOKUP(Proc[[#This Row],[Author]],Table4[],2,0))</f>
        <v>HC</v>
      </c>
      <c r="L3153" s="125" t="s">
        <v>4896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9</v>
      </c>
      <c r="R3153" s="115" t="s">
        <v>1013</v>
      </c>
      <c r="S3153" s="125"/>
    </row>
    <row r="3154" spans="1:19" hidden="1">
      <c r="A3154" s="124" t="s">
        <v>5260</v>
      </c>
      <c r="B3154" s="125" t="str">
        <f>IFERROR(VLOOKUP(Proc[[#This Row],[App]],Table2[],3,0),"open")</f>
        <v>ok</v>
      </c>
      <c r="C3154" s="124" t="s">
        <v>369</v>
      </c>
      <c r="D3154" t="s">
        <v>5175</v>
      </c>
      <c r="E3154" t="s">
        <v>4069</v>
      </c>
      <c r="F3154" s="125" t="s">
        <v>4069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25" t="str">
        <f>IF(Proc[[#This Row],[Author]]="Marcela Urrego",VLOOKUP(LEFT(Proc[[#This Row],[Requested]],1),Table3[#All],2,0),VLOOKUP(Proc[[#This Row],[Author]],Table4[],2,0))</f>
        <v>HC</v>
      </c>
      <c r="L3154" s="125" t="s">
        <v>4896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9</v>
      </c>
      <c r="R3154" s="115" t="s">
        <v>1013</v>
      </c>
      <c r="S3154" s="125"/>
    </row>
    <row r="3155" spans="1:19" hidden="1">
      <c r="A3155" s="124" t="s">
        <v>5260</v>
      </c>
      <c r="B3155" s="125" t="str">
        <f>IFERROR(VLOOKUP(Proc[[#This Row],[App]],Table2[],3,0),"open")</f>
        <v>ok</v>
      </c>
      <c r="C3155" s="124" t="s">
        <v>369</v>
      </c>
      <c r="D3155" t="s">
        <v>5176</v>
      </c>
      <c r="E3155" t="s">
        <v>4069</v>
      </c>
      <c r="F3155" s="125" t="s">
        <v>4069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25" t="str">
        <f>IF(Proc[[#This Row],[Author]]="Marcela Urrego",VLOOKUP(LEFT(Proc[[#This Row],[Requested]],1),Table3[#All],2,0),VLOOKUP(Proc[[#This Row],[Author]],Table4[],2,0))</f>
        <v>HC</v>
      </c>
      <c r="L3155" s="125" t="s">
        <v>4896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9</v>
      </c>
      <c r="R3155" s="115" t="s">
        <v>1013</v>
      </c>
      <c r="S3155" s="125"/>
    </row>
    <row r="3156" spans="1:19" hidden="1">
      <c r="A3156" s="124" t="s">
        <v>5260</v>
      </c>
      <c r="B3156" s="125" t="str">
        <f>IFERROR(VLOOKUP(Proc[[#This Row],[App]],Table2[],3,0),"open")</f>
        <v>ok</v>
      </c>
      <c r="C3156" s="124" t="s">
        <v>369</v>
      </c>
      <c r="D3156" t="s">
        <v>5177</v>
      </c>
      <c r="E3156" t="s">
        <v>4069</v>
      </c>
      <c r="F3156" s="125" t="s">
        <v>4069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25" t="str">
        <f>IF(Proc[[#This Row],[Author]]="Marcela Urrego",VLOOKUP(LEFT(Proc[[#This Row],[Requested]],1),Table3[#All],2,0),VLOOKUP(Proc[[#This Row],[Author]],Table4[],2,0))</f>
        <v>HC</v>
      </c>
      <c r="L3156" s="125" t="s">
        <v>4896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9</v>
      </c>
      <c r="R3156" s="115" t="s">
        <v>1013</v>
      </c>
      <c r="S3156" s="125"/>
    </row>
    <row r="3157" spans="1:19" hidden="1">
      <c r="A3157" s="124" t="s">
        <v>5260</v>
      </c>
      <c r="B3157" s="125" t="str">
        <f>IFERROR(VLOOKUP(Proc[[#This Row],[App]],Table2[],3,0),"open")</f>
        <v>ok</v>
      </c>
      <c r="C3157" s="124" t="s">
        <v>369</v>
      </c>
      <c r="D3157" t="s">
        <v>5178</v>
      </c>
      <c r="E3157" t="s">
        <v>4069</v>
      </c>
      <c r="F3157" s="125" t="s">
        <v>4069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25" t="str">
        <f>IF(Proc[[#This Row],[Author]]="Marcela Urrego",VLOOKUP(LEFT(Proc[[#This Row],[Requested]],1),Table3[#All],2,0),VLOOKUP(Proc[[#This Row],[Author]],Table4[],2,0))</f>
        <v>HC</v>
      </c>
      <c r="L3157" s="125" t="s">
        <v>4896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9</v>
      </c>
      <c r="R3157" s="115" t="s">
        <v>1013</v>
      </c>
      <c r="S3157" s="125"/>
    </row>
    <row r="3158" spans="1:19" hidden="1">
      <c r="A3158" s="124" t="s">
        <v>5260</v>
      </c>
      <c r="B3158" s="125" t="str">
        <f>IFERROR(VLOOKUP(Proc[[#This Row],[App]],Table2[],3,0),"open")</f>
        <v>ok</v>
      </c>
      <c r="C3158" s="124" t="s">
        <v>369</v>
      </c>
      <c r="D3158" t="s">
        <v>5179</v>
      </c>
      <c r="E3158" t="s">
        <v>4069</v>
      </c>
      <c r="F3158" s="125" t="s">
        <v>4069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25" t="str">
        <f>IF(Proc[[#This Row],[Author]]="Marcela Urrego",VLOOKUP(LEFT(Proc[[#This Row],[Requested]],1),Table3[#All],2,0),VLOOKUP(Proc[[#This Row],[Author]],Table4[],2,0))</f>
        <v>HC</v>
      </c>
      <c r="L3158" s="125" t="s">
        <v>4896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9</v>
      </c>
      <c r="R3158" s="115" t="s">
        <v>1013</v>
      </c>
      <c r="S3158" s="125"/>
    </row>
    <row r="3159" spans="1:19" hidden="1">
      <c r="A3159" s="124" t="s">
        <v>5260</v>
      </c>
      <c r="B3159" s="125" t="str">
        <f>IFERROR(VLOOKUP(Proc[[#This Row],[App]],Table2[],3,0),"open")</f>
        <v>ok</v>
      </c>
      <c r="C3159" s="124" t="s">
        <v>369</v>
      </c>
      <c r="D3159" t="s">
        <v>5180</v>
      </c>
      <c r="E3159" t="s">
        <v>4069</v>
      </c>
      <c r="F3159" s="125" t="s">
        <v>4069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25" t="str">
        <f>IF(Proc[[#This Row],[Author]]="Marcela Urrego",VLOOKUP(LEFT(Proc[[#This Row],[Requested]],1),Table3[#All],2,0),VLOOKUP(Proc[[#This Row],[Author]],Table4[],2,0))</f>
        <v>HC</v>
      </c>
      <c r="L3159" s="125" t="s">
        <v>4896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9</v>
      </c>
      <c r="R3159" s="115" t="s">
        <v>1013</v>
      </c>
      <c r="S3159" s="125"/>
    </row>
    <row r="3160" spans="1:19" hidden="1">
      <c r="A3160" s="124" t="s">
        <v>5260</v>
      </c>
      <c r="B3160" s="125" t="str">
        <f>IFERROR(VLOOKUP(Proc[[#This Row],[App]],Table2[],3,0),"open")</f>
        <v>ok</v>
      </c>
      <c r="C3160" s="124" t="s">
        <v>369</v>
      </c>
      <c r="D3160" t="s">
        <v>5181</v>
      </c>
      <c r="E3160" t="s">
        <v>4069</v>
      </c>
      <c r="F3160" s="125" t="s">
        <v>4069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25" t="str">
        <f>IF(Proc[[#This Row],[Author]]="Marcela Urrego",VLOOKUP(LEFT(Proc[[#This Row],[Requested]],1),Table3[#All],2,0),VLOOKUP(Proc[[#This Row],[Author]],Table4[],2,0))</f>
        <v>HC</v>
      </c>
      <c r="L3160" s="125" t="s">
        <v>4896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9</v>
      </c>
      <c r="R3160" s="115" t="s">
        <v>1013</v>
      </c>
      <c r="S3160" s="125"/>
    </row>
    <row r="3161" spans="1:19" hidden="1">
      <c r="A3161" s="124" t="s">
        <v>5260</v>
      </c>
      <c r="B3161" s="125" t="str">
        <f>IFERROR(VLOOKUP(Proc[[#This Row],[App]],Table2[],3,0),"open")</f>
        <v>ok</v>
      </c>
      <c r="C3161" s="124" t="s">
        <v>369</v>
      </c>
      <c r="D3161" t="s">
        <v>5182</v>
      </c>
      <c r="E3161" t="s">
        <v>4069</v>
      </c>
      <c r="F3161" s="125" t="s">
        <v>4069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25" t="str">
        <f>IF(Proc[[#This Row],[Author]]="Marcela Urrego",VLOOKUP(LEFT(Proc[[#This Row],[Requested]],1),Table3[#All],2,0),VLOOKUP(Proc[[#This Row],[Author]],Table4[],2,0))</f>
        <v>HC</v>
      </c>
      <c r="L3161" s="125" t="s">
        <v>4896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9</v>
      </c>
      <c r="R3161" s="115" t="s">
        <v>1013</v>
      </c>
      <c r="S3161" s="125"/>
    </row>
    <row r="3162" spans="1:19" hidden="1">
      <c r="A3162" s="124" t="s">
        <v>5260</v>
      </c>
      <c r="B3162" s="125" t="str">
        <f>IFERROR(VLOOKUP(Proc[[#This Row],[App]],Table2[],3,0),"open")</f>
        <v>ok</v>
      </c>
      <c r="C3162" s="124" t="s">
        <v>369</v>
      </c>
      <c r="D3162" t="s">
        <v>5183</v>
      </c>
      <c r="E3162" t="s">
        <v>4069</v>
      </c>
      <c r="F3162" s="125" t="s">
        <v>4069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25" t="str">
        <f>IF(Proc[[#This Row],[Author]]="Marcela Urrego",VLOOKUP(LEFT(Proc[[#This Row],[Requested]],1),Table3[#All],2,0),VLOOKUP(Proc[[#This Row],[Author]],Table4[],2,0))</f>
        <v>HC</v>
      </c>
      <c r="L3162" s="125" t="s">
        <v>4896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9</v>
      </c>
      <c r="R3162" s="115" t="s">
        <v>1013</v>
      </c>
      <c r="S3162" s="125"/>
    </row>
    <row r="3163" spans="1:19" hidden="1">
      <c r="A3163" s="124" t="s">
        <v>5260</v>
      </c>
      <c r="B3163" s="125" t="str">
        <f>IFERROR(VLOOKUP(Proc[[#This Row],[App]],Table2[],3,0),"open")</f>
        <v>ok</v>
      </c>
      <c r="C3163" s="124" t="s">
        <v>369</v>
      </c>
      <c r="D3163" t="s">
        <v>5184</v>
      </c>
      <c r="E3163" t="s">
        <v>4069</v>
      </c>
      <c r="F3163" s="125" t="s">
        <v>4069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25" t="str">
        <f>IF(Proc[[#This Row],[Author]]="Marcela Urrego",VLOOKUP(LEFT(Proc[[#This Row],[Requested]],1),Table3[#All],2,0),VLOOKUP(Proc[[#This Row],[Author]],Table4[],2,0))</f>
        <v>HC</v>
      </c>
      <c r="L3163" s="125" t="s">
        <v>4896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9</v>
      </c>
      <c r="R3163" s="115" t="s">
        <v>1013</v>
      </c>
      <c r="S3163" s="125"/>
    </row>
    <row r="3164" spans="1:19" hidden="1">
      <c r="A3164" s="124" t="s">
        <v>5260</v>
      </c>
      <c r="B3164" s="125" t="str">
        <f>IFERROR(VLOOKUP(Proc[[#This Row],[App]],Table2[],3,0),"open")</f>
        <v>ok</v>
      </c>
      <c r="C3164" s="124" t="s">
        <v>369</v>
      </c>
      <c r="D3164" t="s">
        <v>5185</v>
      </c>
      <c r="E3164" t="s">
        <v>4069</v>
      </c>
      <c r="F3164" s="125" t="s">
        <v>4069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25" t="str">
        <f>IF(Proc[[#This Row],[Author]]="Marcela Urrego",VLOOKUP(LEFT(Proc[[#This Row],[Requested]],1),Table3[#All],2,0),VLOOKUP(Proc[[#This Row],[Author]],Table4[],2,0))</f>
        <v>HC</v>
      </c>
      <c r="L3164" s="125" t="s">
        <v>4896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9</v>
      </c>
      <c r="R3164" s="115" t="s">
        <v>1013</v>
      </c>
      <c r="S3164" s="125"/>
    </row>
    <row r="3165" spans="1:19" hidden="1">
      <c r="A3165" s="124" t="s">
        <v>5260</v>
      </c>
      <c r="B3165" s="125" t="str">
        <f>IFERROR(VLOOKUP(Proc[[#This Row],[App]],Table2[],3,0),"open")</f>
        <v>ok</v>
      </c>
      <c r="C3165" s="124" t="s">
        <v>369</v>
      </c>
      <c r="D3165" t="s">
        <v>5186</v>
      </c>
      <c r="E3165" t="s">
        <v>4069</v>
      </c>
      <c r="F3165" s="125" t="s">
        <v>4069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25" t="str">
        <f>IF(Proc[[#This Row],[Author]]="Marcela Urrego",VLOOKUP(LEFT(Proc[[#This Row],[Requested]],1),Table3[#All],2,0),VLOOKUP(Proc[[#This Row],[Author]],Table4[],2,0))</f>
        <v>HC</v>
      </c>
      <c r="L3165" s="125" t="s">
        <v>4896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9</v>
      </c>
      <c r="R3165" s="115" t="s">
        <v>1013</v>
      </c>
      <c r="S3165" s="125"/>
    </row>
    <row r="3166" spans="1:19" hidden="1">
      <c r="A3166" s="124" t="s">
        <v>5260</v>
      </c>
      <c r="B3166" s="125" t="str">
        <f>IFERROR(VLOOKUP(Proc[[#This Row],[App]],Table2[],3,0),"open")</f>
        <v>ok</v>
      </c>
      <c r="C3166" s="124" t="s">
        <v>369</v>
      </c>
      <c r="D3166" t="s">
        <v>5187</v>
      </c>
      <c r="E3166" t="s">
        <v>4069</v>
      </c>
      <c r="F3166" s="125" t="s">
        <v>4069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25" t="str">
        <f>IF(Proc[[#This Row],[Author]]="Marcela Urrego",VLOOKUP(LEFT(Proc[[#This Row],[Requested]],1),Table3[#All],2,0),VLOOKUP(Proc[[#This Row],[Author]],Table4[],2,0))</f>
        <v>HC</v>
      </c>
      <c r="L3166" s="125" t="s">
        <v>4896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9</v>
      </c>
      <c r="R3166" s="115" t="s">
        <v>1013</v>
      </c>
      <c r="S3166" s="125"/>
    </row>
    <row r="3167" spans="1:19" hidden="1">
      <c r="A3167" s="124" t="s">
        <v>5260</v>
      </c>
      <c r="B3167" s="125" t="str">
        <f>IFERROR(VLOOKUP(Proc[[#This Row],[App]],Table2[],3,0),"open")</f>
        <v>ok</v>
      </c>
      <c r="C3167" s="124" t="s">
        <v>369</v>
      </c>
      <c r="D3167" t="s">
        <v>5188</v>
      </c>
      <c r="E3167" t="s">
        <v>4069</v>
      </c>
      <c r="F3167" s="125" t="s">
        <v>4069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25" t="str">
        <f>IF(Proc[[#This Row],[Author]]="Marcela Urrego",VLOOKUP(LEFT(Proc[[#This Row],[Requested]],1),Table3[#All],2,0),VLOOKUP(Proc[[#This Row],[Author]],Table4[],2,0))</f>
        <v>HC</v>
      </c>
      <c r="L3167" s="125" t="s">
        <v>4896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9</v>
      </c>
      <c r="R3167" s="115" t="s">
        <v>1013</v>
      </c>
      <c r="S3167" s="125"/>
    </row>
    <row r="3168" spans="1:19" hidden="1">
      <c r="A3168" s="124" t="s">
        <v>5260</v>
      </c>
      <c r="B3168" s="125" t="str">
        <f>IFERROR(VLOOKUP(Proc[[#This Row],[App]],Table2[],3,0),"open")</f>
        <v>ok</v>
      </c>
      <c r="C3168" s="124" t="s">
        <v>369</v>
      </c>
      <c r="D3168" t="s">
        <v>5189</v>
      </c>
      <c r="E3168" t="s">
        <v>4069</v>
      </c>
      <c r="F3168" s="125" t="s">
        <v>4069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25" t="str">
        <f>IF(Proc[[#This Row],[Author]]="Marcela Urrego",VLOOKUP(LEFT(Proc[[#This Row],[Requested]],1),Table3[#All],2,0),VLOOKUP(Proc[[#This Row],[Author]],Table4[],2,0))</f>
        <v>HC</v>
      </c>
      <c r="L3168" s="125" t="s">
        <v>4896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9</v>
      </c>
      <c r="R3168" s="115" t="s">
        <v>1013</v>
      </c>
      <c r="S3168" s="125"/>
    </row>
    <row r="3169" spans="1:19" hidden="1">
      <c r="A3169" s="124" t="s">
        <v>5260</v>
      </c>
      <c r="B3169" s="125" t="str">
        <f>IFERROR(VLOOKUP(Proc[[#This Row],[App]],Table2[],3,0),"open")</f>
        <v>ok</v>
      </c>
      <c r="C3169" s="124" t="s">
        <v>369</v>
      </c>
      <c r="D3169" t="s">
        <v>5190</v>
      </c>
      <c r="E3169" t="s">
        <v>4069</v>
      </c>
      <c r="F3169" s="125" t="s">
        <v>4069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25" t="str">
        <f>IF(Proc[[#This Row],[Author]]="Marcela Urrego",VLOOKUP(LEFT(Proc[[#This Row],[Requested]],1),Table3[#All],2,0),VLOOKUP(Proc[[#This Row],[Author]],Table4[],2,0))</f>
        <v>HC</v>
      </c>
      <c r="L3169" s="125" t="s">
        <v>4896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9</v>
      </c>
      <c r="R3169" s="115" t="s">
        <v>1013</v>
      </c>
      <c r="S3169" s="125"/>
    </row>
    <row r="3170" spans="1:19" hidden="1">
      <c r="A3170" s="124" t="s">
        <v>5260</v>
      </c>
      <c r="B3170" s="125" t="str">
        <f>IFERROR(VLOOKUP(Proc[[#This Row],[App]],Table2[],3,0),"open")</f>
        <v>ok</v>
      </c>
      <c r="C3170" s="124" t="s">
        <v>369</v>
      </c>
      <c r="D3170" t="s">
        <v>5191</v>
      </c>
      <c r="E3170" t="s">
        <v>4069</v>
      </c>
      <c r="F3170" s="125" t="s">
        <v>4069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25" t="str">
        <f>IF(Proc[[#This Row],[Author]]="Marcela Urrego",VLOOKUP(LEFT(Proc[[#This Row],[Requested]],1),Table3[#All],2,0),VLOOKUP(Proc[[#This Row],[Author]],Table4[],2,0))</f>
        <v>HC</v>
      </c>
      <c r="L3170" s="125" t="s">
        <v>4896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9</v>
      </c>
      <c r="R3170" s="115" t="s">
        <v>1013</v>
      </c>
      <c r="S3170" s="125"/>
    </row>
    <row r="3171" spans="1:19" hidden="1">
      <c r="A3171" s="124" t="s">
        <v>5260</v>
      </c>
      <c r="B3171" s="125" t="str">
        <f>IFERROR(VLOOKUP(Proc[[#This Row],[App]],Table2[],3,0),"open")</f>
        <v>ok</v>
      </c>
      <c r="C3171" s="124" t="s">
        <v>369</v>
      </c>
      <c r="D3171" t="s">
        <v>5192</v>
      </c>
      <c r="E3171" t="s">
        <v>4069</v>
      </c>
      <c r="F3171" s="125" t="s">
        <v>4069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25" t="str">
        <f>IF(Proc[[#This Row],[Author]]="Marcela Urrego",VLOOKUP(LEFT(Proc[[#This Row],[Requested]],1),Table3[#All],2,0),VLOOKUP(Proc[[#This Row],[Author]],Table4[],2,0))</f>
        <v>HC</v>
      </c>
      <c r="L3171" s="125" t="s">
        <v>4896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9</v>
      </c>
      <c r="R3171" s="115" t="s">
        <v>1013</v>
      </c>
      <c r="S3171" s="125"/>
    </row>
    <row r="3172" spans="1:19" hidden="1">
      <c r="A3172" s="124" t="s">
        <v>5260</v>
      </c>
      <c r="B3172" s="125" t="str">
        <f>IFERROR(VLOOKUP(Proc[[#This Row],[App]],Table2[],3,0),"open")</f>
        <v>ok</v>
      </c>
      <c r="C3172" s="124" t="s">
        <v>369</v>
      </c>
      <c r="D3172" t="s">
        <v>5193</v>
      </c>
      <c r="E3172" t="s">
        <v>4069</v>
      </c>
      <c r="F3172" s="125" t="s">
        <v>4069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25" t="str">
        <f>IF(Proc[[#This Row],[Author]]="Marcela Urrego",VLOOKUP(LEFT(Proc[[#This Row],[Requested]],1),Table3[#All],2,0),VLOOKUP(Proc[[#This Row],[Author]],Table4[],2,0))</f>
        <v>HC</v>
      </c>
      <c r="L3172" s="125" t="s">
        <v>4896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9</v>
      </c>
      <c r="R3172" s="115" t="s">
        <v>1013</v>
      </c>
      <c r="S3172" s="125"/>
    </row>
    <row r="3173" spans="1:19" hidden="1">
      <c r="A3173" s="124" t="s">
        <v>5260</v>
      </c>
      <c r="B3173" s="125" t="str">
        <f>IFERROR(VLOOKUP(Proc[[#This Row],[App]],Table2[],3,0),"open")</f>
        <v>ok</v>
      </c>
      <c r="C3173" s="124" t="s">
        <v>369</v>
      </c>
      <c r="D3173" t="s">
        <v>5194</v>
      </c>
      <c r="E3173" t="s">
        <v>4069</v>
      </c>
      <c r="F3173" s="125" t="s">
        <v>4069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25" t="str">
        <f>IF(Proc[[#This Row],[Author]]="Marcela Urrego",VLOOKUP(LEFT(Proc[[#This Row],[Requested]],1),Table3[#All],2,0),VLOOKUP(Proc[[#This Row],[Author]],Table4[],2,0))</f>
        <v>HC</v>
      </c>
      <c r="L3173" s="125" t="s">
        <v>4896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9</v>
      </c>
      <c r="R3173" s="115" t="s">
        <v>1013</v>
      </c>
      <c r="S3173" s="125"/>
    </row>
    <row r="3174" spans="1:19" hidden="1">
      <c r="A3174" s="124" t="s">
        <v>5260</v>
      </c>
      <c r="B3174" s="125" t="str">
        <f>IFERROR(VLOOKUP(Proc[[#This Row],[App]],Table2[],3,0),"open")</f>
        <v>ok</v>
      </c>
      <c r="C3174" s="124" t="s">
        <v>369</v>
      </c>
      <c r="D3174" t="s">
        <v>5195</v>
      </c>
      <c r="E3174" t="s">
        <v>4069</v>
      </c>
      <c r="F3174" s="125" t="s">
        <v>4069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25" t="str">
        <f>IF(Proc[[#This Row],[Author]]="Marcela Urrego",VLOOKUP(LEFT(Proc[[#This Row],[Requested]],1),Table3[#All],2,0),VLOOKUP(Proc[[#This Row],[Author]],Table4[],2,0))</f>
        <v>HC</v>
      </c>
      <c r="L3174" s="125" t="s">
        <v>4896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9</v>
      </c>
      <c r="R3174" s="115" t="s">
        <v>1013</v>
      </c>
      <c r="S3174" s="125"/>
    </row>
    <row r="3175" spans="1:19" hidden="1">
      <c r="A3175" s="124" t="s">
        <v>5260</v>
      </c>
      <c r="B3175" s="125" t="str">
        <f>IFERROR(VLOOKUP(Proc[[#This Row],[App]],Table2[],3,0),"open")</f>
        <v>ok</v>
      </c>
      <c r="C3175" s="124" t="s">
        <v>369</v>
      </c>
      <c r="D3175" t="s">
        <v>5196</v>
      </c>
      <c r="E3175" t="s">
        <v>4069</v>
      </c>
      <c r="F3175" s="125" t="s">
        <v>4069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25" t="str">
        <f>IF(Proc[[#This Row],[Author]]="Marcela Urrego",VLOOKUP(LEFT(Proc[[#This Row],[Requested]],1),Table3[#All],2,0),VLOOKUP(Proc[[#This Row],[Author]],Table4[],2,0))</f>
        <v>HC</v>
      </c>
      <c r="L3175" s="125" t="s">
        <v>4896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9</v>
      </c>
      <c r="R3175" s="115" t="s">
        <v>1013</v>
      </c>
      <c r="S3175" s="125"/>
    </row>
    <row r="3176" spans="1:19" hidden="1">
      <c r="A3176" s="124" t="s">
        <v>5260</v>
      </c>
      <c r="B3176" s="125" t="str">
        <f>IFERROR(VLOOKUP(Proc[[#This Row],[App]],Table2[],3,0),"open")</f>
        <v>ok</v>
      </c>
      <c r="C3176" s="124" t="s">
        <v>369</v>
      </c>
      <c r="D3176" t="s">
        <v>5197</v>
      </c>
      <c r="E3176" t="s">
        <v>4069</v>
      </c>
      <c r="F3176" s="125" t="s">
        <v>4069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25" t="str">
        <f>IF(Proc[[#This Row],[Author]]="Marcela Urrego",VLOOKUP(LEFT(Proc[[#This Row],[Requested]],1),Table3[#All],2,0),VLOOKUP(Proc[[#This Row],[Author]],Table4[],2,0))</f>
        <v>HC</v>
      </c>
      <c r="L3176" s="125" t="s">
        <v>4896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9</v>
      </c>
      <c r="R3176" s="115" t="s">
        <v>1013</v>
      </c>
      <c r="S3176" s="125"/>
    </row>
    <row r="3177" spans="1:19" hidden="1">
      <c r="A3177" s="124" t="s">
        <v>5260</v>
      </c>
      <c r="B3177" s="125" t="str">
        <f>IFERROR(VLOOKUP(Proc[[#This Row],[App]],Table2[],3,0),"open")</f>
        <v>ok</v>
      </c>
      <c r="C3177" s="124" t="s">
        <v>369</v>
      </c>
      <c r="D3177" t="s">
        <v>5198</v>
      </c>
      <c r="E3177" t="s">
        <v>4069</v>
      </c>
      <c r="F3177" s="125" t="s">
        <v>4069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25" t="str">
        <f>IF(Proc[[#This Row],[Author]]="Marcela Urrego",VLOOKUP(LEFT(Proc[[#This Row],[Requested]],1),Table3[#All],2,0),VLOOKUP(Proc[[#This Row],[Author]],Table4[],2,0))</f>
        <v>HC</v>
      </c>
      <c r="L3177" s="125" t="s">
        <v>4896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9</v>
      </c>
      <c r="R3177" s="115" t="s">
        <v>1013</v>
      </c>
      <c r="S3177" s="125"/>
    </row>
    <row r="3178" spans="1:19" hidden="1">
      <c r="A3178" s="124" t="s">
        <v>5260</v>
      </c>
      <c r="B3178" s="125" t="str">
        <f>IFERROR(VLOOKUP(Proc[[#This Row],[App]],Table2[],3,0),"open")</f>
        <v>ok</v>
      </c>
      <c r="C3178" s="124" t="s">
        <v>369</v>
      </c>
      <c r="D3178" t="s">
        <v>5199</v>
      </c>
      <c r="E3178" t="s">
        <v>4069</v>
      </c>
      <c r="F3178" s="125" t="s">
        <v>4069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25" t="str">
        <f>IF(Proc[[#This Row],[Author]]="Marcela Urrego",VLOOKUP(LEFT(Proc[[#This Row],[Requested]],1),Table3[#All],2,0),VLOOKUP(Proc[[#This Row],[Author]],Table4[],2,0))</f>
        <v>HC</v>
      </c>
      <c r="L3178" s="125" t="s">
        <v>4896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9</v>
      </c>
      <c r="R3178" s="115" t="s">
        <v>1013</v>
      </c>
      <c r="S3178" s="125"/>
    </row>
    <row r="3179" spans="1:19" hidden="1">
      <c r="A3179" s="124" t="s">
        <v>5260</v>
      </c>
      <c r="B3179" s="125" t="str">
        <f>IFERROR(VLOOKUP(Proc[[#This Row],[App]],Table2[],3,0),"open")</f>
        <v>ok</v>
      </c>
      <c r="C3179" s="124" t="s">
        <v>369</v>
      </c>
      <c r="D3179" t="s">
        <v>5200</v>
      </c>
      <c r="E3179" t="s">
        <v>4069</v>
      </c>
      <c r="F3179" s="125" t="s">
        <v>4069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25" t="str">
        <f>IF(Proc[[#This Row],[Author]]="Marcela Urrego",VLOOKUP(LEFT(Proc[[#This Row],[Requested]],1),Table3[#All],2,0),VLOOKUP(Proc[[#This Row],[Author]],Table4[],2,0))</f>
        <v>HC</v>
      </c>
      <c r="L3179" s="125" t="s">
        <v>4896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9</v>
      </c>
      <c r="R3179" s="115" t="s">
        <v>1013</v>
      </c>
      <c r="S3179" s="125"/>
    </row>
    <row r="3180" spans="1:19" hidden="1">
      <c r="A3180" s="124" t="s">
        <v>5260</v>
      </c>
      <c r="B3180" s="125" t="str">
        <f>IFERROR(VLOOKUP(Proc[[#This Row],[App]],Table2[],3,0),"open")</f>
        <v>ok</v>
      </c>
      <c r="C3180" s="124" t="s">
        <v>369</v>
      </c>
      <c r="D3180" t="s">
        <v>5201</v>
      </c>
      <c r="E3180" t="s">
        <v>4069</v>
      </c>
      <c r="F3180" s="125" t="s">
        <v>4069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25" t="str">
        <f>IF(Proc[[#This Row],[Author]]="Marcela Urrego",VLOOKUP(LEFT(Proc[[#This Row],[Requested]],1),Table3[#All],2,0),VLOOKUP(Proc[[#This Row],[Author]],Table4[],2,0))</f>
        <v>HC</v>
      </c>
      <c r="L3180" s="125" t="s">
        <v>4896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9</v>
      </c>
      <c r="R3180" s="115" t="s">
        <v>1013</v>
      </c>
      <c r="S3180" s="125"/>
    </row>
    <row r="3181" spans="1:19" hidden="1">
      <c r="A3181" s="124" t="s">
        <v>5260</v>
      </c>
      <c r="B3181" s="125" t="str">
        <f>IFERROR(VLOOKUP(Proc[[#This Row],[App]],Table2[],3,0),"open")</f>
        <v>ok</v>
      </c>
      <c r="C3181" s="124" t="s">
        <v>369</v>
      </c>
      <c r="D3181" t="s">
        <v>5202</v>
      </c>
      <c r="E3181" t="s">
        <v>4069</v>
      </c>
      <c r="F3181" s="125" t="s">
        <v>4069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25" t="str">
        <f>IF(Proc[[#This Row],[Author]]="Marcela Urrego",VLOOKUP(LEFT(Proc[[#This Row],[Requested]],1),Table3[#All],2,0),VLOOKUP(Proc[[#This Row],[Author]],Table4[],2,0))</f>
        <v>HC</v>
      </c>
      <c r="L3181" s="125" t="s">
        <v>4896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9</v>
      </c>
      <c r="R3181" s="115" t="s">
        <v>1013</v>
      </c>
      <c r="S3181" s="125"/>
    </row>
    <row r="3182" spans="1:19" hidden="1">
      <c r="A3182" s="124" t="s">
        <v>5260</v>
      </c>
      <c r="B3182" s="125" t="str">
        <f>IFERROR(VLOOKUP(Proc[[#This Row],[App]],Table2[],3,0),"open")</f>
        <v>ok</v>
      </c>
      <c r="C3182" s="124" t="s">
        <v>369</v>
      </c>
      <c r="D3182" t="s">
        <v>5203</v>
      </c>
      <c r="E3182" t="s">
        <v>4069</v>
      </c>
      <c r="F3182" s="125" t="s">
        <v>4069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25" t="str">
        <f>IF(Proc[[#This Row],[Author]]="Marcela Urrego",VLOOKUP(LEFT(Proc[[#This Row],[Requested]],1),Table3[#All],2,0),VLOOKUP(Proc[[#This Row],[Author]],Table4[],2,0))</f>
        <v>HC</v>
      </c>
      <c r="L3182" s="125" t="s">
        <v>4896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9</v>
      </c>
      <c r="R3182" s="115" t="s">
        <v>1013</v>
      </c>
      <c r="S3182" s="125"/>
    </row>
    <row r="3183" spans="1:19" hidden="1">
      <c r="A3183" s="124" t="s">
        <v>5260</v>
      </c>
      <c r="B3183" s="125" t="str">
        <f>IFERROR(VLOOKUP(Proc[[#This Row],[App]],Table2[],3,0),"open")</f>
        <v>ok</v>
      </c>
      <c r="C3183" s="124" t="s">
        <v>369</v>
      </c>
      <c r="D3183" t="s">
        <v>5204</v>
      </c>
      <c r="E3183" t="s">
        <v>4069</v>
      </c>
      <c r="F3183" s="125" t="s">
        <v>4069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25" t="str">
        <f>IF(Proc[[#This Row],[Author]]="Marcela Urrego",VLOOKUP(LEFT(Proc[[#This Row],[Requested]],1),Table3[#All],2,0),VLOOKUP(Proc[[#This Row],[Author]],Table4[],2,0))</f>
        <v>HC</v>
      </c>
      <c r="L3183" s="125" t="s">
        <v>4896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9</v>
      </c>
      <c r="R3183" s="115" t="s">
        <v>1013</v>
      </c>
      <c r="S3183" s="125"/>
    </row>
    <row r="3184" spans="1:19" hidden="1">
      <c r="A3184" s="124" t="s">
        <v>5260</v>
      </c>
      <c r="B3184" s="125" t="str">
        <f>IFERROR(VLOOKUP(Proc[[#This Row],[App]],Table2[],3,0),"open")</f>
        <v>ok</v>
      </c>
      <c r="C3184" s="124" t="s">
        <v>369</v>
      </c>
      <c r="D3184" t="s">
        <v>5205</v>
      </c>
      <c r="E3184" t="s">
        <v>4069</v>
      </c>
      <c r="F3184" s="125" t="s">
        <v>4069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25" t="str">
        <f>IF(Proc[[#This Row],[Author]]="Marcela Urrego",VLOOKUP(LEFT(Proc[[#This Row],[Requested]],1),Table3[#All],2,0),VLOOKUP(Proc[[#This Row],[Author]],Table4[],2,0))</f>
        <v>HC</v>
      </c>
      <c r="L3184" s="125" t="s">
        <v>4896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9</v>
      </c>
      <c r="R3184" s="115" t="s">
        <v>1013</v>
      </c>
      <c r="S3184" s="125"/>
    </row>
    <row r="3185" spans="1:19" hidden="1">
      <c r="A3185" s="124" t="s">
        <v>5260</v>
      </c>
      <c r="B3185" s="125" t="str">
        <f>IFERROR(VLOOKUP(Proc[[#This Row],[App]],Table2[],3,0),"open")</f>
        <v>ok</v>
      </c>
      <c r="C3185" s="124" t="s">
        <v>369</v>
      </c>
      <c r="D3185" t="s">
        <v>5206</v>
      </c>
      <c r="E3185" t="s">
        <v>4069</v>
      </c>
      <c r="F3185" s="125" t="s">
        <v>4069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25" t="str">
        <f>IF(Proc[[#This Row],[Author]]="Marcela Urrego",VLOOKUP(LEFT(Proc[[#This Row],[Requested]],1),Table3[#All],2,0),VLOOKUP(Proc[[#This Row],[Author]],Table4[],2,0))</f>
        <v>HC</v>
      </c>
      <c r="L3185" s="125" t="s">
        <v>4896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9</v>
      </c>
      <c r="R3185" s="115" t="s">
        <v>1013</v>
      </c>
      <c r="S3185" s="125"/>
    </row>
    <row r="3186" spans="1:19" hidden="1">
      <c r="A3186" s="124" t="s">
        <v>5260</v>
      </c>
      <c r="B3186" s="125" t="str">
        <f>IFERROR(VLOOKUP(Proc[[#This Row],[App]],Table2[],3,0),"open")</f>
        <v>ok</v>
      </c>
      <c r="C3186" s="124" t="s">
        <v>369</v>
      </c>
      <c r="D3186" t="s">
        <v>5207</v>
      </c>
      <c r="E3186" t="s">
        <v>4069</v>
      </c>
      <c r="F3186" s="125" t="s">
        <v>4069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25" t="str">
        <f>IF(Proc[[#This Row],[Author]]="Marcela Urrego",VLOOKUP(LEFT(Proc[[#This Row],[Requested]],1),Table3[#All],2,0),VLOOKUP(Proc[[#This Row],[Author]],Table4[],2,0))</f>
        <v>HC</v>
      </c>
      <c r="L3186" s="125" t="s">
        <v>4896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9</v>
      </c>
      <c r="R3186" s="115" t="s">
        <v>1013</v>
      </c>
      <c r="S3186" s="125"/>
    </row>
    <row r="3187" spans="1:19" hidden="1">
      <c r="A3187" s="124" t="s">
        <v>5260</v>
      </c>
      <c r="B3187" s="125" t="str">
        <f>IFERROR(VLOOKUP(Proc[[#This Row],[App]],Table2[],3,0),"open")</f>
        <v>ok</v>
      </c>
      <c r="C3187" s="124" t="s">
        <v>369</v>
      </c>
      <c r="D3187" t="s">
        <v>5208</v>
      </c>
      <c r="E3187" t="s">
        <v>4069</v>
      </c>
      <c r="F3187" s="125" t="s">
        <v>4069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25" t="str">
        <f>IF(Proc[[#This Row],[Author]]="Marcela Urrego",VLOOKUP(LEFT(Proc[[#This Row],[Requested]],1),Table3[#All],2,0),VLOOKUP(Proc[[#This Row],[Author]],Table4[],2,0))</f>
        <v>HC</v>
      </c>
      <c r="L3187" s="125" t="s">
        <v>4896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9</v>
      </c>
      <c r="R3187" s="115" t="s">
        <v>1013</v>
      </c>
      <c r="S3187" s="125"/>
    </row>
    <row r="3188" spans="1:19" hidden="1">
      <c r="A3188" s="124" t="s">
        <v>5260</v>
      </c>
      <c r="B3188" s="125" t="str">
        <f>IFERROR(VLOOKUP(Proc[[#This Row],[App]],Table2[],3,0),"open")</f>
        <v>ok</v>
      </c>
      <c r="C3188" s="124" t="s">
        <v>369</v>
      </c>
      <c r="D3188" t="s">
        <v>5209</v>
      </c>
      <c r="E3188" t="s">
        <v>4069</v>
      </c>
      <c r="F3188" s="125" t="s">
        <v>4069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25" t="str">
        <f>IF(Proc[[#This Row],[Author]]="Marcela Urrego",VLOOKUP(LEFT(Proc[[#This Row],[Requested]],1),Table3[#All],2,0),VLOOKUP(Proc[[#This Row],[Author]],Table4[],2,0))</f>
        <v>HC</v>
      </c>
      <c r="L3188" s="125" t="s">
        <v>4896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9</v>
      </c>
      <c r="R3188" s="115" t="s">
        <v>1013</v>
      </c>
      <c r="S3188" s="125"/>
    </row>
    <row r="3189" spans="1:19" hidden="1">
      <c r="A3189" s="124" t="s">
        <v>5260</v>
      </c>
      <c r="B3189" s="125" t="str">
        <f>IFERROR(VLOOKUP(Proc[[#This Row],[App]],Table2[],3,0),"open")</f>
        <v>ok</v>
      </c>
      <c r="C3189" s="124" t="s">
        <v>369</v>
      </c>
      <c r="D3189" t="s">
        <v>5210</v>
      </c>
      <c r="E3189" t="s">
        <v>4069</v>
      </c>
      <c r="F3189" s="125" t="s">
        <v>4069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25" t="str">
        <f>IF(Proc[[#This Row],[Author]]="Marcela Urrego",VLOOKUP(LEFT(Proc[[#This Row],[Requested]],1),Table3[#All],2,0),VLOOKUP(Proc[[#This Row],[Author]],Table4[],2,0))</f>
        <v>HC</v>
      </c>
      <c r="L3189" s="125" t="s">
        <v>4896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9</v>
      </c>
      <c r="R3189" s="115" t="s">
        <v>1013</v>
      </c>
      <c r="S3189" s="125"/>
    </row>
    <row r="3190" spans="1:19" hidden="1">
      <c r="A3190" s="124" t="s">
        <v>5260</v>
      </c>
      <c r="B3190" s="125" t="str">
        <f>IFERROR(VLOOKUP(Proc[[#This Row],[App]],Table2[],3,0),"open")</f>
        <v>ok</v>
      </c>
      <c r="C3190" s="124" t="s">
        <v>369</v>
      </c>
      <c r="D3190" t="s">
        <v>5211</v>
      </c>
      <c r="E3190" t="s">
        <v>4069</v>
      </c>
      <c r="F3190" s="125" t="s">
        <v>4069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25" t="str">
        <f>IF(Proc[[#This Row],[Author]]="Marcela Urrego",VLOOKUP(LEFT(Proc[[#This Row],[Requested]],1),Table3[#All],2,0),VLOOKUP(Proc[[#This Row],[Author]],Table4[],2,0))</f>
        <v>HC</v>
      </c>
      <c r="L3190" s="125" t="s">
        <v>4896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9</v>
      </c>
      <c r="R3190" s="115" t="s">
        <v>1013</v>
      </c>
      <c r="S3190" s="125"/>
    </row>
    <row r="3191" spans="1:19" hidden="1">
      <c r="A3191" s="124" t="s">
        <v>5260</v>
      </c>
      <c r="B3191" s="125" t="str">
        <f>IFERROR(VLOOKUP(Proc[[#This Row],[App]],Table2[],3,0),"open")</f>
        <v>ok</v>
      </c>
      <c r="C3191" s="124" t="s">
        <v>369</v>
      </c>
      <c r="D3191" t="s">
        <v>5212</v>
      </c>
      <c r="E3191" t="s">
        <v>4069</v>
      </c>
      <c r="F3191" s="125" t="s">
        <v>4069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25" t="str">
        <f>IF(Proc[[#This Row],[Author]]="Marcela Urrego",VLOOKUP(LEFT(Proc[[#This Row],[Requested]],1),Table3[#All],2,0),VLOOKUP(Proc[[#This Row],[Author]],Table4[],2,0))</f>
        <v>HC</v>
      </c>
      <c r="L3191" s="125" t="s">
        <v>4896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9</v>
      </c>
      <c r="R3191" s="115" t="s">
        <v>1013</v>
      </c>
      <c r="S3191" s="125"/>
    </row>
    <row r="3192" spans="1:19" hidden="1">
      <c r="A3192" s="124" t="s">
        <v>5260</v>
      </c>
      <c r="B3192" s="125" t="str">
        <f>IFERROR(VLOOKUP(Proc[[#This Row],[App]],Table2[],3,0),"open")</f>
        <v>ok</v>
      </c>
      <c r="C3192" s="124" t="s">
        <v>369</v>
      </c>
      <c r="D3192" t="s">
        <v>5213</v>
      </c>
      <c r="E3192" t="s">
        <v>4069</v>
      </c>
      <c r="F3192" s="125" t="s">
        <v>4069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25" t="str">
        <f>IF(Proc[[#This Row],[Author]]="Marcela Urrego",VLOOKUP(LEFT(Proc[[#This Row],[Requested]],1),Table3[#All],2,0),VLOOKUP(Proc[[#This Row],[Author]],Table4[],2,0))</f>
        <v>HC</v>
      </c>
      <c r="L3192" s="125" t="s">
        <v>4896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9</v>
      </c>
      <c r="R3192" s="115" t="s">
        <v>1013</v>
      </c>
      <c r="S3192" s="125"/>
    </row>
    <row r="3193" spans="1:19" hidden="1">
      <c r="A3193" s="124" t="s">
        <v>5260</v>
      </c>
      <c r="B3193" s="125" t="str">
        <f>IFERROR(VLOOKUP(Proc[[#This Row],[App]],Table2[],3,0),"open")</f>
        <v>ok</v>
      </c>
      <c r="C3193" s="124" t="s">
        <v>369</v>
      </c>
      <c r="D3193" t="s">
        <v>5214</v>
      </c>
      <c r="E3193" t="s">
        <v>4069</v>
      </c>
      <c r="F3193" s="125" t="s">
        <v>4069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25" t="str">
        <f>IF(Proc[[#This Row],[Author]]="Marcela Urrego",VLOOKUP(LEFT(Proc[[#This Row],[Requested]],1),Table3[#All],2,0),VLOOKUP(Proc[[#This Row],[Author]],Table4[],2,0))</f>
        <v>HC</v>
      </c>
      <c r="L3193" s="125" t="s">
        <v>4896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9</v>
      </c>
      <c r="R3193" s="115" t="s">
        <v>1013</v>
      </c>
      <c r="S3193" s="125"/>
    </row>
    <row r="3194" spans="1:19" hidden="1">
      <c r="A3194" s="124" t="s">
        <v>5260</v>
      </c>
      <c r="B3194" s="125" t="str">
        <f>IFERROR(VLOOKUP(Proc[[#This Row],[App]],Table2[],3,0),"open")</f>
        <v>ok</v>
      </c>
      <c r="C3194" s="124" t="s">
        <v>369</v>
      </c>
      <c r="D3194" t="s">
        <v>5215</v>
      </c>
      <c r="E3194" t="s">
        <v>4069</v>
      </c>
      <c r="F3194" s="125" t="s">
        <v>4069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25" t="str">
        <f>IF(Proc[[#This Row],[Author]]="Marcela Urrego",VLOOKUP(LEFT(Proc[[#This Row],[Requested]],1),Table3[#All],2,0),VLOOKUP(Proc[[#This Row],[Author]],Table4[],2,0))</f>
        <v>HC</v>
      </c>
      <c r="L3194" s="125" t="s">
        <v>4896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9</v>
      </c>
      <c r="R3194" s="115" t="s">
        <v>1013</v>
      </c>
      <c r="S3194" s="125"/>
    </row>
    <row r="3195" spans="1:19" hidden="1">
      <c r="A3195" s="124" t="s">
        <v>5260</v>
      </c>
      <c r="B3195" s="125" t="str">
        <f>IFERROR(VLOOKUP(Proc[[#This Row],[App]],Table2[],3,0),"open")</f>
        <v>ok</v>
      </c>
      <c r="C3195" s="124" t="s">
        <v>369</v>
      </c>
      <c r="D3195" t="s">
        <v>5216</v>
      </c>
      <c r="E3195" t="s">
        <v>4069</v>
      </c>
      <c r="F3195" s="125" t="s">
        <v>4069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25" t="str">
        <f>IF(Proc[[#This Row],[Author]]="Marcela Urrego",VLOOKUP(LEFT(Proc[[#This Row],[Requested]],1),Table3[#All],2,0),VLOOKUP(Proc[[#This Row],[Author]],Table4[],2,0))</f>
        <v>HC</v>
      </c>
      <c r="L3195" s="125" t="s">
        <v>4896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9</v>
      </c>
      <c r="R3195" s="115" t="s">
        <v>1013</v>
      </c>
      <c r="S3195" s="125"/>
    </row>
    <row r="3196" spans="1:19" hidden="1">
      <c r="A3196" s="124" t="s">
        <v>5260</v>
      </c>
      <c r="B3196" s="125" t="str">
        <f>IFERROR(VLOOKUP(Proc[[#This Row],[App]],Table2[],3,0),"open")</f>
        <v>ok</v>
      </c>
      <c r="C3196" s="124" t="s">
        <v>369</v>
      </c>
      <c r="D3196" t="s">
        <v>5217</v>
      </c>
      <c r="E3196" t="s">
        <v>4069</v>
      </c>
      <c r="F3196" s="125" t="s">
        <v>4069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25" t="str">
        <f>IF(Proc[[#This Row],[Author]]="Marcela Urrego",VLOOKUP(LEFT(Proc[[#This Row],[Requested]],1),Table3[#All],2,0),VLOOKUP(Proc[[#This Row],[Author]],Table4[],2,0))</f>
        <v>HC</v>
      </c>
      <c r="L3196" s="125" t="s">
        <v>4896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9</v>
      </c>
      <c r="R3196" s="115" t="s">
        <v>1013</v>
      </c>
      <c r="S3196" s="125"/>
    </row>
    <row r="3197" spans="1:19" hidden="1">
      <c r="A3197" s="124" t="s">
        <v>5260</v>
      </c>
      <c r="B3197" s="125" t="str">
        <f>IFERROR(VLOOKUP(Proc[[#This Row],[App]],Table2[],3,0),"open")</f>
        <v>ok</v>
      </c>
      <c r="C3197" s="124" t="s">
        <v>369</v>
      </c>
      <c r="D3197" t="s">
        <v>5218</v>
      </c>
      <c r="E3197" t="s">
        <v>4069</v>
      </c>
      <c r="F3197" s="125" t="s">
        <v>4069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25" t="str">
        <f>IF(Proc[[#This Row],[Author]]="Marcela Urrego",VLOOKUP(LEFT(Proc[[#This Row],[Requested]],1),Table3[#All],2,0),VLOOKUP(Proc[[#This Row],[Author]],Table4[],2,0))</f>
        <v>HC</v>
      </c>
      <c r="L3197" s="125" t="s">
        <v>4896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9</v>
      </c>
      <c r="R3197" s="115" t="s">
        <v>1013</v>
      </c>
      <c r="S3197" s="125"/>
    </row>
    <row r="3198" spans="1:19" hidden="1">
      <c r="A3198" s="124" t="s">
        <v>5260</v>
      </c>
      <c r="B3198" s="125" t="str">
        <f>IFERROR(VLOOKUP(Proc[[#This Row],[App]],Table2[],3,0),"open")</f>
        <v>ok</v>
      </c>
      <c r="C3198" s="124" t="s">
        <v>369</v>
      </c>
      <c r="D3198" t="s">
        <v>5219</v>
      </c>
      <c r="E3198" t="s">
        <v>4069</v>
      </c>
      <c r="F3198" s="125" t="s">
        <v>4069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25" t="str">
        <f>IF(Proc[[#This Row],[Author]]="Marcela Urrego",VLOOKUP(LEFT(Proc[[#This Row],[Requested]],1),Table3[#All],2,0),VLOOKUP(Proc[[#This Row],[Author]],Table4[],2,0))</f>
        <v>HC</v>
      </c>
      <c r="L3198" s="125" t="s">
        <v>4896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9</v>
      </c>
      <c r="R3198" s="115" t="s">
        <v>1013</v>
      </c>
      <c r="S3198" s="125"/>
    </row>
    <row r="3199" spans="1:19" hidden="1">
      <c r="A3199" s="124" t="s">
        <v>5260</v>
      </c>
      <c r="B3199" s="125" t="str">
        <f>IFERROR(VLOOKUP(Proc[[#This Row],[App]],Table2[],3,0),"open")</f>
        <v>ok</v>
      </c>
      <c r="C3199" s="124" t="s">
        <v>369</v>
      </c>
      <c r="D3199" t="s">
        <v>5220</v>
      </c>
      <c r="E3199" t="s">
        <v>4069</v>
      </c>
      <c r="F3199" s="125" t="s">
        <v>4069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25" t="str">
        <f>IF(Proc[[#This Row],[Author]]="Marcela Urrego",VLOOKUP(LEFT(Proc[[#This Row],[Requested]],1),Table3[#All],2,0),VLOOKUP(Proc[[#This Row],[Author]],Table4[],2,0))</f>
        <v>HC</v>
      </c>
      <c r="L3199" s="125" t="s">
        <v>4896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9</v>
      </c>
      <c r="R3199" s="115" t="s">
        <v>1013</v>
      </c>
      <c r="S3199" s="125"/>
    </row>
    <row r="3200" spans="1:19" hidden="1">
      <c r="A3200" s="124" t="s">
        <v>5260</v>
      </c>
      <c r="B3200" s="125" t="str">
        <f>IFERROR(VLOOKUP(Proc[[#This Row],[App]],Table2[],3,0),"open")</f>
        <v>ok</v>
      </c>
      <c r="C3200" s="124" t="s">
        <v>369</v>
      </c>
      <c r="D3200" t="s">
        <v>5221</v>
      </c>
      <c r="E3200" t="s">
        <v>4069</v>
      </c>
      <c r="F3200" s="125" t="s">
        <v>4069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25" t="str">
        <f>IF(Proc[[#This Row],[Author]]="Marcela Urrego",VLOOKUP(LEFT(Proc[[#This Row],[Requested]],1),Table3[#All],2,0),VLOOKUP(Proc[[#This Row],[Author]],Table4[],2,0))</f>
        <v>HC</v>
      </c>
      <c r="L3200" s="125" t="s">
        <v>4896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9</v>
      </c>
      <c r="R3200" s="115" t="s">
        <v>1013</v>
      </c>
      <c r="S3200" s="125"/>
    </row>
    <row r="3201" spans="1:19" hidden="1">
      <c r="A3201" s="124" t="s">
        <v>5260</v>
      </c>
      <c r="B3201" s="125" t="str">
        <f>IFERROR(VLOOKUP(Proc[[#This Row],[App]],Table2[],3,0),"open")</f>
        <v>ok</v>
      </c>
      <c r="C3201" s="124" t="s">
        <v>369</v>
      </c>
      <c r="D3201" t="s">
        <v>5222</v>
      </c>
      <c r="E3201" t="s">
        <v>4069</v>
      </c>
      <c r="F3201" s="125" t="s">
        <v>4069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25" t="str">
        <f>IF(Proc[[#This Row],[Author]]="Marcela Urrego",VLOOKUP(LEFT(Proc[[#This Row],[Requested]],1),Table3[#All],2,0),VLOOKUP(Proc[[#This Row],[Author]],Table4[],2,0))</f>
        <v>HC</v>
      </c>
      <c r="L3201" s="125" t="s">
        <v>4896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9</v>
      </c>
      <c r="R3201" s="115" t="s">
        <v>1013</v>
      </c>
      <c r="S3201" s="125"/>
    </row>
    <row r="3202" spans="1:19" hidden="1">
      <c r="A3202" s="124" t="s">
        <v>5260</v>
      </c>
      <c r="B3202" s="125" t="str">
        <f>IFERROR(VLOOKUP(Proc[[#This Row],[App]],Table2[],3,0),"open")</f>
        <v>ok</v>
      </c>
      <c r="C3202" s="124" t="s">
        <v>369</v>
      </c>
      <c r="D3202" t="s">
        <v>5223</v>
      </c>
      <c r="E3202" t="s">
        <v>4069</v>
      </c>
      <c r="F3202" s="125" t="s">
        <v>4069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25" t="str">
        <f>IF(Proc[[#This Row],[Author]]="Marcela Urrego",VLOOKUP(LEFT(Proc[[#This Row],[Requested]],1),Table3[#All],2,0),VLOOKUP(Proc[[#This Row],[Author]],Table4[],2,0))</f>
        <v>HC</v>
      </c>
      <c r="L3202" s="125" t="s">
        <v>4896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9</v>
      </c>
      <c r="R3202" s="115" t="s">
        <v>1013</v>
      </c>
      <c r="S3202" s="125"/>
    </row>
    <row r="3203" spans="1:19" hidden="1">
      <c r="A3203" s="124" t="s">
        <v>5260</v>
      </c>
      <c r="B3203" s="125" t="str">
        <f>IFERROR(VLOOKUP(Proc[[#This Row],[App]],Table2[],3,0),"open")</f>
        <v>ok</v>
      </c>
      <c r="C3203" s="124" t="s">
        <v>369</v>
      </c>
      <c r="D3203" t="s">
        <v>5224</v>
      </c>
      <c r="E3203" t="s">
        <v>4069</v>
      </c>
      <c r="F3203" s="125" t="s">
        <v>4069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25" t="str">
        <f>IF(Proc[[#This Row],[Author]]="Marcela Urrego",VLOOKUP(LEFT(Proc[[#This Row],[Requested]],1),Table3[#All],2,0),VLOOKUP(Proc[[#This Row],[Author]],Table4[],2,0))</f>
        <v>HC</v>
      </c>
      <c r="L3203" s="125" t="s">
        <v>4896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9</v>
      </c>
      <c r="R3203" s="115" t="s">
        <v>1013</v>
      </c>
      <c r="S3203" s="125"/>
    </row>
    <row r="3204" spans="1:19" hidden="1">
      <c r="A3204" s="124" t="s">
        <v>5260</v>
      </c>
      <c r="B3204" s="125" t="str">
        <f>IFERROR(VLOOKUP(Proc[[#This Row],[App]],Table2[],3,0),"open")</f>
        <v>ok</v>
      </c>
      <c r="C3204" s="124" t="s">
        <v>369</v>
      </c>
      <c r="D3204" t="s">
        <v>5225</v>
      </c>
      <c r="E3204" t="s">
        <v>4069</v>
      </c>
      <c r="F3204" s="125" t="s">
        <v>4069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25" t="str">
        <f>IF(Proc[[#This Row],[Author]]="Marcela Urrego",VLOOKUP(LEFT(Proc[[#This Row],[Requested]],1),Table3[#All],2,0),VLOOKUP(Proc[[#This Row],[Author]],Table4[],2,0))</f>
        <v>HC</v>
      </c>
      <c r="L3204" s="125" t="s">
        <v>4896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9</v>
      </c>
      <c r="R3204" s="115" t="s">
        <v>1013</v>
      </c>
      <c r="S3204" s="125"/>
    </row>
    <row r="3205" spans="1:19" hidden="1">
      <c r="A3205" s="124" t="s">
        <v>5260</v>
      </c>
      <c r="B3205" s="125" t="str">
        <f>IFERROR(VLOOKUP(Proc[[#This Row],[App]],Table2[],3,0),"open")</f>
        <v>ok</v>
      </c>
      <c r="C3205" s="124" t="s">
        <v>369</v>
      </c>
      <c r="D3205" t="s">
        <v>5226</v>
      </c>
      <c r="E3205" t="s">
        <v>4069</v>
      </c>
      <c r="F3205" s="125" t="s">
        <v>4069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25" t="str">
        <f>IF(Proc[[#This Row],[Author]]="Marcela Urrego",VLOOKUP(LEFT(Proc[[#This Row],[Requested]],1),Table3[#All],2,0),VLOOKUP(Proc[[#This Row],[Author]],Table4[],2,0))</f>
        <v>HC</v>
      </c>
      <c r="L3205" s="125" t="s">
        <v>4896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9</v>
      </c>
      <c r="R3205" s="115" t="s">
        <v>1013</v>
      </c>
      <c r="S3205" s="125"/>
    </row>
    <row r="3206" spans="1:19" hidden="1">
      <c r="A3206" s="124" t="s">
        <v>5260</v>
      </c>
      <c r="B3206" s="125" t="str">
        <f>IFERROR(VLOOKUP(Proc[[#This Row],[App]],Table2[],3,0),"open")</f>
        <v>ok</v>
      </c>
      <c r="C3206" s="124" t="s">
        <v>369</v>
      </c>
      <c r="D3206" t="s">
        <v>5227</v>
      </c>
      <c r="E3206" t="s">
        <v>4069</v>
      </c>
      <c r="F3206" s="125" t="s">
        <v>4069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25" t="str">
        <f>IF(Proc[[#This Row],[Author]]="Marcela Urrego",VLOOKUP(LEFT(Proc[[#This Row],[Requested]],1),Table3[#All],2,0),VLOOKUP(Proc[[#This Row],[Author]],Table4[],2,0))</f>
        <v>HC</v>
      </c>
      <c r="L3206" s="125" t="s">
        <v>4896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9</v>
      </c>
      <c r="R3206" s="115" t="s">
        <v>1013</v>
      </c>
      <c r="S3206" s="125"/>
    </row>
    <row r="3207" spans="1:19" hidden="1">
      <c r="A3207" s="124" t="s">
        <v>5260</v>
      </c>
      <c r="B3207" s="125" t="str">
        <f>IFERROR(VLOOKUP(Proc[[#This Row],[App]],Table2[],3,0),"open")</f>
        <v>ok</v>
      </c>
      <c r="C3207" s="124" t="s">
        <v>369</v>
      </c>
      <c r="D3207" t="s">
        <v>5228</v>
      </c>
      <c r="E3207" t="s">
        <v>4069</v>
      </c>
      <c r="F3207" s="125" t="s">
        <v>4069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25" t="str">
        <f>IF(Proc[[#This Row],[Author]]="Marcela Urrego",VLOOKUP(LEFT(Proc[[#This Row],[Requested]],1),Table3[#All],2,0),VLOOKUP(Proc[[#This Row],[Author]],Table4[],2,0))</f>
        <v>HC</v>
      </c>
      <c r="L3207" s="125" t="s">
        <v>4896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9</v>
      </c>
      <c r="R3207" s="115" t="s">
        <v>1013</v>
      </c>
      <c r="S3207" s="125"/>
    </row>
    <row r="3208" spans="1:19" hidden="1">
      <c r="A3208" s="124" t="s">
        <v>5260</v>
      </c>
      <c r="B3208" s="125" t="str">
        <f>IFERROR(VLOOKUP(Proc[[#This Row],[App]],Table2[],3,0),"open")</f>
        <v>ok</v>
      </c>
      <c r="C3208" s="124" t="s">
        <v>369</v>
      </c>
      <c r="D3208" t="s">
        <v>5229</v>
      </c>
      <c r="E3208" t="s">
        <v>5255</v>
      </c>
      <c r="F3208" s="125" t="s">
        <v>5255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25" t="str">
        <f>IF(Proc[[#This Row],[Author]]="Marcela Urrego",VLOOKUP(LEFT(Proc[[#This Row],[Requested]],1),Table3[#All],2,0),VLOOKUP(Proc[[#This Row],[Author]],Table4[],2,0))</f>
        <v>HC</v>
      </c>
      <c r="L3208" s="125" t="s">
        <v>4896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9</v>
      </c>
      <c r="R3208" s="115" t="s">
        <v>1013</v>
      </c>
      <c r="S3208" s="125"/>
    </row>
    <row r="3209" spans="1:19" hidden="1">
      <c r="A3209" s="124" t="s">
        <v>5260</v>
      </c>
      <c r="B3209" s="125" t="str">
        <f>IFERROR(VLOOKUP(Proc[[#This Row],[App]],Table2[],3,0),"open")</f>
        <v>ok</v>
      </c>
      <c r="C3209" s="124" t="s">
        <v>369</v>
      </c>
      <c r="D3209" t="s">
        <v>5230</v>
      </c>
      <c r="E3209" t="s">
        <v>5255</v>
      </c>
      <c r="F3209" s="125" t="s">
        <v>5255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25" t="str">
        <f>IF(Proc[[#This Row],[Author]]="Marcela Urrego",VLOOKUP(LEFT(Proc[[#This Row],[Requested]],1),Table3[#All],2,0),VLOOKUP(Proc[[#This Row],[Author]],Table4[],2,0))</f>
        <v>HC</v>
      </c>
      <c r="L3209" s="125" t="s">
        <v>4896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9</v>
      </c>
      <c r="R3209" s="115" t="s">
        <v>1013</v>
      </c>
      <c r="S3209" s="125"/>
    </row>
    <row r="3210" spans="1:19" hidden="1">
      <c r="A3210" s="124" t="s">
        <v>5260</v>
      </c>
      <c r="B3210" s="125" t="str">
        <f>IFERROR(VLOOKUP(Proc[[#This Row],[App]],Table2[],3,0),"open")</f>
        <v>ok</v>
      </c>
      <c r="C3210" s="124" t="s">
        <v>369</v>
      </c>
      <c r="D3210" t="s">
        <v>5231</v>
      </c>
      <c r="E3210" t="s">
        <v>5255</v>
      </c>
      <c r="F3210" s="125" t="s">
        <v>5255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25" t="str">
        <f>IF(Proc[[#This Row],[Author]]="Marcela Urrego",VLOOKUP(LEFT(Proc[[#This Row],[Requested]],1),Table3[#All],2,0),VLOOKUP(Proc[[#This Row],[Author]],Table4[],2,0))</f>
        <v>HC</v>
      </c>
      <c r="L3210" s="125" t="s">
        <v>4896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9</v>
      </c>
      <c r="R3210" s="115" t="s">
        <v>1013</v>
      </c>
      <c r="S3210" s="125"/>
    </row>
    <row r="3211" spans="1:19" hidden="1">
      <c r="A3211" s="124" t="s">
        <v>5260</v>
      </c>
      <c r="B3211" s="125" t="str">
        <f>IFERROR(VLOOKUP(Proc[[#This Row],[App]],Table2[],3,0),"open")</f>
        <v>ok</v>
      </c>
      <c r="C3211" s="124" t="s">
        <v>369</v>
      </c>
      <c r="D3211" t="s">
        <v>5232</v>
      </c>
      <c r="E3211" t="s">
        <v>3741</v>
      </c>
      <c r="F3211" s="125" t="s">
        <v>3741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25" t="str">
        <f>IF(Proc[[#This Row],[Author]]="Marcela Urrego",VLOOKUP(LEFT(Proc[[#This Row],[Requested]],1),Table3[#All],2,0),VLOOKUP(Proc[[#This Row],[Author]],Table4[],2,0))</f>
        <v>HC</v>
      </c>
      <c r="L3211" s="125" t="s">
        <v>4896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9</v>
      </c>
      <c r="R3211" s="115" t="s">
        <v>1013</v>
      </c>
      <c r="S3211" s="125"/>
    </row>
    <row r="3212" spans="1:19" hidden="1">
      <c r="A3212" s="124" t="s">
        <v>5260</v>
      </c>
      <c r="B3212" s="125" t="str">
        <f>IFERROR(VLOOKUP(Proc[[#This Row],[App]],Table2[],3,0),"open")</f>
        <v>ok</v>
      </c>
      <c r="C3212" s="124" t="s">
        <v>369</v>
      </c>
      <c r="D3212" t="s">
        <v>5233</v>
      </c>
      <c r="E3212" t="s">
        <v>5255</v>
      </c>
      <c r="F3212" s="125" t="s">
        <v>5255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25" t="str">
        <f>IF(Proc[[#This Row],[Author]]="Marcela Urrego",VLOOKUP(LEFT(Proc[[#This Row],[Requested]],1),Table3[#All],2,0),VLOOKUP(Proc[[#This Row],[Author]],Table4[],2,0))</f>
        <v>HC</v>
      </c>
      <c r="L3212" s="125" t="s">
        <v>4896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9</v>
      </c>
      <c r="R3212" s="115" t="s">
        <v>1013</v>
      </c>
      <c r="S3212" s="125"/>
    </row>
    <row r="3213" spans="1:19" hidden="1">
      <c r="A3213" s="124" t="s">
        <v>5260</v>
      </c>
      <c r="B3213" s="125" t="str">
        <f>IFERROR(VLOOKUP(Proc[[#This Row],[App]],Table2[],3,0),"open")</f>
        <v>ok</v>
      </c>
      <c r="C3213" s="124" t="s">
        <v>369</v>
      </c>
      <c r="D3213" t="s">
        <v>5234</v>
      </c>
      <c r="E3213" t="s">
        <v>5256</v>
      </c>
      <c r="F3213" s="125" t="s">
        <v>5256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25" t="str">
        <f>IF(Proc[[#This Row],[Author]]="Marcela Urrego",VLOOKUP(LEFT(Proc[[#This Row],[Requested]],1),Table3[#All],2,0),VLOOKUP(Proc[[#This Row],[Author]],Table4[],2,0))</f>
        <v>HC</v>
      </c>
      <c r="L3213" s="125" t="s">
        <v>4896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9</v>
      </c>
      <c r="R3213" s="115" t="s">
        <v>1013</v>
      </c>
      <c r="S3213" s="125"/>
    </row>
    <row r="3214" spans="1:19" hidden="1">
      <c r="A3214" s="124" t="s">
        <v>5260</v>
      </c>
      <c r="B3214" s="125" t="str">
        <f>IFERROR(VLOOKUP(Proc[[#This Row],[App]],Table2[],3,0),"open")</f>
        <v>ok</v>
      </c>
      <c r="C3214" s="124" t="s">
        <v>369</v>
      </c>
      <c r="D3214" t="s">
        <v>5235</v>
      </c>
      <c r="E3214" t="s">
        <v>5257</v>
      </c>
      <c r="F3214" s="125" t="s">
        <v>5257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25" t="str">
        <f>IF(Proc[[#This Row],[Author]]="Marcela Urrego",VLOOKUP(LEFT(Proc[[#This Row],[Requested]],1),Table3[#All],2,0),VLOOKUP(Proc[[#This Row],[Author]],Table4[],2,0))</f>
        <v>HC</v>
      </c>
      <c r="L3214" s="125" t="s">
        <v>4896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9</v>
      </c>
      <c r="R3214" s="115" t="s">
        <v>1013</v>
      </c>
      <c r="S3214" s="125"/>
    </row>
    <row r="3215" spans="1:19" hidden="1">
      <c r="A3215" s="124" t="s">
        <v>5260</v>
      </c>
      <c r="B3215" s="125" t="str">
        <f>IFERROR(VLOOKUP(Proc[[#This Row],[App]],Table2[],3,0),"open")</f>
        <v>ok</v>
      </c>
      <c r="C3215" s="124" t="s">
        <v>369</v>
      </c>
      <c r="D3215" t="s">
        <v>5236</v>
      </c>
      <c r="E3215" t="s">
        <v>5257</v>
      </c>
      <c r="F3215" s="125" t="s">
        <v>5257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25" t="str">
        <f>IF(Proc[[#This Row],[Author]]="Marcela Urrego",VLOOKUP(LEFT(Proc[[#This Row],[Requested]],1),Table3[#All],2,0),VLOOKUP(Proc[[#This Row],[Author]],Table4[],2,0))</f>
        <v>HC</v>
      </c>
      <c r="L3215" s="125" t="s">
        <v>4896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9</v>
      </c>
      <c r="R3215" s="115" t="s">
        <v>1013</v>
      </c>
      <c r="S3215" s="125"/>
    </row>
    <row r="3216" spans="1:19" hidden="1">
      <c r="A3216" s="124" t="s">
        <v>5260</v>
      </c>
      <c r="B3216" s="125" t="str">
        <f>IFERROR(VLOOKUP(Proc[[#This Row],[App]],Table2[],3,0),"open")</f>
        <v>ok</v>
      </c>
      <c r="C3216" s="124" t="s">
        <v>369</v>
      </c>
      <c r="D3216" t="s">
        <v>5237</v>
      </c>
      <c r="E3216" t="s">
        <v>5257</v>
      </c>
      <c r="F3216" s="125" t="s">
        <v>5257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25" t="str">
        <f>IF(Proc[[#This Row],[Author]]="Marcela Urrego",VLOOKUP(LEFT(Proc[[#This Row],[Requested]],1),Table3[#All],2,0),VLOOKUP(Proc[[#This Row],[Author]],Table4[],2,0))</f>
        <v>HC</v>
      </c>
      <c r="L3216" s="125" t="s">
        <v>4896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9</v>
      </c>
      <c r="R3216" s="115" t="s">
        <v>1013</v>
      </c>
      <c r="S3216" s="125"/>
    </row>
    <row r="3217" spans="1:19" hidden="1">
      <c r="A3217" s="124" t="s">
        <v>5260</v>
      </c>
      <c r="B3217" s="125" t="str">
        <f>IFERROR(VLOOKUP(Proc[[#This Row],[App]],Table2[],3,0),"open")</f>
        <v>ok</v>
      </c>
      <c r="C3217" s="124" t="s">
        <v>369</v>
      </c>
      <c r="D3217" t="s">
        <v>5238</v>
      </c>
      <c r="E3217" t="s">
        <v>5258</v>
      </c>
      <c r="F3217" s="125" t="s">
        <v>5258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25" t="str">
        <f>IF(Proc[[#This Row],[Author]]="Marcela Urrego",VLOOKUP(LEFT(Proc[[#This Row],[Requested]],1),Table3[#All],2,0),VLOOKUP(Proc[[#This Row],[Author]],Table4[],2,0))</f>
        <v>HC</v>
      </c>
      <c r="L3217" s="125" t="s">
        <v>4896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9</v>
      </c>
      <c r="R3217" s="115" t="s">
        <v>1013</v>
      </c>
      <c r="S3217" s="125"/>
    </row>
    <row r="3218" spans="1:19" hidden="1">
      <c r="A3218" s="124" t="s">
        <v>5260</v>
      </c>
      <c r="B3218" s="125" t="str">
        <f>IFERROR(VLOOKUP(Proc[[#This Row],[App]],Table2[],3,0),"open")</f>
        <v>ok</v>
      </c>
      <c r="C3218" s="124" t="s">
        <v>369</v>
      </c>
      <c r="D3218" t="s">
        <v>5239</v>
      </c>
      <c r="E3218" t="s">
        <v>5258</v>
      </c>
      <c r="F3218" s="125" t="s">
        <v>5258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25" t="str">
        <f>IF(Proc[[#This Row],[Author]]="Marcela Urrego",VLOOKUP(LEFT(Proc[[#This Row],[Requested]],1),Table3[#All],2,0),VLOOKUP(Proc[[#This Row],[Author]],Table4[],2,0))</f>
        <v>HC</v>
      </c>
      <c r="L3218" s="125" t="s">
        <v>4896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9</v>
      </c>
      <c r="R3218" s="115" t="s">
        <v>1013</v>
      </c>
      <c r="S3218" s="125"/>
    </row>
    <row r="3219" spans="1:19" hidden="1">
      <c r="A3219" s="124" t="s">
        <v>5260</v>
      </c>
      <c r="B3219" s="125" t="str">
        <f>IFERROR(VLOOKUP(Proc[[#This Row],[App]],Table2[],3,0),"open")</f>
        <v>ok</v>
      </c>
      <c r="C3219" s="124" t="s">
        <v>369</v>
      </c>
      <c r="D3219" t="s">
        <v>5240</v>
      </c>
      <c r="E3219" t="s">
        <v>5259</v>
      </c>
      <c r="F3219" s="125" t="s">
        <v>5259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25" t="str">
        <f>IF(Proc[[#This Row],[Author]]="Marcela Urrego",VLOOKUP(LEFT(Proc[[#This Row],[Requested]],1),Table3[#All],2,0),VLOOKUP(Proc[[#This Row],[Author]],Table4[],2,0))</f>
        <v>HC</v>
      </c>
      <c r="L3219" s="125" t="s">
        <v>4896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9</v>
      </c>
      <c r="R3219" s="115" t="s">
        <v>1013</v>
      </c>
      <c r="S3219" s="125"/>
    </row>
    <row r="3220" spans="1:19" hidden="1">
      <c r="A3220" s="124" t="s">
        <v>5260</v>
      </c>
      <c r="B3220" s="125" t="str">
        <f>IFERROR(VLOOKUP(Proc[[#This Row],[App]],Table2[],3,0),"open")</f>
        <v>ok</v>
      </c>
      <c r="C3220" s="124" t="s">
        <v>369</v>
      </c>
      <c r="D3220" t="s">
        <v>5241</v>
      </c>
      <c r="E3220" t="s">
        <v>5259</v>
      </c>
      <c r="F3220" s="125" t="s">
        <v>5259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25" t="str">
        <f>IF(Proc[[#This Row],[Author]]="Marcela Urrego",VLOOKUP(LEFT(Proc[[#This Row],[Requested]],1),Table3[#All],2,0),VLOOKUP(Proc[[#This Row],[Author]],Table4[],2,0))</f>
        <v>HC</v>
      </c>
      <c r="L3220" s="125" t="s">
        <v>4896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9</v>
      </c>
      <c r="R3220" s="115" t="s">
        <v>1013</v>
      </c>
      <c r="S3220" s="125"/>
    </row>
    <row r="3221" spans="1:19" hidden="1">
      <c r="A3221" s="124" t="s">
        <v>5260</v>
      </c>
      <c r="B3221" s="125" t="str">
        <f>IFERROR(VLOOKUP(Proc[[#This Row],[App]],Table2[],3,0),"open")</f>
        <v>ok</v>
      </c>
      <c r="C3221" s="124" t="s">
        <v>369</v>
      </c>
      <c r="D3221" t="s">
        <v>5242</v>
      </c>
      <c r="E3221" t="s">
        <v>5259</v>
      </c>
      <c r="F3221" s="125" t="s">
        <v>5259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25" t="str">
        <f>IF(Proc[[#This Row],[Author]]="Marcela Urrego",VLOOKUP(LEFT(Proc[[#This Row],[Requested]],1),Table3[#All],2,0),VLOOKUP(Proc[[#This Row],[Author]],Table4[],2,0))</f>
        <v>HC</v>
      </c>
      <c r="L3221" s="125" t="s">
        <v>4896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9</v>
      </c>
      <c r="R3221" s="115" t="s">
        <v>1013</v>
      </c>
      <c r="S3221" s="125"/>
    </row>
    <row r="3222" spans="1:19" hidden="1">
      <c r="A3222" s="124" t="s">
        <v>5260</v>
      </c>
      <c r="B3222" s="125" t="str">
        <f>IFERROR(VLOOKUP(Proc[[#This Row],[App]],Table2[],3,0),"open")</f>
        <v>ok</v>
      </c>
      <c r="C3222" s="124" t="s">
        <v>369</v>
      </c>
      <c r="D3222" t="s">
        <v>5243</v>
      </c>
      <c r="E3222" t="s">
        <v>5259</v>
      </c>
      <c r="F3222" s="125" t="s">
        <v>5259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25" t="str">
        <f>IF(Proc[[#This Row],[Author]]="Marcela Urrego",VLOOKUP(LEFT(Proc[[#This Row],[Requested]],1),Table3[#All],2,0),VLOOKUP(Proc[[#This Row],[Author]],Table4[],2,0))</f>
        <v>HC</v>
      </c>
      <c r="L3222" s="125" t="s">
        <v>4896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9</v>
      </c>
      <c r="R3222" s="115" t="s">
        <v>1013</v>
      </c>
      <c r="S3222" s="125"/>
    </row>
    <row r="3223" spans="1:19" hidden="1">
      <c r="A3223" s="124" t="s">
        <v>5260</v>
      </c>
      <c r="B3223" s="125" t="str">
        <f>IFERROR(VLOOKUP(Proc[[#This Row],[App]],Table2[],3,0),"open")</f>
        <v>ok</v>
      </c>
      <c r="C3223" s="124" t="s">
        <v>369</v>
      </c>
      <c r="D3223" t="s">
        <v>5244</v>
      </c>
      <c r="E3223" t="s">
        <v>3402</v>
      </c>
      <c r="F3223" s="125" t="s">
        <v>3402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25" t="str">
        <f>IF(Proc[[#This Row],[Author]]="Marcela Urrego",VLOOKUP(LEFT(Proc[[#This Row],[Requested]],1),Table3[#All],2,0),VLOOKUP(Proc[[#This Row],[Author]],Table4[],2,0))</f>
        <v>HC</v>
      </c>
      <c r="L3223" s="125" t="s">
        <v>4896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9</v>
      </c>
      <c r="R3223" s="115" t="s">
        <v>1013</v>
      </c>
      <c r="S3223" s="125"/>
    </row>
    <row r="3224" spans="1:19" hidden="1">
      <c r="A3224" s="124" t="s">
        <v>5260</v>
      </c>
      <c r="B3224" s="125" t="str">
        <f>IFERROR(VLOOKUP(Proc[[#This Row],[App]],Table2[],3,0),"open")</f>
        <v>ok</v>
      </c>
      <c r="C3224" s="124" t="s">
        <v>369</v>
      </c>
      <c r="D3224" t="s">
        <v>5245</v>
      </c>
      <c r="E3224" t="s">
        <v>3402</v>
      </c>
      <c r="F3224" s="125" t="s">
        <v>3402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25" t="str">
        <f>IF(Proc[[#This Row],[Author]]="Marcela Urrego",VLOOKUP(LEFT(Proc[[#This Row],[Requested]],1),Table3[#All],2,0),VLOOKUP(Proc[[#This Row],[Author]],Table4[],2,0))</f>
        <v>HC</v>
      </c>
      <c r="L3224" s="125" t="s">
        <v>4896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9</v>
      </c>
      <c r="R3224" s="115" t="s">
        <v>1013</v>
      </c>
      <c r="S3224" s="125"/>
    </row>
    <row r="3225" spans="1:19" hidden="1">
      <c r="A3225" s="124" t="s">
        <v>5260</v>
      </c>
      <c r="B3225" s="125" t="str">
        <f>IFERROR(VLOOKUP(Proc[[#This Row],[App]],Table2[],3,0),"open")</f>
        <v>ok</v>
      </c>
      <c r="C3225" s="124" t="s">
        <v>369</v>
      </c>
      <c r="D3225" t="s">
        <v>5246</v>
      </c>
      <c r="E3225" t="s">
        <v>3402</v>
      </c>
      <c r="F3225" s="125" t="s">
        <v>3402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25" t="str">
        <f>IF(Proc[[#This Row],[Author]]="Marcela Urrego",VLOOKUP(LEFT(Proc[[#This Row],[Requested]],1),Table3[#All],2,0),VLOOKUP(Proc[[#This Row],[Author]],Table4[],2,0))</f>
        <v>HC</v>
      </c>
      <c r="L3225" s="125" t="s">
        <v>4896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9</v>
      </c>
      <c r="R3225" s="115" t="s">
        <v>1013</v>
      </c>
      <c r="S3225" s="125"/>
    </row>
    <row r="3226" spans="1:19" hidden="1">
      <c r="A3226" s="124" t="s">
        <v>5260</v>
      </c>
      <c r="B3226" s="125" t="str">
        <f>IFERROR(VLOOKUP(Proc[[#This Row],[App]],Table2[],3,0),"open")</f>
        <v>ok</v>
      </c>
      <c r="C3226" s="124" t="s">
        <v>369</v>
      </c>
      <c r="D3226" t="s">
        <v>5247</v>
      </c>
      <c r="E3226" t="s">
        <v>3746</v>
      </c>
      <c r="F3226" s="125" t="s">
        <v>3746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25" t="str">
        <f>IF(Proc[[#This Row],[Author]]="Marcela Urrego",VLOOKUP(LEFT(Proc[[#This Row],[Requested]],1),Table3[#All],2,0),VLOOKUP(Proc[[#This Row],[Author]],Table4[],2,0))</f>
        <v>HC</v>
      </c>
      <c r="L3226" s="125" t="s">
        <v>4896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9</v>
      </c>
      <c r="R3226" s="115" t="s">
        <v>1013</v>
      </c>
      <c r="S3226" s="125"/>
    </row>
    <row r="3227" spans="1:19" hidden="1">
      <c r="A3227" s="124" t="s">
        <v>5260</v>
      </c>
      <c r="B3227" s="125" t="str">
        <f>IFERROR(VLOOKUP(Proc[[#This Row],[App]],Table2[],3,0),"open")</f>
        <v>ok</v>
      </c>
      <c r="C3227" s="124" t="s">
        <v>369</v>
      </c>
      <c r="D3227" t="s">
        <v>5248</v>
      </c>
      <c r="E3227" t="s">
        <v>3402</v>
      </c>
      <c r="F3227" s="125" t="s">
        <v>3402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25" t="str">
        <f>IF(Proc[[#This Row],[Author]]="Marcela Urrego",VLOOKUP(LEFT(Proc[[#This Row],[Requested]],1),Table3[#All],2,0),VLOOKUP(Proc[[#This Row],[Author]],Table4[],2,0))</f>
        <v>HC</v>
      </c>
      <c r="L3227" s="125" t="s">
        <v>4896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9</v>
      </c>
      <c r="R3227" s="115" t="s">
        <v>1013</v>
      </c>
      <c r="S3227" s="125"/>
    </row>
    <row r="3228" spans="1:19" hidden="1">
      <c r="A3228" s="124" t="s">
        <v>5260</v>
      </c>
      <c r="B3228" s="125" t="str">
        <f>IFERROR(VLOOKUP(Proc[[#This Row],[App]],Table2[],3,0),"open")</f>
        <v>ok</v>
      </c>
      <c r="C3228" s="124" t="s">
        <v>369</v>
      </c>
      <c r="D3228" t="s">
        <v>5249</v>
      </c>
      <c r="E3228" t="s">
        <v>3746</v>
      </c>
      <c r="F3228" s="125" t="s">
        <v>3746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25" t="str">
        <f>IF(Proc[[#This Row],[Author]]="Marcela Urrego",VLOOKUP(LEFT(Proc[[#This Row],[Requested]],1),Table3[#All],2,0),VLOOKUP(Proc[[#This Row],[Author]],Table4[],2,0))</f>
        <v>HC</v>
      </c>
      <c r="L3228" s="125" t="s">
        <v>4896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9</v>
      </c>
      <c r="R3228" s="115" t="s">
        <v>1013</v>
      </c>
      <c r="S3228" s="125"/>
    </row>
    <row r="3229" spans="1:19" hidden="1">
      <c r="A3229" s="124" t="s">
        <v>5260</v>
      </c>
      <c r="B3229" s="125" t="str">
        <f>IFERROR(VLOOKUP(Proc[[#This Row],[App]],Table2[],3,0),"open")</f>
        <v>ok</v>
      </c>
      <c r="C3229" s="124" t="s">
        <v>369</v>
      </c>
      <c r="D3229" t="s">
        <v>5250</v>
      </c>
      <c r="E3229" t="s">
        <v>3402</v>
      </c>
      <c r="F3229" s="125" t="s">
        <v>3402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25" t="str">
        <f>IF(Proc[[#This Row],[Author]]="Marcela Urrego",VLOOKUP(LEFT(Proc[[#This Row],[Requested]],1),Table3[#All],2,0),VLOOKUP(Proc[[#This Row],[Author]],Table4[],2,0))</f>
        <v>HC</v>
      </c>
      <c r="L3229" s="125" t="s">
        <v>4896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9</v>
      </c>
      <c r="R3229" s="115" t="s">
        <v>1013</v>
      </c>
      <c r="S3229" s="125"/>
    </row>
    <row r="3230" spans="1:19" hidden="1">
      <c r="A3230" s="124" t="s">
        <v>5260</v>
      </c>
      <c r="B3230" s="125" t="str">
        <f>IFERROR(VLOOKUP(Proc[[#This Row],[App]],Table2[],3,0),"open")</f>
        <v>ok</v>
      </c>
      <c r="C3230" s="124" t="s">
        <v>369</v>
      </c>
      <c r="D3230" t="s">
        <v>5251</v>
      </c>
      <c r="E3230" t="s">
        <v>3402</v>
      </c>
      <c r="F3230" s="125" t="s">
        <v>3402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25" t="str">
        <f>IF(Proc[[#This Row],[Author]]="Marcela Urrego",VLOOKUP(LEFT(Proc[[#This Row],[Requested]],1),Table3[#All],2,0),VLOOKUP(Proc[[#This Row],[Author]],Table4[],2,0))</f>
        <v>HC</v>
      </c>
      <c r="L3230" s="125" t="s">
        <v>4896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9</v>
      </c>
      <c r="R3230" s="115" t="s">
        <v>1013</v>
      </c>
      <c r="S3230" s="125"/>
    </row>
    <row r="3231" spans="1:19" hidden="1">
      <c r="A3231" s="124" t="s">
        <v>5260</v>
      </c>
      <c r="B3231" s="125" t="str">
        <f>IFERROR(VLOOKUP(Proc[[#This Row],[App]],Table2[],3,0),"open")</f>
        <v>ok</v>
      </c>
      <c r="C3231" s="124" t="s">
        <v>369</v>
      </c>
      <c r="D3231" t="s">
        <v>5252</v>
      </c>
      <c r="E3231" t="s">
        <v>3402</v>
      </c>
      <c r="F3231" s="125" t="s">
        <v>3402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25" t="str">
        <f>IF(Proc[[#This Row],[Author]]="Marcela Urrego",VLOOKUP(LEFT(Proc[[#This Row],[Requested]],1),Table3[#All],2,0),VLOOKUP(Proc[[#This Row],[Author]],Table4[],2,0))</f>
        <v>HC</v>
      </c>
      <c r="L3231" s="125" t="s">
        <v>4896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9</v>
      </c>
      <c r="R3231" s="115" t="s">
        <v>1013</v>
      </c>
      <c r="S3231" s="125"/>
    </row>
    <row r="3232" spans="1:19" hidden="1">
      <c r="A3232" t="s">
        <v>5273</v>
      </c>
      <c r="B3232" s="125" t="str">
        <f>IFERROR(VLOOKUP(Proc[[#This Row],[App]],Table2[],3,0),"open")</f>
        <v>ok</v>
      </c>
      <c r="C3232" s="124" t="s">
        <v>369</v>
      </c>
      <c r="D3232" t="s">
        <v>5261</v>
      </c>
      <c r="E3232" t="s">
        <v>5272</v>
      </c>
      <c r="F3232" s="125" t="s">
        <v>5272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25" t="str">
        <f>IF(Proc[[#This Row],[Author]]="Marcela Urrego",VLOOKUP(LEFT(Proc[[#This Row],[Requested]],1),Table3[#All],2,0),VLOOKUP(Proc[[#This Row],[Author]],Table4[],2,0))</f>
        <v>LS</v>
      </c>
      <c r="L3232" s="125" t="s">
        <v>4896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8</v>
      </c>
      <c r="R3232" s="115" t="s">
        <v>489</v>
      </c>
      <c r="S3232" s="125"/>
    </row>
    <row r="3233" spans="1:19" hidden="1">
      <c r="A3233" s="124" t="s">
        <v>5273</v>
      </c>
      <c r="B3233" s="125" t="str">
        <f>IFERROR(VLOOKUP(Proc[[#This Row],[App]],Table2[],3,0),"open")</f>
        <v>ok</v>
      </c>
      <c r="C3233" s="124" t="s">
        <v>369</v>
      </c>
      <c r="D3233" t="s">
        <v>5262</v>
      </c>
      <c r="E3233" t="s">
        <v>5272</v>
      </c>
      <c r="F3233" s="125" t="s">
        <v>5272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25" t="str">
        <f>IF(Proc[[#This Row],[Author]]="Marcela Urrego",VLOOKUP(LEFT(Proc[[#This Row],[Requested]],1),Table3[#All],2,0),VLOOKUP(Proc[[#This Row],[Author]],Table4[],2,0))</f>
        <v>LS</v>
      </c>
      <c r="L3233" s="125" t="s">
        <v>4896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8</v>
      </c>
      <c r="R3233" s="115" t="s">
        <v>489</v>
      </c>
      <c r="S3233" s="125"/>
    </row>
    <row r="3234" spans="1:19" hidden="1">
      <c r="A3234" s="124" t="s">
        <v>5273</v>
      </c>
      <c r="B3234" s="125" t="str">
        <f>IFERROR(VLOOKUP(Proc[[#This Row],[App]],Table2[],3,0),"open")</f>
        <v>ok</v>
      </c>
      <c r="C3234" s="124" t="s">
        <v>369</v>
      </c>
      <c r="D3234" t="s">
        <v>5263</v>
      </c>
      <c r="E3234" t="s">
        <v>5272</v>
      </c>
      <c r="F3234" s="125" t="s">
        <v>5272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25" t="str">
        <f>IF(Proc[[#This Row],[Author]]="Marcela Urrego",VLOOKUP(LEFT(Proc[[#This Row],[Requested]],1),Table3[#All],2,0),VLOOKUP(Proc[[#This Row],[Author]],Table4[],2,0))</f>
        <v>LS</v>
      </c>
      <c r="L3234" s="125" t="s">
        <v>4896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8</v>
      </c>
      <c r="R3234" s="115" t="s">
        <v>489</v>
      </c>
      <c r="S3234" s="125"/>
    </row>
    <row r="3235" spans="1:19" hidden="1">
      <c r="A3235" s="124" t="s">
        <v>5273</v>
      </c>
      <c r="B3235" s="125" t="str">
        <f>IFERROR(VLOOKUP(Proc[[#This Row],[App]],Table2[],3,0),"open")</f>
        <v>ok</v>
      </c>
      <c r="C3235" s="124" t="s">
        <v>369</v>
      </c>
      <c r="D3235" t="s">
        <v>5264</v>
      </c>
      <c r="E3235" t="s">
        <v>5272</v>
      </c>
      <c r="F3235" s="125" t="s">
        <v>5272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25" t="str">
        <f>IF(Proc[[#This Row],[Author]]="Marcela Urrego",VLOOKUP(LEFT(Proc[[#This Row],[Requested]],1),Table3[#All],2,0),VLOOKUP(Proc[[#This Row],[Author]],Table4[],2,0))</f>
        <v>LS</v>
      </c>
      <c r="L3235" s="125" t="s">
        <v>4896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8</v>
      </c>
      <c r="R3235" s="115" t="s">
        <v>489</v>
      </c>
      <c r="S3235" s="125"/>
    </row>
    <row r="3236" spans="1:19" hidden="1">
      <c r="A3236" s="124" t="s">
        <v>5273</v>
      </c>
      <c r="B3236" s="125" t="str">
        <f>IFERROR(VLOOKUP(Proc[[#This Row],[App]],Table2[],3,0),"open")</f>
        <v>ok</v>
      </c>
      <c r="C3236" s="124" t="s">
        <v>369</v>
      </c>
      <c r="D3236" t="s">
        <v>5265</v>
      </c>
      <c r="E3236" t="s">
        <v>5272</v>
      </c>
      <c r="F3236" s="125" t="s">
        <v>5272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25" t="str">
        <f>IF(Proc[[#This Row],[Author]]="Marcela Urrego",VLOOKUP(LEFT(Proc[[#This Row],[Requested]],1),Table3[#All],2,0),VLOOKUP(Proc[[#This Row],[Author]],Table4[],2,0))</f>
        <v>LS</v>
      </c>
      <c r="L3236" s="125" t="s">
        <v>4896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8</v>
      </c>
      <c r="R3236" s="115" t="s">
        <v>489</v>
      </c>
      <c r="S3236" s="125"/>
    </row>
    <row r="3237" spans="1:19" hidden="1">
      <c r="A3237" s="124" t="s">
        <v>5273</v>
      </c>
      <c r="B3237" s="125" t="str">
        <f>IFERROR(VLOOKUP(Proc[[#This Row],[App]],Table2[],3,0),"open")</f>
        <v>ok</v>
      </c>
      <c r="C3237" s="124" t="s">
        <v>369</v>
      </c>
      <c r="D3237" t="s">
        <v>5266</v>
      </c>
      <c r="E3237" t="s">
        <v>5272</v>
      </c>
      <c r="F3237" s="125" t="s">
        <v>5272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25" t="str">
        <f>IF(Proc[[#This Row],[Author]]="Marcela Urrego",VLOOKUP(LEFT(Proc[[#This Row],[Requested]],1),Table3[#All],2,0),VLOOKUP(Proc[[#This Row],[Author]],Table4[],2,0))</f>
        <v>LS</v>
      </c>
      <c r="L3237" s="125" t="s">
        <v>4896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8</v>
      </c>
      <c r="R3237" s="115" t="s">
        <v>489</v>
      </c>
      <c r="S3237" s="125"/>
    </row>
    <row r="3238" spans="1:19" hidden="1">
      <c r="A3238" s="124" t="s">
        <v>5273</v>
      </c>
      <c r="B3238" s="125" t="str">
        <f>IFERROR(VLOOKUP(Proc[[#This Row],[App]],Table2[],3,0),"open")</f>
        <v>ok</v>
      </c>
      <c r="C3238" s="124" t="s">
        <v>369</v>
      </c>
      <c r="D3238" t="s">
        <v>5267</v>
      </c>
      <c r="E3238" t="s">
        <v>5272</v>
      </c>
      <c r="F3238" s="125" t="s">
        <v>5272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25" t="str">
        <f>IF(Proc[[#This Row],[Author]]="Marcela Urrego",VLOOKUP(LEFT(Proc[[#This Row],[Requested]],1),Table3[#All],2,0),VLOOKUP(Proc[[#This Row],[Author]],Table4[],2,0))</f>
        <v>LS</v>
      </c>
      <c r="L3238" s="125" t="s">
        <v>4896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8</v>
      </c>
      <c r="R3238" s="115" t="s">
        <v>489</v>
      </c>
      <c r="S3238" s="125"/>
    </row>
    <row r="3239" spans="1:19" hidden="1">
      <c r="A3239" s="124" t="s">
        <v>5273</v>
      </c>
      <c r="B3239" s="125" t="str">
        <f>IFERROR(VLOOKUP(Proc[[#This Row],[App]],Table2[],3,0),"open")</f>
        <v>ok</v>
      </c>
      <c r="C3239" s="124" t="s">
        <v>369</v>
      </c>
      <c r="D3239" t="s">
        <v>5268</v>
      </c>
      <c r="E3239" t="s">
        <v>5272</v>
      </c>
      <c r="F3239" s="125" t="s">
        <v>5272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25" t="str">
        <f>IF(Proc[[#This Row],[Author]]="Marcela Urrego",VLOOKUP(LEFT(Proc[[#This Row],[Requested]],1),Table3[#All],2,0),VLOOKUP(Proc[[#This Row],[Author]],Table4[],2,0))</f>
        <v>LS</v>
      </c>
      <c r="L3239" s="125" t="s">
        <v>4896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8</v>
      </c>
      <c r="R3239" s="115" t="s">
        <v>489</v>
      </c>
      <c r="S3239" s="125"/>
    </row>
    <row r="3240" spans="1:19" hidden="1">
      <c r="A3240" s="124" t="s">
        <v>5273</v>
      </c>
      <c r="B3240" s="125" t="str">
        <f>IFERROR(VLOOKUP(Proc[[#This Row],[App]],Table2[],3,0),"open")</f>
        <v>ok</v>
      </c>
      <c r="C3240" s="124" t="s">
        <v>369</v>
      </c>
      <c r="D3240" t="s">
        <v>5269</v>
      </c>
      <c r="E3240" t="s">
        <v>5272</v>
      </c>
      <c r="F3240" s="125" t="s">
        <v>5272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25" t="str">
        <f>IF(Proc[[#This Row],[Author]]="Marcela Urrego",VLOOKUP(LEFT(Proc[[#This Row],[Requested]],1),Table3[#All],2,0),VLOOKUP(Proc[[#This Row],[Author]],Table4[],2,0))</f>
        <v>LS</v>
      </c>
      <c r="L3240" s="125" t="s">
        <v>4896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8</v>
      </c>
      <c r="R3240" s="115" t="s">
        <v>489</v>
      </c>
      <c r="S3240" s="125"/>
    </row>
    <row r="3241" spans="1:19" hidden="1">
      <c r="A3241" s="124" t="s">
        <v>5273</v>
      </c>
      <c r="B3241" s="125" t="str">
        <f>IFERROR(VLOOKUP(Proc[[#This Row],[App]],Table2[],3,0),"open")</f>
        <v>ok</v>
      </c>
      <c r="C3241" s="124" t="s">
        <v>369</v>
      </c>
      <c r="D3241" t="s">
        <v>5270</v>
      </c>
      <c r="E3241" t="s">
        <v>5272</v>
      </c>
      <c r="F3241" s="125" t="s">
        <v>5272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25" t="str">
        <f>IF(Proc[[#This Row],[Author]]="Marcela Urrego",VLOOKUP(LEFT(Proc[[#This Row],[Requested]],1),Table3[#All],2,0),VLOOKUP(Proc[[#This Row],[Author]],Table4[],2,0))</f>
        <v>LS</v>
      </c>
      <c r="L3241" s="125" t="s">
        <v>4896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8</v>
      </c>
      <c r="R3241" s="115" t="s">
        <v>489</v>
      </c>
      <c r="S3241" s="125"/>
    </row>
    <row r="3242" spans="1:19" hidden="1">
      <c r="A3242" s="124" t="s">
        <v>5273</v>
      </c>
      <c r="B3242" s="125" t="str">
        <f>IFERROR(VLOOKUP(Proc[[#This Row],[App]],Table2[],3,0),"open")</f>
        <v>ok</v>
      </c>
      <c r="C3242" s="124" t="s">
        <v>369</v>
      </c>
      <c r="D3242" t="s">
        <v>5271</v>
      </c>
      <c r="E3242" t="s">
        <v>5272</v>
      </c>
      <c r="F3242" s="125" t="s">
        <v>5272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25" t="str">
        <f>IF(Proc[[#This Row],[Author]]="Marcela Urrego",VLOOKUP(LEFT(Proc[[#This Row],[Requested]],1),Table3[#All],2,0),VLOOKUP(Proc[[#This Row],[Author]],Table4[],2,0))</f>
        <v>LS</v>
      </c>
      <c r="L3242" s="125" t="s">
        <v>4896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8</v>
      </c>
      <c r="R3242" s="115" t="s">
        <v>489</v>
      </c>
      <c r="S3242" s="125"/>
    </row>
    <row r="3243" spans="1:19" hidden="1">
      <c r="A3243" t="s">
        <v>5480</v>
      </c>
      <c r="B3243" s="125" t="str">
        <f>IFERROR(VLOOKUP(Proc[[#This Row],[App]],Table2[],3,0),"open")</f>
        <v>open</v>
      </c>
      <c r="C3243" s="124" t="s">
        <v>369</v>
      </c>
      <c r="D3243" t="s">
        <v>5274</v>
      </c>
      <c r="E3243" t="s">
        <v>5446</v>
      </c>
      <c r="F3243" s="125" t="s">
        <v>5446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25" t="str">
        <f>IF(Proc[[#This Row],[Author]]="Marcela Urrego",VLOOKUP(LEFT(Proc[[#This Row],[Requested]],1),Table3[#All],2,0),VLOOKUP(Proc[[#This Row],[Author]],Table4[],2,0))</f>
        <v>MGF</v>
      </c>
      <c r="L3243" s="125" t="s">
        <v>4896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8</v>
      </c>
      <c r="R3243" s="115" t="s">
        <v>1459</v>
      </c>
      <c r="S3243" s="125"/>
    </row>
    <row r="3244" spans="1:19" hidden="1">
      <c r="A3244" s="124" t="s">
        <v>5480</v>
      </c>
      <c r="B3244" s="125" t="str">
        <f>IFERROR(VLOOKUP(Proc[[#This Row],[App]],Table2[],3,0),"open")</f>
        <v>open</v>
      </c>
      <c r="C3244" s="124" t="s">
        <v>369</v>
      </c>
      <c r="D3244" t="s">
        <v>5275</v>
      </c>
      <c r="E3244" t="s">
        <v>5447</v>
      </c>
      <c r="F3244" s="125" t="s">
        <v>5447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25" t="str">
        <f>IF(Proc[[#This Row],[Author]]="Marcela Urrego",VLOOKUP(LEFT(Proc[[#This Row],[Requested]],1),Table3[#All],2,0),VLOOKUP(Proc[[#This Row],[Author]],Table4[],2,0))</f>
        <v>MGF</v>
      </c>
      <c r="L3244" s="125" t="s">
        <v>4896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8</v>
      </c>
      <c r="R3244" s="115" t="s">
        <v>1459</v>
      </c>
      <c r="S3244" s="125"/>
    </row>
    <row r="3245" spans="1:19" hidden="1">
      <c r="A3245" s="124" t="s">
        <v>5480</v>
      </c>
      <c r="B3245" s="125" t="str">
        <f>IFERROR(VLOOKUP(Proc[[#This Row],[App]],Table2[],3,0),"open")</f>
        <v>open</v>
      </c>
      <c r="C3245" s="124" t="s">
        <v>369</v>
      </c>
      <c r="D3245" t="s">
        <v>5276</v>
      </c>
      <c r="E3245" t="s">
        <v>5446</v>
      </c>
      <c r="F3245" s="125" t="s">
        <v>5446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25" t="str">
        <f>IF(Proc[[#This Row],[Author]]="Marcela Urrego",VLOOKUP(LEFT(Proc[[#This Row],[Requested]],1),Table3[#All],2,0),VLOOKUP(Proc[[#This Row],[Author]],Table4[],2,0))</f>
        <v>MGF</v>
      </c>
      <c r="L3245" s="125" t="s">
        <v>4896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8</v>
      </c>
      <c r="R3245" s="115" t="s">
        <v>1459</v>
      </c>
      <c r="S3245" s="125"/>
    </row>
    <row r="3246" spans="1:19" hidden="1">
      <c r="A3246" s="124" t="s">
        <v>5480</v>
      </c>
      <c r="B3246" s="125" t="str">
        <f>IFERROR(VLOOKUP(Proc[[#This Row],[App]],Table2[],3,0),"open")</f>
        <v>open</v>
      </c>
      <c r="C3246" s="124" t="s">
        <v>369</v>
      </c>
      <c r="D3246" t="s">
        <v>5277</v>
      </c>
      <c r="E3246" t="s">
        <v>5448</v>
      </c>
      <c r="F3246" s="125" t="s">
        <v>5448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25" t="str">
        <f>IF(Proc[[#This Row],[Author]]="Marcela Urrego",VLOOKUP(LEFT(Proc[[#This Row],[Requested]],1),Table3[#All],2,0),VLOOKUP(Proc[[#This Row],[Author]],Table4[],2,0))</f>
        <v>MGF</v>
      </c>
      <c r="L3246" s="125" t="s">
        <v>4896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8</v>
      </c>
      <c r="R3246" s="115" t="s">
        <v>1459</v>
      </c>
      <c r="S3246" s="125"/>
    </row>
    <row r="3247" spans="1:19" hidden="1">
      <c r="A3247" s="124" t="s">
        <v>5480</v>
      </c>
      <c r="B3247" s="125" t="str">
        <f>IFERROR(VLOOKUP(Proc[[#This Row],[App]],Table2[],3,0),"open")</f>
        <v>open</v>
      </c>
      <c r="C3247" s="124" t="s">
        <v>369</v>
      </c>
      <c r="D3247" t="s">
        <v>5278</v>
      </c>
      <c r="E3247" t="s">
        <v>5449</v>
      </c>
      <c r="F3247" s="125" t="s">
        <v>5449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25" t="str">
        <f>IF(Proc[[#This Row],[Author]]="Marcela Urrego",VLOOKUP(LEFT(Proc[[#This Row],[Requested]],1),Table3[#All],2,0),VLOOKUP(Proc[[#This Row],[Author]],Table4[],2,0))</f>
        <v>MGF</v>
      </c>
      <c r="L3247" s="125" t="s">
        <v>4896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8</v>
      </c>
      <c r="R3247" s="115" t="s">
        <v>1459</v>
      </c>
      <c r="S3247" s="125"/>
    </row>
    <row r="3248" spans="1:19" hidden="1">
      <c r="A3248" s="124" t="s">
        <v>5480</v>
      </c>
      <c r="B3248" s="125" t="str">
        <f>IFERROR(VLOOKUP(Proc[[#This Row],[App]],Table2[],3,0),"open")</f>
        <v>open</v>
      </c>
      <c r="C3248" s="124" t="s">
        <v>369</v>
      </c>
      <c r="D3248" t="s">
        <v>5279</v>
      </c>
      <c r="E3248" t="s">
        <v>5450</v>
      </c>
      <c r="F3248" s="125" t="s">
        <v>5450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25" t="str">
        <f>IF(Proc[[#This Row],[Author]]="Marcela Urrego",VLOOKUP(LEFT(Proc[[#This Row],[Requested]],1),Table3[#All],2,0),VLOOKUP(Proc[[#This Row],[Author]],Table4[],2,0))</f>
        <v>MGF</v>
      </c>
      <c r="L3248" s="125" t="s">
        <v>4896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8</v>
      </c>
      <c r="R3248" s="115" t="s">
        <v>1459</v>
      </c>
      <c r="S3248" s="125"/>
    </row>
    <row r="3249" spans="1:19" hidden="1">
      <c r="A3249" s="124" t="s">
        <v>5480</v>
      </c>
      <c r="B3249" s="125" t="str">
        <f>IFERROR(VLOOKUP(Proc[[#This Row],[App]],Table2[],3,0),"open")</f>
        <v>open</v>
      </c>
      <c r="C3249" s="124" t="s">
        <v>369</v>
      </c>
      <c r="D3249" t="s">
        <v>5280</v>
      </c>
      <c r="E3249" t="s">
        <v>5451</v>
      </c>
      <c r="F3249" s="125" t="s">
        <v>5451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25" t="str">
        <f>IF(Proc[[#This Row],[Author]]="Marcela Urrego",VLOOKUP(LEFT(Proc[[#This Row],[Requested]],1),Table3[#All],2,0),VLOOKUP(Proc[[#This Row],[Author]],Table4[],2,0))</f>
        <v>MGF</v>
      </c>
      <c r="L3249" s="125" t="s">
        <v>4896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8</v>
      </c>
      <c r="R3249" s="115" t="s">
        <v>1459</v>
      </c>
      <c r="S3249" s="125"/>
    </row>
    <row r="3250" spans="1:19" hidden="1">
      <c r="A3250" s="124" t="s">
        <v>5480</v>
      </c>
      <c r="B3250" s="125" t="str">
        <f>IFERROR(VLOOKUP(Proc[[#This Row],[App]],Table2[],3,0),"open")</f>
        <v>open</v>
      </c>
      <c r="C3250" s="124" t="s">
        <v>369</v>
      </c>
      <c r="D3250" t="s">
        <v>5281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25" t="str">
        <f>IF(Proc[[#This Row],[Author]]="Marcela Urrego",VLOOKUP(LEFT(Proc[[#This Row],[Requested]],1),Table3[#All],2,0),VLOOKUP(Proc[[#This Row],[Author]],Table4[],2,0))</f>
        <v>MGF</v>
      </c>
      <c r="L3250" s="125" t="s">
        <v>4896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8</v>
      </c>
      <c r="R3250" s="115" t="s">
        <v>1459</v>
      </c>
      <c r="S3250" s="125"/>
    </row>
    <row r="3251" spans="1:19" hidden="1">
      <c r="A3251" s="124" t="s">
        <v>5480</v>
      </c>
      <c r="B3251" s="125" t="str">
        <f>IFERROR(VLOOKUP(Proc[[#This Row],[App]],Table2[],3,0),"open")</f>
        <v>open</v>
      </c>
      <c r="C3251" s="124" t="s">
        <v>369</v>
      </c>
      <c r="D3251" t="s">
        <v>5282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25" t="str">
        <f>IF(Proc[[#This Row],[Author]]="Marcela Urrego",VLOOKUP(LEFT(Proc[[#This Row],[Requested]],1),Table3[#All],2,0),VLOOKUP(Proc[[#This Row],[Author]],Table4[],2,0))</f>
        <v>MGF</v>
      </c>
      <c r="L3251" s="125" t="s">
        <v>4896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8</v>
      </c>
      <c r="R3251" s="115" t="s">
        <v>1459</v>
      </c>
      <c r="S3251" s="125"/>
    </row>
    <row r="3252" spans="1:19" hidden="1">
      <c r="A3252" s="124" t="s">
        <v>5480</v>
      </c>
      <c r="B3252" s="125" t="str">
        <f>IFERROR(VLOOKUP(Proc[[#This Row],[App]],Table2[],3,0),"open")</f>
        <v>open</v>
      </c>
      <c r="C3252" s="124" t="s">
        <v>369</v>
      </c>
      <c r="D3252" t="s">
        <v>5283</v>
      </c>
      <c r="E3252" t="s">
        <v>5452</v>
      </c>
      <c r="F3252" s="125" t="s">
        <v>5452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25" t="str">
        <f>IF(Proc[[#This Row],[Author]]="Marcela Urrego",VLOOKUP(LEFT(Proc[[#This Row],[Requested]],1),Table3[#All],2,0),VLOOKUP(Proc[[#This Row],[Author]],Table4[],2,0))</f>
        <v>MGF</v>
      </c>
      <c r="L3252" s="125" t="s">
        <v>4896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8</v>
      </c>
      <c r="R3252" s="115" t="s">
        <v>1459</v>
      </c>
      <c r="S3252" s="125"/>
    </row>
    <row r="3253" spans="1:19" hidden="1">
      <c r="A3253" s="124" t="s">
        <v>5480</v>
      </c>
      <c r="B3253" s="125" t="str">
        <f>IFERROR(VLOOKUP(Proc[[#This Row],[App]],Table2[],3,0),"open")</f>
        <v>open</v>
      </c>
      <c r="C3253" s="124" t="s">
        <v>369</v>
      </c>
      <c r="D3253" t="s">
        <v>5284</v>
      </c>
      <c r="E3253" t="s">
        <v>5453</v>
      </c>
      <c r="F3253" s="125" t="s">
        <v>5453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25" t="str">
        <f>IF(Proc[[#This Row],[Author]]="Marcela Urrego",VLOOKUP(LEFT(Proc[[#This Row],[Requested]],1),Table3[#All],2,0),VLOOKUP(Proc[[#This Row],[Author]],Table4[],2,0))</f>
        <v>MGF</v>
      </c>
      <c r="L3253" s="125" t="s">
        <v>4896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8</v>
      </c>
      <c r="R3253" s="115" t="s">
        <v>1459</v>
      </c>
      <c r="S3253" s="125"/>
    </row>
    <row r="3254" spans="1:19" hidden="1">
      <c r="A3254" s="124" t="s">
        <v>5480</v>
      </c>
      <c r="B3254" s="125" t="str">
        <f>IFERROR(VLOOKUP(Proc[[#This Row],[App]],Table2[],3,0),"open")</f>
        <v>open</v>
      </c>
      <c r="C3254" s="124" t="s">
        <v>369</v>
      </c>
      <c r="D3254" t="s">
        <v>5285</v>
      </c>
      <c r="E3254" t="s">
        <v>5454</v>
      </c>
      <c r="F3254" s="125" t="s">
        <v>5454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25" t="str">
        <f>IF(Proc[[#This Row],[Author]]="Marcela Urrego",VLOOKUP(LEFT(Proc[[#This Row],[Requested]],1),Table3[#All],2,0),VLOOKUP(Proc[[#This Row],[Author]],Table4[],2,0))</f>
        <v>MGF</v>
      </c>
      <c r="L3254" s="125" t="s">
        <v>4896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8</v>
      </c>
      <c r="R3254" s="115" t="s">
        <v>1459</v>
      </c>
      <c r="S3254" s="125"/>
    </row>
    <row r="3255" spans="1:19" hidden="1">
      <c r="A3255" s="124" t="s">
        <v>5480</v>
      </c>
      <c r="B3255" s="125" t="str">
        <f>IFERROR(VLOOKUP(Proc[[#This Row],[App]],Table2[],3,0),"open")</f>
        <v>open</v>
      </c>
      <c r="C3255" s="124" t="s">
        <v>369</v>
      </c>
      <c r="D3255" t="s">
        <v>5286</v>
      </c>
      <c r="E3255" t="s">
        <v>5455</v>
      </c>
      <c r="F3255" s="125" t="s">
        <v>5455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25" t="str">
        <f>IF(Proc[[#This Row],[Author]]="Marcela Urrego",VLOOKUP(LEFT(Proc[[#This Row],[Requested]],1),Table3[#All],2,0),VLOOKUP(Proc[[#This Row],[Author]],Table4[],2,0))</f>
        <v>MGF</v>
      </c>
      <c r="L3255" s="125" t="s">
        <v>4896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8</v>
      </c>
      <c r="R3255" s="115" t="s">
        <v>1459</v>
      </c>
      <c r="S3255" s="125"/>
    </row>
    <row r="3256" spans="1:19" hidden="1">
      <c r="A3256" s="124" t="s">
        <v>5480</v>
      </c>
      <c r="B3256" s="125" t="str">
        <f>IFERROR(VLOOKUP(Proc[[#This Row],[App]],Table2[],3,0),"open")</f>
        <v>open</v>
      </c>
      <c r="C3256" s="124" t="s">
        <v>369</v>
      </c>
      <c r="D3256" t="s">
        <v>5287</v>
      </c>
      <c r="E3256" t="s">
        <v>5455</v>
      </c>
      <c r="F3256" s="125" t="s">
        <v>5455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25" t="str">
        <f>IF(Proc[[#This Row],[Author]]="Marcela Urrego",VLOOKUP(LEFT(Proc[[#This Row],[Requested]],1),Table3[#All],2,0),VLOOKUP(Proc[[#This Row],[Author]],Table4[],2,0))</f>
        <v>MGF</v>
      </c>
      <c r="L3256" s="125" t="s">
        <v>4896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8</v>
      </c>
      <c r="R3256" s="115" t="s">
        <v>1459</v>
      </c>
      <c r="S3256" s="125"/>
    </row>
    <row r="3257" spans="1:19" hidden="1">
      <c r="A3257" s="124" t="s">
        <v>5480</v>
      </c>
      <c r="B3257" s="125" t="str">
        <f>IFERROR(VLOOKUP(Proc[[#This Row],[App]],Table2[],3,0),"open")</f>
        <v>open</v>
      </c>
      <c r="C3257" s="124" t="s">
        <v>369</v>
      </c>
      <c r="D3257" t="s">
        <v>5288</v>
      </c>
      <c r="E3257" t="s">
        <v>5455</v>
      </c>
      <c r="F3257" s="125" t="s">
        <v>5455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25" t="str">
        <f>IF(Proc[[#This Row],[Author]]="Marcela Urrego",VLOOKUP(LEFT(Proc[[#This Row],[Requested]],1),Table3[#All],2,0),VLOOKUP(Proc[[#This Row],[Author]],Table4[],2,0))</f>
        <v>MGF</v>
      </c>
      <c r="L3257" s="125" t="s">
        <v>4896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8</v>
      </c>
      <c r="R3257" s="115" t="s">
        <v>1459</v>
      </c>
      <c r="S3257" s="125"/>
    </row>
    <row r="3258" spans="1:19" hidden="1">
      <c r="A3258" s="124" t="s">
        <v>5480</v>
      </c>
      <c r="B3258" s="125" t="str">
        <f>IFERROR(VLOOKUP(Proc[[#This Row],[App]],Table2[],3,0),"open")</f>
        <v>open</v>
      </c>
      <c r="C3258" s="124" t="s">
        <v>369</v>
      </c>
      <c r="D3258" t="s">
        <v>5289</v>
      </c>
      <c r="E3258" t="s">
        <v>5456</v>
      </c>
      <c r="F3258" s="125" t="s">
        <v>5456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25" t="str">
        <f>IF(Proc[[#This Row],[Author]]="Marcela Urrego",VLOOKUP(LEFT(Proc[[#This Row],[Requested]],1),Table3[#All],2,0),VLOOKUP(Proc[[#This Row],[Author]],Table4[],2,0))</f>
        <v>MGF</v>
      </c>
      <c r="L3258" s="125" t="s">
        <v>4896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8</v>
      </c>
      <c r="R3258" s="115" t="s">
        <v>1459</v>
      </c>
      <c r="S3258" s="125"/>
    </row>
    <row r="3259" spans="1:19" hidden="1">
      <c r="A3259" s="124" t="s">
        <v>5480</v>
      </c>
      <c r="B3259" s="125" t="str">
        <f>IFERROR(VLOOKUP(Proc[[#This Row],[App]],Table2[],3,0),"open")</f>
        <v>open</v>
      </c>
      <c r="C3259" s="124" t="s">
        <v>369</v>
      </c>
      <c r="D3259" t="s">
        <v>5290</v>
      </c>
      <c r="E3259" t="s">
        <v>5452</v>
      </c>
      <c r="F3259" s="125" t="s">
        <v>5452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25" t="str">
        <f>IF(Proc[[#This Row],[Author]]="Marcela Urrego",VLOOKUP(LEFT(Proc[[#This Row],[Requested]],1),Table3[#All],2,0),VLOOKUP(Proc[[#This Row],[Author]],Table4[],2,0))</f>
        <v>MGF</v>
      </c>
      <c r="L3259" s="125" t="s">
        <v>4896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8</v>
      </c>
      <c r="R3259" s="115" t="s">
        <v>1459</v>
      </c>
      <c r="S3259" s="125"/>
    </row>
    <row r="3260" spans="1:19" hidden="1">
      <c r="A3260" s="124" t="s">
        <v>5480</v>
      </c>
      <c r="B3260" s="125" t="str">
        <f>IFERROR(VLOOKUP(Proc[[#This Row],[App]],Table2[],3,0),"open")</f>
        <v>open</v>
      </c>
      <c r="C3260" s="124" t="s">
        <v>369</v>
      </c>
      <c r="D3260" t="s">
        <v>5291</v>
      </c>
      <c r="E3260" t="s">
        <v>5457</v>
      </c>
      <c r="F3260" s="125" t="s">
        <v>5457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25" t="str">
        <f>IF(Proc[[#This Row],[Author]]="Marcela Urrego",VLOOKUP(LEFT(Proc[[#This Row],[Requested]],1),Table3[#All],2,0),VLOOKUP(Proc[[#This Row],[Author]],Table4[],2,0))</f>
        <v>MGF</v>
      </c>
      <c r="L3260" s="125" t="s">
        <v>4896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8</v>
      </c>
      <c r="R3260" s="115" t="s">
        <v>1459</v>
      </c>
      <c r="S3260" s="125"/>
    </row>
    <row r="3261" spans="1:19" hidden="1">
      <c r="A3261" s="124" t="s">
        <v>5480</v>
      </c>
      <c r="B3261" s="125" t="str">
        <f>IFERROR(VLOOKUP(Proc[[#This Row],[App]],Table2[],3,0),"open")</f>
        <v>open</v>
      </c>
      <c r="C3261" s="124" t="s">
        <v>369</v>
      </c>
      <c r="D3261" t="s">
        <v>5292</v>
      </c>
      <c r="E3261" t="s">
        <v>5457</v>
      </c>
      <c r="F3261" s="125" t="s">
        <v>5457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25" t="str">
        <f>IF(Proc[[#This Row],[Author]]="Marcela Urrego",VLOOKUP(LEFT(Proc[[#This Row],[Requested]],1),Table3[#All],2,0),VLOOKUP(Proc[[#This Row],[Author]],Table4[],2,0))</f>
        <v>MGF</v>
      </c>
      <c r="L3261" s="125" t="s">
        <v>4896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8</v>
      </c>
      <c r="R3261" s="115" t="s">
        <v>1459</v>
      </c>
      <c r="S3261" s="125"/>
    </row>
    <row r="3262" spans="1:19" hidden="1">
      <c r="A3262" s="124" t="s">
        <v>5480</v>
      </c>
      <c r="B3262" s="125" t="str">
        <f>IFERROR(VLOOKUP(Proc[[#This Row],[App]],Table2[],3,0),"open")</f>
        <v>open</v>
      </c>
      <c r="C3262" s="124" t="s">
        <v>369</v>
      </c>
      <c r="D3262" t="s">
        <v>5293</v>
      </c>
      <c r="E3262" t="s">
        <v>5455</v>
      </c>
      <c r="F3262" s="125" t="s">
        <v>5455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25" t="str">
        <f>IF(Proc[[#This Row],[Author]]="Marcela Urrego",VLOOKUP(LEFT(Proc[[#This Row],[Requested]],1),Table3[#All],2,0),VLOOKUP(Proc[[#This Row],[Author]],Table4[],2,0))</f>
        <v>MGF</v>
      </c>
      <c r="L3262" s="125" t="s">
        <v>4896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8</v>
      </c>
      <c r="R3262" s="115" t="s">
        <v>1459</v>
      </c>
      <c r="S3262" s="125"/>
    </row>
    <row r="3263" spans="1:19" hidden="1">
      <c r="A3263" s="124" t="s">
        <v>5480</v>
      </c>
      <c r="B3263" s="125" t="str">
        <f>IFERROR(VLOOKUP(Proc[[#This Row],[App]],Table2[],3,0),"open")</f>
        <v>open</v>
      </c>
      <c r="C3263" s="124" t="s">
        <v>369</v>
      </c>
      <c r="D3263" t="s">
        <v>5294</v>
      </c>
      <c r="E3263" t="s">
        <v>5458</v>
      </c>
      <c r="F3263" s="125" t="s">
        <v>5458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25" t="str">
        <f>IF(Proc[[#This Row],[Author]]="Marcela Urrego",VLOOKUP(LEFT(Proc[[#This Row],[Requested]],1),Table3[#All],2,0),VLOOKUP(Proc[[#This Row],[Author]],Table4[],2,0))</f>
        <v>MGF</v>
      </c>
      <c r="L3263" s="125" t="s">
        <v>4896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8</v>
      </c>
      <c r="R3263" s="115" t="s">
        <v>1459</v>
      </c>
      <c r="S3263" s="125"/>
    </row>
    <row r="3264" spans="1:19" hidden="1">
      <c r="A3264" s="124" t="s">
        <v>5480</v>
      </c>
      <c r="B3264" s="125" t="str">
        <f>IFERROR(VLOOKUP(Proc[[#This Row],[App]],Table2[],3,0),"open")</f>
        <v>open</v>
      </c>
      <c r="C3264" s="124" t="s">
        <v>369</v>
      </c>
      <c r="D3264" t="s">
        <v>5295</v>
      </c>
      <c r="E3264" t="s">
        <v>5451</v>
      </c>
      <c r="F3264" s="125" t="s">
        <v>5451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25" t="str">
        <f>IF(Proc[[#This Row],[Author]]="Marcela Urrego",VLOOKUP(LEFT(Proc[[#This Row],[Requested]],1),Table3[#All],2,0),VLOOKUP(Proc[[#This Row],[Author]],Table4[],2,0))</f>
        <v>MGF</v>
      </c>
      <c r="L3264" s="125" t="s">
        <v>4896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8</v>
      </c>
      <c r="R3264" s="115" t="s">
        <v>1459</v>
      </c>
      <c r="S3264" s="125"/>
    </row>
    <row r="3265" spans="1:19" hidden="1">
      <c r="A3265" s="124" t="s">
        <v>5480</v>
      </c>
      <c r="B3265" s="125" t="str">
        <f>IFERROR(VLOOKUP(Proc[[#This Row],[App]],Table2[],3,0),"open")</f>
        <v>open</v>
      </c>
      <c r="C3265" s="124" t="s">
        <v>369</v>
      </c>
      <c r="D3265" t="s">
        <v>5296</v>
      </c>
      <c r="E3265" t="s">
        <v>5458</v>
      </c>
      <c r="F3265" s="125" t="s">
        <v>5458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25" t="str">
        <f>IF(Proc[[#This Row],[Author]]="Marcela Urrego",VLOOKUP(LEFT(Proc[[#This Row],[Requested]],1),Table3[#All],2,0),VLOOKUP(Proc[[#This Row],[Author]],Table4[],2,0))</f>
        <v>MGF</v>
      </c>
      <c r="L3265" s="125" t="s">
        <v>4896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8</v>
      </c>
      <c r="R3265" s="115" t="s">
        <v>1459</v>
      </c>
      <c r="S3265" s="125"/>
    </row>
    <row r="3266" spans="1:19" hidden="1">
      <c r="A3266" s="124" t="s">
        <v>5480</v>
      </c>
      <c r="B3266" s="125" t="str">
        <f>IFERROR(VLOOKUP(Proc[[#This Row],[App]],Table2[],3,0),"open")</f>
        <v>open</v>
      </c>
      <c r="C3266" s="124" t="s">
        <v>369</v>
      </c>
      <c r="D3266" t="s">
        <v>5297</v>
      </c>
      <c r="E3266" t="s">
        <v>5459</v>
      </c>
      <c r="F3266" s="125" t="s">
        <v>5459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25" t="str">
        <f>IF(Proc[[#This Row],[Author]]="Marcela Urrego",VLOOKUP(LEFT(Proc[[#This Row],[Requested]],1),Table3[#All],2,0),VLOOKUP(Proc[[#This Row],[Author]],Table4[],2,0))</f>
        <v>MGF</v>
      </c>
      <c r="L3266" s="125" t="s">
        <v>4896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8</v>
      </c>
      <c r="R3266" s="115" t="s">
        <v>1459</v>
      </c>
      <c r="S3266" s="125"/>
    </row>
    <row r="3267" spans="1:19" hidden="1">
      <c r="A3267" s="124" t="s">
        <v>5480</v>
      </c>
      <c r="B3267" s="125" t="str">
        <f>IFERROR(VLOOKUP(Proc[[#This Row],[App]],Table2[],3,0),"open")</f>
        <v>open</v>
      </c>
      <c r="C3267" s="124" t="s">
        <v>369</v>
      </c>
      <c r="D3267" t="s">
        <v>5298</v>
      </c>
      <c r="E3267" t="s">
        <v>5451</v>
      </c>
      <c r="F3267" s="125" t="s">
        <v>5451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25" t="str">
        <f>IF(Proc[[#This Row],[Author]]="Marcela Urrego",VLOOKUP(LEFT(Proc[[#This Row],[Requested]],1),Table3[#All],2,0),VLOOKUP(Proc[[#This Row],[Author]],Table4[],2,0))</f>
        <v>MGF</v>
      </c>
      <c r="L3267" s="125" t="s">
        <v>4896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8</v>
      </c>
      <c r="R3267" s="115" t="s">
        <v>1459</v>
      </c>
      <c r="S3267" s="125"/>
    </row>
    <row r="3268" spans="1:19" hidden="1">
      <c r="A3268" s="124" t="s">
        <v>5480</v>
      </c>
      <c r="B3268" s="125" t="str">
        <f>IFERROR(VLOOKUP(Proc[[#This Row],[App]],Table2[],3,0),"open")</f>
        <v>open</v>
      </c>
      <c r="C3268" s="124" t="s">
        <v>369</v>
      </c>
      <c r="D3268" t="s">
        <v>4809</v>
      </c>
      <c r="E3268" t="s">
        <v>4412</v>
      </c>
      <c r="F3268" s="125" t="s">
        <v>4412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25" t="str">
        <f>IF(Proc[[#This Row],[Author]]="Marcela Urrego",VLOOKUP(LEFT(Proc[[#This Row],[Requested]],1),Table3[#All],2,0),VLOOKUP(Proc[[#This Row],[Author]],Table4[],2,0))</f>
        <v>MGF</v>
      </c>
      <c r="L3268" s="125" t="s">
        <v>4896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8</v>
      </c>
      <c r="R3268" s="115" t="s">
        <v>1459</v>
      </c>
      <c r="S3268" s="125"/>
    </row>
    <row r="3269" spans="1:19" hidden="1">
      <c r="A3269" s="124" t="s">
        <v>5480</v>
      </c>
      <c r="B3269" s="125" t="str">
        <f>IFERROR(VLOOKUP(Proc[[#This Row],[App]],Table2[],3,0),"open")</f>
        <v>open</v>
      </c>
      <c r="C3269" s="124" t="s">
        <v>369</v>
      </c>
      <c r="D3269" t="s">
        <v>5299</v>
      </c>
      <c r="E3269" t="s">
        <v>5451</v>
      </c>
      <c r="F3269" s="125" t="s">
        <v>5451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25" t="str">
        <f>IF(Proc[[#This Row],[Author]]="Marcela Urrego",VLOOKUP(LEFT(Proc[[#This Row],[Requested]],1),Table3[#All],2,0),VLOOKUP(Proc[[#This Row],[Author]],Table4[],2,0))</f>
        <v>MGF</v>
      </c>
      <c r="L3269" s="125" t="s">
        <v>4896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8</v>
      </c>
      <c r="R3269" s="115" t="s">
        <v>1459</v>
      </c>
      <c r="S3269" s="125"/>
    </row>
    <row r="3270" spans="1:19" hidden="1">
      <c r="A3270" s="124" t="s">
        <v>5480</v>
      </c>
      <c r="B3270" s="125" t="str">
        <f>IFERROR(VLOOKUP(Proc[[#This Row],[App]],Table2[],3,0),"open")</f>
        <v>open</v>
      </c>
      <c r="C3270" s="124" t="s">
        <v>369</v>
      </c>
      <c r="D3270" t="s">
        <v>5300</v>
      </c>
      <c r="E3270" t="s">
        <v>5460</v>
      </c>
      <c r="F3270" s="125" t="s">
        <v>5460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25" t="str">
        <f>IF(Proc[[#This Row],[Author]]="Marcela Urrego",VLOOKUP(LEFT(Proc[[#This Row],[Requested]],1),Table3[#All],2,0),VLOOKUP(Proc[[#This Row],[Author]],Table4[],2,0))</f>
        <v>MGF</v>
      </c>
      <c r="L3270" s="125" t="s">
        <v>4896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8</v>
      </c>
      <c r="R3270" s="115" t="s">
        <v>1459</v>
      </c>
      <c r="S3270" s="125"/>
    </row>
    <row r="3271" spans="1:19" hidden="1">
      <c r="A3271" s="124" t="s">
        <v>5480</v>
      </c>
      <c r="B3271" s="125" t="str">
        <f>IFERROR(VLOOKUP(Proc[[#This Row],[App]],Table2[],3,0),"open")</f>
        <v>open</v>
      </c>
      <c r="C3271" s="124" t="s">
        <v>369</v>
      </c>
      <c r="D3271" t="s">
        <v>5301</v>
      </c>
      <c r="E3271" t="s">
        <v>5461</v>
      </c>
      <c r="F3271" s="125" t="s">
        <v>5461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25" t="str">
        <f>IF(Proc[[#This Row],[Author]]="Marcela Urrego",VLOOKUP(LEFT(Proc[[#This Row],[Requested]],1),Table3[#All],2,0),VLOOKUP(Proc[[#This Row],[Author]],Table4[],2,0))</f>
        <v>MGF</v>
      </c>
      <c r="L3271" s="125" t="s">
        <v>4896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8</v>
      </c>
      <c r="R3271" s="115" t="s">
        <v>1459</v>
      </c>
      <c r="S3271" s="125"/>
    </row>
    <row r="3272" spans="1:19" hidden="1">
      <c r="A3272" s="124" t="s">
        <v>5480</v>
      </c>
      <c r="B3272" s="125" t="str">
        <f>IFERROR(VLOOKUP(Proc[[#This Row],[App]],Table2[],3,0),"open")</f>
        <v>open</v>
      </c>
      <c r="C3272" s="124" t="s">
        <v>369</v>
      </c>
      <c r="D3272" t="s">
        <v>5302</v>
      </c>
      <c r="E3272" t="s">
        <v>5462</v>
      </c>
      <c r="F3272" s="125" t="s">
        <v>5462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25" t="str">
        <f>IF(Proc[[#This Row],[Author]]="Marcela Urrego",VLOOKUP(LEFT(Proc[[#This Row],[Requested]],1),Table3[#All],2,0),VLOOKUP(Proc[[#This Row],[Author]],Table4[],2,0))</f>
        <v>MGF</v>
      </c>
      <c r="L3272" s="125" t="s">
        <v>4896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8</v>
      </c>
      <c r="R3272" s="115" t="s">
        <v>1459</v>
      </c>
      <c r="S3272" s="125"/>
    </row>
    <row r="3273" spans="1:19" hidden="1">
      <c r="A3273" s="124" t="s">
        <v>5480</v>
      </c>
      <c r="B3273" s="125" t="str">
        <f>IFERROR(VLOOKUP(Proc[[#This Row],[App]],Table2[],3,0),"open")</f>
        <v>open</v>
      </c>
      <c r="C3273" s="124" t="s">
        <v>369</v>
      </c>
      <c r="D3273" t="s">
        <v>3371</v>
      </c>
      <c r="E3273" t="s">
        <v>5459</v>
      </c>
      <c r="F3273" s="125" t="s">
        <v>5459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25" t="str">
        <f>IF(Proc[[#This Row],[Author]]="Marcela Urrego",VLOOKUP(LEFT(Proc[[#This Row],[Requested]],1),Table3[#All],2,0),VLOOKUP(Proc[[#This Row],[Author]],Table4[],2,0))</f>
        <v>MGF</v>
      </c>
      <c r="L3273" s="125" t="s">
        <v>4896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8</v>
      </c>
      <c r="R3273" s="115" t="s">
        <v>1459</v>
      </c>
      <c r="S3273" s="125"/>
    </row>
    <row r="3274" spans="1:19" hidden="1">
      <c r="A3274" s="124" t="s">
        <v>5480</v>
      </c>
      <c r="B3274" s="125" t="str">
        <f>IFERROR(VLOOKUP(Proc[[#This Row],[App]],Table2[],3,0),"open")</f>
        <v>open</v>
      </c>
      <c r="C3274" s="124" t="s">
        <v>369</v>
      </c>
      <c r="D3274" t="s">
        <v>5303</v>
      </c>
      <c r="E3274" t="s">
        <v>5461</v>
      </c>
      <c r="F3274" s="125" t="s">
        <v>5461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25" t="str">
        <f>IF(Proc[[#This Row],[Author]]="Marcela Urrego",VLOOKUP(LEFT(Proc[[#This Row],[Requested]],1),Table3[#All],2,0),VLOOKUP(Proc[[#This Row],[Author]],Table4[],2,0))</f>
        <v>MGF</v>
      </c>
      <c r="L3274" s="125" t="s">
        <v>4896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8</v>
      </c>
      <c r="R3274" s="115" t="s">
        <v>1459</v>
      </c>
      <c r="S3274" s="125"/>
    </row>
    <row r="3275" spans="1:19" hidden="1">
      <c r="A3275" s="124" t="s">
        <v>5480</v>
      </c>
      <c r="B3275" s="125" t="str">
        <f>IFERROR(VLOOKUP(Proc[[#This Row],[App]],Table2[],3,0),"open")</f>
        <v>open</v>
      </c>
      <c r="C3275" s="124" t="s">
        <v>369</v>
      </c>
      <c r="D3275" t="s">
        <v>5304</v>
      </c>
      <c r="E3275" t="s">
        <v>5451</v>
      </c>
      <c r="F3275" s="125" t="s">
        <v>5451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25" t="str">
        <f>IF(Proc[[#This Row],[Author]]="Marcela Urrego",VLOOKUP(LEFT(Proc[[#This Row],[Requested]],1),Table3[#All],2,0),VLOOKUP(Proc[[#This Row],[Author]],Table4[],2,0))</f>
        <v>MGF</v>
      </c>
      <c r="L3275" s="125" t="s">
        <v>4896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8</v>
      </c>
      <c r="R3275" s="115" t="s">
        <v>1459</v>
      </c>
      <c r="S3275" s="125"/>
    </row>
    <row r="3276" spans="1:19" hidden="1">
      <c r="A3276" s="124" t="s">
        <v>5480</v>
      </c>
      <c r="B3276" s="125" t="str">
        <f>IFERROR(VLOOKUP(Proc[[#This Row],[App]],Table2[],3,0),"open")</f>
        <v>open</v>
      </c>
      <c r="C3276" s="124" t="s">
        <v>369</v>
      </c>
      <c r="D3276" t="s">
        <v>5305</v>
      </c>
      <c r="E3276" t="s">
        <v>5463</v>
      </c>
      <c r="F3276" s="125" t="s">
        <v>5463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25" t="str">
        <f>IF(Proc[[#This Row],[Author]]="Marcela Urrego",VLOOKUP(LEFT(Proc[[#This Row],[Requested]],1),Table3[#All],2,0),VLOOKUP(Proc[[#This Row],[Author]],Table4[],2,0))</f>
        <v>MGF</v>
      </c>
      <c r="L3276" s="125" t="s">
        <v>4896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8</v>
      </c>
      <c r="R3276" s="115" t="s">
        <v>1459</v>
      </c>
      <c r="S3276" s="125"/>
    </row>
    <row r="3277" spans="1:19" hidden="1">
      <c r="A3277" s="124" t="s">
        <v>5480</v>
      </c>
      <c r="B3277" s="125" t="str">
        <f>IFERROR(VLOOKUP(Proc[[#This Row],[App]],Table2[],3,0),"open")</f>
        <v>open</v>
      </c>
      <c r="C3277" s="124" t="s">
        <v>369</v>
      </c>
      <c r="D3277" t="s">
        <v>5306</v>
      </c>
      <c r="E3277" t="s">
        <v>5464</v>
      </c>
      <c r="F3277" s="125" t="s">
        <v>5464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25" t="str">
        <f>IF(Proc[[#This Row],[Author]]="Marcela Urrego",VLOOKUP(LEFT(Proc[[#This Row],[Requested]],1),Table3[#All],2,0),VLOOKUP(Proc[[#This Row],[Author]],Table4[],2,0))</f>
        <v>MGF</v>
      </c>
      <c r="L3277" s="125" t="s">
        <v>4896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8</v>
      </c>
      <c r="R3277" s="115" t="s">
        <v>1459</v>
      </c>
      <c r="S3277" s="125"/>
    </row>
    <row r="3278" spans="1:19" hidden="1">
      <c r="A3278" s="124" t="s">
        <v>5480</v>
      </c>
      <c r="B3278" s="125" t="str">
        <f>IFERROR(VLOOKUP(Proc[[#This Row],[App]],Table2[],3,0),"open")</f>
        <v>open</v>
      </c>
      <c r="C3278" s="124" t="s">
        <v>369</v>
      </c>
      <c r="D3278" t="s">
        <v>5307</v>
      </c>
      <c r="E3278" t="s">
        <v>5451</v>
      </c>
      <c r="F3278" s="125" t="s">
        <v>5451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25" t="str">
        <f>IF(Proc[[#This Row],[Author]]="Marcela Urrego",VLOOKUP(LEFT(Proc[[#This Row],[Requested]],1),Table3[#All],2,0),VLOOKUP(Proc[[#This Row],[Author]],Table4[],2,0))</f>
        <v>MGF</v>
      </c>
      <c r="L3278" s="125" t="s">
        <v>4896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8</v>
      </c>
      <c r="R3278" s="115" t="s">
        <v>1459</v>
      </c>
      <c r="S3278" s="125"/>
    </row>
    <row r="3279" spans="1:19" hidden="1">
      <c r="A3279" s="124" t="s">
        <v>5480</v>
      </c>
      <c r="B3279" s="125" t="str">
        <f>IFERROR(VLOOKUP(Proc[[#This Row],[App]],Table2[],3,0),"open")</f>
        <v>open</v>
      </c>
      <c r="C3279" s="124" t="s">
        <v>369</v>
      </c>
      <c r="D3279" t="s">
        <v>5308</v>
      </c>
      <c r="E3279" t="s">
        <v>5458</v>
      </c>
      <c r="F3279" s="125" t="s">
        <v>5458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25" t="str">
        <f>IF(Proc[[#This Row],[Author]]="Marcela Urrego",VLOOKUP(LEFT(Proc[[#This Row],[Requested]],1),Table3[#All],2,0),VLOOKUP(Proc[[#This Row],[Author]],Table4[],2,0))</f>
        <v>MGF</v>
      </c>
      <c r="L3279" s="125" t="s">
        <v>4896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8</v>
      </c>
      <c r="R3279" s="115" t="s">
        <v>1459</v>
      </c>
      <c r="S3279" s="125"/>
    </row>
    <row r="3280" spans="1:19" hidden="1">
      <c r="A3280" s="124" t="s">
        <v>5480</v>
      </c>
      <c r="B3280" s="125" t="str">
        <f>IFERROR(VLOOKUP(Proc[[#This Row],[App]],Table2[],3,0),"open")</f>
        <v>open</v>
      </c>
      <c r="C3280" s="124" t="s">
        <v>369</v>
      </c>
      <c r="D3280" t="s">
        <v>5309</v>
      </c>
      <c r="E3280" t="s">
        <v>5458</v>
      </c>
      <c r="F3280" s="125" t="s">
        <v>5458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25" t="str">
        <f>IF(Proc[[#This Row],[Author]]="Marcela Urrego",VLOOKUP(LEFT(Proc[[#This Row],[Requested]],1),Table3[#All],2,0),VLOOKUP(Proc[[#This Row],[Author]],Table4[],2,0))</f>
        <v>MGF</v>
      </c>
      <c r="L3280" s="125" t="s">
        <v>4896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8</v>
      </c>
      <c r="R3280" s="115" t="s">
        <v>1459</v>
      </c>
      <c r="S3280" s="125"/>
    </row>
    <row r="3281" spans="1:19" hidden="1">
      <c r="A3281" s="124" t="s">
        <v>5480</v>
      </c>
      <c r="B3281" s="125" t="str">
        <f>IFERROR(VLOOKUP(Proc[[#This Row],[App]],Table2[],3,0),"open")</f>
        <v>open</v>
      </c>
      <c r="C3281" s="124" t="s">
        <v>369</v>
      </c>
      <c r="D3281" t="s">
        <v>5310</v>
      </c>
      <c r="E3281" t="s">
        <v>5465</v>
      </c>
      <c r="F3281" s="125" t="s">
        <v>5465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25" t="str">
        <f>IF(Proc[[#This Row],[Author]]="Marcela Urrego",VLOOKUP(LEFT(Proc[[#This Row],[Requested]],1),Table3[#All],2,0),VLOOKUP(Proc[[#This Row],[Author]],Table4[],2,0))</f>
        <v>MGF</v>
      </c>
      <c r="L3281" s="125" t="s">
        <v>4896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8</v>
      </c>
      <c r="R3281" s="115" t="s">
        <v>1459</v>
      </c>
      <c r="S3281" s="125"/>
    </row>
    <row r="3282" spans="1:19" hidden="1">
      <c r="A3282" s="124" t="s">
        <v>5480</v>
      </c>
      <c r="B3282" s="125" t="str">
        <f>IFERROR(VLOOKUP(Proc[[#This Row],[App]],Table2[],3,0),"open")</f>
        <v>open</v>
      </c>
      <c r="C3282" s="124" t="s">
        <v>369</v>
      </c>
      <c r="D3282" t="s">
        <v>5311</v>
      </c>
      <c r="E3282" t="s">
        <v>5461</v>
      </c>
      <c r="F3282" s="125" t="s">
        <v>5461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25" t="str">
        <f>IF(Proc[[#This Row],[Author]]="Marcela Urrego",VLOOKUP(LEFT(Proc[[#This Row],[Requested]],1),Table3[#All],2,0),VLOOKUP(Proc[[#This Row],[Author]],Table4[],2,0))</f>
        <v>MGF</v>
      </c>
      <c r="L3282" s="125" t="s">
        <v>4896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8</v>
      </c>
      <c r="R3282" s="115" t="s">
        <v>1459</v>
      </c>
      <c r="S3282" s="125"/>
    </row>
    <row r="3283" spans="1:19" hidden="1">
      <c r="A3283" s="124" t="s">
        <v>5480</v>
      </c>
      <c r="B3283" s="125" t="str">
        <f>IFERROR(VLOOKUP(Proc[[#This Row],[App]],Table2[],3,0),"open")</f>
        <v>open</v>
      </c>
      <c r="C3283" s="124" t="s">
        <v>692</v>
      </c>
      <c r="D3283" t="s">
        <v>2319</v>
      </c>
      <c r="E3283" t="s">
        <v>430</v>
      </c>
      <c r="F3283" s="129" t="s">
        <v>5571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4834</v>
      </c>
      <c r="J3283" s="125" t="b">
        <f>Proc[[#This Row],[Requested]]=Proc[[#This Row],[CurrentParent]]</f>
        <v>0</v>
      </c>
      <c r="K3283" s="125" t="str">
        <f>IF(Proc[[#This Row],[Author]]="Marcela Urrego",VLOOKUP(LEFT(Proc[[#This Row],[Requested]],1),Table3[#All],2,0),VLOOKUP(Proc[[#This Row],[Author]],Table4[],2,0))</f>
        <v>MGF</v>
      </c>
      <c r="L3283" s="125" t="s">
        <v>4896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8</v>
      </c>
      <c r="R3283" s="115" t="s">
        <v>1459</v>
      </c>
      <c r="S3283" s="125"/>
    </row>
    <row r="3284" spans="1:19" hidden="1">
      <c r="A3284" s="124" t="s">
        <v>5480</v>
      </c>
      <c r="B3284" s="125" t="str">
        <f>IFERROR(VLOOKUP(Proc[[#This Row],[App]],Table2[],3,0),"open")</f>
        <v>open</v>
      </c>
      <c r="C3284" s="124" t="s">
        <v>369</v>
      </c>
      <c r="D3284" t="s">
        <v>5312</v>
      </c>
      <c r="E3284" t="s">
        <v>5466</v>
      </c>
      <c r="F3284" s="125" t="s">
        <v>5466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25" t="str">
        <f>IF(Proc[[#This Row],[Author]]="Marcela Urrego",VLOOKUP(LEFT(Proc[[#This Row],[Requested]],1),Table3[#All],2,0),VLOOKUP(Proc[[#This Row],[Author]],Table4[],2,0))</f>
        <v>MGF</v>
      </c>
      <c r="L3284" s="125" t="s">
        <v>4896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8</v>
      </c>
      <c r="R3284" s="115" t="s">
        <v>1459</v>
      </c>
      <c r="S3284" s="125"/>
    </row>
    <row r="3285" spans="1:19" hidden="1">
      <c r="A3285" s="124" t="s">
        <v>5480</v>
      </c>
      <c r="B3285" s="125" t="str">
        <f>IFERROR(VLOOKUP(Proc[[#This Row],[App]],Table2[],3,0),"open")</f>
        <v>open</v>
      </c>
      <c r="C3285" s="124" t="s">
        <v>369</v>
      </c>
      <c r="D3285" t="s">
        <v>5313</v>
      </c>
      <c r="E3285" t="s">
        <v>5458</v>
      </c>
      <c r="F3285" s="125" t="s">
        <v>5458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25" t="str">
        <f>IF(Proc[[#This Row],[Author]]="Marcela Urrego",VLOOKUP(LEFT(Proc[[#This Row],[Requested]],1),Table3[#All],2,0),VLOOKUP(Proc[[#This Row],[Author]],Table4[],2,0))</f>
        <v>MGF</v>
      </c>
      <c r="L3285" s="125" t="s">
        <v>4896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8</v>
      </c>
      <c r="R3285" s="115" t="s">
        <v>1459</v>
      </c>
      <c r="S3285" s="125"/>
    </row>
    <row r="3286" spans="1:19" hidden="1">
      <c r="A3286" s="124" t="s">
        <v>5480</v>
      </c>
      <c r="B3286" s="125" t="str">
        <f>IFERROR(VLOOKUP(Proc[[#This Row],[App]],Table2[],3,0),"open")</f>
        <v>open</v>
      </c>
      <c r="C3286" s="124" t="s">
        <v>369</v>
      </c>
      <c r="D3286" t="s">
        <v>5314</v>
      </c>
      <c r="E3286" t="s">
        <v>5466</v>
      </c>
      <c r="F3286" s="125" t="s">
        <v>5466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25" t="str">
        <f>IF(Proc[[#This Row],[Author]]="Marcela Urrego",VLOOKUP(LEFT(Proc[[#This Row],[Requested]],1),Table3[#All],2,0),VLOOKUP(Proc[[#This Row],[Author]],Table4[],2,0))</f>
        <v>MGF</v>
      </c>
      <c r="L3286" s="125" t="s">
        <v>4896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8</v>
      </c>
      <c r="R3286" s="115" t="s">
        <v>1459</v>
      </c>
      <c r="S3286" s="125"/>
    </row>
    <row r="3287" spans="1:19" hidden="1">
      <c r="A3287" s="124" t="s">
        <v>5480</v>
      </c>
      <c r="B3287" s="125" t="str">
        <f>IFERROR(VLOOKUP(Proc[[#This Row],[App]],Table2[],3,0),"open")</f>
        <v>open</v>
      </c>
      <c r="C3287" s="124" t="s">
        <v>369</v>
      </c>
      <c r="D3287" t="s">
        <v>5315</v>
      </c>
      <c r="E3287" t="s">
        <v>5458</v>
      </c>
      <c r="F3287" s="125" t="s">
        <v>5458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25" t="str">
        <f>IF(Proc[[#This Row],[Author]]="Marcela Urrego",VLOOKUP(LEFT(Proc[[#This Row],[Requested]],1),Table3[#All],2,0),VLOOKUP(Proc[[#This Row],[Author]],Table4[],2,0))</f>
        <v>MGF</v>
      </c>
      <c r="L3287" s="125" t="s">
        <v>4896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8</v>
      </c>
      <c r="R3287" s="115" t="s">
        <v>1459</v>
      </c>
      <c r="S3287" s="125"/>
    </row>
    <row r="3288" spans="1:19" hidden="1">
      <c r="A3288" s="124" t="s">
        <v>5480</v>
      </c>
      <c r="B3288" s="125" t="str">
        <f>IFERROR(VLOOKUP(Proc[[#This Row],[App]],Table2[],3,0),"open")</f>
        <v>open</v>
      </c>
      <c r="C3288" s="124" t="s">
        <v>369</v>
      </c>
      <c r="D3288" t="s">
        <v>5316</v>
      </c>
      <c r="E3288" t="s">
        <v>5455</v>
      </c>
      <c r="F3288" s="125" t="s">
        <v>5455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25" t="str">
        <f>IF(Proc[[#This Row],[Author]]="Marcela Urrego",VLOOKUP(LEFT(Proc[[#This Row],[Requested]],1),Table3[#All],2,0),VLOOKUP(Proc[[#This Row],[Author]],Table4[],2,0))</f>
        <v>MGF</v>
      </c>
      <c r="L3288" s="125" t="s">
        <v>4896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8</v>
      </c>
      <c r="R3288" s="115" t="s">
        <v>1459</v>
      </c>
      <c r="S3288" s="125"/>
    </row>
    <row r="3289" spans="1:19" hidden="1">
      <c r="A3289" s="124" t="s">
        <v>5480</v>
      </c>
      <c r="B3289" s="125" t="str">
        <f>IFERROR(VLOOKUP(Proc[[#This Row],[App]],Table2[],3,0),"open")</f>
        <v>open</v>
      </c>
      <c r="C3289" s="124" t="s">
        <v>369</v>
      </c>
      <c r="D3289" t="s">
        <v>5317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25" t="str">
        <f>IF(Proc[[#This Row],[Author]]="Marcela Urrego",VLOOKUP(LEFT(Proc[[#This Row],[Requested]],1),Table3[#All],2,0),VLOOKUP(Proc[[#This Row],[Author]],Table4[],2,0))</f>
        <v>MGF</v>
      </c>
      <c r="L3289" s="125" t="s">
        <v>4896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8</v>
      </c>
      <c r="R3289" s="115" t="s">
        <v>1459</v>
      </c>
      <c r="S3289" s="125"/>
    </row>
    <row r="3290" spans="1:19" hidden="1">
      <c r="A3290" s="124" t="s">
        <v>5480</v>
      </c>
      <c r="B3290" s="125" t="str">
        <f>IFERROR(VLOOKUP(Proc[[#This Row],[App]],Table2[],3,0),"open")</f>
        <v>open</v>
      </c>
      <c r="C3290" s="124" t="s">
        <v>369</v>
      </c>
      <c r="D3290" t="s">
        <v>5318</v>
      </c>
      <c r="E3290" t="s">
        <v>5454</v>
      </c>
      <c r="F3290" s="125" t="s">
        <v>5454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25" t="str">
        <f>IF(Proc[[#This Row],[Author]]="Marcela Urrego",VLOOKUP(LEFT(Proc[[#This Row],[Requested]],1),Table3[#All],2,0),VLOOKUP(Proc[[#This Row],[Author]],Table4[],2,0))</f>
        <v>MGF</v>
      </c>
      <c r="L3290" s="125" t="s">
        <v>4896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8</v>
      </c>
      <c r="R3290" s="115" t="s">
        <v>1459</v>
      </c>
      <c r="S3290" s="125"/>
    </row>
    <row r="3291" spans="1:19" hidden="1">
      <c r="A3291" s="124" t="s">
        <v>5480</v>
      </c>
      <c r="B3291" s="125" t="str">
        <f>IFERROR(VLOOKUP(Proc[[#This Row],[App]],Table2[],3,0),"open")</f>
        <v>open</v>
      </c>
      <c r="C3291" s="124" t="s">
        <v>369</v>
      </c>
      <c r="D3291" t="s">
        <v>5319</v>
      </c>
      <c r="E3291" t="s">
        <v>5454</v>
      </c>
      <c r="F3291" s="125" t="s">
        <v>5454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25" t="str">
        <f>IF(Proc[[#This Row],[Author]]="Marcela Urrego",VLOOKUP(LEFT(Proc[[#This Row],[Requested]],1),Table3[#All],2,0),VLOOKUP(Proc[[#This Row],[Author]],Table4[],2,0))</f>
        <v>MGF</v>
      </c>
      <c r="L3291" s="125" t="s">
        <v>4896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8</v>
      </c>
      <c r="R3291" s="115" t="s">
        <v>1459</v>
      </c>
      <c r="S3291" s="125"/>
    </row>
    <row r="3292" spans="1:19" hidden="1">
      <c r="A3292" s="124" t="s">
        <v>5480</v>
      </c>
      <c r="B3292" s="125" t="str">
        <f>IFERROR(VLOOKUP(Proc[[#This Row],[App]],Table2[],3,0),"open")</f>
        <v>open</v>
      </c>
      <c r="C3292" s="124" t="s">
        <v>369</v>
      </c>
      <c r="D3292" t="s">
        <v>5320</v>
      </c>
      <c r="E3292" t="s">
        <v>5446</v>
      </c>
      <c r="F3292" s="125" t="s">
        <v>5446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25" t="str">
        <f>IF(Proc[[#This Row],[Author]]="Marcela Urrego",VLOOKUP(LEFT(Proc[[#This Row],[Requested]],1),Table3[#All],2,0),VLOOKUP(Proc[[#This Row],[Author]],Table4[],2,0))</f>
        <v>MGF</v>
      </c>
      <c r="L3292" s="125" t="s">
        <v>4896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8</v>
      </c>
      <c r="R3292" s="115" t="s">
        <v>1459</v>
      </c>
      <c r="S3292" s="125"/>
    </row>
    <row r="3293" spans="1:19" hidden="1">
      <c r="A3293" s="124" t="s">
        <v>5480</v>
      </c>
      <c r="B3293" s="125" t="str">
        <f>IFERROR(VLOOKUP(Proc[[#This Row],[App]],Table2[],3,0),"open")</f>
        <v>open</v>
      </c>
      <c r="C3293" s="124" t="s">
        <v>369</v>
      </c>
      <c r="D3293" t="s">
        <v>5321</v>
      </c>
      <c r="E3293" t="s">
        <v>5447</v>
      </c>
      <c r="F3293" s="125" t="s">
        <v>5447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25" t="str">
        <f>IF(Proc[[#This Row],[Author]]="Marcela Urrego",VLOOKUP(LEFT(Proc[[#This Row],[Requested]],1),Table3[#All],2,0),VLOOKUP(Proc[[#This Row],[Author]],Table4[],2,0))</f>
        <v>MGF</v>
      </c>
      <c r="L3293" s="125" t="s">
        <v>4896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8</v>
      </c>
      <c r="R3293" s="115" t="s">
        <v>1459</v>
      </c>
      <c r="S3293" s="125"/>
    </row>
    <row r="3294" spans="1:19" hidden="1">
      <c r="A3294" s="124" t="s">
        <v>5480</v>
      </c>
      <c r="B3294" s="125" t="str">
        <f>IFERROR(VLOOKUP(Proc[[#This Row],[App]],Table2[],3,0),"open")</f>
        <v>open</v>
      </c>
      <c r="C3294" s="124" t="s">
        <v>369</v>
      </c>
      <c r="D3294" t="s">
        <v>5322</v>
      </c>
      <c r="E3294" t="s">
        <v>5454</v>
      </c>
      <c r="F3294" s="125" t="s">
        <v>5454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25" t="str">
        <f>IF(Proc[[#This Row],[Author]]="Marcela Urrego",VLOOKUP(LEFT(Proc[[#This Row],[Requested]],1),Table3[#All],2,0),VLOOKUP(Proc[[#This Row],[Author]],Table4[],2,0))</f>
        <v>MGF</v>
      </c>
      <c r="L3294" s="125" t="s">
        <v>4896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8</v>
      </c>
      <c r="R3294" s="115" t="s">
        <v>1459</v>
      </c>
      <c r="S3294" s="125"/>
    </row>
    <row r="3295" spans="1:19" hidden="1">
      <c r="A3295" s="124" t="s">
        <v>5480</v>
      </c>
      <c r="B3295" s="125" t="str">
        <f>IFERROR(VLOOKUP(Proc[[#This Row],[App]],Table2[],3,0),"open")</f>
        <v>open</v>
      </c>
      <c r="C3295" s="124" t="s">
        <v>369</v>
      </c>
      <c r="D3295" t="s">
        <v>5323</v>
      </c>
      <c r="E3295" t="s">
        <v>5448</v>
      </c>
      <c r="F3295" s="125" t="s">
        <v>5448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25" t="str">
        <f>IF(Proc[[#This Row],[Author]]="Marcela Urrego",VLOOKUP(LEFT(Proc[[#This Row],[Requested]],1),Table3[#All],2,0),VLOOKUP(Proc[[#This Row],[Author]],Table4[],2,0))</f>
        <v>MGF</v>
      </c>
      <c r="L3295" s="125" t="s">
        <v>4896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8</v>
      </c>
      <c r="R3295" s="115" t="s">
        <v>1459</v>
      </c>
      <c r="S3295" s="125"/>
    </row>
    <row r="3296" spans="1:19" hidden="1">
      <c r="A3296" s="124" t="s">
        <v>5480</v>
      </c>
      <c r="B3296" s="125" t="str">
        <f>IFERROR(VLOOKUP(Proc[[#This Row],[App]],Table2[],3,0),"open")</f>
        <v>open</v>
      </c>
      <c r="C3296" s="124" t="s">
        <v>369</v>
      </c>
      <c r="D3296" t="s">
        <v>5324</v>
      </c>
      <c r="E3296" t="s">
        <v>5466</v>
      </c>
      <c r="F3296" s="125" t="s">
        <v>5466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25" t="str">
        <f>IF(Proc[[#This Row],[Author]]="Marcela Urrego",VLOOKUP(LEFT(Proc[[#This Row],[Requested]],1),Table3[#All],2,0),VLOOKUP(Proc[[#This Row],[Author]],Table4[],2,0))</f>
        <v>MGF</v>
      </c>
      <c r="L3296" s="125" t="s">
        <v>4896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8</v>
      </c>
      <c r="R3296" s="115" t="s">
        <v>1459</v>
      </c>
      <c r="S3296" s="125"/>
    </row>
    <row r="3297" spans="1:19" hidden="1">
      <c r="A3297" s="124" t="s">
        <v>5480</v>
      </c>
      <c r="B3297" s="125" t="str">
        <f>IFERROR(VLOOKUP(Proc[[#This Row],[App]],Table2[],3,0),"open")</f>
        <v>open</v>
      </c>
      <c r="C3297" s="124" t="s">
        <v>369</v>
      </c>
      <c r="D3297" t="s">
        <v>5325</v>
      </c>
      <c r="E3297" t="s">
        <v>5454</v>
      </c>
      <c r="F3297" s="125" t="s">
        <v>5454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25" t="str">
        <f>IF(Proc[[#This Row],[Author]]="Marcela Urrego",VLOOKUP(LEFT(Proc[[#This Row],[Requested]],1),Table3[#All],2,0),VLOOKUP(Proc[[#This Row],[Author]],Table4[],2,0))</f>
        <v>MGF</v>
      </c>
      <c r="L3297" s="125" t="s">
        <v>4896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8</v>
      </c>
      <c r="R3297" s="115" t="s">
        <v>1459</v>
      </c>
      <c r="S3297" s="125"/>
    </row>
    <row r="3298" spans="1:19" hidden="1">
      <c r="A3298" s="124" t="s">
        <v>5480</v>
      </c>
      <c r="B3298" s="125" t="str">
        <f>IFERROR(VLOOKUP(Proc[[#This Row],[App]],Table2[],3,0),"open")</f>
        <v>open</v>
      </c>
      <c r="C3298" s="124" t="s">
        <v>369</v>
      </c>
      <c r="D3298" t="s">
        <v>5326</v>
      </c>
      <c r="E3298" t="s">
        <v>5446</v>
      </c>
      <c r="F3298" s="125" t="s">
        <v>5446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25" t="str">
        <f>IF(Proc[[#This Row],[Author]]="Marcela Urrego",VLOOKUP(LEFT(Proc[[#This Row],[Requested]],1),Table3[#All],2,0),VLOOKUP(Proc[[#This Row],[Author]],Table4[],2,0))</f>
        <v>MGF</v>
      </c>
      <c r="L3298" s="125" t="s">
        <v>4896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8</v>
      </c>
      <c r="R3298" s="115" t="s">
        <v>1459</v>
      </c>
      <c r="S3298" s="125"/>
    </row>
    <row r="3299" spans="1:19" hidden="1">
      <c r="A3299" s="124" t="s">
        <v>5480</v>
      </c>
      <c r="B3299" s="125" t="str">
        <f>IFERROR(VLOOKUP(Proc[[#This Row],[App]],Table2[],3,0),"open")</f>
        <v>open</v>
      </c>
      <c r="C3299" s="124" t="s">
        <v>369</v>
      </c>
      <c r="D3299" t="s">
        <v>5327</v>
      </c>
      <c r="E3299" t="s">
        <v>5466</v>
      </c>
      <c r="F3299" s="125" t="s">
        <v>5466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25" t="str">
        <f>IF(Proc[[#This Row],[Author]]="Marcela Urrego",VLOOKUP(LEFT(Proc[[#This Row],[Requested]],1),Table3[#All],2,0),VLOOKUP(Proc[[#This Row],[Author]],Table4[],2,0))</f>
        <v>MGF</v>
      </c>
      <c r="L3299" s="125" t="s">
        <v>4896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8</v>
      </c>
      <c r="R3299" s="115" t="s">
        <v>1459</v>
      </c>
      <c r="S3299" s="125"/>
    </row>
    <row r="3300" spans="1:19">
      <c r="A3300" s="124" t="s">
        <v>5480</v>
      </c>
      <c r="B3300" s="125" t="str">
        <f>IFERROR(VLOOKUP(Proc[[#This Row],[App]],Table2[],3,0),"open")</f>
        <v>open</v>
      </c>
      <c r="C3300" s="124" t="s">
        <v>404</v>
      </c>
      <c r="D3300" t="s">
        <v>5328</v>
      </c>
      <c r="E3300" t="s">
        <v>4412</v>
      </c>
      <c r="F3300" s="129" t="s">
        <v>5572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5481</v>
      </c>
      <c r="J3300" s="125" t="b">
        <f>Proc[[#This Row],[Requested]]=Proc[[#This Row],[CurrentParent]]</f>
        <v>0</v>
      </c>
      <c r="K3300" s="125" t="str">
        <f>IF(Proc[[#This Row],[Author]]="Marcela Urrego",VLOOKUP(LEFT(Proc[[#This Row],[Requested]],1),Table3[#All],2,0),VLOOKUP(Proc[[#This Row],[Author]],Table4[],2,0))</f>
        <v>MGF</v>
      </c>
      <c r="L3300" s="125" t="s">
        <v>4896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8</v>
      </c>
      <c r="R3300" s="115" t="s">
        <v>1459</v>
      </c>
      <c r="S3300" s="125"/>
    </row>
    <row r="3301" spans="1:19" hidden="1">
      <c r="A3301" s="124" t="s">
        <v>5480</v>
      </c>
      <c r="B3301" s="125" t="str">
        <f>IFERROR(VLOOKUP(Proc[[#This Row],[App]],Table2[],3,0),"open")</f>
        <v>open</v>
      </c>
      <c r="C3301" s="124" t="s">
        <v>369</v>
      </c>
      <c r="D3301" t="s">
        <v>5329</v>
      </c>
      <c r="E3301" t="s">
        <v>5446</v>
      </c>
      <c r="F3301" s="125" t="s">
        <v>5446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25" t="str">
        <f>IF(Proc[[#This Row],[Author]]="Marcela Urrego",VLOOKUP(LEFT(Proc[[#This Row],[Requested]],1),Table3[#All],2,0),VLOOKUP(Proc[[#This Row],[Author]],Table4[],2,0))</f>
        <v>MGF</v>
      </c>
      <c r="L3301" s="125" t="s">
        <v>4896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8</v>
      </c>
      <c r="R3301" s="115" t="s">
        <v>1459</v>
      </c>
      <c r="S3301" s="125"/>
    </row>
    <row r="3302" spans="1:19" hidden="1">
      <c r="A3302" s="124" t="s">
        <v>5480</v>
      </c>
      <c r="B3302" s="125" t="str">
        <f>IFERROR(VLOOKUP(Proc[[#This Row],[App]],Table2[],3,0),"open")</f>
        <v>open</v>
      </c>
      <c r="C3302" s="124" t="s">
        <v>369</v>
      </c>
      <c r="D3302" t="s">
        <v>5330</v>
      </c>
      <c r="E3302" t="s">
        <v>5458</v>
      </c>
      <c r="F3302" s="125" t="s">
        <v>5458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25" t="str">
        <f>IF(Proc[[#This Row],[Author]]="Marcela Urrego",VLOOKUP(LEFT(Proc[[#This Row],[Requested]],1),Table3[#All],2,0),VLOOKUP(Proc[[#This Row],[Author]],Table4[],2,0))</f>
        <v>MGF</v>
      </c>
      <c r="L3302" s="125" t="s">
        <v>4896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8</v>
      </c>
      <c r="R3302" s="115" t="s">
        <v>1459</v>
      </c>
      <c r="S3302" s="125"/>
    </row>
    <row r="3303" spans="1:19" hidden="1">
      <c r="A3303" s="124" t="s">
        <v>5480</v>
      </c>
      <c r="B3303" s="125" t="str">
        <f>IFERROR(VLOOKUP(Proc[[#This Row],[App]],Table2[],3,0),"open")</f>
        <v>open</v>
      </c>
      <c r="C3303" s="124" t="s">
        <v>369</v>
      </c>
      <c r="D3303" t="s">
        <v>5331</v>
      </c>
      <c r="E3303" t="s">
        <v>5454</v>
      </c>
      <c r="F3303" s="125" t="s">
        <v>5454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25" t="str">
        <f>IF(Proc[[#This Row],[Author]]="Marcela Urrego",VLOOKUP(LEFT(Proc[[#This Row],[Requested]],1),Table3[#All],2,0),VLOOKUP(Proc[[#This Row],[Author]],Table4[],2,0))</f>
        <v>MGF</v>
      </c>
      <c r="L3303" s="125" t="s">
        <v>4896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8</v>
      </c>
      <c r="R3303" s="115" t="s">
        <v>1459</v>
      </c>
      <c r="S3303" s="125"/>
    </row>
    <row r="3304" spans="1:19" hidden="1">
      <c r="A3304" s="124" t="s">
        <v>5480</v>
      </c>
      <c r="B3304" s="125" t="str">
        <f>IFERROR(VLOOKUP(Proc[[#This Row],[App]],Table2[],3,0),"open")</f>
        <v>open</v>
      </c>
      <c r="C3304" s="124" t="s">
        <v>369</v>
      </c>
      <c r="D3304" t="s">
        <v>5332</v>
      </c>
      <c r="E3304" t="s">
        <v>5454</v>
      </c>
      <c r="F3304" s="125" t="s">
        <v>5454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25" t="str">
        <f>IF(Proc[[#This Row],[Author]]="Marcela Urrego",VLOOKUP(LEFT(Proc[[#This Row],[Requested]],1),Table3[#All],2,0),VLOOKUP(Proc[[#This Row],[Author]],Table4[],2,0))</f>
        <v>MGF</v>
      </c>
      <c r="L3304" s="125" t="s">
        <v>4896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8</v>
      </c>
      <c r="R3304" s="115" t="s">
        <v>1459</v>
      </c>
      <c r="S3304" s="125"/>
    </row>
    <row r="3305" spans="1:19" hidden="1">
      <c r="A3305" s="124" t="s">
        <v>5480</v>
      </c>
      <c r="B3305" s="125" t="str">
        <f>IFERROR(VLOOKUP(Proc[[#This Row],[App]],Table2[],3,0),"open")</f>
        <v>open</v>
      </c>
      <c r="C3305" s="124" t="s">
        <v>369</v>
      </c>
      <c r="D3305" t="s">
        <v>5333</v>
      </c>
      <c r="E3305" t="s">
        <v>5447</v>
      </c>
      <c r="F3305" s="125" t="s">
        <v>5447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25" t="str">
        <f>IF(Proc[[#This Row],[Author]]="Marcela Urrego",VLOOKUP(LEFT(Proc[[#This Row],[Requested]],1),Table3[#All],2,0),VLOOKUP(Proc[[#This Row],[Author]],Table4[],2,0))</f>
        <v>MGF</v>
      </c>
      <c r="L3305" s="125" t="s">
        <v>4896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8</v>
      </c>
      <c r="R3305" s="115" t="s">
        <v>1459</v>
      </c>
      <c r="S3305" s="125"/>
    </row>
    <row r="3306" spans="1:19" hidden="1">
      <c r="A3306" s="124" t="s">
        <v>5480</v>
      </c>
      <c r="B3306" s="125" t="str">
        <f>IFERROR(VLOOKUP(Proc[[#This Row],[App]],Table2[],3,0),"open")</f>
        <v>open</v>
      </c>
      <c r="C3306" s="124" t="s">
        <v>369</v>
      </c>
      <c r="D3306" t="s">
        <v>5334</v>
      </c>
      <c r="E3306" t="s">
        <v>5459</v>
      </c>
      <c r="F3306" s="125" t="s">
        <v>5459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25" t="str">
        <f>IF(Proc[[#This Row],[Author]]="Marcela Urrego",VLOOKUP(LEFT(Proc[[#This Row],[Requested]],1),Table3[#All],2,0),VLOOKUP(Proc[[#This Row],[Author]],Table4[],2,0))</f>
        <v>MGF</v>
      </c>
      <c r="L3306" s="125" t="s">
        <v>4896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8</v>
      </c>
      <c r="R3306" s="115" t="s">
        <v>1459</v>
      </c>
      <c r="S3306" s="125"/>
    </row>
    <row r="3307" spans="1:19" hidden="1">
      <c r="A3307" s="124" t="s">
        <v>5480</v>
      </c>
      <c r="B3307" s="125" t="str">
        <f>IFERROR(VLOOKUP(Proc[[#This Row],[App]],Table2[],3,0),"open")</f>
        <v>open</v>
      </c>
      <c r="C3307" s="124" t="s">
        <v>369</v>
      </c>
      <c r="D3307" t="s">
        <v>5335</v>
      </c>
      <c r="E3307" t="s">
        <v>5446</v>
      </c>
      <c r="F3307" s="125" t="s">
        <v>5446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25" t="str">
        <f>IF(Proc[[#This Row],[Author]]="Marcela Urrego",VLOOKUP(LEFT(Proc[[#This Row],[Requested]],1),Table3[#All],2,0),VLOOKUP(Proc[[#This Row],[Author]],Table4[],2,0))</f>
        <v>MGF</v>
      </c>
      <c r="L3307" s="125" t="s">
        <v>4896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8</v>
      </c>
      <c r="R3307" s="115" t="s">
        <v>1459</v>
      </c>
      <c r="S3307" s="125"/>
    </row>
    <row r="3308" spans="1:19" hidden="1">
      <c r="A3308" s="124" t="s">
        <v>5480</v>
      </c>
      <c r="B3308" s="125" t="str">
        <f>IFERROR(VLOOKUP(Proc[[#This Row],[App]],Table2[],3,0),"open")</f>
        <v>open</v>
      </c>
      <c r="C3308" s="124" t="s">
        <v>369</v>
      </c>
      <c r="D3308" t="s">
        <v>1457</v>
      </c>
      <c r="E3308" t="s">
        <v>5446</v>
      </c>
      <c r="F3308" s="125" t="s">
        <v>5446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25" t="str">
        <f>IF(Proc[[#This Row],[Author]]="Marcela Urrego",VLOOKUP(LEFT(Proc[[#This Row],[Requested]],1),Table3[#All],2,0),VLOOKUP(Proc[[#This Row],[Author]],Table4[],2,0))</f>
        <v>MGF</v>
      </c>
      <c r="L3308" s="125" t="s">
        <v>4896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8</v>
      </c>
      <c r="R3308" s="115" t="s">
        <v>1459</v>
      </c>
      <c r="S3308" s="125"/>
    </row>
    <row r="3309" spans="1:19" hidden="1">
      <c r="A3309" s="124" t="s">
        <v>5480</v>
      </c>
      <c r="B3309" s="125" t="str">
        <f>IFERROR(VLOOKUP(Proc[[#This Row],[App]],Table2[],3,0),"open")</f>
        <v>open</v>
      </c>
      <c r="C3309" s="124" t="s">
        <v>369</v>
      </c>
      <c r="D3309" t="s">
        <v>5336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25" t="str">
        <f>IF(Proc[[#This Row],[Author]]="Marcela Urrego",VLOOKUP(LEFT(Proc[[#This Row],[Requested]],1),Table3[#All],2,0),VLOOKUP(Proc[[#This Row],[Author]],Table4[],2,0))</f>
        <v>MGF</v>
      </c>
      <c r="L3309" s="125" t="s">
        <v>4896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8</v>
      </c>
      <c r="R3309" s="115" t="s">
        <v>1459</v>
      </c>
      <c r="S3309" s="125"/>
    </row>
    <row r="3310" spans="1:19" hidden="1">
      <c r="A3310" s="124" t="s">
        <v>5480</v>
      </c>
      <c r="B3310" s="125" t="str">
        <f>IFERROR(VLOOKUP(Proc[[#This Row],[App]],Table2[],3,0),"open")</f>
        <v>open</v>
      </c>
      <c r="C3310" s="124" t="s">
        <v>369</v>
      </c>
      <c r="D3310" t="s">
        <v>5337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25" t="str">
        <f>IF(Proc[[#This Row],[Author]]="Marcela Urrego",VLOOKUP(LEFT(Proc[[#This Row],[Requested]],1),Table3[#All],2,0),VLOOKUP(Proc[[#This Row],[Author]],Table4[],2,0))</f>
        <v>MGF</v>
      </c>
      <c r="L3310" s="125" t="s">
        <v>4896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8</v>
      </c>
      <c r="R3310" s="115" t="s">
        <v>1459</v>
      </c>
      <c r="S3310" s="125"/>
    </row>
    <row r="3311" spans="1:19" hidden="1">
      <c r="A3311" s="124" t="s">
        <v>5480</v>
      </c>
      <c r="B3311" s="125" t="str">
        <f>IFERROR(VLOOKUP(Proc[[#This Row],[App]],Table2[],3,0),"open")</f>
        <v>open</v>
      </c>
      <c r="C3311" s="124" t="s">
        <v>369</v>
      </c>
      <c r="D3311" t="s">
        <v>5338</v>
      </c>
      <c r="E3311" t="s">
        <v>5467</v>
      </c>
      <c r="F3311" s="125" t="s">
        <v>5467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25" t="str">
        <f>IF(Proc[[#This Row],[Author]]="Marcela Urrego",VLOOKUP(LEFT(Proc[[#This Row],[Requested]],1),Table3[#All],2,0),VLOOKUP(Proc[[#This Row],[Author]],Table4[],2,0))</f>
        <v>MGF</v>
      </c>
      <c r="L3311" s="125" t="s">
        <v>4896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8</v>
      </c>
      <c r="R3311" s="115" t="s">
        <v>1459</v>
      </c>
      <c r="S3311" s="125"/>
    </row>
    <row r="3312" spans="1:19" hidden="1">
      <c r="A3312" s="124" t="s">
        <v>5480</v>
      </c>
      <c r="B3312" s="125" t="str">
        <f>IFERROR(VLOOKUP(Proc[[#This Row],[App]],Table2[],3,0),"open")</f>
        <v>open</v>
      </c>
      <c r="C3312" s="124" t="s">
        <v>369</v>
      </c>
      <c r="D3312" t="s">
        <v>5339</v>
      </c>
      <c r="E3312" t="s">
        <v>5468</v>
      </c>
      <c r="F3312" s="125" t="s">
        <v>5468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25" t="str">
        <f>IF(Proc[[#This Row],[Author]]="Marcela Urrego",VLOOKUP(LEFT(Proc[[#This Row],[Requested]],1),Table3[#All],2,0),VLOOKUP(Proc[[#This Row],[Author]],Table4[],2,0))</f>
        <v>MGF</v>
      </c>
      <c r="L3312" s="125" t="s">
        <v>4896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8</v>
      </c>
      <c r="R3312" s="115" t="s">
        <v>1459</v>
      </c>
      <c r="S3312" s="125"/>
    </row>
    <row r="3313" spans="1:19" hidden="1">
      <c r="A3313" s="124" t="s">
        <v>5480</v>
      </c>
      <c r="B3313" s="125" t="str">
        <f>IFERROR(VLOOKUP(Proc[[#This Row],[App]],Table2[],3,0),"open")</f>
        <v>open</v>
      </c>
      <c r="C3313" s="124" t="s">
        <v>369</v>
      </c>
      <c r="D3313" t="s">
        <v>5340</v>
      </c>
      <c r="E3313" t="s">
        <v>5451</v>
      </c>
      <c r="F3313" s="125" t="s">
        <v>5451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25" t="str">
        <f>IF(Proc[[#This Row],[Author]]="Marcela Urrego",VLOOKUP(LEFT(Proc[[#This Row],[Requested]],1),Table3[#All],2,0),VLOOKUP(Proc[[#This Row],[Author]],Table4[],2,0))</f>
        <v>MGF</v>
      </c>
      <c r="L3313" s="125" t="s">
        <v>4896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8</v>
      </c>
      <c r="R3313" s="115" t="s">
        <v>1459</v>
      </c>
      <c r="S3313" s="125"/>
    </row>
    <row r="3314" spans="1:19" hidden="1">
      <c r="A3314" s="124" t="s">
        <v>5480</v>
      </c>
      <c r="B3314" s="125" t="str">
        <f>IFERROR(VLOOKUP(Proc[[#This Row],[App]],Table2[],3,0),"open")</f>
        <v>open</v>
      </c>
      <c r="C3314" s="124" t="s">
        <v>369</v>
      </c>
      <c r="D3314" t="s">
        <v>5341</v>
      </c>
      <c r="E3314" t="s">
        <v>5460</v>
      </c>
      <c r="F3314" s="125" t="s">
        <v>5460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25" t="str">
        <f>IF(Proc[[#This Row],[Author]]="Marcela Urrego",VLOOKUP(LEFT(Proc[[#This Row],[Requested]],1),Table3[#All],2,0),VLOOKUP(Proc[[#This Row],[Author]],Table4[],2,0))</f>
        <v>MGF</v>
      </c>
      <c r="L3314" s="125" t="s">
        <v>4896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8</v>
      </c>
      <c r="R3314" s="115" t="s">
        <v>1459</v>
      </c>
      <c r="S3314" s="125"/>
    </row>
    <row r="3315" spans="1:19" hidden="1">
      <c r="A3315" s="124" t="s">
        <v>5480</v>
      </c>
      <c r="B3315" s="125" t="str">
        <f>IFERROR(VLOOKUP(Proc[[#This Row],[App]],Table2[],3,0),"open")</f>
        <v>open</v>
      </c>
      <c r="C3315" s="124" t="s">
        <v>369</v>
      </c>
      <c r="D3315" t="s">
        <v>5342</v>
      </c>
      <c r="E3315" t="s">
        <v>5462</v>
      </c>
      <c r="F3315" s="125" t="s">
        <v>5462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25" t="str">
        <f>IF(Proc[[#This Row],[Author]]="Marcela Urrego",VLOOKUP(LEFT(Proc[[#This Row],[Requested]],1),Table3[#All],2,0),VLOOKUP(Proc[[#This Row],[Author]],Table4[],2,0))</f>
        <v>MGF</v>
      </c>
      <c r="L3315" s="125" t="s">
        <v>4896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8</v>
      </c>
      <c r="R3315" s="115" t="s">
        <v>1459</v>
      </c>
      <c r="S3315" s="125"/>
    </row>
    <row r="3316" spans="1:19" hidden="1">
      <c r="A3316" s="124" t="s">
        <v>5480</v>
      </c>
      <c r="B3316" s="125" t="str">
        <f>IFERROR(VLOOKUP(Proc[[#This Row],[App]],Table2[],3,0),"open")</f>
        <v>open</v>
      </c>
      <c r="C3316" s="124" t="s">
        <v>369</v>
      </c>
      <c r="D3316" t="s">
        <v>5343</v>
      </c>
      <c r="E3316" t="s">
        <v>5461</v>
      </c>
      <c r="F3316" s="125" t="s">
        <v>5461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25" t="str">
        <f>IF(Proc[[#This Row],[Author]]="Marcela Urrego",VLOOKUP(LEFT(Proc[[#This Row],[Requested]],1),Table3[#All],2,0),VLOOKUP(Proc[[#This Row],[Author]],Table4[],2,0))</f>
        <v>MGF</v>
      </c>
      <c r="L3316" s="125" t="s">
        <v>4896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8</v>
      </c>
      <c r="R3316" s="115" t="s">
        <v>1459</v>
      </c>
      <c r="S3316" s="125"/>
    </row>
    <row r="3317" spans="1:19" hidden="1">
      <c r="A3317" s="124" t="s">
        <v>5480</v>
      </c>
      <c r="B3317" s="125" t="str">
        <f>IFERROR(VLOOKUP(Proc[[#This Row],[App]],Table2[],3,0),"open")</f>
        <v>open</v>
      </c>
      <c r="C3317" s="124" t="s">
        <v>369</v>
      </c>
      <c r="D3317" t="s">
        <v>5344</v>
      </c>
      <c r="E3317" t="s">
        <v>5454</v>
      </c>
      <c r="F3317" s="125" t="s">
        <v>5454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25" t="str">
        <f>IF(Proc[[#This Row],[Author]]="Marcela Urrego",VLOOKUP(LEFT(Proc[[#This Row],[Requested]],1),Table3[#All],2,0),VLOOKUP(Proc[[#This Row],[Author]],Table4[],2,0))</f>
        <v>MGF</v>
      </c>
      <c r="L3317" s="125" t="s">
        <v>4896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8</v>
      </c>
      <c r="R3317" s="115" t="s">
        <v>1459</v>
      </c>
      <c r="S3317" s="125"/>
    </row>
    <row r="3318" spans="1:19" hidden="1">
      <c r="A3318" s="124" t="s">
        <v>5480</v>
      </c>
      <c r="B3318" s="125" t="str">
        <f>IFERROR(VLOOKUP(Proc[[#This Row],[App]],Table2[],3,0),"open")</f>
        <v>open</v>
      </c>
      <c r="C3318" s="124" t="s">
        <v>369</v>
      </c>
      <c r="D3318" t="s">
        <v>5345</v>
      </c>
      <c r="E3318" t="s">
        <v>5454</v>
      </c>
      <c r="F3318" s="125" t="s">
        <v>5454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25" t="str">
        <f>IF(Proc[[#This Row],[Author]]="Marcela Urrego",VLOOKUP(LEFT(Proc[[#This Row],[Requested]],1),Table3[#All],2,0),VLOOKUP(Proc[[#This Row],[Author]],Table4[],2,0))</f>
        <v>MGF</v>
      </c>
      <c r="L3318" s="125" t="s">
        <v>4896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8</v>
      </c>
      <c r="R3318" s="115" t="s">
        <v>1459</v>
      </c>
      <c r="S3318" s="125"/>
    </row>
    <row r="3319" spans="1:19" hidden="1">
      <c r="A3319" s="124" t="s">
        <v>5480</v>
      </c>
      <c r="B3319" s="125" t="str">
        <f>IFERROR(VLOOKUP(Proc[[#This Row],[App]],Table2[],3,0),"open")</f>
        <v>open</v>
      </c>
      <c r="C3319" s="124" t="s">
        <v>369</v>
      </c>
      <c r="D3319" t="s">
        <v>5346</v>
      </c>
      <c r="E3319" t="s">
        <v>5454</v>
      </c>
      <c r="F3319" s="125" t="s">
        <v>5454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25" t="str">
        <f>IF(Proc[[#This Row],[Author]]="Marcela Urrego",VLOOKUP(LEFT(Proc[[#This Row],[Requested]],1),Table3[#All],2,0),VLOOKUP(Proc[[#This Row],[Author]],Table4[],2,0))</f>
        <v>MGF</v>
      </c>
      <c r="L3319" s="125" t="s">
        <v>4896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8</v>
      </c>
      <c r="R3319" s="115" t="s">
        <v>1459</v>
      </c>
      <c r="S3319" s="125"/>
    </row>
    <row r="3320" spans="1:19" hidden="1">
      <c r="A3320" s="124" t="s">
        <v>5480</v>
      </c>
      <c r="B3320" s="125" t="str">
        <f>IFERROR(VLOOKUP(Proc[[#This Row],[App]],Table2[],3,0),"open")</f>
        <v>open</v>
      </c>
      <c r="C3320" s="124" t="s">
        <v>369</v>
      </c>
      <c r="D3320" t="s">
        <v>5347</v>
      </c>
      <c r="E3320" t="s">
        <v>5454</v>
      </c>
      <c r="F3320" s="125" t="s">
        <v>5454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25" t="str">
        <f>IF(Proc[[#This Row],[Author]]="Marcela Urrego",VLOOKUP(LEFT(Proc[[#This Row],[Requested]],1),Table3[#All],2,0),VLOOKUP(Proc[[#This Row],[Author]],Table4[],2,0))</f>
        <v>MGF</v>
      </c>
      <c r="L3320" s="125" t="s">
        <v>4896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8</v>
      </c>
      <c r="R3320" s="115" t="s">
        <v>1459</v>
      </c>
      <c r="S3320" s="125"/>
    </row>
    <row r="3321" spans="1:19" hidden="1">
      <c r="A3321" s="124" t="s">
        <v>5480</v>
      </c>
      <c r="B3321" s="125" t="str">
        <f>IFERROR(VLOOKUP(Proc[[#This Row],[App]],Table2[],3,0),"open")</f>
        <v>open</v>
      </c>
      <c r="C3321" s="124" t="s">
        <v>369</v>
      </c>
      <c r="D3321" t="s">
        <v>5348</v>
      </c>
      <c r="E3321" t="s">
        <v>5454</v>
      </c>
      <c r="F3321" s="125" t="s">
        <v>5454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25" t="str">
        <f>IF(Proc[[#This Row],[Author]]="Marcela Urrego",VLOOKUP(LEFT(Proc[[#This Row],[Requested]],1),Table3[#All],2,0),VLOOKUP(Proc[[#This Row],[Author]],Table4[],2,0))</f>
        <v>MGF</v>
      </c>
      <c r="L3321" s="125" t="s">
        <v>4896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8</v>
      </c>
      <c r="R3321" s="115" t="s">
        <v>1459</v>
      </c>
      <c r="S3321" s="125"/>
    </row>
    <row r="3322" spans="1:19" hidden="1">
      <c r="A3322" s="124" t="s">
        <v>5480</v>
      </c>
      <c r="B3322" s="125" t="str">
        <f>IFERROR(VLOOKUP(Proc[[#This Row],[App]],Table2[],3,0),"open")</f>
        <v>open</v>
      </c>
      <c r="C3322" s="124" t="s">
        <v>369</v>
      </c>
      <c r="D3322" t="s">
        <v>5349</v>
      </c>
      <c r="E3322" t="s">
        <v>5454</v>
      </c>
      <c r="F3322" s="125" t="s">
        <v>5454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25" t="str">
        <f>IF(Proc[[#This Row],[Author]]="Marcela Urrego",VLOOKUP(LEFT(Proc[[#This Row],[Requested]],1),Table3[#All],2,0),VLOOKUP(Proc[[#This Row],[Author]],Table4[],2,0))</f>
        <v>MGF</v>
      </c>
      <c r="L3322" s="125" t="s">
        <v>4896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8</v>
      </c>
      <c r="R3322" s="115" t="s">
        <v>1459</v>
      </c>
      <c r="S3322" s="125"/>
    </row>
    <row r="3323" spans="1:19" hidden="1">
      <c r="A3323" s="124" t="s">
        <v>5480</v>
      </c>
      <c r="B3323" s="125" t="str">
        <f>IFERROR(VLOOKUP(Proc[[#This Row],[App]],Table2[],3,0),"open")</f>
        <v>open</v>
      </c>
      <c r="C3323" s="124" t="s">
        <v>369</v>
      </c>
      <c r="D3323" t="s">
        <v>5350</v>
      </c>
      <c r="E3323" t="s">
        <v>5454</v>
      </c>
      <c r="F3323" s="125" t="s">
        <v>5454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25" t="str">
        <f>IF(Proc[[#This Row],[Author]]="Marcela Urrego",VLOOKUP(LEFT(Proc[[#This Row],[Requested]],1),Table3[#All],2,0),VLOOKUP(Proc[[#This Row],[Author]],Table4[],2,0))</f>
        <v>MGF</v>
      </c>
      <c r="L3323" s="125" t="s">
        <v>4896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8</v>
      </c>
      <c r="R3323" s="115" t="s">
        <v>1459</v>
      </c>
      <c r="S3323" s="125"/>
    </row>
    <row r="3324" spans="1:19" hidden="1">
      <c r="A3324" s="124" t="s">
        <v>5480</v>
      </c>
      <c r="B3324" s="125" t="str">
        <f>IFERROR(VLOOKUP(Proc[[#This Row],[App]],Table2[],3,0),"open")</f>
        <v>open</v>
      </c>
      <c r="C3324" s="124" t="s">
        <v>369</v>
      </c>
      <c r="D3324" t="s">
        <v>5351</v>
      </c>
      <c r="E3324" t="s">
        <v>5452</v>
      </c>
      <c r="F3324" s="125" t="s">
        <v>5452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25" t="str">
        <f>IF(Proc[[#This Row],[Author]]="Marcela Urrego",VLOOKUP(LEFT(Proc[[#This Row],[Requested]],1),Table3[#All],2,0),VLOOKUP(Proc[[#This Row],[Author]],Table4[],2,0))</f>
        <v>MGF</v>
      </c>
      <c r="L3324" s="125" t="s">
        <v>4896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8</v>
      </c>
      <c r="R3324" s="115" t="s">
        <v>1459</v>
      </c>
      <c r="S3324" s="125"/>
    </row>
    <row r="3325" spans="1:19" hidden="1">
      <c r="A3325" s="124" t="s">
        <v>5480</v>
      </c>
      <c r="B3325" s="125" t="str">
        <f>IFERROR(VLOOKUP(Proc[[#This Row],[App]],Table2[],3,0),"open")</f>
        <v>open</v>
      </c>
      <c r="C3325" s="124" t="s">
        <v>369</v>
      </c>
      <c r="D3325" t="s">
        <v>5352</v>
      </c>
      <c r="E3325" t="s">
        <v>5451</v>
      </c>
      <c r="F3325" s="125" t="s">
        <v>5451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25" t="str">
        <f>IF(Proc[[#This Row],[Author]]="Marcela Urrego",VLOOKUP(LEFT(Proc[[#This Row],[Requested]],1),Table3[#All],2,0),VLOOKUP(Proc[[#This Row],[Author]],Table4[],2,0))</f>
        <v>MGF</v>
      </c>
      <c r="L3325" s="125" t="s">
        <v>4896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8</v>
      </c>
      <c r="R3325" s="115" t="s">
        <v>1459</v>
      </c>
      <c r="S3325" s="125"/>
    </row>
    <row r="3326" spans="1:19" hidden="1">
      <c r="A3326" s="124" t="s">
        <v>5480</v>
      </c>
      <c r="B3326" s="125" t="str">
        <f>IFERROR(VLOOKUP(Proc[[#This Row],[App]],Table2[],3,0),"open")</f>
        <v>open</v>
      </c>
      <c r="C3326" s="124" t="s">
        <v>369</v>
      </c>
      <c r="D3326" t="s">
        <v>5353</v>
      </c>
      <c r="E3326" t="s">
        <v>5452</v>
      </c>
      <c r="F3326" s="125" t="s">
        <v>5452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25" t="str">
        <f>IF(Proc[[#This Row],[Author]]="Marcela Urrego",VLOOKUP(LEFT(Proc[[#This Row],[Requested]],1),Table3[#All],2,0),VLOOKUP(Proc[[#This Row],[Author]],Table4[],2,0))</f>
        <v>MGF</v>
      </c>
      <c r="L3326" s="125" t="s">
        <v>4896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8</v>
      </c>
      <c r="R3326" s="115" t="s">
        <v>1459</v>
      </c>
      <c r="S3326" s="125"/>
    </row>
    <row r="3327" spans="1:19" hidden="1">
      <c r="A3327" s="124" t="s">
        <v>5480</v>
      </c>
      <c r="B3327" s="125" t="str">
        <f>IFERROR(VLOOKUP(Proc[[#This Row],[App]],Table2[],3,0),"open")</f>
        <v>open</v>
      </c>
      <c r="C3327" s="124" t="s">
        <v>369</v>
      </c>
      <c r="D3327" t="s">
        <v>5354</v>
      </c>
      <c r="E3327" t="s">
        <v>5452</v>
      </c>
      <c r="F3327" s="125" t="s">
        <v>5452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25" t="str">
        <f>IF(Proc[[#This Row],[Author]]="Marcela Urrego",VLOOKUP(LEFT(Proc[[#This Row],[Requested]],1),Table3[#All],2,0),VLOOKUP(Proc[[#This Row],[Author]],Table4[],2,0))</f>
        <v>MGF</v>
      </c>
      <c r="L3327" s="125" t="s">
        <v>4896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8</v>
      </c>
      <c r="R3327" s="115" t="s">
        <v>1459</v>
      </c>
      <c r="S3327" s="125"/>
    </row>
    <row r="3328" spans="1:19" hidden="1">
      <c r="A3328" s="124" t="s">
        <v>5480</v>
      </c>
      <c r="B3328" s="125" t="str">
        <f>IFERROR(VLOOKUP(Proc[[#This Row],[App]],Table2[],3,0),"open")</f>
        <v>open</v>
      </c>
      <c r="C3328" s="124" t="s">
        <v>369</v>
      </c>
      <c r="D3328" t="s">
        <v>5355</v>
      </c>
      <c r="E3328" t="s">
        <v>5452</v>
      </c>
      <c r="F3328" s="125" t="s">
        <v>5452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25" t="str">
        <f>IF(Proc[[#This Row],[Author]]="Marcela Urrego",VLOOKUP(LEFT(Proc[[#This Row],[Requested]],1),Table3[#All],2,0),VLOOKUP(Proc[[#This Row],[Author]],Table4[],2,0))</f>
        <v>MGF</v>
      </c>
      <c r="L3328" s="125" t="s">
        <v>4896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8</v>
      </c>
      <c r="R3328" s="115" t="s">
        <v>1459</v>
      </c>
      <c r="S3328" s="125"/>
    </row>
    <row r="3329" spans="1:19" hidden="1">
      <c r="A3329" s="124" t="s">
        <v>5480</v>
      </c>
      <c r="B3329" s="125" t="str">
        <f>IFERROR(VLOOKUP(Proc[[#This Row],[App]],Table2[],3,0),"open")</f>
        <v>open</v>
      </c>
      <c r="C3329" s="124" t="s">
        <v>369</v>
      </c>
      <c r="D3329" t="s">
        <v>5356</v>
      </c>
      <c r="E3329" t="s">
        <v>5452</v>
      </c>
      <c r="F3329" s="125" t="s">
        <v>5452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25" t="str">
        <f>IF(Proc[[#This Row],[Author]]="Marcela Urrego",VLOOKUP(LEFT(Proc[[#This Row],[Requested]],1),Table3[#All],2,0),VLOOKUP(Proc[[#This Row],[Author]],Table4[],2,0))</f>
        <v>MGF</v>
      </c>
      <c r="L3329" s="125" t="s">
        <v>4896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8</v>
      </c>
      <c r="R3329" s="115" t="s">
        <v>1459</v>
      </c>
      <c r="S3329" s="125"/>
    </row>
    <row r="3330" spans="1:19" hidden="1">
      <c r="A3330" s="124" t="s">
        <v>5480</v>
      </c>
      <c r="B3330" s="125" t="str">
        <f>IFERROR(VLOOKUP(Proc[[#This Row],[App]],Table2[],3,0),"open")</f>
        <v>open</v>
      </c>
      <c r="C3330" s="124" t="s">
        <v>369</v>
      </c>
      <c r="D3330" t="s">
        <v>5357</v>
      </c>
      <c r="E3330" t="s">
        <v>5448</v>
      </c>
      <c r="F3330" s="125" t="s">
        <v>5448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25" t="str">
        <f>IF(Proc[[#This Row],[Author]]="Marcela Urrego",VLOOKUP(LEFT(Proc[[#This Row],[Requested]],1),Table3[#All],2,0),VLOOKUP(Proc[[#This Row],[Author]],Table4[],2,0))</f>
        <v>MGF</v>
      </c>
      <c r="L3330" s="125" t="s">
        <v>4896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8</v>
      </c>
      <c r="R3330" s="115" t="s">
        <v>1459</v>
      </c>
      <c r="S3330" s="125"/>
    </row>
    <row r="3331" spans="1:19" hidden="1">
      <c r="A3331" s="124" t="s">
        <v>5480</v>
      </c>
      <c r="B3331" s="125" t="str">
        <f>IFERROR(VLOOKUP(Proc[[#This Row],[App]],Table2[],3,0),"open")</f>
        <v>open</v>
      </c>
      <c r="C3331" s="124" t="s">
        <v>369</v>
      </c>
      <c r="D3331" t="s">
        <v>5358</v>
      </c>
      <c r="E3331" t="s">
        <v>5448</v>
      </c>
      <c r="F3331" s="125" t="s">
        <v>5448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25" t="str">
        <f>IF(Proc[[#This Row],[Author]]="Marcela Urrego",VLOOKUP(LEFT(Proc[[#This Row],[Requested]],1),Table3[#All],2,0),VLOOKUP(Proc[[#This Row],[Author]],Table4[],2,0))</f>
        <v>MGF</v>
      </c>
      <c r="L3331" s="125" t="s">
        <v>4896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8</v>
      </c>
      <c r="R3331" s="115" t="s">
        <v>1459</v>
      </c>
      <c r="S3331" s="125"/>
    </row>
    <row r="3332" spans="1:19" hidden="1">
      <c r="A3332" s="124" t="s">
        <v>5480</v>
      </c>
      <c r="B3332" s="125" t="str">
        <f>IFERROR(VLOOKUP(Proc[[#This Row],[App]],Table2[],3,0),"open")</f>
        <v>open</v>
      </c>
      <c r="C3332" s="124" t="s">
        <v>369</v>
      </c>
      <c r="D3332" t="s">
        <v>5359</v>
      </c>
      <c r="E3332" t="s">
        <v>5454</v>
      </c>
      <c r="F3332" s="125" t="s">
        <v>5454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25" t="str">
        <f>IF(Proc[[#This Row],[Author]]="Marcela Urrego",VLOOKUP(LEFT(Proc[[#This Row],[Requested]],1),Table3[#All],2,0),VLOOKUP(Proc[[#This Row],[Author]],Table4[],2,0))</f>
        <v>MGF</v>
      </c>
      <c r="L3332" s="125" t="s">
        <v>4896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8</v>
      </c>
      <c r="R3332" s="115" t="s">
        <v>1459</v>
      </c>
      <c r="S3332" s="125"/>
    </row>
    <row r="3333" spans="1:19" hidden="1">
      <c r="A3333" s="124" t="s">
        <v>5480</v>
      </c>
      <c r="B3333" s="125" t="str">
        <f>IFERROR(VLOOKUP(Proc[[#This Row],[App]],Table2[],3,0),"open")</f>
        <v>open</v>
      </c>
      <c r="C3333" s="124" t="s">
        <v>369</v>
      </c>
      <c r="D3333" t="s">
        <v>5360</v>
      </c>
      <c r="E3333" t="s">
        <v>5469</v>
      </c>
      <c r="F3333" s="125" t="s">
        <v>5469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25" t="str">
        <f>IF(Proc[[#This Row],[Author]]="Marcela Urrego",VLOOKUP(LEFT(Proc[[#This Row],[Requested]],1),Table3[#All],2,0),VLOOKUP(Proc[[#This Row],[Author]],Table4[],2,0))</f>
        <v>MGF</v>
      </c>
      <c r="L3333" s="125" t="s">
        <v>4896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8</v>
      </c>
      <c r="R3333" s="115" t="s">
        <v>1459</v>
      </c>
      <c r="S3333" s="125"/>
    </row>
    <row r="3334" spans="1:19" hidden="1">
      <c r="A3334" s="124" t="s">
        <v>5480</v>
      </c>
      <c r="B3334" s="125" t="str">
        <f>IFERROR(VLOOKUP(Proc[[#This Row],[App]],Table2[],3,0),"open")</f>
        <v>open</v>
      </c>
      <c r="C3334" s="124" t="s">
        <v>369</v>
      </c>
      <c r="D3334" t="s">
        <v>5361</v>
      </c>
      <c r="E3334" t="s">
        <v>5470</v>
      </c>
      <c r="F3334" s="125" t="s">
        <v>5470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25" t="str">
        <f>IF(Proc[[#This Row],[Author]]="Marcela Urrego",VLOOKUP(LEFT(Proc[[#This Row],[Requested]],1),Table3[#All],2,0),VLOOKUP(Proc[[#This Row],[Author]],Table4[],2,0))</f>
        <v>MGF</v>
      </c>
      <c r="L3334" s="125" t="s">
        <v>4896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8</v>
      </c>
      <c r="R3334" s="115" t="s">
        <v>1459</v>
      </c>
      <c r="S3334" s="125"/>
    </row>
    <row r="3335" spans="1:19" hidden="1">
      <c r="A3335" s="124" t="s">
        <v>5480</v>
      </c>
      <c r="B3335" s="125" t="str">
        <f>IFERROR(VLOOKUP(Proc[[#This Row],[App]],Table2[],3,0),"open")</f>
        <v>open</v>
      </c>
      <c r="C3335" s="124" t="s">
        <v>369</v>
      </c>
      <c r="D3335" t="s">
        <v>5362</v>
      </c>
      <c r="E3335" t="s">
        <v>5447</v>
      </c>
      <c r="F3335" s="125" t="s">
        <v>5447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25" t="str">
        <f>IF(Proc[[#This Row],[Author]]="Marcela Urrego",VLOOKUP(LEFT(Proc[[#This Row],[Requested]],1),Table3[#All],2,0),VLOOKUP(Proc[[#This Row],[Author]],Table4[],2,0))</f>
        <v>MGF</v>
      </c>
      <c r="L3335" s="125" t="s">
        <v>4896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8</v>
      </c>
      <c r="R3335" s="115" t="s">
        <v>1459</v>
      </c>
      <c r="S3335" s="125"/>
    </row>
    <row r="3336" spans="1:19" hidden="1">
      <c r="A3336" s="124" t="s">
        <v>5480</v>
      </c>
      <c r="B3336" s="125" t="str">
        <f>IFERROR(VLOOKUP(Proc[[#This Row],[App]],Table2[],3,0),"open")</f>
        <v>open</v>
      </c>
      <c r="C3336" s="124" t="s">
        <v>369</v>
      </c>
      <c r="D3336" t="s">
        <v>5363</v>
      </c>
      <c r="E3336" t="s">
        <v>5451</v>
      </c>
      <c r="F3336" s="125" t="s">
        <v>5451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25" t="str">
        <f>IF(Proc[[#This Row],[Author]]="Marcela Urrego",VLOOKUP(LEFT(Proc[[#This Row],[Requested]],1),Table3[#All],2,0),VLOOKUP(Proc[[#This Row],[Author]],Table4[],2,0))</f>
        <v>MGF</v>
      </c>
      <c r="L3336" s="125" t="s">
        <v>4896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8</v>
      </c>
      <c r="R3336" s="115" t="s">
        <v>1459</v>
      </c>
      <c r="S3336" s="125"/>
    </row>
    <row r="3337" spans="1:19" hidden="1">
      <c r="A3337" s="124" t="s">
        <v>5480</v>
      </c>
      <c r="B3337" s="125" t="str">
        <f>IFERROR(VLOOKUP(Proc[[#This Row],[App]],Table2[],3,0),"open")</f>
        <v>open</v>
      </c>
      <c r="C3337" s="124" t="s">
        <v>369</v>
      </c>
      <c r="D3337" t="s">
        <v>5364</v>
      </c>
      <c r="E3337" t="s">
        <v>5451</v>
      </c>
      <c r="F3337" s="125" t="s">
        <v>5451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25" t="str">
        <f>IF(Proc[[#This Row],[Author]]="Marcela Urrego",VLOOKUP(LEFT(Proc[[#This Row],[Requested]],1),Table3[#All],2,0),VLOOKUP(Proc[[#This Row],[Author]],Table4[],2,0))</f>
        <v>MGF</v>
      </c>
      <c r="L3337" s="125" t="s">
        <v>4896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8</v>
      </c>
      <c r="R3337" s="115" t="s">
        <v>1459</v>
      </c>
      <c r="S3337" s="125"/>
    </row>
    <row r="3338" spans="1:19" hidden="1">
      <c r="A3338" s="124" t="s">
        <v>5480</v>
      </c>
      <c r="B3338" s="125" t="str">
        <f>IFERROR(VLOOKUP(Proc[[#This Row],[App]],Table2[],3,0),"open")</f>
        <v>open</v>
      </c>
      <c r="C3338" s="124" t="s">
        <v>369</v>
      </c>
      <c r="D3338" t="s">
        <v>5365</v>
      </c>
      <c r="E3338" t="s">
        <v>5459</v>
      </c>
      <c r="F3338" s="125" t="s">
        <v>5459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25" t="str">
        <f>IF(Proc[[#This Row],[Author]]="Marcela Urrego",VLOOKUP(LEFT(Proc[[#This Row],[Requested]],1),Table3[#All],2,0),VLOOKUP(Proc[[#This Row],[Author]],Table4[],2,0))</f>
        <v>MGF</v>
      </c>
      <c r="L3338" s="125" t="s">
        <v>4896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8</v>
      </c>
      <c r="R3338" s="115" t="s">
        <v>1459</v>
      </c>
      <c r="S3338" s="125"/>
    </row>
    <row r="3339" spans="1:19" hidden="1">
      <c r="A3339" s="124" t="s">
        <v>5480</v>
      </c>
      <c r="B3339" s="125" t="str">
        <f>IFERROR(VLOOKUP(Proc[[#This Row],[App]],Table2[],3,0),"open")</f>
        <v>open</v>
      </c>
      <c r="C3339" s="124" t="s">
        <v>369</v>
      </c>
      <c r="D3339" t="s">
        <v>5366</v>
      </c>
      <c r="E3339" t="s">
        <v>5448</v>
      </c>
      <c r="F3339" s="125" t="s">
        <v>5448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25" t="str">
        <f>IF(Proc[[#This Row],[Author]]="Marcela Urrego",VLOOKUP(LEFT(Proc[[#This Row],[Requested]],1),Table3[#All],2,0),VLOOKUP(Proc[[#This Row],[Author]],Table4[],2,0))</f>
        <v>MGF</v>
      </c>
      <c r="L3339" s="125" t="s">
        <v>4896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8</v>
      </c>
      <c r="R3339" s="115" t="s">
        <v>1459</v>
      </c>
      <c r="S3339" s="125"/>
    </row>
    <row r="3340" spans="1:19" hidden="1">
      <c r="A3340" s="124" t="s">
        <v>5480</v>
      </c>
      <c r="B3340" s="125" t="str">
        <f>IFERROR(VLOOKUP(Proc[[#This Row],[App]],Table2[],3,0),"open")</f>
        <v>open</v>
      </c>
      <c r="C3340" s="124" t="s">
        <v>369</v>
      </c>
      <c r="D3340" t="s">
        <v>5367</v>
      </c>
      <c r="E3340" t="s">
        <v>5471</v>
      </c>
      <c r="F3340" s="125" t="s">
        <v>5471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25" t="str">
        <f>IF(Proc[[#This Row],[Author]]="Marcela Urrego",VLOOKUP(LEFT(Proc[[#This Row],[Requested]],1),Table3[#All],2,0),VLOOKUP(Proc[[#This Row],[Author]],Table4[],2,0))</f>
        <v>MGF</v>
      </c>
      <c r="L3340" s="125" t="s">
        <v>4896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8</v>
      </c>
      <c r="R3340" s="115" t="s">
        <v>1459</v>
      </c>
      <c r="S3340" s="125"/>
    </row>
    <row r="3341" spans="1:19" hidden="1">
      <c r="A3341" s="124" t="s">
        <v>5480</v>
      </c>
      <c r="B3341" s="125" t="str">
        <f>IFERROR(VLOOKUP(Proc[[#This Row],[App]],Table2[],3,0),"open")</f>
        <v>open</v>
      </c>
      <c r="C3341" s="124" t="s">
        <v>369</v>
      </c>
      <c r="D3341" t="s">
        <v>5368</v>
      </c>
      <c r="E3341" t="s">
        <v>5458</v>
      </c>
      <c r="F3341" s="125" t="s">
        <v>5458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25" t="str">
        <f>IF(Proc[[#This Row],[Author]]="Marcela Urrego",VLOOKUP(LEFT(Proc[[#This Row],[Requested]],1),Table3[#All],2,0),VLOOKUP(Proc[[#This Row],[Author]],Table4[],2,0))</f>
        <v>MGF</v>
      </c>
      <c r="L3341" s="125" t="s">
        <v>4896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8</v>
      </c>
      <c r="R3341" s="115" t="s">
        <v>1459</v>
      </c>
      <c r="S3341" s="125"/>
    </row>
    <row r="3342" spans="1:19" hidden="1">
      <c r="A3342" s="124" t="s">
        <v>5480</v>
      </c>
      <c r="B3342" s="125" t="str">
        <f>IFERROR(VLOOKUP(Proc[[#This Row],[App]],Table2[],3,0),"open")</f>
        <v>open</v>
      </c>
      <c r="C3342" s="124" t="s">
        <v>369</v>
      </c>
      <c r="D3342" t="s">
        <v>5369</v>
      </c>
      <c r="E3342" t="s">
        <v>5454</v>
      </c>
      <c r="F3342" s="125" t="s">
        <v>5454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25" t="str">
        <f>IF(Proc[[#This Row],[Author]]="Marcela Urrego",VLOOKUP(LEFT(Proc[[#This Row],[Requested]],1),Table3[#All],2,0),VLOOKUP(Proc[[#This Row],[Author]],Table4[],2,0))</f>
        <v>MGF</v>
      </c>
      <c r="L3342" s="125" t="s">
        <v>4896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8</v>
      </c>
      <c r="R3342" s="115" t="s">
        <v>1459</v>
      </c>
      <c r="S3342" s="125"/>
    </row>
    <row r="3343" spans="1:19" hidden="1">
      <c r="A3343" s="124" t="s">
        <v>5480</v>
      </c>
      <c r="B3343" s="125" t="str">
        <f>IFERROR(VLOOKUP(Proc[[#This Row],[App]],Table2[],3,0),"open")</f>
        <v>open</v>
      </c>
      <c r="C3343" s="124" t="s">
        <v>369</v>
      </c>
      <c r="D3343" t="s">
        <v>5370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25" t="str">
        <f>IF(Proc[[#This Row],[Author]]="Marcela Urrego",VLOOKUP(LEFT(Proc[[#This Row],[Requested]],1),Table3[#All],2,0),VLOOKUP(Proc[[#This Row],[Author]],Table4[],2,0))</f>
        <v>MGF</v>
      </c>
      <c r="L3343" s="125" t="s">
        <v>4896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8</v>
      </c>
      <c r="R3343" s="115" t="s">
        <v>1459</v>
      </c>
      <c r="S3343" s="125"/>
    </row>
    <row r="3344" spans="1:19" hidden="1">
      <c r="A3344" s="124" t="s">
        <v>5480</v>
      </c>
      <c r="B3344" s="125" t="str">
        <f>IFERROR(VLOOKUP(Proc[[#This Row],[App]],Table2[],3,0),"open")</f>
        <v>open</v>
      </c>
      <c r="C3344" s="124" t="s">
        <v>369</v>
      </c>
      <c r="D3344" t="s">
        <v>5371</v>
      </c>
      <c r="E3344" t="s">
        <v>5446</v>
      </c>
      <c r="F3344" s="125" t="s">
        <v>5446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25" t="str">
        <f>IF(Proc[[#This Row],[Author]]="Marcela Urrego",VLOOKUP(LEFT(Proc[[#This Row],[Requested]],1),Table3[#All],2,0),VLOOKUP(Proc[[#This Row],[Author]],Table4[],2,0))</f>
        <v>MGF</v>
      </c>
      <c r="L3344" s="125" t="s">
        <v>4896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8</v>
      </c>
      <c r="R3344" s="115" t="s">
        <v>1459</v>
      </c>
      <c r="S3344" s="125"/>
    </row>
    <row r="3345" spans="1:19" hidden="1">
      <c r="A3345" s="124" t="s">
        <v>5480</v>
      </c>
      <c r="B3345" s="125" t="str">
        <f>IFERROR(VLOOKUP(Proc[[#This Row],[App]],Table2[],3,0),"open")</f>
        <v>open</v>
      </c>
      <c r="C3345" s="124" t="s">
        <v>369</v>
      </c>
      <c r="D3345" t="s">
        <v>5372</v>
      </c>
      <c r="E3345" t="s">
        <v>5447</v>
      </c>
      <c r="F3345" s="125" t="s">
        <v>5447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25" t="str">
        <f>IF(Proc[[#This Row],[Author]]="Marcela Urrego",VLOOKUP(LEFT(Proc[[#This Row],[Requested]],1),Table3[#All],2,0),VLOOKUP(Proc[[#This Row],[Author]],Table4[],2,0))</f>
        <v>MGF</v>
      </c>
      <c r="L3345" s="125" t="s">
        <v>4896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8</v>
      </c>
      <c r="R3345" s="115" t="s">
        <v>1459</v>
      </c>
      <c r="S3345" s="125"/>
    </row>
    <row r="3346" spans="1:19" hidden="1">
      <c r="A3346" s="124" t="s">
        <v>5480</v>
      </c>
      <c r="B3346" s="125" t="str">
        <f>IFERROR(VLOOKUP(Proc[[#This Row],[App]],Table2[],3,0),"open")</f>
        <v>open</v>
      </c>
      <c r="C3346" s="124" t="s">
        <v>369</v>
      </c>
      <c r="D3346" t="s">
        <v>5373</v>
      </c>
      <c r="E3346" t="s">
        <v>5448</v>
      </c>
      <c r="F3346" s="125" t="s">
        <v>5448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25" t="str">
        <f>IF(Proc[[#This Row],[Author]]="Marcela Urrego",VLOOKUP(LEFT(Proc[[#This Row],[Requested]],1),Table3[#All],2,0),VLOOKUP(Proc[[#This Row],[Author]],Table4[],2,0))</f>
        <v>MGF</v>
      </c>
      <c r="L3346" s="125" t="s">
        <v>4896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8</v>
      </c>
      <c r="R3346" s="115" t="s">
        <v>1459</v>
      </c>
      <c r="S3346" s="125"/>
    </row>
    <row r="3347" spans="1:19" hidden="1">
      <c r="A3347" s="124" t="s">
        <v>5480</v>
      </c>
      <c r="B3347" s="125" t="str">
        <f>IFERROR(VLOOKUP(Proc[[#This Row],[App]],Table2[],3,0),"open")</f>
        <v>open</v>
      </c>
      <c r="C3347" s="124" t="s">
        <v>369</v>
      </c>
      <c r="D3347" t="s">
        <v>2569</v>
      </c>
      <c r="E3347" t="s">
        <v>5455</v>
      </c>
      <c r="F3347" s="125" t="s">
        <v>5455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25" t="str">
        <f>IF(Proc[[#This Row],[Author]]="Marcela Urrego",VLOOKUP(LEFT(Proc[[#This Row],[Requested]],1),Table3[#All],2,0),VLOOKUP(Proc[[#This Row],[Author]],Table4[],2,0))</f>
        <v>MGF</v>
      </c>
      <c r="L3347" s="125" t="s">
        <v>4896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8</v>
      </c>
      <c r="R3347" s="115" t="s">
        <v>1459</v>
      </c>
      <c r="S3347" s="125"/>
    </row>
    <row r="3348" spans="1:19" hidden="1">
      <c r="A3348" s="124" t="s">
        <v>5480</v>
      </c>
      <c r="B3348" s="125" t="str">
        <f>IFERROR(VLOOKUP(Proc[[#This Row],[App]],Table2[],3,0),"open")</f>
        <v>open</v>
      </c>
      <c r="C3348" s="124" t="s">
        <v>369</v>
      </c>
      <c r="D3348" t="s">
        <v>5374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25" t="str">
        <f>IF(Proc[[#This Row],[Author]]="Marcela Urrego",VLOOKUP(LEFT(Proc[[#This Row],[Requested]],1),Table3[#All],2,0),VLOOKUP(Proc[[#This Row],[Author]],Table4[],2,0))</f>
        <v>MGF</v>
      </c>
      <c r="L3348" s="125" t="s">
        <v>4896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8</v>
      </c>
      <c r="R3348" s="115" t="s">
        <v>1459</v>
      </c>
      <c r="S3348" s="125"/>
    </row>
    <row r="3349" spans="1:19" hidden="1">
      <c r="A3349" s="124" t="s">
        <v>5480</v>
      </c>
      <c r="B3349" s="125" t="str">
        <f>IFERROR(VLOOKUP(Proc[[#This Row],[App]],Table2[],3,0),"open")</f>
        <v>open</v>
      </c>
      <c r="C3349" s="124" t="s">
        <v>369</v>
      </c>
      <c r="D3349" t="s">
        <v>5375</v>
      </c>
      <c r="E3349" t="s">
        <v>5448</v>
      </c>
      <c r="F3349" s="125" t="s">
        <v>5448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25" t="str">
        <f>IF(Proc[[#This Row],[Author]]="Marcela Urrego",VLOOKUP(LEFT(Proc[[#This Row],[Requested]],1),Table3[#All],2,0),VLOOKUP(Proc[[#This Row],[Author]],Table4[],2,0))</f>
        <v>MGF</v>
      </c>
      <c r="L3349" s="125" t="s">
        <v>4896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8</v>
      </c>
      <c r="R3349" s="115" t="s">
        <v>1459</v>
      </c>
      <c r="S3349" s="125"/>
    </row>
    <row r="3350" spans="1:19" hidden="1">
      <c r="A3350" s="124" t="s">
        <v>5480</v>
      </c>
      <c r="B3350" s="125" t="str">
        <f>IFERROR(VLOOKUP(Proc[[#This Row],[App]],Table2[],3,0),"open")</f>
        <v>open</v>
      </c>
      <c r="C3350" s="124" t="s">
        <v>369</v>
      </c>
      <c r="D3350" t="s">
        <v>5376</v>
      </c>
      <c r="E3350" t="s">
        <v>5447</v>
      </c>
      <c r="F3350" s="125" t="s">
        <v>5447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25" t="str">
        <f>IF(Proc[[#This Row],[Author]]="Marcela Urrego",VLOOKUP(LEFT(Proc[[#This Row],[Requested]],1),Table3[#All],2,0),VLOOKUP(Proc[[#This Row],[Author]],Table4[],2,0))</f>
        <v>MGF</v>
      </c>
      <c r="L3350" s="125" t="s">
        <v>4896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8</v>
      </c>
      <c r="R3350" s="115" t="s">
        <v>1459</v>
      </c>
      <c r="S3350" s="125"/>
    </row>
    <row r="3351" spans="1:19" hidden="1">
      <c r="A3351" s="124" t="s">
        <v>5480</v>
      </c>
      <c r="B3351" s="125" t="str">
        <f>IFERROR(VLOOKUP(Proc[[#This Row],[App]],Table2[],3,0),"open")</f>
        <v>open</v>
      </c>
      <c r="C3351" s="124" t="s">
        <v>369</v>
      </c>
      <c r="D3351" t="s">
        <v>5377</v>
      </c>
      <c r="E3351" t="s">
        <v>5472</v>
      </c>
      <c r="F3351" s="125" t="s">
        <v>5472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25" t="str">
        <f>IF(Proc[[#This Row],[Author]]="Marcela Urrego",VLOOKUP(LEFT(Proc[[#This Row],[Requested]],1),Table3[#All],2,0),VLOOKUP(Proc[[#This Row],[Author]],Table4[],2,0))</f>
        <v>MGF</v>
      </c>
      <c r="L3351" s="125" t="s">
        <v>4896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8</v>
      </c>
      <c r="R3351" s="115" t="s">
        <v>1459</v>
      </c>
      <c r="S3351" s="125"/>
    </row>
    <row r="3352" spans="1:19" hidden="1">
      <c r="A3352" s="124" t="s">
        <v>5480</v>
      </c>
      <c r="B3352" s="125" t="str">
        <f>IFERROR(VLOOKUP(Proc[[#This Row],[App]],Table2[],3,0),"open")</f>
        <v>open</v>
      </c>
      <c r="C3352" s="124" t="s">
        <v>369</v>
      </c>
      <c r="D3352" t="s">
        <v>5378</v>
      </c>
      <c r="E3352" t="s">
        <v>5446</v>
      </c>
      <c r="F3352" s="125" t="s">
        <v>5446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25" t="str">
        <f>IF(Proc[[#This Row],[Author]]="Marcela Urrego",VLOOKUP(LEFT(Proc[[#This Row],[Requested]],1),Table3[#All],2,0),VLOOKUP(Proc[[#This Row],[Author]],Table4[],2,0))</f>
        <v>MGF</v>
      </c>
      <c r="L3352" s="125" t="s">
        <v>4896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8</v>
      </c>
      <c r="R3352" s="115" t="s">
        <v>1459</v>
      </c>
      <c r="S3352" s="125"/>
    </row>
    <row r="3353" spans="1:19" hidden="1">
      <c r="A3353" s="124" t="s">
        <v>5480</v>
      </c>
      <c r="B3353" s="125" t="str">
        <f>IFERROR(VLOOKUP(Proc[[#This Row],[App]],Table2[],3,0),"open")</f>
        <v>open</v>
      </c>
      <c r="C3353" s="124" t="s">
        <v>369</v>
      </c>
      <c r="D3353" t="s">
        <v>5379</v>
      </c>
      <c r="E3353" t="s">
        <v>5466</v>
      </c>
      <c r="F3353" s="125" t="s">
        <v>5466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25" t="str">
        <f>IF(Proc[[#This Row],[Author]]="Marcela Urrego",VLOOKUP(LEFT(Proc[[#This Row],[Requested]],1),Table3[#All],2,0),VLOOKUP(Proc[[#This Row],[Author]],Table4[],2,0))</f>
        <v>MGF</v>
      </c>
      <c r="L3353" s="125" t="s">
        <v>4896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8</v>
      </c>
      <c r="R3353" s="115" t="s">
        <v>1459</v>
      </c>
      <c r="S3353" s="125"/>
    </row>
    <row r="3354" spans="1:19" hidden="1">
      <c r="A3354" s="124" t="s">
        <v>5480</v>
      </c>
      <c r="B3354" s="125" t="str">
        <f>IFERROR(VLOOKUP(Proc[[#This Row],[App]],Table2[],3,0),"open")</f>
        <v>open</v>
      </c>
      <c r="C3354" s="124" t="s">
        <v>369</v>
      </c>
      <c r="D3354" t="s">
        <v>5380</v>
      </c>
      <c r="E3354" t="s">
        <v>5448</v>
      </c>
      <c r="F3354" s="125" t="s">
        <v>5448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25" t="str">
        <f>IF(Proc[[#This Row],[Author]]="Marcela Urrego",VLOOKUP(LEFT(Proc[[#This Row],[Requested]],1),Table3[#All],2,0),VLOOKUP(Proc[[#This Row],[Author]],Table4[],2,0))</f>
        <v>MGF</v>
      </c>
      <c r="L3354" s="125" t="s">
        <v>4896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8</v>
      </c>
      <c r="R3354" s="115" t="s">
        <v>1459</v>
      </c>
      <c r="S3354" s="125"/>
    </row>
    <row r="3355" spans="1:19" hidden="1">
      <c r="A3355" s="124" t="s">
        <v>5480</v>
      </c>
      <c r="B3355" s="125" t="str">
        <f>IFERROR(VLOOKUP(Proc[[#This Row],[App]],Table2[],3,0),"open")</f>
        <v>open</v>
      </c>
      <c r="C3355" s="124" t="s">
        <v>369</v>
      </c>
      <c r="D3355" t="s">
        <v>5381</v>
      </c>
      <c r="E3355" t="s">
        <v>5457</v>
      </c>
      <c r="F3355" s="125" t="s">
        <v>5457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25" t="str">
        <f>IF(Proc[[#This Row],[Author]]="Marcela Urrego",VLOOKUP(LEFT(Proc[[#This Row],[Requested]],1),Table3[#All],2,0),VLOOKUP(Proc[[#This Row],[Author]],Table4[],2,0))</f>
        <v>MGF</v>
      </c>
      <c r="L3355" s="125" t="s">
        <v>4896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8</v>
      </c>
      <c r="R3355" s="115" t="s">
        <v>1459</v>
      </c>
      <c r="S3355" s="125"/>
    </row>
    <row r="3356" spans="1:19" hidden="1">
      <c r="A3356" s="124" t="s">
        <v>5480</v>
      </c>
      <c r="B3356" s="125" t="str">
        <f>IFERROR(VLOOKUP(Proc[[#This Row],[App]],Table2[],3,0),"open")</f>
        <v>open</v>
      </c>
      <c r="C3356" s="124" t="s">
        <v>369</v>
      </c>
      <c r="D3356" t="s">
        <v>5382</v>
      </c>
      <c r="E3356" t="s">
        <v>5447</v>
      </c>
      <c r="F3356" s="125" t="s">
        <v>5447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25" t="str">
        <f>IF(Proc[[#This Row],[Author]]="Marcela Urrego",VLOOKUP(LEFT(Proc[[#This Row],[Requested]],1),Table3[#All],2,0),VLOOKUP(Proc[[#This Row],[Author]],Table4[],2,0))</f>
        <v>MGF</v>
      </c>
      <c r="L3356" s="125" t="s">
        <v>4896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8</v>
      </c>
      <c r="R3356" s="115" t="s">
        <v>1459</v>
      </c>
      <c r="S3356" s="125"/>
    </row>
    <row r="3357" spans="1:19" hidden="1">
      <c r="A3357" s="124" t="s">
        <v>5480</v>
      </c>
      <c r="B3357" s="125" t="str">
        <f>IFERROR(VLOOKUP(Proc[[#This Row],[App]],Table2[],3,0),"open")</f>
        <v>open</v>
      </c>
      <c r="C3357" s="124" t="s">
        <v>369</v>
      </c>
      <c r="D3357" t="s">
        <v>5383</v>
      </c>
      <c r="E3357" t="s">
        <v>5455</v>
      </c>
      <c r="F3357" s="125" t="s">
        <v>5455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25" t="str">
        <f>IF(Proc[[#This Row],[Author]]="Marcela Urrego",VLOOKUP(LEFT(Proc[[#This Row],[Requested]],1),Table3[#All],2,0),VLOOKUP(Proc[[#This Row],[Author]],Table4[],2,0))</f>
        <v>MGF</v>
      </c>
      <c r="L3357" s="125" t="s">
        <v>4896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8</v>
      </c>
      <c r="R3357" s="115" t="s">
        <v>1459</v>
      </c>
      <c r="S3357" s="125"/>
    </row>
    <row r="3358" spans="1:19" hidden="1">
      <c r="A3358" s="124" t="s">
        <v>5480</v>
      </c>
      <c r="B3358" s="125" t="str">
        <f>IFERROR(VLOOKUP(Proc[[#This Row],[App]],Table2[],3,0),"open")</f>
        <v>open</v>
      </c>
      <c r="C3358" s="124" t="s">
        <v>369</v>
      </c>
      <c r="D3358" t="s">
        <v>5384</v>
      </c>
      <c r="E3358" t="s">
        <v>5450</v>
      </c>
      <c r="F3358" s="125" t="s">
        <v>5450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25" t="str">
        <f>IF(Proc[[#This Row],[Author]]="Marcela Urrego",VLOOKUP(LEFT(Proc[[#This Row],[Requested]],1),Table3[#All],2,0),VLOOKUP(Proc[[#This Row],[Author]],Table4[],2,0))</f>
        <v>MGF</v>
      </c>
      <c r="L3358" s="125" t="s">
        <v>4896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8</v>
      </c>
      <c r="R3358" s="115" t="s">
        <v>1459</v>
      </c>
      <c r="S3358" s="125"/>
    </row>
    <row r="3359" spans="1:19" hidden="1">
      <c r="A3359" s="124" t="s">
        <v>5480</v>
      </c>
      <c r="B3359" s="125" t="str">
        <f>IFERROR(VLOOKUP(Proc[[#This Row],[App]],Table2[],3,0),"open")</f>
        <v>open</v>
      </c>
      <c r="C3359" s="124" t="s">
        <v>369</v>
      </c>
      <c r="D3359" t="s">
        <v>5385</v>
      </c>
      <c r="E3359" t="s">
        <v>5457</v>
      </c>
      <c r="F3359" s="125" t="s">
        <v>5457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25" t="str">
        <f>IF(Proc[[#This Row],[Author]]="Marcela Urrego",VLOOKUP(LEFT(Proc[[#This Row],[Requested]],1),Table3[#All],2,0),VLOOKUP(Proc[[#This Row],[Author]],Table4[],2,0))</f>
        <v>MGF</v>
      </c>
      <c r="L3359" s="125" t="s">
        <v>4896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8</v>
      </c>
      <c r="R3359" s="115" t="s">
        <v>1459</v>
      </c>
      <c r="S3359" s="125"/>
    </row>
    <row r="3360" spans="1:19" hidden="1">
      <c r="A3360" s="124" t="s">
        <v>5480</v>
      </c>
      <c r="B3360" s="125" t="str">
        <f>IFERROR(VLOOKUP(Proc[[#This Row],[App]],Table2[],3,0),"open")</f>
        <v>open</v>
      </c>
      <c r="C3360" s="124" t="s">
        <v>369</v>
      </c>
      <c r="D3360" t="s">
        <v>5386</v>
      </c>
      <c r="E3360" t="s">
        <v>5447</v>
      </c>
      <c r="F3360" s="125" t="s">
        <v>5447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25" t="str">
        <f>IF(Proc[[#This Row],[Author]]="Marcela Urrego",VLOOKUP(LEFT(Proc[[#This Row],[Requested]],1),Table3[#All],2,0),VLOOKUP(Proc[[#This Row],[Author]],Table4[],2,0))</f>
        <v>MGF</v>
      </c>
      <c r="L3360" s="125" t="s">
        <v>4896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8</v>
      </c>
      <c r="R3360" s="115" t="s">
        <v>1459</v>
      </c>
      <c r="S3360" s="125"/>
    </row>
    <row r="3361" spans="1:19" hidden="1">
      <c r="A3361" s="124" t="s">
        <v>5480</v>
      </c>
      <c r="B3361" s="125" t="str">
        <f>IFERROR(VLOOKUP(Proc[[#This Row],[App]],Table2[],3,0),"open")</f>
        <v>open</v>
      </c>
      <c r="C3361" s="124" t="s">
        <v>369</v>
      </c>
      <c r="D3361" t="s">
        <v>5387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25" t="str">
        <f>IF(Proc[[#This Row],[Author]]="Marcela Urrego",VLOOKUP(LEFT(Proc[[#This Row],[Requested]],1),Table3[#All],2,0),VLOOKUP(Proc[[#This Row],[Author]],Table4[],2,0))</f>
        <v>MGF</v>
      </c>
      <c r="L3361" s="125" t="s">
        <v>4896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8</v>
      </c>
      <c r="R3361" s="115" t="s">
        <v>1459</v>
      </c>
      <c r="S3361" s="125"/>
    </row>
    <row r="3362" spans="1:19" hidden="1">
      <c r="A3362" s="124" t="s">
        <v>5480</v>
      </c>
      <c r="B3362" s="125" t="str">
        <f>IFERROR(VLOOKUP(Proc[[#This Row],[App]],Table2[],3,0),"open")</f>
        <v>open</v>
      </c>
      <c r="C3362" s="124" t="s">
        <v>369</v>
      </c>
      <c r="D3362" t="s">
        <v>5388</v>
      </c>
      <c r="E3362" t="s">
        <v>5447</v>
      </c>
      <c r="F3362" s="125" t="s">
        <v>5447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25" t="str">
        <f>IF(Proc[[#This Row],[Author]]="Marcela Urrego",VLOOKUP(LEFT(Proc[[#This Row],[Requested]],1),Table3[#All],2,0),VLOOKUP(Proc[[#This Row],[Author]],Table4[],2,0))</f>
        <v>MGF</v>
      </c>
      <c r="L3362" s="125" t="s">
        <v>4896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8</v>
      </c>
      <c r="R3362" s="115" t="s">
        <v>1459</v>
      </c>
      <c r="S3362" s="125"/>
    </row>
    <row r="3363" spans="1:19" hidden="1">
      <c r="A3363" s="124" t="s">
        <v>5480</v>
      </c>
      <c r="B3363" s="125" t="str">
        <f>IFERROR(VLOOKUP(Proc[[#This Row],[App]],Table2[],3,0),"open")</f>
        <v>open</v>
      </c>
      <c r="C3363" s="124" t="s">
        <v>369</v>
      </c>
      <c r="D3363" t="s">
        <v>5389</v>
      </c>
      <c r="E3363" t="s">
        <v>5473</v>
      </c>
      <c r="F3363" s="125" t="s">
        <v>5473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25" t="str">
        <f>IF(Proc[[#This Row],[Author]]="Marcela Urrego",VLOOKUP(LEFT(Proc[[#This Row],[Requested]],1),Table3[#All],2,0),VLOOKUP(Proc[[#This Row],[Author]],Table4[],2,0))</f>
        <v>MGF</v>
      </c>
      <c r="L3363" s="125" t="s">
        <v>4896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8</v>
      </c>
      <c r="R3363" s="115" t="s">
        <v>1459</v>
      </c>
      <c r="S3363" s="125"/>
    </row>
    <row r="3364" spans="1:19" hidden="1">
      <c r="A3364" s="124" t="s">
        <v>5480</v>
      </c>
      <c r="B3364" s="125" t="str">
        <f>IFERROR(VLOOKUP(Proc[[#This Row],[App]],Table2[],3,0),"open")</f>
        <v>open</v>
      </c>
      <c r="C3364" s="124" t="s">
        <v>369</v>
      </c>
      <c r="D3364" t="s">
        <v>5390</v>
      </c>
      <c r="E3364" t="s">
        <v>5474</v>
      </c>
      <c r="F3364" s="125" t="s">
        <v>5474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25" t="str">
        <f>IF(Proc[[#This Row],[Author]]="Marcela Urrego",VLOOKUP(LEFT(Proc[[#This Row],[Requested]],1),Table3[#All],2,0),VLOOKUP(Proc[[#This Row],[Author]],Table4[],2,0))</f>
        <v>MGF</v>
      </c>
      <c r="L3364" s="125" t="s">
        <v>4896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8</v>
      </c>
      <c r="R3364" s="115" t="s">
        <v>1459</v>
      </c>
      <c r="S3364" s="125"/>
    </row>
    <row r="3365" spans="1:19" hidden="1">
      <c r="A3365" s="124" t="s">
        <v>5480</v>
      </c>
      <c r="B3365" s="125" t="str">
        <f>IFERROR(VLOOKUP(Proc[[#This Row],[App]],Table2[],3,0),"open")</f>
        <v>open</v>
      </c>
      <c r="C3365" s="124" t="s">
        <v>369</v>
      </c>
      <c r="D3365" t="s">
        <v>5391</v>
      </c>
      <c r="E3365" t="s">
        <v>5455</v>
      </c>
      <c r="F3365" s="125" t="s">
        <v>5455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25" t="str">
        <f>IF(Proc[[#This Row],[Author]]="Marcela Urrego",VLOOKUP(LEFT(Proc[[#This Row],[Requested]],1),Table3[#All],2,0),VLOOKUP(Proc[[#This Row],[Author]],Table4[],2,0))</f>
        <v>MGF</v>
      </c>
      <c r="L3365" s="125" t="s">
        <v>4896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8</v>
      </c>
      <c r="R3365" s="115" t="s">
        <v>1459</v>
      </c>
      <c r="S3365" s="125"/>
    </row>
    <row r="3366" spans="1:19" hidden="1">
      <c r="A3366" s="124" t="s">
        <v>5480</v>
      </c>
      <c r="B3366" s="125" t="str">
        <f>IFERROR(VLOOKUP(Proc[[#This Row],[App]],Table2[],3,0),"open")</f>
        <v>open</v>
      </c>
      <c r="C3366" s="124" t="s">
        <v>369</v>
      </c>
      <c r="D3366" t="s">
        <v>5392</v>
      </c>
      <c r="E3366" t="s">
        <v>5448</v>
      </c>
      <c r="F3366" s="125" t="s">
        <v>5448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25" t="str">
        <f>IF(Proc[[#This Row],[Author]]="Marcela Urrego",VLOOKUP(LEFT(Proc[[#This Row],[Requested]],1),Table3[#All],2,0),VLOOKUP(Proc[[#This Row],[Author]],Table4[],2,0))</f>
        <v>MGF</v>
      </c>
      <c r="L3366" s="125" t="s">
        <v>4896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8</v>
      </c>
      <c r="R3366" s="115" t="s">
        <v>1459</v>
      </c>
      <c r="S3366" s="125"/>
    </row>
    <row r="3367" spans="1:19" hidden="1">
      <c r="A3367" s="124" t="s">
        <v>5480</v>
      </c>
      <c r="B3367" s="125" t="str">
        <f>IFERROR(VLOOKUP(Proc[[#This Row],[App]],Table2[],3,0),"open")</f>
        <v>open</v>
      </c>
      <c r="C3367" s="124" t="s">
        <v>369</v>
      </c>
      <c r="D3367" t="s">
        <v>5393</v>
      </c>
      <c r="E3367" t="s">
        <v>5457</v>
      </c>
      <c r="F3367" s="125" t="s">
        <v>5457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25" t="str">
        <f>IF(Proc[[#This Row],[Author]]="Marcela Urrego",VLOOKUP(LEFT(Proc[[#This Row],[Requested]],1),Table3[#All],2,0),VLOOKUP(Proc[[#This Row],[Author]],Table4[],2,0))</f>
        <v>MGF</v>
      </c>
      <c r="L3367" s="125" t="s">
        <v>4896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8</v>
      </c>
      <c r="R3367" s="115" t="s">
        <v>1459</v>
      </c>
      <c r="S3367" s="125"/>
    </row>
    <row r="3368" spans="1:19" hidden="1">
      <c r="A3368" s="124" t="s">
        <v>5480</v>
      </c>
      <c r="B3368" s="125" t="str">
        <f>IFERROR(VLOOKUP(Proc[[#This Row],[App]],Table2[],3,0),"open")</f>
        <v>open</v>
      </c>
      <c r="C3368" s="124" t="s">
        <v>369</v>
      </c>
      <c r="D3368" t="s">
        <v>5394</v>
      </c>
      <c r="E3368" t="s">
        <v>5455</v>
      </c>
      <c r="F3368" s="125" t="s">
        <v>5455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25" t="str">
        <f>IF(Proc[[#This Row],[Author]]="Marcela Urrego",VLOOKUP(LEFT(Proc[[#This Row],[Requested]],1),Table3[#All],2,0),VLOOKUP(Proc[[#This Row],[Author]],Table4[],2,0))</f>
        <v>MGF</v>
      </c>
      <c r="L3368" s="125" t="s">
        <v>4896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8</v>
      </c>
      <c r="R3368" s="115" t="s">
        <v>1459</v>
      </c>
      <c r="S3368" s="125"/>
    </row>
    <row r="3369" spans="1:19" hidden="1">
      <c r="A3369" s="124" t="s">
        <v>5480</v>
      </c>
      <c r="B3369" s="125" t="str">
        <f>IFERROR(VLOOKUP(Proc[[#This Row],[App]],Table2[],3,0),"open")</f>
        <v>open</v>
      </c>
      <c r="C3369" s="124" t="s">
        <v>369</v>
      </c>
      <c r="D3369" t="s">
        <v>5395</v>
      </c>
      <c r="E3369" t="s">
        <v>5447</v>
      </c>
      <c r="F3369" s="125" t="s">
        <v>5447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25" t="str">
        <f>IF(Proc[[#This Row],[Author]]="Marcela Urrego",VLOOKUP(LEFT(Proc[[#This Row],[Requested]],1),Table3[#All],2,0),VLOOKUP(Proc[[#This Row],[Author]],Table4[],2,0))</f>
        <v>MGF</v>
      </c>
      <c r="L3369" s="125" t="s">
        <v>4896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8</v>
      </c>
      <c r="R3369" s="115" t="s">
        <v>1459</v>
      </c>
      <c r="S3369" s="125"/>
    </row>
    <row r="3370" spans="1:19" hidden="1">
      <c r="A3370" s="124" t="s">
        <v>5480</v>
      </c>
      <c r="B3370" s="125" t="str">
        <f>IFERROR(VLOOKUP(Proc[[#This Row],[App]],Table2[],3,0),"open")</f>
        <v>open</v>
      </c>
      <c r="C3370" s="124" t="s">
        <v>369</v>
      </c>
      <c r="D3370" t="s">
        <v>5396</v>
      </c>
      <c r="E3370" t="s">
        <v>5454</v>
      </c>
      <c r="F3370" s="125" t="s">
        <v>5454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25" t="str">
        <f>IF(Proc[[#This Row],[Author]]="Marcela Urrego",VLOOKUP(LEFT(Proc[[#This Row],[Requested]],1),Table3[#All],2,0),VLOOKUP(Proc[[#This Row],[Author]],Table4[],2,0))</f>
        <v>MGF</v>
      </c>
      <c r="L3370" s="125" t="s">
        <v>4896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8</v>
      </c>
      <c r="R3370" s="115" t="s">
        <v>1459</v>
      </c>
      <c r="S3370" s="125"/>
    </row>
    <row r="3371" spans="1:19" hidden="1">
      <c r="A3371" s="124" t="s">
        <v>5480</v>
      </c>
      <c r="B3371" s="125" t="str">
        <f>IFERROR(VLOOKUP(Proc[[#This Row],[App]],Table2[],3,0),"open")</f>
        <v>open</v>
      </c>
      <c r="C3371" s="124" t="s">
        <v>369</v>
      </c>
      <c r="D3371" t="s">
        <v>5397</v>
      </c>
      <c r="E3371" t="s">
        <v>5448</v>
      </c>
      <c r="F3371" s="125" t="s">
        <v>5448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25" t="str">
        <f>IF(Proc[[#This Row],[Author]]="Marcela Urrego",VLOOKUP(LEFT(Proc[[#This Row],[Requested]],1),Table3[#All],2,0),VLOOKUP(Proc[[#This Row],[Author]],Table4[],2,0))</f>
        <v>MGF</v>
      </c>
      <c r="L3371" s="125" t="s">
        <v>4896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8</v>
      </c>
      <c r="R3371" s="115" t="s">
        <v>1459</v>
      </c>
      <c r="S3371" s="125"/>
    </row>
    <row r="3372" spans="1:19" hidden="1">
      <c r="A3372" s="124" t="s">
        <v>5480</v>
      </c>
      <c r="B3372" s="125" t="str">
        <f>IFERROR(VLOOKUP(Proc[[#This Row],[App]],Table2[],3,0),"open")</f>
        <v>open</v>
      </c>
      <c r="C3372" s="124" t="s">
        <v>369</v>
      </c>
      <c r="D3372" t="s">
        <v>5398</v>
      </c>
      <c r="E3372" t="s">
        <v>5447</v>
      </c>
      <c r="F3372" s="125" t="s">
        <v>5447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25" t="str">
        <f>IF(Proc[[#This Row],[Author]]="Marcela Urrego",VLOOKUP(LEFT(Proc[[#This Row],[Requested]],1),Table3[#All],2,0),VLOOKUP(Proc[[#This Row],[Author]],Table4[],2,0))</f>
        <v>MGF</v>
      </c>
      <c r="L3372" s="125" t="s">
        <v>4896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8</v>
      </c>
      <c r="R3372" s="115" t="s">
        <v>1459</v>
      </c>
      <c r="S3372" s="125"/>
    </row>
    <row r="3373" spans="1:19" hidden="1">
      <c r="A3373" s="124" t="s">
        <v>5480</v>
      </c>
      <c r="B3373" s="125" t="str">
        <f>IFERROR(VLOOKUP(Proc[[#This Row],[App]],Table2[],3,0),"open")</f>
        <v>open</v>
      </c>
      <c r="C3373" s="124" t="s">
        <v>369</v>
      </c>
      <c r="D3373" t="s">
        <v>5399</v>
      </c>
      <c r="E3373" t="s">
        <v>5447</v>
      </c>
      <c r="F3373" s="125" t="s">
        <v>5447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25" t="str">
        <f>IF(Proc[[#This Row],[Author]]="Marcela Urrego",VLOOKUP(LEFT(Proc[[#This Row],[Requested]],1),Table3[#All],2,0),VLOOKUP(Proc[[#This Row],[Author]],Table4[],2,0))</f>
        <v>MGF</v>
      </c>
      <c r="L3373" s="125" t="s">
        <v>4896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8</v>
      </c>
      <c r="R3373" s="115" t="s">
        <v>1459</v>
      </c>
      <c r="S3373" s="125"/>
    </row>
    <row r="3374" spans="1:19" hidden="1">
      <c r="A3374" s="124" t="s">
        <v>5480</v>
      </c>
      <c r="B3374" s="125" t="str">
        <f>IFERROR(VLOOKUP(Proc[[#This Row],[App]],Table2[],3,0),"open")</f>
        <v>open</v>
      </c>
      <c r="C3374" s="124" t="s">
        <v>369</v>
      </c>
      <c r="D3374" t="s">
        <v>5400</v>
      </c>
      <c r="E3374" t="s">
        <v>5450</v>
      </c>
      <c r="F3374" s="125" t="s">
        <v>5450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25" t="str">
        <f>IF(Proc[[#This Row],[Author]]="Marcela Urrego",VLOOKUP(LEFT(Proc[[#This Row],[Requested]],1),Table3[#All],2,0),VLOOKUP(Proc[[#This Row],[Author]],Table4[],2,0))</f>
        <v>MGF</v>
      </c>
      <c r="L3374" s="125" t="s">
        <v>4896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8</v>
      </c>
      <c r="R3374" s="115" t="s">
        <v>1459</v>
      </c>
      <c r="S3374" s="125"/>
    </row>
    <row r="3375" spans="1:19" hidden="1">
      <c r="A3375" s="124" t="s">
        <v>5480</v>
      </c>
      <c r="B3375" s="125" t="str">
        <f>IFERROR(VLOOKUP(Proc[[#This Row],[App]],Table2[],3,0),"open")</f>
        <v>open</v>
      </c>
      <c r="C3375" s="124" t="s">
        <v>369</v>
      </c>
      <c r="D3375" t="s">
        <v>5401</v>
      </c>
      <c r="E3375" t="s">
        <v>5450</v>
      </c>
      <c r="F3375" s="125" t="s">
        <v>5450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25" t="str">
        <f>IF(Proc[[#This Row],[Author]]="Marcela Urrego",VLOOKUP(LEFT(Proc[[#This Row],[Requested]],1),Table3[#All],2,0),VLOOKUP(Proc[[#This Row],[Author]],Table4[],2,0))</f>
        <v>MGF</v>
      </c>
      <c r="L3375" s="125" t="s">
        <v>4896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8</v>
      </c>
      <c r="R3375" s="115" t="s">
        <v>1459</v>
      </c>
      <c r="S3375" s="125"/>
    </row>
    <row r="3376" spans="1:19" hidden="1">
      <c r="A3376" s="124" t="s">
        <v>5480</v>
      </c>
      <c r="B3376" s="125" t="str">
        <f>IFERROR(VLOOKUP(Proc[[#This Row],[App]],Table2[],3,0),"open")</f>
        <v>open</v>
      </c>
      <c r="C3376" s="124" t="s">
        <v>369</v>
      </c>
      <c r="D3376" t="s">
        <v>5402</v>
      </c>
      <c r="E3376" t="s">
        <v>5458</v>
      </c>
      <c r="F3376" s="125" t="s">
        <v>5458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25" t="str">
        <f>IF(Proc[[#This Row],[Author]]="Marcela Urrego",VLOOKUP(LEFT(Proc[[#This Row],[Requested]],1),Table3[#All],2,0),VLOOKUP(Proc[[#This Row],[Author]],Table4[],2,0))</f>
        <v>MGF</v>
      </c>
      <c r="L3376" s="125" t="s">
        <v>4896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8</v>
      </c>
      <c r="R3376" s="115" t="s">
        <v>1459</v>
      </c>
      <c r="S3376" s="125"/>
    </row>
    <row r="3377" spans="1:19" hidden="1">
      <c r="A3377" s="124" t="s">
        <v>5480</v>
      </c>
      <c r="B3377" s="125" t="str">
        <f>IFERROR(VLOOKUP(Proc[[#This Row],[App]],Table2[],3,0),"open")</f>
        <v>open</v>
      </c>
      <c r="C3377" s="124" t="s">
        <v>369</v>
      </c>
      <c r="D3377" t="s">
        <v>5403</v>
      </c>
      <c r="E3377" t="s">
        <v>5466</v>
      </c>
      <c r="F3377" s="125" t="s">
        <v>5466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25" t="str">
        <f>IF(Proc[[#This Row],[Author]]="Marcela Urrego",VLOOKUP(LEFT(Proc[[#This Row],[Requested]],1),Table3[#All],2,0),VLOOKUP(Proc[[#This Row],[Author]],Table4[],2,0))</f>
        <v>MGF</v>
      </c>
      <c r="L3377" s="125" t="s">
        <v>4896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8</v>
      </c>
      <c r="R3377" s="115" t="s">
        <v>1459</v>
      </c>
      <c r="S3377" s="125"/>
    </row>
    <row r="3378" spans="1:19" hidden="1">
      <c r="A3378" s="124" t="s">
        <v>5480</v>
      </c>
      <c r="B3378" s="125" t="str">
        <f>IFERROR(VLOOKUP(Proc[[#This Row],[App]],Table2[],3,0),"open")</f>
        <v>open</v>
      </c>
      <c r="C3378" s="124" t="s">
        <v>369</v>
      </c>
      <c r="D3378" t="s">
        <v>5404</v>
      </c>
      <c r="E3378" t="s">
        <v>5458</v>
      </c>
      <c r="F3378" s="125" t="s">
        <v>5458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25" t="str">
        <f>IF(Proc[[#This Row],[Author]]="Marcela Urrego",VLOOKUP(LEFT(Proc[[#This Row],[Requested]],1),Table3[#All],2,0),VLOOKUP(Proc[[#This Row],[Author]],Table4[],2,0))</f>
        <v>MGF</v>
      </c>
      <c r="L3378" s="125" t="s">
        <v>4896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8</v>
      </c>
      <c r="R3378" s="115" t="s">
        <v>1459</v>
      </c>
      <c r="S3378" s="125"/>
    </row>
    <row r="3379" spans="1:19" hidden="1">
      <c r="A3379" s="124" t="s">
        <v>5480</v>
      </c>
      <c r="B3379" s="125" t="str">
        <f>IFERROR(VLOOKUP(Proc[[#This Row],[App]],Table2[],3,0),"open")</f>
        <v>open</v>
      </c>
      <c r="C3379" s="124" t="s">
        <v>369</v>
      </c>
      <c r="D3379" t="s">
        <v>4830</v>
      </c>
      <c r="E3379" t="s">
        <v>5475</v>
      </c>
      <c r="F3379" s="125" t="s">
        <v>5475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25" t="str">
        <f>IF(Proc[[#This Row],[Author]]="Marcela Urrego",VLOOKUP(LEFT(Proc[[#This Row],[Requested]],1),Table3[#All],2,0),VLOOKUP(Proc[[#This Row],[Author]],Table4[],2,0))</f>
        <v>MGF</v>
      </c>
      <c r="L3379" s="125" t="s">
        <v>4896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8</v>
      </c>
      <c r="R3379" s="115" t="s">
        <v>1459</v>
      </c>
      <c r="S3379" s="125"/>
    </row>
    <row r="3380" spans="1:19" hidden="1">
      <c r="A3380" s="124" t="s">
        <v>5480</v>
      </c>
      <c r="B3380" s="125" t="str">
        <f>IFERROR(VLOOKUP(Proc[[#This Row],[App]],Table2[],3,0),"open")</f>
        <v>open</v>
      </c>
      <c r="C3380" s="124" t="s">
        <v>369</v>
      </c>
      <c r="D3380" t="s">
        <v>5405</v>
      </c>
      <c r="E3380" t="s">
        <v>5475</v>
      </c>
      <c r="F3380" s="125" t="s">
        <v>5475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25" t="str">
        <f>IF(Proc[[#This Row],[Author]]="Marcela Urrego",VLOOKUP(LEFT(Proc[[#This Row],[Requested]],1),Table3[#All],2,0),VLOOKUP(Proc[[#This Row],[Author]],Table4[],2,0))</f>
        <v>MGF</v>
      </c>
      <c r="L3380" s="125" t="s">
        <v>4896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8</v>
      </c>
      <c r="R3380" s="115" t="s">
        <v>1459</v>
      </c>
      <c r="S3380" s="125"/>
    </row>
    <row r="3381" spans="1:19" hidden="1">
      <c r="A3381" s="124" t="s">
        <v>5480</v>
      </c>
      <c r="B3381" s="125" t="str">
        <f>IFERROR(VLOOKUP(Proc[[#This Row],[App]],Table2[],3,0),"open")</f>
        <v>open</v>
      </c>
      <c r="C3381" s="124" t="s">
        <v>369</v>
      </c>
      <c r="D3381" t="s">
        <v>5406</v>
      </c>
      <c r="E3381" t="s">
        <v>5451</v>
      </c>
      <c r="F3381" s="125" t="s">
        <v>5451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25" t="str">
        <f>IF(Proc[[#This Row],[Author]]="Marcela Urrego",VLOOKUP(LEFT(Proc[[#This Row],[Requested]],1),Table3[#All],2,0),VLOOKUP(Proc[[#This Row],[Author]],Table4[],2,0))</f>
        <v>MGF</v>
      </c>
      <c r="L3381" s="125" t="s">
        <v>4896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8</v>
      </c>
      <c r="R3381" s="115" t="s">
        <v>1459</v>
      </c>
      <c r="S3381" s="125"/>
    </row>
    <row r="3382" spans="1:19" hidden="1">
      <c r="A3382" s="124" t="s">
        <v>5480</v>
      </c>
      <c r="B3382" s="125" t="str">
        <f>IFERROR(VLOOKUP(Proc[[#This Row],[App]],Table2[],3,0),"open")</f>
        <v>open</v>
      </c>
      <c r="C3382" s="124" t="s">
        <v>369</v>
      </c>
      <c r="D3382" t="s">
        <v>5407</v>
      </c>
      <c r="E3382" t="s">
        <v>5459</v>
      </c>
      <c r="F3382" s="125" t="s">
        <v>5459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25" t="str">
        <f>IF(Proc[[#This Row],[Author]]="Marcela Urrego",VLOOKUP(LEFT(Proc[[#This Row],[Requested]],1),Table3[#All],2,0),VLOOKUP(Proc[[#This Row],[Author]],Table4[],2,0))</f>
        <v>MGF</v>
      </c>
      <c r="L3382" s="125" t="s">
        <v>4896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8</v>
      </c>
      <c r="R3382" s="115" t="s">
        <v>1459</v>
      </c>
      <c r="S3382" s="125"/>
    </row>
    <row r="3383" spans="1:19" hidden="1">
      <c r="A3383" s="124" t="s">
        <v>5480</v>
      </c>
      <c r="B3383" s="125" t="str">
        <f>IFERROR(VLOOKUP(Proc[[#This Row],[App]],Table2[],3,0),"open")</f>
        <v>open</v>
      </c>
      <c r="C3383" s="124" t="s">
        <v>369</v>
      </c>
      <c r="D3383" t="s">
        <v>5408</v>
      </c>
      <c r="E3383" t="s">
        <v>5475</v>
      </c>
      <c r="F3383" s="125" t="s">
        <v>5475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25" t="str">
        <f>IF(Proc[[#This Row],[Author]]="Marcela Urrego",VLOOKUP(LEFT(Proc[[#This Row],[Requested]],1),Table3[#All],2,0),VLOOKUP(Proc[[#This Row],[Author]],Table4[],2,0))</f>
        <v>MGF</v>
      </c>
      <c r="L3383" s="125" t="s">
        <v>4896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8</v>
      </c>
      <c r="R3383" s="115" t="s">
        <v>1459</v>
      </c>
      <c r="S3383" s="125"/>
    </row>
    <row r="3384" spans="1:19" hidden="1">
      <c r="A3384" s="124" t="s">
        <v>5480</v>
      </c>
      <c r="B3384" s="125" t="str">
        <f>IFERROR(VLOOKUP(Proc[[#This Row],[App]],Table2[],3,0),"open")</f>
        <v>open</v>
      </c>
      <c r="C3384" s="124" t="s">
        <v>369</v>
      </c>
      <c r="D3384" t="s">
        <v>5409</v>
      </c>
      <c r="E3384" t="s">
        <v>5457</v>
      </c>
      <c r="F3384" s="125" t="s">
        <v>5457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25" t="str">
        <f>IF(Proc[[#This Row],[Author]]="Marcela Urrego",VLOOKUP(LEFT(Proc[[#This Row],[Requested]],1),Table3[#All],2,0),VLOOKUP(Proc[[#This Row],[Author]],Table4[],2,0))</f>
        <v>MGF</v>
      </c>
      <c r="L3384" s="125" t="s">
        <v>4896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8</v>
      </c>
      <c r="R3384" s="115" t="s">
        <v>1459</v>
      </c>
      <c r="S3384" s="125"/>
    </row>
    <row r="3385" spans="1:19" hidden="1">
      <c r="A3385" s="124" t="s">
        <v>5480</v>
      </c>
      <c r="B3385" s="125" t="str">
        <f>IFERROR(VLOOKUP(Proc[[#This Row],[App]],Table2[],3,0),"open")</f>
        <v>open</v>
      </c>
      <c r="C3385" s="124" t="s">
        <v>369</v>
      </c>
      <c r="D3385" t="s">
        <v>5410</v>
      </c>
      <c r="E3385" t="s">
        <v>5452</v>
      </c>
      <c r="F3385" s="125" t="s">
        <v>5452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25" t="str">
        <f>IF(Proc[[#This Row],[Author]]="Marcela Urrego",VLOOKUP(LEFT(Proc[[#This Row],[Requested]],1),Table3[#All],2,0),VLOOKUP(Proc[[#This Row],[Author]],Table4[],2,0))</f>
        <v>MGF</v>
      </c>
      <c r="L3385" s="125" t="s">
        <v>4896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8</v>
      </c>
      <c r="R3385" s="115" t="s">
        <v>1459</v>
      </c>
      <c r="S3385" s="125"/>
    </row>
    <row r="3386" spans="1:19" hidden="1">
      <c r="A3386" s="124" t="s">
        <v>5480</v>
      </c>
      <c r="B3386" s="125" t="str">
        <f>IFERROR(VLOOKUP(Proc[[#This Row],[App]],Table2[],3,0),"open")</f>
        <v>open</v>
      </c>
      <c r="C3386" s="124" t="s">
        <v>369</v>
      </c>
      <c r="D3386" t="s">
        <v>5411</v>
      </c>
      <c r="E3386" t="s">
        <v>5458</v>
      </c>
      <c r="F3386" s="125" t="s">
        <v>5458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25" t="str">
        <f>IF(Proc[[#This Row],[Author]]="Marcela Urrego",VLOOKUP(LEFT(Proc[[#This Row],[Requested]],1),Table3[#All],2,0),VLOOKUP(Proc[[#This Row],[Author]],Table4[],2,0))</f>
        <v>MGF</v>
      </c>
      <c r="L3386" s="125" t="s">
        <v>4896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8</v>
      </c>
      <c r="R3386" s="115" t="s">
        <v>1459</v>
      </c>
      <c r="S3386" s="125"/>
    </row>
    <row r="3387" spans="1:19" hidden="1">
      <c r="A3387" s="124" t="s">
        <v>5480</v>
      </c>
      <c r="B3387" s="125" t="str">
        <f>IFERROR(VLOOKUP(Proc[[#This Row],[App]],Table2[],3,0),"open")</f>
        <v>open</v>
      </c>
      <c r="C3387" s="124" t="s">
        <v>369</v>
      </c>
      <c r="D3387" t="s">
        <v>5412</v>
      </c>
      <c r="E3387" t="s">
        <v>5458</v>
      </c>
      <c r="F3387" s="125" t="s">
        <v>5458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25" t="str">
        <f>IF(Proc[[#This Row],[Author]]="Marcela Urrego",VLOOKUP(LEFT(Proc[[#This Row],[Requested]],1),Table3[#All],2,0),VLOOKUP(Proc[[#This Row],[Author]],Table4[],2,0))</f>
        <v>MGF</v>
      </c>
      <c r="L3387" s="125" t="s">
        <v>4896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8</v>
      </c>
      <c r="R3387" s="115" t="s">
        <v>1459</v>
      </c>
      <c r="S3387" s="125"/>
    </row>
    <row r="3388" spans="1:19" hidden="1">
      <c r="A3388" s="124" t="s">
        <v>5480</v>
      </c>
      <c r="B3388" s="125" t="str">
        <f>IFERROR(VLOOKUP(Proc[[#This Row],[App]],Table2[],3,0),"open")</f>
        <v>open</v>
      </c>
      <c r="C3388" s="124" t="s">
        <v>369</v>
      </c>
      <c r="D3388" t="s">
        <v>5413</v>
      </c>
      <c r="E3388" t="s">
        <v>5476</v>
      </c>
      <c r="F3388" s="125" t="s">
        <v>5476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25" t="str">
        <f>IF(Proc[[#This Row],[Author]]="Marcela Urrego",VLOOKUP(LEFT(Proc[[#This Row],[Requested]],1),Table3[#All],2,0),VLOOKUP(Proc[[#This Row],[Author]],Table4[],2,0))</f>
        <v>MGF</v>
      </c>
      <c r="L3388" s="125" t="s">
        <v>4896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8</v>
      </c>
      <c r="R3388" s="115" t="s">
        <v>1459</v>
      </c>
      <c r="S3388" s="125"/>
    </row>
    <row r="3389" spans="1:19" hidden="1">
      <c r="A3389" s="124" t="s">
        <v>5480</v>
      </c>
      <c r="B3389" s="125" t="str">
        <f>IFERROR(VLOOKUP(Proc[[#This Row],[App]],Table2[],3,0),"open")</f>
        <v>open</v>
      </c>
      <c r="C3389" s="124" t="s">
        <v>369</v>
      </c>
      <c r="D3389" t="s">
        <v>5414</v>
      </c>
      <c r="E3389" t="s">
        <v>5458</v>
      </c>
      <c r="F3389" s="125" t="s">
        <v>5458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25" t="str">
        <f>IF(Proc[[#This Row],[Author]]="Marcela Urrego",VLOOKUP(LEFT(Proc[[#This Row],[Requested]],1),Table3[#All],2,0),VLOOKUP(Proc[[#This Row],[Author]],Table4[],2,0))</f>
        <v>MGF</v>
      </c>
      <c r="L3389" s="125" t="s">
        <v>4896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8</v>
      </c>
      <c r="R3389" s="115" t="s">
        <v>1459</v>
      </c>
      <c r="S3389" s="125"/>
    </row>
    <row r="3390" spans="1:19" hidden="1">
      <c r="A3390" s="124" t="s">
        <v>5480</v>
      </c>
      <c r="B3390" s="125" t="str">
        <f>IFERROR(VLOOKUP(Proc[[#This Row],[App]],Table2[],3,0),"open")</f>
        <v>open</v>
      </c>
      <c r="C3390" s="124" t="s">
        <v>369</v>
      </c>
      <c r="D3390" t="s">
        <v>5415</v>
      </c>
      <c r="E3390" t="s">
        <v>5458</v>
      </c>
      <c r="F3390" s="125" t="s">
        <v>5458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25" t="str">
        <f>IF(Proc[[#This Row],[Author]]="Marcela Urrego",VLOOKUP(LEFT(Proc[[#This Row],[Requested]],1),Table3[#All],2,0),VLOOKUP(Proc[[#This Row],[Author]],Table4[],2,0))</f>
        <v>MGF</v>
      </c>
      <c r="L3390" s="125" t="s">
        <v>4896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8</v>
      </c>
      <c r="R3390" s="115" t="s">
        <v>1459</v>
      </c>
      <c r="S3390" s="125"/>
    </row>
    <row r="3391" spans="1:19" hidden="1">
      <c r="A3391" s="124" t="s">
        <v>5480</v>
      </c>
      <c r="B3391" s="125" t="str">
        <f>IFERROR(VLOOKUP(Proc[[#This Row],[App]],Table2[],3,0),"open")</f>
        <v>open</v>
      </c>
      <c r="C3391" s="124" t="s">
        <v>369</v>
      </c>
      <c r="D3391" t="s">
        <v>5416</v>
      </c>
      <c r="E3391" t="s">
        <v>5458</v>
      </c>
      <c r="F3391" s="125" t="s">
        <v>5458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25" t="str">
        <f>IF(Proc[[#This Row],[Author]]="Marcela Urrego",VLOOKUP(LEFT(Proc[[#This Row],[Requested]],1),Table3[#All],2,0),VLOOKUP(Proc[[#This Row],[Author]],Table4[],2,0))</f>
        <v>MGF</v>
      </c>
      <c r="L3391" s="125" t="s">
        <v>4896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8</v>
      </c>
      <c r="R3391" s="115" t="s">
        <v>1459</v>
      </c>
      <c r="S3391" s="125"/>
    </row>
    <row r="3392" spans="1:19" hidden="1">
      <c r="A3392" s="124" t="s">
        <v>5480</v>
      </c>
      <c r="B3392" s="125" t="str">
        <f>IFERROR(VLOOKUP(Proc[[#This Row],[App]],Table2[],3,0),"open")</f>
        <v>open</v>
      </c>
      <c r="C3392" s="124" t="s">
        <v>369</v>
      </c>
      <c r="D3392" t="s">
        <v>5417</v>
      </c>
      <c r="E3392" t="s">
        <v>5477</v>
      </c>
      <c r="F3392" s="125" t="s">
        <v>5477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25" t="str">
        <f>IF(Proc[[#This Row],[Author]]="Marcela Urrego",VLOOKUP(LEFT(Proc[[#This Row],[Requested]],1),Table3[#All],2,0),VLOOKUP(Proc[[#This Row],[Author]],Table4[],2,0))</f>
        <v>MGF</v>
      </c>
      <c r="L3392" s="125" t="s">
        <v>4896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8</v>
      </c>
      <c r="R3392" s="115" t="s">
        <v>1459</v>
      </c>
      <c r="S3392" s="125"/>
    </row>
    <row r="3393" spans="1:19" hidden="1">
      <c r="A3393" s="124" t="s">
        <v>5480</v>
      </c>
      <c r="B3393" s="125" t="str">
        <f>IFERROR(VLOOKUP(Proc[[#This Row],[App]],Table2[],3,0),"open")</f>
        <v>open</v>
      </c>
      <c r="C3393" s="124" t="s">
        <v>369</v>
      </c>
      <c r="D3393" t="s">
        <v>5418</v>
      </c>
      <c r="E3393" t="s">
        <v>5458</v>
      </c>
      <c r="F3393" s="125" t="s">
        <v>5458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25" t="str">
        <f>IF(Proc[[#This Row],[Author]]="Marcela Urrego",VLOOKUP(LEFT(Proc[[#This Row],[Requested]],1),Table3[#All],2,0),VLOOKUP(Proc[[#This Row],[Author]],Table4[],2,0))</f>
        <v>MGF</v>
      </c>
      <c r="L3393" s="125" t="s">
        <v>4896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8</v>
      </c>
      <c r="R3393" s="115" t="s">
        <v>1459</v>
      </c>
      <c r="S3393" s="125"/>
    </row>
    <row r="3394" spans="1:19" hidden="1">
      <c r="A3394" s="124" t="s">
        <v>5480</v>
      </c>
      <c r="B3394" s="125" t="str">
        <f>IFERROR(VLOOKUP(Proc[[#This Row],[App]],Table2[],3,0),"open")</f>
        <v>open</v>
      </c>
      <c r="C3394" s="124" t="s">
        <v>369</v>
      </c>
      <c r="D3394" t="s">
        <v>5419</v>
      </c>
      <c r="E3394" t="s">
        <v>5458</v>
      </c>
      <c r="F3394" s="125" t="s">
        <v>5458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25" t="str">
        <f>IF(Proc[[#This Row],[Author]]="Marcela Urrego",VLOOKUP(LEFT(Proc[[#This Row],[Requested]],1),Table3[#All],2,0),VLOOKUP(Proc[[#This Row],[Author]],Table4[],2,0))</f>
        <v>MGF</v>
      </c>
      <c r="L3394" s="125" t="s">
        <v>4896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8</v>
      </c>
      <c r="R3394" s="115" t="s">
        <v>1459</v>
      </c>
      <c r="S3394" s="125"/>
    </row>
    <row r="3395" spans="1:19" hidden="1">
      <c r="A3395" s="124" t="s">
        <v>5480</v>
      </c>
      <c r="B3395" s="125" t="str">
        <f>IFERROR(VLOOKUP(Proc[[#This Row],[App]],Table2[],3,0),"open")</f>
        <v>open</v>
      </c>
      <c r="C3395" s="124" t="s">
        <v>369</v>
      </c>
      <c r="D3395" t="s">
        <v>5420</v>
      </c>
      <c r="E3395" t="s">
        <v>5450</v>
      </c>
      <c r="F3395" s="125" t="s">
        <v>5450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25" t="str">
        <f>IF(Proc[[#This Row],[Author]]="Marcela Urrego",VLOOKUP(LEFT(Proc[[#This Row],[Requested]],1),Table3[#All],2,0),VLOOKUP(Proc[[#This Row],[Author]],Table4[],2,0))</f>
        <v>MGF</v>
      </c>
      <c r="L3395" s="125" t="s">
        <v>4896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8</v>
      </c>
      <c r="R3395" s="115" t="s">
        <v>1459</v>
      </c>
      <c r="S3395" s="125"/>
    </row>
    <row r="3396" spans="1:19" hidden="1">
      <c r="A3396" s="124" t="s">
        <v>5480</v>
      </c>
      <c r="B3396" s="125" t="str">
        <f>IFERROR(VLOOKUP(Proc[[#This Row],[App]],Table2[],3,0),"open")</f>
        <v>open</v>
      </c>
      <c r="C3396" s="124" t="s">
        <v>369</v>
      </c>
      <c r="D3396" t="s">
        <v>5421</v>
      </c>
      <c r="E3396" t="s">
        <v>5466</v>
      </c>
      <c r="F3396" s="125" t="s">
        <v>5466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25" t="str">
        <f>IF(Proc[[#This Row],[Author]]="Marcela Urrego",VLOOKUP(LEFT(Proc[[#This Row],[Requested]],1),Table3[#All],2,0),VLOOKUP(Proc[[#This Row],[Author]],Table4[],2,0))</f>
        <v>MGF</v>
      </c>
      <c r="L3396" s="125" t="s">
        <v>4896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8</v>
      </c>
      <c r="R3396" s="115" t="s">
        <v>1459</v>
      </c>
      <c r="S3396" s="125"/>
    </row>
    <row r="3397" spans="1:19" hidden="1">
      <c r="A3397" s="124" t="s">
        <v>5480</v>
      </c>
      <c r="B3397" s="125" t="str">
        <f>IFERROR(VLOOKUP(Proc[[#This Row],[App]],Table2[],3,0),"open")</f>
        <v>open</v>
      </c>
      <c r="C3397" s="124" t="s">
        <v>369</v>
      </c>
      <c r="D3397" t="s">
        <v>5422</v>
      </c>
      <c r="E3397" t="s">
        <v>5449</v>
      </c>
      <c r="F3397" s="125" t="s">
        <v>5449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25" t="str">
        <f>IF(Proc[[#This Row],[Author]]="Marcela Urrego",VLOOKUP(LEFT(Proc[[#This Row],[Requested]],1),Table3[#All],2,0),VLOOKUP(Proc[[#This Row],[Author]],Table4[],2,0))</f>
        <v>MGF</v>
      </c>
      <c r="L3397" s="125" t="s">
        <v>4896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8</v>
      </c>
      <c r="R3397" s="115" t="s">
        <v>1459</v>
      </c>
      <c r="S3397" s="125"/>
    </row>
    <row r="3398" spans="1:19" hidden="1">
      <c r="A3398" s="124" t="s">
        <v>5480</v>
      </c>
      <c r="B3398" s="125" t="str">
        <f>IFERROR(VLOOKUP(Proc[[#This Row],[App]],Table2[],3,0),"open")</f>
        <v>open</v>
      </c>
      <c r="C3398" s="124" t="s">
        <v>369</v>
      </c>
      <c r="D3398" t="s">
        <v>5423</v>
      </c>
      <c r="E3398" t="s">
        <v>5466</v>
      </c>
      <c r="F3398" s="125" t="s">
        <v>5466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25" t="str">
        <f>IF(Proc[[#This Row],[Author]]="Marcela Urrego",VLOOKUP(LEFT(Proc[[#This Row],[Requested]],1),Table3[#All],2,0),VLOOKUP(Proc[[#This Row],[Author]],Table4[],2,0))</f>
        <v>MGF</v>
      </c>
      <c r="L3398" s="125" t="s">
        <v>4896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8</v>
      </c>
      <c r="R3398" s="115" t="s">
        <v>1459</v>
      </c>
      <c r="S3398" s="125"/>
    </row>
    <row r="3399" spans="1:19" hidden="1">
      <c r="A3399" s="124" t="s">
        <v>5480</v>
      </c>
      <c r="B3399" s="125" t="str">
        <f>IFERROR(VLOOKUP(Proc[[#This Row],[App]],Table2[],3,0),"open")</f>
        <v>open</v>
      </c>
      <c r="C3399" s="124" t="s">
        <v>369</v>
      </c>
      <c r="D3399" t="s">
        <v>5424</v>
      </c>
      <c r="E3399" t="s">
        <v>5448</v>
      </c>
      <c r="F3399" s="125" t="s">
        <v>5448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25" t="str">
        <f>IF(Proc[[#This Row],[Author]]="Marcela Urrego",VLOOKUP(LEFT(Proc[[#This Row],[Requested]],1),Table3[#All],2,0),VLOOKUP(Proc[[#This Row],[Author]],Table4[],2,0))</f>
        <v>MGF</v>
      </c>
      <c r="L3399" s="125" t="s">
        <v>4896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8</v>
      </c>
      <c r="R3399" s="115" t="s">
        <v>1459</v>
      </c>
      <c r="S3399" s="125"/>
    </row>
    <row r="3400" spans="1:19" hidden="1">
      <c r="A3400" s="124" t="s">
        <v>5480</v>
      </c>
      <c r="B3400" s="125" t="str">
        <f>IFERROR(VLOOKUP(Proc[[#This Row],[App]],Table2[],3,0),"open")</f>
        <v>open</v>
      </c>
      <c r="C3400" s="124" t="s">
        <v>369</v>
      </c>
      <c r="D3400" t="s">
        <v>5425</v>
      </c>
      <c r="E3400" t="s">
        <v>5469</v>
      </c>
      <c r="F3400" s="125" t="s">
        <v>5469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25" t="str">
        <f>IF(Proc[[#This Row],[Author]]="Marcela Urrego",VLOOKUP(LEFT(Proc[[#This Row],[Requested]],1),Table3[#All],2,0),VLOOKUP(Proc[[#This Row],[Author]],Table4[],2,0))</f>
        <v>MGF</v>
      </c>
      <c r="L3400" s="125" t="s">
        <v>4896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8</v>
      </c>
      <c r="R3400" s="115" t="s">
        <v>1459</v>
      </c>
      <c r="S3400" s="125"/>
    </row>
    <row r="3401" spans="1:19" hidden="1">
      <c r="A3401" s="124" t="s">
        <v>5480</v>
      </c>
      <c r="B3401" s="125" t="str">
        <f>IFERROR(VLOOKUP(Proc[[#This Row],[App]],Table2[],3,0),"open")</f>
        <v>open</v>
      </c>
      <c r="C3401" s="124" t="s">
        <v>369</v>
      </c>
      <c r="D3401" t="s">
        <v>5426</v>
      </c>
      <c r="E3401" t="s">
        <v>5447</v>
      </c>
      <c r="F3401" s="125" t="s">
        <v>5447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25" t="str">
        <f>IF(Proc[[#This Row],[Author]]="Marcela Urrego",VLOOKUP(LEFT(Proc[[#This Row],[Requested]],1),Table3[#All],2,0),VLOOKUP(Proc[[#This Row],[Author]],Table4[],2,0))</f>
        <v>MGF</v>
      </c>
      <c r="L3401" s="125" t="s">
        <v>4896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8</v>
      </c>
      <c r="R3401" s="115" t="s">
        <v>1459</v>
      </c>
      <c r="S3401" s="125"/>
    </row>
    <row r="3402" spans="1:19" hidden="1">
      <c r="A3402" s="124" t="s">
        <v>5480</v>
      </c>
      <c r="B3402" s="125" t="str">
        <f>IFERROR(VLOOKUP(Proc[[#This Row],[App]],Table2[],3,0),"open")</f>
        <v>open</v>
      </c>
      <c r="C3402" s="124" t="s">
        <v>369</v>
      </c>
      <c r="D3402" t="s">
        <v>5427</v>
      </c>
      <c r="E3402" t="s">
        <v>5466</v>
      </c>
      <c r="F3402" s="125" t="s">
        <v>5466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25" t="str">
        <f>IF(Proc[[#This Row],[Author]]="Marcela Urrego",VLOOKUP(LEFT(Proc[[#This Row],[Requested]],1),Table3[#All],2,0),VLOOKUP(Proc[[#This Row],[Author]],Table4[],2,0))</f>
        <v>MGF</v>
      </c>
      <c r="L3402" s="125" t="s">
        <v>4896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8</v>
      </c>
      <c r="R3402" s="115" t="s">
        <v>1459</v>
      </c>
      <c r="S3402" s="125"/>
    </row>
    <row r="3403" spans="1:19" hidden="1">
      <c r="A3403" s="124" t="s">
        <v>5480</v>
      </c>
      <c r="B3403" s="125" t="str">
        <f>IFERROR(VLOOKUP(Proc[[#This Row],[App]],Table2[],3,0),"open")</f>
        <v>open</v>
      </c>
      <c r="C3403" s="124" t="s">
        <v>369</v>
      </c>
      <c r="D3403" t="s">
        <v>5428</v>
      </c>
      <c r="E3403" t="s">
        <v>5475</v>
      </c>
      <c r="F3403" s="125" t="s">
        <v>5475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25" t="str">
        <f>IF(Proc[[#This Row],[Author]]="Marcela Urrego",VLOOKUP(LEFT(Proc[[#This Row],[Requested]],1),Table3[#All],2,0),VLOOKUP(Proc[[#This Row],[Author]],Table4[],2,0))</f>
        <v>MGF</v>
      </c>
      <c r="L3403" s="125" t="s">
        <v>4896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8</v>
      </c>
      <c r="R3403" s="115" t="s">
        <v>1459</v>
      </c>
      <c r="S3403" s="125"/>
    </row>
    <row r="3404" spans="1:19" hidden="1">
      <c r="A3404" s="124" t="s">
        <v>5480</v>
      </c>
      <c r="B3404" s="125" t="str">
        <f>IFERROR(VLOOKUP(Proc[[#This Row],[App]],Table2[],3,0),"open")</f>
        <v>open</v>
      </c>
      <c r="C3404" s="124" t="s">
        <v>369</v>
      </c>
      <c r="D3404" t="s">
        <v>5429</v>
      </c>
      <c r="E3404" t="s">
        <v>5448</v>
      </c>
      <c r="F3404" s="125" t="s">
        <v>5448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25" t="str">
        <f>IF(Proc[[#This Row],[Author]]="Marcela Urrego",VLOOKUP(LEFT(Proc[[#This Row],[Requested]],1),Table3[#All],2,0),VLOOKUP(Proc[[#This Row],[Author]],Table4[],2,0))</f>
        <v>MGF</v>
      </c>
      <c r="L3404" s="125" t="s">
        <v>4896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8</v>
      </c>
      <c r="R3404" s="115" t="s">
        <v>1459</v>
      </c>
      <c r="S3404" s="125"/>
    </row>
    <row r="3405" spans="1:19" hidden="1">
      <c r="A3405" s="124" t="s">
        <v>5480</v>
      </c>
      <c r="B3405" s="125" t="str">
        <f>IFERROR(VLOOKUP(Proc[[#This Row],[App]],Table2[],3,0),"open")</f>
        <v>open</v>
      </c>
      <c r="C3405" s="124" t="s">
        <v>369</v>
      </c>
      <c r="D3405" t="s">
        <v>5430</v>
      </c>
      <c r="E3405" t="s">
        <v>5455</v>
      </c>
      <c r="F3405" s="125" t="s">
        <v>5455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25" t="str">
        <f>IF(Proc[[#This Row],[Author]]="Marcela Urrego",VLOOKUP(LEFT(Proc[[#This Row],[Requested]],1),Table3[#All],2,0),VLOOKUP(Proc[[#This Row],[Author]],Table4[],2,0))</f>
        <v>MGF</v>
      </c>
      <c r="L3405" s="125" t="s">
        <v>4896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8</v>
      </c>
      <c r="R3405" s="115" t="s">
        <v>1459</v>
      </c>
      <c r="S3405" s="125"/>
    </row>
    <row r="3406" spans="1:19" hidden="1">
      <c r="A3406" s="124" t="s">
        <v>5480</v>
      </c>
      <c r="B3406" s="125" t="str">
        <f>IFERROR(VLOOKUP(Proc[[#This Row],[App]],Table2[],3,0),"open")</f>
        <v>open</v>
      </c>
      <c r="C3406" s="124" t="s">
        <v>369</v>
      </c>
      <c r="D3406" t="s">
        <v>5431</v>
      </c>
      <c r="E3406" t="s">
        <v>5455</v>
      </c>
      <c r="F3406" s="125" t="s">
        <v>5455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25" t="str">
        <f>IF(Proc[[#This Row],[Author]]="Marcela Urrego",VLOOKUP(LEFT(Proc[[#This Row],[Requested]],1),Table3[#All],2,0),VLOOKUP(Proc[[#This Row],[Author]],Table4[],2,0))</f>
        <v>MGF</v>
      </c>
      <c r="L3406" s="125" t="s">
        <v>4896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8</v>
      </c>
      <c r="R3406" s="115" t="s">
        <v>1459</v>
      </c>
      <c r="S3406" s="125"/>
    </row>
    <row r="3407" spans="1:19" hidden="1">
      <c r="A3407" s="124" t="s">
        <v>5480</v>
      </c>
      <c r="B3407" s="125" t="str">
        <f>IFERROR(VLOOKUP(Proc[[#This Row],[App]],Table2[],3,0),"open")</f>
        <v>open</v>
      </c>
      <c r="C3407" s="124" t="s">
        <v>369</v>
      </c>
      <c r="D3407" t="s">
        <v>5432</v>
      </c>
      <c r="E3407" t="s">
        <v>5466</v>
      </c>
      <c r="F3407" s="125" t="s">
        <v>5466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25" t="str">
        <f>IF(Proc[[#This Row],[Author]]="Marcela Urrego",VLOOKUP(LEFT(Proc[[#This Row],[Requested]],1),Table3[#All],2,0),VLOOKUP(Proc[[#This Row],[Author]],Table4[],2,0))</f>
        <v>MGF</v>
      </c>
      <c r="L3407" s="125" t="s">
        <v>4896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8</v>
      </c>
      <c r="R3407" s="115" t="s">
        <v>1459</v>
      </c>
      <c r="S3407" s="125"/>
    </row>
    <row r="3408" spans="1:19" hidden="1">
      <c r="A3408" s="124" t="s">
        <v>5480</v>
      </c>
      <c r="B3408" s="125" t="str">
        <f>IFERROR(VLOOKUP(Proc[[#This Row],[App]],Table2[],3,0),"open")</f>
        <v>open</v>
      </c>
      <c r="C3408" s="124" t="s">
        <v>369</v>
      </c>
      <c r="D3408" t="s">
        <v>5433</v>
      </c>
      <c r="E3408" t="s">
        <v>5455</v>
      </c>
      <c r="F3408" s="125" t="s">
        <v>5455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25" t="str">
        <f>IF(Proc[[#This Row],[Author]]="Marcela Urrego",VLOOKUP(LEFT(Proc[[#This Row],[Requested]],1),Table3[#All],2,0),VLOOKUP(Proc[[#This Row],[Author]],Table4[],2,0))</f>
        <v>MGF</v>
      </c>
      <c r="L3408" s="125" t="s">
        <v>4896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8</v>
      </c>
      <c r="R3408" s="115" t="s">
        <v>1459</v>
      </c>
      <c r="S3408" s="125"/>
    </row>
    <row r="3409" spans="1:19" hidden="1">
      <c r="A3409" s="124" t="s">
        <v>5480</v>
      </c>
      <c r="B3409" s="125" t="str">
        <f>IFERROR(VLOOKUP(Proc[[#This Row],[App]],Table2[],3,0),"open")</f>
        <v>open</v>
      </c>
      <c r="C3409" s="124" t="s">
        <v>369</v>
      </c>
      <c r="D3409" t="s">
        <v>5434</v>
      </c>
      <c r="E3409" t="s">
        <v>5449</v>
      </c>
      <c r="F3409" s="125" t="s">
        <v>5449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25" t="str">
        <f>IF(Proc[[#This Row],[Author]]="Marcela Urrego",VLOOKUP(LEFT(Proc[[#This Row],[Requested]],1),Table3[#All],2,0),VLOOKUP(Proc[[#This Row],[Author]],Table4[],2,0))</f>
        <v>MGF</v>
      </c>
      <c r="L3409" s="125" t="s">
        <v>4896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8</v>
      </c>
      <c r="R3409" s="115" t="s">
        <v>1459</v>
      </c>
      <c r="S3409" s="125"/>
    </row>
    <row r="3410" spans="1:19" hidden="1">
      <c r="A3410" s="124" t="s">
        <v>5480</v>
      </c>
      <c r="B3410" s="125" t="str">
        <f>IFERROR(VLOOKUP(Proc[[#This Row],[App]],Table2[],3,0),"open")</f>
        <v>open</v>
      </c>
      <c r="C3410" s="124" t="s">
        <v>369</v>
      </c>
      <c r="D3410" t="s">
        <v>5435</v>
      </c>
      <c r="E3410" t="s">
        <v>5449</v>
      </c>
      <c r="F3410" s="125" t="s">
        <v>5449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25" t="str">
        <f>IF(Proc[[#This Row],[Author]]="Marcela Urrego",VLOOKUP(LEFT(Proc[[#This Row],[Requested]],1),Table3[#All],2,0),VLOOKUP(Proc[[#This Row],[Author]],Table4[],2,0))</f>
        <v>MGF</v>
      </c>
      <c r="L3410" s="125" t="s">
        <v>4896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8</v>
      </c>
      <c r="R3410" s="115" t="s">
        <v>1459</v>
      </c>
      <c r="S3410" s="125"/>
    </row>
    <row r="3411" spans="1:19" hidden="1">
      <c r="A3411" s="124" t="s">
        <v>5480</v>
      </c>
      <c r="B3411" s="125" t="str">
        <f>IFERROR(VLOOKUP(Proc[[#This Row],[App]],Table2[],3,0),"open")</f>
        <v>open</v>
      </c>
      <c r="C3411" s="124" t="s">
        <v>369</v>
      </c>
      <c r="D3411" t="s">
        <v>5436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25" t="str">
        <f>IF(Proc[[#This Row],[Author]]="Marcela Urrego",VLOOKUP(LEFT(Proc[[#This Row],[Requested]],1),Table3[#All],2,0),VLOOKUP(Proc[[#This Row],[Author]],Table4[],2,0))</f>
        <v>MGF</v>
      </c>
      <c r="L3411" s="125" t="s">
        <v>4896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8</v>
      </c>
      <c r="R3411" s="115" t="s">
        <v>1459</v>
      </c>
      <c r="S3411" s="125"/>
    </row>
    <row r="3412" spans="1:19" hidden="1">
      <c r="A3412" s="124" t="s">
        <v>5480</v>
      </c>
      <c r="B3412" s="125" t="str">
        <f>IFERROR(VLOOKUP(Proc[[#This Row],[App]],Table2[],3,0),"open")</f>
        <v>open</v>
      </c>
      <c r="C3412" s="124" t="s">
        <v>369</v>
      </c>
      <c r="D3412" t="s">
        <v>5437</v>
      </c>
      <c r="E3412" t="s">
        <v>5448</v>
      </c>
      <c r="F3412" s="125" t="s">
        <v>5448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25" t="str">
        <f>IF(Proc[[#This Row],[Author]]="Marcela Urrego",VLOOKUP(LEFT(Proc[[#This Row],[Requested]],1),Table3[#All],2,0),VLOOKUP(Proc[[#This Row],[Author]],Table4[],2,0))</f>
        <v>MGF</v>
      </c>
      <c r="L3412" s="125" t="s">
        <v>4896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8</v>
      </c>
      <c r="R3412" s="115" t="s">
        <v>1459</v>
      </c>
      <c r="S3412" s="125"/>
    </row>
    <row r="3413" spans="1:19" hidden="1">
      <c r="A3413" s="124" t="s">
        <v>5480</v>
      </c>
      <c r="B3413" s="125" t="str">
        <f>IFERROR(VLOOKUP(Proc[[#This Row],[App]],Table2[],3,0),"open")</f>
        <v>open</v>
      </c>
      <c r="C3413" s="124" t="s">
        <v>369</v>
      </c>
      <c r="D3413" t="s">
        <v>5438</v>
      </c>
      <c r="E3413" t="s">
        <v>5478</v>
      </c>
      <c r="F3413" s="125" t="s">
        <v>5478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25" t="str">
        <f>IF(Proc[[#This Row],[Author]]="Marcela Urrego",VLOOKUP(LEFT(Proc[[#This Row],[Requested]],1),Table3[#All],2,0),VLOOKUP(Proc[[#This Row],[Author]],Table4[],2,0))</f>
        <v>MGF</v>
      </c>
      <c r="L3413" s="125" t="s">
        <v>4896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8</v>
      </c>
      <c r="R3413" s="115" t="s">
        <v>1459</v>
      </c>
      <c r="S3413" s="125"/>
    </row>
    <row r="3414" spans="1:19" hidden="1">
      <c r="A3414" s="124" t="s">
        <v>5480</v>
      </c>
      <c r="B3414" s="125" t="str">
        <f>IFERROR(VLOOKUP(Proc[[#This Row],[App]],Table2[],3,0),"open")</f>
        <v>open</v>
      </c>
      <c r="C3414" s="124" t="s">
        <v>369</v>
      </c>
      <c r="D3414" t="s">
        <v>5439</v>
      </c>
      <c r="E3414" t="s">
        <v>5479</v>
      </c>
      <c r="F3414" s="125" t="s">
        <v>5479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25" t="str">
        <f>IF(Proc[[#This Row],[Author]]="Marcela Urrego",VLOOKUP(LEFT(Proc[[#This Row],[Requested]],1),Table3[#All],2,0),VLOOKUP(Proc[[#This Row],[Author]],Table4[],2,0))</f>
        <v>MGF</v>
      </c>
      <c r="L3414" s="125" t="s">
        <v>4896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8</v>
      </c>
      <c r="R3414" s="115" t="s">
        <v>1459</v>
      </c>
      <c r="S3414" s="125"/>
    </row>
    <row r="3415" spans="1:19" hidden="1">
      <c r="A3415" s="124" t="s">
        <v>5480</v>
      </c>
      <c r="B3415" s="125" t="str">
        <f>IFERROR(VLOOKUP(Proc[[#This Row],[App]],Table2[],3,0),"open")</f>
        <v>open</v>
      </c>
      <c r="C3415" s="124" t="s">
        <v>369</v>
      </c>
      <c r="D3415" t="s">
        <v>5440</v>
      </c>
      <c r="E3415" t="s">
        <v>5478</v>
      </c>
      <c r="F3415" s="125" t="s">
        <v>5478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25" t="str">
        <f>IF(Proc[[#This Row],[Author]]="Marcela Urrego",VLOOKUP(LEFT(Proc[[#This Row],[Requested]],1),Table3[#All],2,0),VLOOKUP(Proc[[#This Row],[Author]],Table4[],2,0))</f>
        <v>MGF</v>
      </c>
      <c r="L3415" s="125" t="s">
        <v>4896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8</v>
      </c>
      <c r="R3415" s="115" t="s">
        <v>1459</v>
      </c>
      <c r="S3415" s="125"/>
    </row>
    <row r="3416" spans="1:19" hidden="1">
      <c r="A3416" s="124" t="s">
        <v>5480</v>
      </c>
      <c r="B3416" s="125" t="str">
        <f>IFERROR(VLOOKUP(Proc[[#This Row],[App]],Table2[],3,0),"open")</f>
        <v>open</v>
      </c>
      <c r="C3416" s="124" t="s">
        <v>369</v>
      </c>
      <c r="D3416" t="s">
        <v>5441</v>
      </c>
      <c r="E3416" t="s">
        <v>5478</v>
      </c>
      <c r="F3416" s="125" t="s">
        <v>5478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25" t="str">
        <f>IF(Proc[[#This Row],[Author]]="Marcela Urrego",VLOOKUP(LEFT(Proc[[#This Row],[Requested]],1),Table3[#All],2,0),VLOOKUP(Proc[[#This Row],[Author]],Table4[],2,0))</f>
        <v>MGF</v>
      </c>
      <c r="L3416" s="125" t="s">
        <v>4896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8</v>
      </c>
      <c r="R3416" s="115" t="s">
        <v>1459</v>
      </c>
      <c r="S3416" s="125"/>
    </row>
    <row r="3417" spans="1:19" hidden="1">
      <c r="A3417" s="124" t="s">
        <v>5480</v>
      </c>
      <c r="B3417" s="125" t="str">
        <f>IFERROR(VLOOKUP(Proc[[#This Row],[App]],Table2[],3,0),"open")</f>
        <v>open</v>
      </c>
      <c r="C3417" s="124" t="s">
        <v>369</v>
      </c>
      <c r="D3417" t="s">
        <v>5442</v>
      </c>
      <c r="E3417" t="s">
        <v>5478</v>
      </c>
      <c r="F3417" s="125" t="s">
        <v>5478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25" t="str">
        <f>IF(Proc[[#This Row],[Author]]="Marcela Urrego",VLOOKUP(LEFT(Proc[[#This Row],[Requested]],1),Table3[#All],2,0),VLOOKUP(Proc[[#This Row],[Author]],Table4[],2,0))</f>
        <v>MGF</v>
      </c>
      <c r="L3417" s="125" t="s">
        <v>4896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8</v>
      </c>
      <c r="R3417" s="115" t="s">
        <v>1459</v>
      </c>
      <c r="S3417" s="125"/>
    </row>
    <row r="3418" spans="1:19" hidden="1">
      <c r="A3418" s="124" t="s">
        <v>5480</v>
      </c>
      <c r="B3418" s="125" t="str">
        <f>IFERROR(VLOOKUP(Proc[[#This Row],[App]],Table2[],3,0),"open")</f>
        <v>open</v>
      </c>
      <c r="C3418" s="124" t="s">
        <v>369</v>
      </c>
      <c r="D3418" t="s">
        <v>5443</v>
      </c>
      <c r="E3418" t="s">
        <v>5478</v>
      </c>
      <c r="F3418" s="125" t="s">
        <v>5478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25" t="str">
        <f>IF(Proc[[#This Row],[Author]]="Marcela Urrego",VLOOKUP(LEFT(Proc[[#This Row],[Requested]],1),Table3[#All],2,0),VLOOKUP(Proc[[#This Row],[Author]],Table4[],2,0))</f>
        <v>MGF</v>
      </c>
      <c r="L3418" s="125" t="s">
        <v>4896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8</v>
      </c>
      <c r="R3418" s="115" t="s">
        <v>1459</v>
      </c>
      <c r="S3418" s="125"/>
    </row>
    <row r="3419" spans="1:19" hidden="1">
      <c r="A3419" s="124" t="s">
        <v>5480</v>
      </c>
      <c r="B3419" s="125" t="str">
        <f>IFERROR(VLOOKUP(Proc[[#This Row],[App]],Table2[],3,0),"open")</f>
        <v>open</v>
      </c>
      <c r="C3419" s="124" t="s">
        <v>369</v>
      </c>
      <c r="D3419" t="s">
        <v>5444</v>
      </c>
      <c r="E3419" t="s">
        <v>5478</v>
      </c>
      <c r="F3419" s="125" t="s">
        <v>5478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25" t="str">
        <f>IF(Proc[[#This Row],[Author]]="Marcela Urrego",VLOOKUP(LEFT(Proc[[#This Row],[Requested]],1),Table3[#All],2,0),VLOOKUP(Proc[[#This Row],[Author]],Table4[],2,0))</f>
        <v>MGF</v>
      </c>
      <c r="L3419" s="125" t="s">
        <v>4896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8</v>
      </c>
      <c r="R3419" s="115" t="s">
        <v>1459</v>
      </c>
      <c r="S3419" s="125"/>
    </row>
    <row r="3420" spans="1:19" hidden="1">
      <c r="A3420" s="124" t="s">
        <v>5480</v>
      </c>
      <c r="B3420" s="125" t="str">
        <f>IFERROR(VLOOKUP(Proc[[#This Row],[App]],Table2[],3,0),"open")</f>
        <v>open</v>
      </c>
      <c r="C3420" s="124" t="s">
        <v>369</v>
      </c>
      <c r="D3420" t="s">
        <v>5445</v>
      </c>
      <c r="E3420" t="s">
        <v>5478</v>
      </c>
      <c r="F3420" s="125" t="s">
        <v>5478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25" t="str">
        <f>IF(Proc[[#This Row],[Author]]="Marcela Urrego",VLOOKUP(LEFT(Proc[[#This Row],[Requested]],1),Table3[#All],2,0),VLOOKUP(Proc[[#This Row],[Author]],Table4[],2,0))</f>
        <v>MGF</v>
      </c>
      <c r="L3420" s="125" t="s">
        <v>4896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8</v>
      </c>
      <c r="R3420" s="115" t="s">
        <v>1459</v>
      </c>
      <c r="S3420" s="125"/>
    </row>
    <row r="3421" spans="1:19" hidden="1">
      <c r="A3421" t="s">
        <v>5495</v>
      </c>
      <c r="B3421" s="125" t="str">
        <f>IFERROR(VLOOKUP(Proc[[#This Row],[App]],Table2[],3,0),"open")</f>
        <v>ok</v>
      </c>
      <c r="C3421" s="124" t="s">
        <v>369</v>
      </c>
      <c r="D3421" t="s">
        <v>5482</v>
      </c>
      <c r="E3421" t="s">
        <v>5496</v>
      </c>
      <c r="F3421" s="125" t="s">
        <v>5496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25" t="str">
        <f>IF(Proc[[#This Row],[Author]]="Marcela Urrego",VLOOKUP(LEFT(Proc[[#This Row],[Requested]],1),Table3[#All],2,0),VLOOKUP(Proc[[#This Row],[Author]],Table4[],2,0))</f>
        <v>HC</v>
      </c>
      <c r="L3421" s="125" t="s">
        <v>4896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8</v>
      </c>
      <c r="R3421" s="115" t="s">
        <v>1013</v>
      </c>
      <c r="S3421" s="125"/>
    </row>
    <row r="3422" spans="1:19" hidden="1">
      <c r="A3422" s="124" t="s">
        <v>5495</v>
      </c>
      <c r="B3422" s="125" t="str">
        <f>IFERROR(VLOOKUP(Proc[[#This Row],[App]],Table2[],3,0),"open")</f>
        <v>ok</v>
      </c>
      <c r="C3422" s="124" t="s">
        <v>369</v>
      </c>
      <c r="D3422" t="s">
        <v>5483</v>
      </c>
      <c r="E3422" t="s">
        <v>5497</v>
      </c>
      <c r="F3422" s="125" t="s">
        <v>5497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25" t="str">
        <f>IF(Proc[[#This Row],[Author]]="Marcela Urrego",VLOOKUP(LEFT(Proc[[#This Row],[Requested]],1),Table3[#All],2,0),VLOOKUP(Proc[[#This Row],[Author]],Table4[],2,0))</f>
        <v>HC</v>
      </c>
      <c r="L3422" s="125" t="s">
        <v>4896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8</v>
      </c>
      <c r="R3422" s="115" t="s">
        <v>1013</v>
      </c>
      <c r="S3422" s="125"/>
    </row>
    <row r="3423" spans="1:19" hidden="1">
      <c r="A3423" s="124" t="s">
        <v>5495</v>
      </c>
      <c r="B3423" s="125" t="str">
        <f>IFERROR(VLOOKUP(Proc[[#This Row],[App]],Table2[],3,0),"open")</f>
        <v>ok</v>
      </c>
      <c r="C3423" s="124" t="s">
        <v>369</v>
      </c>
      <c r="D3423" t="s">
        <v>5484</v>
      </c>
      <c r="E3423" t="s">
        <v>5498</v>
      </c>
      <c r="F3423" s="125" t="s">
        <v>5498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25" t="str">
        <f>IF(Proc[[#This Row],[Author]]="Marcela Urrego",VLOOKUP(LEFT(Proc[[#This Row],[Requested]],1),Table3[#All],2,0),VLOOKUP(Proc[[#This Row],[Author]],Table4[],2,0))</f>
        <v>HC</v>
      </c>
      <c r="L3423" s="125" t="s">
        <v>4896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8</v>
      </c>
      <c r="R3423" s="115" t="s">
        <v>1013</v>
      </c>
      <c r="S3423" s="125"/>
    </row>
    <row r="3424" spans="1:19" hidden="1">
      <c r="A3424" s="124" t="s">
        <v>5495</v>
      </c>
      <c r="B3424" s="125" t="str">
        <f>IFERROR(VLOOKUP(Proc[[#This Row],[App]],Table2[],3,0),"open")</f>
        <v>ok</v>
      </c>
      <c r="C3424" s="124" t="s">
        <v>369</v>
      </c>
      <c r="D3424" t="s">
        <v>5485</v>
      </c>
      <c r="E3424" t="s">
        <v>5499</v>
      </c>
      <c r="F3424" s="125" t="s">
        <v>5499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25" t="str">
        <f>IF(Proc[[#This Row],[Author]]="Marcela Urrego",VLOOKUP(LEFT(Proc[[#This Row],[Requested]],1),Table3[#All],2,0),VLOOKUP(Proc[[#This Row],[Author]],Table4[],2,0))</f>
        <v>HC</v>
      </c>
      <c r="L3424" s="125" t="s">
        <v>4896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8</v>
      </c>
      <c r="R3424" s="115" t="s">
        <v>1013</v>
      </c>
      <c r="S3424" s="125"/>
    </row>
    <row r="3425" spans="1:19" hidden="1">
      <c r="A3425" s="124" t="s">
        <v>5495</v>
      </c>
      <c r="B3425" s="125" t="str">
        <f>IFERROR(VLOOKUP(Proc[[#This Row],[App]],Table2[],3,0),"open")</f>
        <v>ok</v>
      </c>
      <c r="C3425" s="124" t="s">
        <v>369</v>
      </c>
      <c r="D3425" t="s">
        <v>5486</v>
      </c>
      <c r="E3425" t="s">
        <v>5499</v>
      </c>
      <c r="F3425" s="125" t="s">
        <v>5499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25" t="str">
        <f>IF(Proc[[#This Row],[Author]]="Marcela Urrego",VLOOKUP(LEFT(Proc[[#This Row],[Requested]],1),Table3[#All],2,0),VLOOKUP(Proc[[#This Row],[Author]],Table4[],2,0))</f>
        <v>HC</v>
      </c>
      <c r="L3425" s="125" t="s">
        <v>4896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8</v>
      </c>
      <c r="R3425" s="115" t="s">
        <v>1013</v>
      </c>
      <c r="S3425" s="125"/>
    </row>
    <row r="3426" spans="1:19" hidden="1">
      <c r="A3426" s="124" t="s">
        <v>5495</v>
      </c>
      <c r="B3426" s="125" t="str">
        <f>IFERROR(VLOOKUP(Proc[[#This Row],[App]],Table2[],3,0),"open")</f>
        <v>ok</v>
      </c>
      <c r="C3426" s="124" t="s">
        <v>369</v>
      </c>
      <c r="D3426" t="s">
        <v>5487</v>
      </c>
      <c r="E3426" t="s">
        <v>5496</v>
      </c>
      <c r="F3426" s="125" t="s">
        <v>5496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25" t="str">
        <f>IF(Proc[[#This Row],[Author]]="Marcela Urrego",VLOOKUP(LEFT(Proc[[#This Row],[Requested]],1),Table3[#All],2,0),VLOOKUP(Proc[[#This Row],[Author]],Table4[],2,0))</f>
        <v>HC</v>
      </c>
      <c r="L3426" s="125" t="s">
        <v>4896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8</v>
      </c>
      <c r="R3426" s="115" t="s">
        <v>1013</v>
      </c>
      <c r="S3426" s="125"/>
    </row>
    <row r="3427" spans="1:19" hidden="1">
      <c r="A3427" s="124" t="s">
        <v>5495</v>
      </c>
      <c r="B3427" s="125" t="str">
        <f>IFERROR(VLOOKUP(Proc[[#This Row],[App]],Table2[],3,0),"open")</f>
        <v>ok</v>
      </c>
      <c r="C3427" s="124" t="s">
        <v>369</v>
      </c>
      <c r="D3427" t="s">
        <v>5488</v>
      </c>
      <c r="E3427" t="s">
        <v>5497</v>
      </c>
      <c r="F3427" s="125" t="s">
        <v>5497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25" t="str">
        <f>IF(Proc[[#This Row],[Author]]="Marcela Urrego",VLOOKUP(LEFT(Proc[[#This Row],[Requested]],1),Table3[#All],2,0),VLOOKUP(Proc[[#This Row],[Author]],Table4[],2,0))</f>
        <v>HC</v>
      </c>
      <c r="L3427" s="125" t="s">
        <v>4896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8</v>
      </c>
      <c r="R3427" s="115" t="s">
        <v>1013</v>
      </c>
      <c r="S3427" s="125"/>
    </row>
    <row r="3428" spans="1:19" hidden="1">
      <c r="A3428" s="124" t="s">
        <v>5495</v>
      </c>
      <c r="B3428" s="125" t="str">
        <f>IFERROR(VLOOKUP(Proc[[#This Row],[App]],Table2[],3,0),"open")</f>
        <v>ok</v>
      </c>
      <c r="C3428" s="124" t="s">
        <v>369</v>
      </c>
      <c r="D3428" t="s">
        <v>5489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25" t="str">
        <f>IF(Proc[[#This Row],[Author]]="Marcela Urrego",VLOOKUP(LEFT(Proc[[#This Row],[Requested]],1),Table3[#All],2,0),VLOOKUP(Proc[[#This Row],[Author]],Table4[],2,0))</f>
        <v>HC</v>
      </c>
      <c r="L3428" s="125" t="s">
        <v>4896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8</v>
      </c>
      <c r="R3428" s="115" t="s">
        <v>1013</v>
      </c>
      <c r="S3428" s="125"/>
    </row>
    <row r="3429" spans="1:19" hidden="1">
      <c r="A3429" s="124" t="s">
        <v>5495</v>
      </c>
      <c r="B3429" s="125" t="str">
        <f>IFERROR(VLOOKUP(Proc[[#This Row],[App]],Table2[],3,0),"open")</f>
        <v>ok</v>
      </c>
      <c r="C3429" s="124" t="s">
        <v>369</v>
      </c>
      <c r="D3429" t="s">
        <v>5490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25" t="str">
        <f>IF(Proc[[#This Row],[Author]]="Marcela Urrego",VLOOKUP(LEFT(Proc[[#This Row],[Requested]],1),Table3[#All],2,0),VLOOKUP(Proc[[#This Row],[Author]],Table4[],2,0))</f>
        <v>HC</v>
      </c>
      <c r="L3429" s="125" t="s">
        <v>4896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8</v>
      </c>
      <c r="R3429" s="115" t="s">
        <v>1013</v>
      </c>
      <c r="S3429" s="125"/>
    </row>
    <row r="3430" spans="1:19" hidden="1">
      <c r="A3430" s="124" t="s">
        <v>5495</v>
      </c>
      <c r="B3430" s="125" t="str">
        <f>IFERROR(VLOOKUP(Proc[[#This Row],[App]],Table2[],3,0),"open")</f>
        <v>ok</v>
      </c>
      <c r="C3430" s="124" t="s">
        <v>369</v>
      </c>
      <c r="D3430" t="s">
        <v>5491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25" t="str">
        <f>IF(Proc[[#This Row],[Author]]="Marcela Urrego",VLOOKUP(LEFT(Proc[[#This Row],[Requested]],1),Table3[#All],2,0),VLOOKUP(Proc[[#This Row],[Author]],Table4[],2,0))</f>
        <v>HC</v>
      </c>
      <c r="L3430" s="125" t="s">
        <v>4896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8</v>
      </c>
      <c r="R3430" s="115" t="s">
        <v>1013</v>
      </c>
      <c r="S3430" s="125"/>
    </row>
    <row r="3431" spans="1:19" hidden="1">
      <c r="A3431" s="124" t="s">
        <v>5495</v>
      </c>
      <c r="B3431" s="125" t="str">
        <f>IFERROR(VLOOKUP(Proc[[#This Row],[App]],Table2[],3,0),"open")</f>
        <v>ok</v>
      </c>
      <c r="C3431" s="124" t="s">
        <v>369</v>
      </c>
      <c r="D3431" t="s">
        <v>5492</v>
      </c>
      <c r="E3431" t="s">
        <v>5499</v>
      </c>
      <c r="F3431" s="125" t="s">
        <v>5499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25" t="str">
        <f>IF(Proc[[#This Row],[Author]]="Marcela Urrego",VLOOKUP(LEFT(Proc[[#This Row],[Requested]],1),Table3[#All],2,0),VLOOKUP(Proc[[#This Row],[Author]],Table4[],2,0))</f>
        <v>HC</v>
      </c>
      <c r="L3431" s="125" t="s">
        <v>4896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8</v>
      </c>
      <c r="R3431" s="115" t="s">
        <v>1013</v>
      </c>
      <c r="S3431" s="125"/>
    </row>
    <row r="3432" spans="1:19" hidden="1">
      <c r="A3432" s="124" t="s">
        <v>5495</v>
      </c>
      <c r="B3432" s="125" t="str">
        <f>IFERROR(VLOOKUP(Proc[[#This Row],[App]],Table2[],3,0),"open")</f>
        <v>ok</v>
      </c>
      <c r="C3432" s="124" t="s">
        <v>369</v>
      </c>
      <c r="D3432" t="s">
        <v>5493</v>
      </c>
      <c r="E3432" t="s">
        <v>5499</v>
      </c>
      <c r="F3432" s="125" t="s">
        <v>5499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25" t="str">
        <f>IF(Proc[[#This Row],[Author]]="Marcela Urrego",VLOOKUP(LEFT(Proc[[#This Row],[Requested]],1),Table3[#All],2,0),VLOOKUP(Proc[[#This Row],[Author]],Table4[],2,0))</f>
        <v>HC</v>
      </c>
      <c r="L3432" s="125" t="s">
        <v>4896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8</v>
      </c>
      <c r="R3432" s="115" t="s">
        <v>1013</v>
      </c>
      <c r="S3432" s="125"/>
    </row>
    <row r="3433" spans="1:19" hidden="1">
      <c r="A3433" s="124" t="s">
        <v>5495</v>
      </c>
      <c r="B3433" s="125" t="str">
        <f>IFERROR(VLOOKUP(Proc[[#This Row],[App]],Table2[],3,0),"open")</f>
        <v>ok</v>
      </c>
      <c r="C3433" s="124" t="s">
        <v>369</v>
      </c>
      <c r="D3433" t="s">
        <v>5494</v>
      </c>
      <c r="E3433" t="s">
        <v>5500</v>
      </c>
      <c r="F3433" s="125" t="s">
        <v>5500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25" t="str">
        <f>IF(Proc[[#This Row],[Author]]="Marcela Urrego",VLOOKUP(LEFT(Proc[[#This Row],[Requested]],1),Table3[#All],2,0),VLOOKUP(Proc[[#This Row],[Author]],Table4[],2,0))</f>
        <v>HC</v>
      </c>
      <c r="L3433" s="125" t="s">
        <v>4896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8</v>
      </c>
      <c r="R3433" s="115" t="s">
        <v>1013</v>
      </c>
      <c r="S3433" s="125"/>
    </row>
    <row r="3434" spans="1:19" hidden="1">
      <c r="A3434" t="s">
        <v>5501</v>
      </c>
      <c r="B3434" s="125" t="str">
        <f>IFERROR(VLOOKUP(Proc[[#This Row],[App]],Table2[],3,0),"open")</f>
        <v>ok</v>
      </c>
      <c r="C3434" s="124" t="s">
        <v>369</v>
      </c>
      <c r="D3434" t="s">
        <v>5546</v>
      </c>
      <c r="E3434" t="s">
        <v>5502</v>
      </c>
      <c r="F3434" s="125" t="s">
        <v>5502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25" t="str">
        <f>IF(Proc[[#This Row],[Author]]="Marcela Urrego",VLOOKUP(LEFT(Proc[[#This Row],[Requested]],1),Table3[#All],2,0),VLOOKUP(Proc[[#This Row],[Author]],Table4[],2,0))</f>
        <v>EL</v>
      </c>
      <c r="L3434" s="125" t="s">
        <v>4896</v>
      </c>
      <c r="M3434" s="127">
        <v>45877</v>
      </c>
      <c r="N3434" s="127"/>
      <c r="O3434" s="127"/>
      <c r="P3434" s="115" t="str">
        <f ca="1">IF(Proc[[#This Row],[DaysAgeing]]&gt;5,"yep","on track")</f>
        <v>on track</v>
      </c>
      <c r="Q3434" s="3">
        <f ca="1">IF(Proc[[#This Row],[DateClosed]]="",ABS(NETWORKDAYS(Proc[[#This Row],[DateOpened]],TODAY()))-1,ABS(NETWORKDAYS(Proc[[#This Row],[DateOpened]],Proc[[#This Row],[DateClosed]]))-1)</f>
        <v>5</v>
      </c>
      <c r="R3434" s="115" t="s">
        <v>5503</v>
      </c>
      <c r="S3434" s="125"/>
    </row>
    <row r="3435" spans="1:19" hidden="1">
      <c r="A3435" s="124" t="s">
        <v>5501</v>
      </c>
      <c r="B3435" s="125" t="str">
        <f>IFERROR(VLOOKUP(Proc[[#This Row],[App]],Table2[],3,0),"open")</f>
        <v>ok</v>
      </c>
      <c r="C3435" s="124" t="s">
        <v>369</v>
      </c>
      <c r="D3435" t="s">
        <v>5547</v>
      </c>
      <c r="E3435" t="s">
        <v>5502</v>
      </c>
      <c r="F3435" s="125" t="s">
        <v>5502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25" t="str">
        <f>IF(Proc[[#This Row],[Author]]="Marcela Urrego",VLOOKUP(LEFT(Proc[[#This Row],[Requested]],1),Table3[#All],2,0),VLOOKUP(Proc[[#This Row],[Author]],Table4[],2,0))</f>
        <v>EL</v>
      </c>
      <c r="L3435" s="125" t="s">
        <v>4896</v>
      </c>
      <c r="M3435" s="127">
        <v>45877</v>
      </c>
      <c r="N3435" s="127"/>
      <c r="O3435" s="127"/>
      <c r="P3435" s="115" t="str">
        <f ca="1">IF(Proc[[#This Row],[DaysAgeing]]&gt;5,"yep","on track")</f>
        <v>on track</v>
      </c>
      <c r="Q3435" s="3">
        <f ca="1">IF(Proc[[#This Row],[DateClosed]]="",ABS(NETWORKDAYS(Proc[[#This Row],[DateOpened]],TODAY()))-1,ABS(NETWORKDAYS(Proc[[#This Row],[DateOpened]],Proc[[#This Row],[DateClosed]]))-1)</f>
        <v>5</v>
      </c>
      <c r="R3435" s="115" t="s">
        <v>5503</v>
      </c>
      <c r="S3435" s="125"/>
    </row>
    <row r="3436" spans="1:19" hidden="1">
      <c r="A3436" t="s">
        <v>5504</v>
      </c>
      <c r="B3436" s="125" t="str">
        <f>IFERROR(VLOOKUP(Proc[[#This Row],[App]],Table2[],3,0),"open")</f>
        <v>ok</v>
      </c>
      <c r="C3436" s="124" t="s">
        <v>369</v>
      </c>
      <c r="D3436" t="s">
        <v>5505</v>
      </c>
      <c r="E3436" t="s">
        <v>5553</v>
      </c>
      <c r="F3436" s="125" t="s">
        <v>5553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25" t="str">
        <f>IF(Proc[[#This Row],[Author]]="Marcela Urrego",VLOOKUP(LEFT(Proc[[#This Row],[Requested]],1),Table3[#All],2,0),VLOOKUP(Proc[[#This Row],[Author]],Table4[],2,0))</f>
        <v>LS</v>
      </c>
      <c r="L3436" s="125" t="s">
        <v>4896</v>
      </c>
      <c r="M3436" s="127">
        <v>45877</v>
      </c>
      <c r="N3436" s="127"/>
      <c r="O3436" s="127"/>
      <c r="P3436" s="115" t="str">
        <f ca="1">IF(Proc[[#This Row],[DaysAgeing]]&gt;5,"yep","on track")</f>
        <v>on track</v>
      </c>
      <c r="Q3436" s="3">
        <f ca="1">IF(Proc[[#This Row],[DateClosed]]="",ABS(NETWORKDAYS(Proc[[#This Row],[DateOpened]],TODAY()))-1,ABS(NETWORKDAYS(Proc[[#This Row],[DateOpened]],Proc[[#This Row],[DateClosed]]))-1)</f>
        <v>5</v>
      </c>
      <c r="R3436" s="115" t="s">
        <v>489</v>
      </c>
      <c r="S3436" s="125"/>
    </row>
    <row r="3437" spans="1:19" hidden="1">
      <c r="A3437" s="124" t="s">
        <v>5504</v>
      </c>
      <c r="B3437" s="125" t="str">
        <f>IFERROR(VLOOKUP(Proc[[#This Row],[App]],Table2[],3,0),"open")</f>
        <v>ok</v>
      </c>
      <c r="C3437" s="124" t="s">
        <v>369</v>
      </c>
      <c r="D3437" t="s">
        <v>5506</v>
      </c>
      <c r="E3437" t="s">
        <v>5553</v>
      </c>
      <c r="F3437" s="125" t="s">
        <v>5553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25" t="str">
        <f>IF(Proc[[#This Row],[Author]]="Marcela Urrego",VLOOKUP(LEFT(Proc[[#This Row],[Requested]],1),Table3[#All],2,0),VLOOKUP(Proc[[#This Row],[Author]],Table4[],2,0))</f>
        <v>LS</v>
      </c>
      <c r="L3437" s="125" t="s">
        <v>4896</v>
      </c>
      <c r="M3437" s="127">
        <v>45877</v>
      </c>
      <c r="N3437" s="127"/>
      <c r="O3437" s="127"/>
      <c r="P3437" s="115" t="str">
        <f ca="1">IF(Proc[[#This Row],[DaysAgeing]]&gt;5,"yep","on track")</f>
        <v>on track</v>
      </c>
      <c r="Q3437" s="3">
        <f ca="1">IF(Proc[[#This Row],[DateClosed]]="",ABS(NETWORKDAYS(Proc[[#This Row],[DateOpened]],TODAY()))-1,ABS(NETWORKDAYS(Proc[[#This Row],[DateOpened]],Proc[[#This Row],[DateClosed]]))-1)</f>
        <v>5</v>
      </c>
      <c r="R3437" s="115" t="s">
        <v>489</v>
      </c>
      <c r="S3437" s="125"/>
    </row>
    <row r="3438" spans="1:19" hidden="1">
      <c r="A3438" s="124" t="s">
        <v>5504</v>
      </c>
      <c r="B3438" s="125" t="str">
        <f>IFERROR(VLOOKUP(Proc[[#This Row],[App]],Table2[],3,0),"open")</f>
        <v>ok</v>
      </c>
      <c r="C3438" s="124" t="s">
        <v>369</v>
      </c>
      <c r="D3438" t="s">
        <v>5507</v>
      </c>
      <c r="E3438" t="s">
        <v>5553</v>
      </c>
      <c r="F3438" s="125" t="s">
        <v>5553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25" t="str">
        <f>IF(Proc[[#This Row],[Author]]="Marcela Urrego",VLOOKUP(LEFT(Proc[[#This Row],[Requested]],1),Table3[#All],2,0),VLOOKUP(Proc[[#This Row],[Author]],Table4[],2,0))</f>
        <v>LS</v>
      </c>
      <c r="L3438" s="125" t="s">
        <v>4896</v>
      </c>
      <c r="M3438" s="127">
        <v>45877</v>
      </c>
      <c r="N3438" s="127"/>
      <c r="O3438" s="127"/>
      <c r="P3438" s="115" t="str">
        <f ca="1">IF(Proc[[#This Row],[DaysAgeing]]&gt;5,"yep","on track")</f>
        <v>on track</v>
      </c>
      <c r="Q3438" s="3">
        <f ca="1">IF(Proc[[#This Row],[DateClosed]]="",ABS(NETWORKDAYS(Proc[[#This Row],[DateOpened]],TODAY()))-1,ABS(NETWORKDAYS(Proc[[#This Row],[DateOpened]],Proc[[#This Row],[DateClosed]]))-1)</f>
        <v>5</v>
      </c>
      <c r="R3438" s="115" t="s">
        <v>489</v>
      </c>
      <c r="S3438" s="125"/>
    </row>
    <row r="3439" spans="1:19" hidden="1">
      <c r="A3439" s="124" t="s">
        <v>5504</v>
      </c>
      <c r="B3439" s="125" t="str">
        <f>IFERROR(VLOOKUP(Proc[[#This Row],[App]],Table2[],3,0),"open")</f>
        <v>ok</v>
      </c>
      <c r="C3439" s="124" t="s">
        <v>369</v>
      </c>
      <c r="D3439" t="s">
        <v>5508</v>
      </c>
      <c r="E3439" t="s">
        <v>5553</v>
      </c>
      <c r="F3439" s="125" t="s">
        <v>5553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25" t="str">
        <f>IF(Proc[[#This Row],[Author]]="Marcela Urrego",VLOOKUP(LEFT(Proc[[#This Row],[Requested]],1),Table3[#All],2,0),VLOOKUP(Proc[[#This Row],[Author]],Table4[],2,0))</f>
        <v>LS</v>
      </c>
      <c r="L3439" s="125" t="s">
        <v>4896</v>
      </c>
      <c r="M3439" s="127">
        <v>45877</v>
      </c>
      <c r="N3439" s="127"/>
      <c r="O3439" s="127"/>
      <c r="P3439" s="115" t="str">
        <f ca="1">IF(Proc[[#This Row],[DaysAgeing]]&gt;5,"yep","on track")</f>
        <v>on track</v>
      </c>
      <c r="Q3439" s="3">
        <f ca="1">IF(Proc[[#This Row],[DateClosed]]="",ABS(NETWORKDAYS(Proc[[#This Row],[DateOpened]],TODAY()))-1,ABS(NETWORKDAYS(Proc[[#This Row],[DateOpened]],Proc[[#This Row],[DateClosed]]))-1)</f>
        <v>5</v>
      </c>
      <c r="R3439" s="115" t="s">
        <v>489</v>
      </c>
      <c r="S3439" s="125"/>
    </row>
    <row r="3440" spans="1:19" hidden="1">
      <c r="A3440" s="124" t="s">
        <v>5504</v>
      </c>
      <c r="B3440" s="125" t="str">
        <f>IFERROR(VLOOKUP(Proc[[#This Row],[App]],Table2[],3,0),"open")</f>
        <v>ok</v>
      </c>
      <c r="C3440" s="124" t="s">
        <v>369</v>
      </c>
      <c r="D3440" t="s">
        <v>5509</v>
      </c>
      <c r="E3440" t="s">
        <v>5553</v>
      </c>
      <c r="F3440" s="125" t="s">
        <v>5553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25" t="str">
        <f>IF(Proc[[#This Row],[Author]]="Marcela Urrego",VLOOKUP(LEFT(Proc[[#This Row],[Requested]],1),Table3[#All],2,0),VLOOKUP(Proc[[#This Row],[Author]],Table4[],2,0))</f>
        <v>LS</v>
      </c>
      <c r="L3440" s="125" t="s">
        <v>4896</v>
      </c>
      <c r="M3440" s="127">
        <v>45877</v>
      </c>
      <c r="N3440" s="127"/>
      <c r="O3440" s="127"/>
      <c r="P3440" s="115" t="str">
        <f ca="1">IF(Proc[[#This Row],[DaysAgeing]]&gt;5,"yep","on track")</f>
        <v>on track</v>
      </c>
      <c r="Q3440" s="3">
        <f ca="1">IF(Proc[[#This Row],[DateClosed]]="",ABS(NETWORKDAYS(Proc[[#This Row],[DateOpened]],TODAY()))-1,ABS(NETWORKDAYS(Proc[[#This Row],[DateOpened]],Proc[[#This Row],[DateClosed]]))-1)</f>
        <v>5</v>
      </c>
      <c r="R3440" s="115" t="s">
        <v>489</v>
      </c>
      <c r="S3440" s="125"/>
    </row>
    <row r="3441" spans="1:19" hidden="1">
      <c r="A3441" s="124" t="s">
        <v>5504</v>
      </c>
      <c r="B3441" s="125" t="str">
        <f>IFERROR(VLOOKUP(Proc[[#This Row],[App]],Table2[],3,0),"open")</f>
        <v>ok</v>
      </c>
      <c r="C3441" s="124" t="s">
        <v>369</v>
      </c>
      <c r="D3441" t="s">
        <v>5510</v>
      </c>
      <c r="E3441" t="s">
        <v>5553</v>
      </c>
      <c r="F3441" s="125" t="s">
        <v>5553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25" t="str">
        <f>IF(Proc[[#This Row],[Author]]="Marcela Urrego",VLOOKUP(LEFT(Proc[[#This Row],[Requested]],1),Table3[#All],2,0),VLOOKUP(Proc[[#This Row],[Author]],Table4[],2,0))</f>
        <v>LS</v>
      </c>
      <c r="L3441" s="125" t="s">
        <v>4896</v>
      </c>
      <c r="M3441" s="127">
        <v>45877</v>
      </c>
      <c r="N3441" s="127"/>
      <c r="O3441" s="127"/>
      <c r="P3441" s="115" t="str">
        <f ca="1">IF(Proc[[#This Row],[DaysAgeing]]&gt;5,"yep","on track")</f>
        <v>on track</v>
      </c>
      <c r="Q3441" s="3">
        <f ca="1">IF(Proc[[#This Row],[DateClosed]]="",ABS(NETWORKDAYS(Proc[[#This Row],[DateOpened]],TODAY()))-1,ABS(NETWORKDAYS(Proc[[#This Row],[DateOpened]],Proc[[#This Row],[DateClosed]]))-1)</f>
        <v>5</v>
      </c>
      <c r="R3441" s="115" t="s">
        <v>489</v>
      </c>
      <c r="S3441" s="125"/>
    </row>
    <row r="3442" spans="1:19" hidden="1">
      <c r="A3442" s="124" t="s">
        <v>5504</v>
      </c>
      <c r="B3442" s="125" t="str">
        <f>IFERROR(VLOOKUP(Proc[[#This Row],[App]],Table2[],3,0),"open")</f>
        <v>ok</v>
      </c>
      <c r="C3442" s="124" t="s">
        <v>369</v>
      </c>
      <c r="D3442" t="s">
        <v>5511</v>
      </c>
      <c r="E3442" t="s">
        <v>5553</v>
      </c>
      <c r="F3442" s="125" t="s">
        <v>5553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25" t="str">
        <f>IF(Proc[[#This Row],[Author]]="Marcela Urrego",VLOOKUP(LEFT(Proc[[#This Row],[Requested]],1),Table3[#All],2,0),VLOOKUP(Proc[[#This Row],[Author]],Table4[],2,0))</f>
        <v>LS</v>
      </c>
      <c r="L3442" s="125" t="s">
        <v>4896</v>
      </c>
      <c r="M3442" s="127">
        <v>45877</v>
      </c>
      <c r="N3442" s="127"/>
      <c r="O3442" s="127"/>
      <c r="P3442" s="115" t="str">
        <f ca="1">IF(Proc[[#This Row],[DaysAgeing]]&gt;5,"yep","on track")</f>
        <v>on track</v>
      </c>
      <c r="Q3442" s="3">
        <f ca="1">IF(Proc[[#This Row],[DateClosed]]="",ABS(NETWORKDAYS(Proc[[#This Row],[DateOpened]],TODAY()))-1,ABS(NETWORKDAYS(Proc[[#This Row],[DateOpened]],Proc[[#This Row],[DateClosed]]))-1)</f>
        <v>5</v>
      </c>
      <c r="R3442" s="115" t="s">
        <v>489</v>
      </c>
      <c r="S3442" s="125"/>
    </row>
    <row r="3443" spans="1:19" hidden="1">
      <c r="A3443" s="124" t="s">
        <v>5504</v>
      </c>
      <c r="B3443" s="125" t="str">
        <f>IFERROR(VLOOKUP(Proc[[#This Row],[App]],Table2[],3,0),"open")</f>
        <v>ok</v>
      </c>
      <c r="C3443" s="124" t="s">
        <v>369</v>
      </c>
      <c r="D3443" t="s">
        <v>5512</v>
      </c>
      <c r="E3443" t="s">
        <v>5553</v>
      </c>
      <c r="F3443" s="125" t="s">
        <v>5553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25" t="str">
        <f>IF(Proc[[#This Row],[Author]]="Marcela Urrego",VLOOKUP(LEFT(Proc[[#This Row],[Requested]],1),Table3[#All],2,0),VLOOKUP(Proc[[#This Row],[Author]],Table4[],2,0))</f>
        <v>LS</v>
      </c>
      <c r="L3443" s="125" t="s">
        <v>4896</v>
      </c>
      <c r="M3443" s="127">
        <v>45877</v>
      </c>
      <c r="N3443" s="127"/>
      <c r="O3443" s="127"/>
      <c r="P3443" s="115" t="str">
        <f ca="1">IF(Proc[[#This Row],[DaysAgeing]]&gt;5,"yep","on track")</f>
        <v>on track</v>
      </c>
      <c r="Q3443" s="3">
        <f ca="1">IF(Proc[[#This Row],[DateClosed]]="",ABS(NETWORKDAYS(Proc[[#This Row],[DateOpened]],TODAY()))-1,ABS(NETWORKDAYS(Proc[[#This Row],[DateOpened]],Proc[[#This Row],[DateClosed]]))-1)</f>
        <v>5</v>
      </c>
      <c r="R3443" s="115" t="s">
        <v>489</v>
      </c>
      <c r="S3443" s="125"/>
    </row>
    <row r="3444" spans="1:19" hidden="1">
      <c r="A3444" s="124" t="s">
        <v>5504</v>
      </c>
      <c r="B3444" s="125" t="str">
        <f>IFERROR(VLOOKUP(Proc[[#This Row],[App]],Table2[],3,0),"open")</f>
        <v>ok</v>
      </c>
      <c r="C3444" s="124" t="s">
        <v>369</v>
      </c>
      <c r="D3444" t="s">
        <v>5513</v>
      </c>
      <c r="E3444" t="s">
        <v>5553</v>
      </c>
      <c r="F3444" s="125" t="s">
        <v>5553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25" t="str">
        <f>IF(Proc[[#This Row],[Author]]="Marcela Urrego",VLOOKUP(LEFT(Proc[[#This Row],[Requested]],1),Table3[#All],2,0),VLOOKUP(Proc[[#This Row],[Author]],Table4[],2,0))</f>
        <v>LS</v>
      </c>
      <c r="L3444" s="125" t="s">
        <v>4896</v>
      </c>
      <c r="M3444" s="127">
        <v>45877</v>
      </c>
      <c r="N3444" s="127"/>
      <c r="O3444" s="127"/>
      <c r="P3444" s="115" t="str">
        <f ca="1">IF(Proc[[#This Row],[DaysAgeing]]&gt;5,"yep","on track")</f>
        <v>on track</v>
      </c>
      <c r="Q3444" s="3">
        <f ca="1">IF(Proc[[#This Row],[DateClosed]]="",ABS(NETWORKDAYS(Proc[[#This Row],[DateOpened]],TODAY()))-1,ABS(NETWORKDAYS(Proc[[#This Row],[DateOpened]],Proc[[#This Row],[DateClosed]]))-1)</f>
        <v>5</v>
      </c>
      <c r="R3444" s="115" t="s">
        <v>489</v>
      </c>
      <c r="S3444" s="125"/>
    </row>
    <row r="3445" spans="1:19" hidden="1">
      <c r="A3445" s="124" t="s">
        <v>5504</v>
      </c>
      <c r="B3445" s="125" t="str">
        <f>IFERROR(VLOOKUP(Proc[[#This Row],[App]],Table2[],3,0),"open")</f>
        <v>ok</v>
      </c>
      <c r="C3445" s="124" t="s">
        <v>369</v>
      </c>
      <c r="D3445" t="s">
        <v>5514</v>
      </c>
      <c r="E3445" t="s">
        <v>5553</v>
      </c>
      <c r="F3445" s="125" t="s">
        <v>5553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25" t="str">
        <f>IF(Proc[[#This Row],[Author]]="Marcela Urrego",VLOOKUP(LEFT(Proc[[#This Row],[Requested]],1),Table3[#All],2,0),VLOOKUP(Proc[[#This Row],[Author]],Table4[],2,0))</f>
        <v>LS</v>
      </c>
      <c r="L3445" s="125" t="s">
        <v>4896</v>
      </c>
      <c r="M3445" s="127">
        <v>45877</v>
      </c>
      <c r="N3445" s="127"/>
      <c r="O3445" s="127"/>
      <c r="P3445" s="115" t="str">
        <f ca="1">IF(Proc[[#This Row],[DaysAgeing]]&gt;5,"yep","on track")</f>
        <v>on track</v>
      </c>
      <c r="Q3445" s="3">
        <f ca="1">IF(Proc[[#This Row],[DateClosed]]="",ABS(NETWORKDAYS(Proc[[#This Row],[DateOpened]],TODAY()))-1,ABS(NETWORKDAYS(Proc[[#This Row],[DateOpened]],Proc[[#This Row],[DateClosed]]))-1)</f>
        <v>5</v>
      </c>
      <c r="R3445" s="115" t="s">
        <v>489</v>
      </c>
      <c r="S3445" s="125"/>
    </row>
    <row r="3446" spans="1:19" hidden="1">
      <c r="A3446" s="124" t="s">
        <v>5504</v>
      </c>
      <c r="B3446" s="125" t="str">
        <f>IFERROR(VLOOKUP(Proc[[#This Row],[App]],Table2[],3,0),"open")</f>
        <v>ok</v>
      </c>
      <c r="C3446" s="124" t="s">
        <v>369</v>
      </c>
      <c r="D3446" t="s">
        <v>5515</v>
      </c>
      <c r="E3446" t="s">
        <v>5553</v>
      </c>
      <c r="F3446" s="125" t="s">
        <v>5553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25" t="str">
        <f>IF(Proc[[#This Row],[Author]]="Marcela Urrego",VLOOKUP(LEFT(Proc[[#This Row],[Requested]],1),Table3[#All],2,0),VLOOKUP(Proc[[#This Row],[Author]],Table4[],2,0))</f>
        <v>LS</v>
      </c>
      <c r="L3446" s="125" t="s">
        <v>4896</v>
      </c>
      <c r="M3446" s="127">
        <v>45877</v>
      </c>
      <c r="N3446" s="127"/>
      <c r="O3446" s="127"/>
      <c r="P3446" s="115" t="str">
        <f ca="1">IF(Proc[[#This Row],[DaysAgeing]]&gt;5,"yep","on track")</f>
        <v>on track</v>
      </c>
      <c r="Q3446" s="3">
        <f ca="1">IF(Proc[[#This Row],[DateClosed]]="",ABS(NETWORKDAYS(Proc[[#This Row],[DateOpened]],TODAY()))-1,ABS(NETWORKDAYS(Proc[[#This Row],[DateOpened]],Proc[[#This Row],[DateClosed]]))-1)</f>
        <v>5</v>
      </c>
      <c r="R3446" s="115" t="s">
        <v>489</v>
      </c>
      <c r="S3446" s="125"/>
    </row>
    <row r="3447" spans="1:19" hidden="1">
      <c r="A3447" s="124" t="s">
        <v>5504</v>
      </c>
      <c r="B3447" s="125" t="str">
        <f>IFERROR(VLOOKUP(Proc[[#This Row],[App]],Table2[],3,0),"open")</f>
        <v>ok</v>
      </c>
      <c r="C3447" s="124" t="s">
        <v>369</v>
      </c>
      <c r="D3447" t="s">
        <v>5516</v>
      </c>
      <c r="E3447" t="s">
        <v>5553</v>
      </c>
      <c r="F3447" s="125" t="s">
        <v>5553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25" t="str">
        <f>IF(Proc[[#This Row],[Author]]="Marcela Urrego",VLOOKUP(LEFT(Proc[[#This Row],[Requested]],1),Table3[#All],2,0),VLOOKUP(Proc[[#This Row],[Author]],Table4[],2,0))</f>
        <v>LS</v>
      </c>
      <c r="L3447" s="125" t="s">
        <v>4896</v>
      </c>
      <c r="M3447" s="127">
        <v>45877</v>
      </c>
      <c r="N3447" s="127"/>
      <c r="O3447" s="127"/>
      <c r="P3447" s="115" t="str">
        <f ca="1">IF(Proc[[#This Row],[DaysAgeing]]&gt;5,"yep","on track")</f>
        <v>on track</v>
      </c>
      <c r="Q3447" s="3">
        <f ca="1">IF(Proc[[#This Row],[DateClosed]]="",ABS(NETWORKDAYS(Proc[[#This Row],[DateOpened]],TODAY()))-1,ABS(NETWORKDAYS(Proc[[#This Row],[DateOpened]],Proc[[#This Row],[DateClosed]]))-1)</f>
        <v>5</v>
      </c>
      <c r="R3447" s="115" t="s">
        <v>489</v>
      </c>
      <c r="S3447" s="125"/>
    </row>
    <row r="3448" spans="1:19" hidden="1">
      <c r="A3448" s="124" t="s">
        <v>5504</v>
      </c>
      <c r="B3448" s="125" t="str">
        <f>IFERROR(VLOOKUP(Proc[[#This Row],[App]],Table2[],3,0),"open")</f>
        <v>ok</v>
      </c>
      <c r="C3448" s="124" t="s">
        <v>369</v>
      </c>
      <c r="D3448" t="s">
        <v>5517</v>
      </c>
      <c r="E3448" t="s">
        <v>5553</v>
      </c>
      <c r="F3448" s="125" t="s">
        <v>5553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25" t="str">
        <f>IF(Proc[[#This Row],[Author]]="Marcela Urrego",VLOOKUP(LEFT(Proc[[#This Row],[Requested]],1),Table3[#All],2,0),VLOOKUP(Proc[[#This Row],[Author]],Table4[],2,0))</f>
        <v>LS</v>
      </c>
      <c r="L3448" s="125" t="s">
        <v>4896</v>
      </c>
      <c r="M3448" s="127">
        <v>45877</v>
      </c>
      <c r="N3448" s="127"/>
      <c r="O3448" s="127"/>
      <c r="P3448" s="115" t="str">
        <f ca="1">IF(Proc[[#This Row],[DaysAgeing]]&gt;5,"yep","on track")</f>
        <v>on track</v>
      </c>
      <c r="Q3448" s="3">
        <f ca="1">IF(Proc[[#This Row],[DateClosed]]="",ABS(NETWORKDAYS(Proc[[#This Row],[DateOpened]],TODAY()))-1,ABS(NETWORKDAYS(Proc[[#This Row],[DateOpened]],Proc[[#This Row],[DateClosed]]))-1)</f>
        <v>5</v>
      </c>
      <c r="R3448" s="115" t="s">
        <v>489</v>
      </c>
      <c r="S3448" s="125"/>
    </row>
    <row r="3449" spans="1:19" hidden="1">
      <c r="A3449" s="124" t="s">
        <v>5504</v>
      </c>
      <c r="B3449" s="125" t="str">
        <f>IFERROR(VLOOKUP(Proc[[#This Row],[App]],Table2[],3,0),"open")</f>
        <v>ok</v>
      </c>
      <c r="C3449" s="124" t="s">
        <v>369</v>
      </c>
      <c r="D3449" t="s">
        <v>5518</v>
      </c>
      <c r="E3449" t="s">
        <v>5553</v>
      </c>
      <c r="F3449" s="125" t="s">
        <v>5553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25" t="str">
        <f>IF(Proc[[#This Row],[Author]]="Marcela Urrego",VLOOKUP(LEFT(Proc[[#This Row],[Requested]],1),Table3[#All],2,0),VLOOKUP(Proc[[#This Row],[Author]],Table4[],2,0))</f>
        <v>LS</v>
      </c>
      <c r="L3449" s="125" t="s">
        <v>4896</v>
      </c>
      <c r="M3449" s="127">
        <v>45877</v>
      </c>
      <c r="N3449" s="127"/>
      <c r="O3449" s="127"/>
      <c r="P3449" s="115" t="str">
        <f ca="1">IF(Proc[[#This Row],[DaysAgeing]]&gt;5,"yep","on track")</f>
        <v>on track</v>
      </c>
      <c r="Q3449" s="3">
        <f ca="1">IF(Proc[[#This Row],[DateClosed]]="",ABS(NETWORKDAYS(Proc[[#This Row],[DateOpened]],TODAY()))-1,ABS(NETWORKDAYS(Proc[[#This Row],[DateOpened]],Proc[[#This Row],[DateClosed]]))-1)</f>
        <v>5</v>
      </c>
      <c r="R3449" s="115" t="s">
        <v>489</v>
      </c>
      <c r="S3449" s="125"/>
    </row>
    <row r="3450" spans="1:19" hidden="1">
      <c r="A3450" s="124" t="s">
        <v>5504</v>
      </c>
      <c r="B3450" s="125" t="str">
        <f>IFERROR(VLOOKUP(Proc[[#This Row],[App]],Table2[],3,0),"open")</f>
        <v>ok</v>
      </c>
      <c r="C3450" s="124" t="s">
        <v>369</v>
      </c>
      <c r="D3450" t="s">
        <v>5519</v>
      </c>
      <c r="E3450" t="s">
        <v>5553</v>
      </c>
      <c r="F3450" s="125" t="s">
        <v>5553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25" t="str">
        <f>IF(Proc[[#This Row],[Author]]="Marcela Urrego",VLOOKUP(LEFT(Proc[[#This Row],[Requested]],1),Table3[#All],2,0),VLOOKUP(Proc[[#This Row],[Author]],Table4[],2,0))</f>
        <v>LS</v>
      </c>
      <c r="L3450" s="125" t="s">
        <v>4896</v>
      </c>
      <c r="M3450" s="127">
        <v>45877</v>
      </c>
      <c r="N3450" s="127"/>
      <c r="O3450" s="127"/>
      <c r="P3450" s="115" t="str">
        <f ca="1">IF(Proc[[#This Row],[DaysAgeing]]&gt;5,"yep","on track")</f>
        <v>on track</v>
      </c>
      <c r="Q3450" s="3">
        <f ca="1">IF(Proc[[#This Row],[DateClosed]]="",ABS(NETWORKDAYS(Proc[[#This Row],[DateOpened]],TODAY()))-1,ABS(NETWORKDAYS(Proc[[#This Row],[DateOpened]],Proc[[#This Row],[DateClosed]]))-1)</f>
        <v>5</v>
      </c>
      <c r="R3450" s="115" t="s">
        <v>489</v>
      </c>
      <c r="S3450" s="125"/>
    </row>
    <row r="3451" spans="1:19" hidden="1">
      <c r="A3451" s="124" t="s">
        <v>5504</v>
      </c>
      <c r="B3451" s="125" t="str">
        <f>IFERROR(VLOOKUP(Proc[[#This Row],[App]],Table2[],3,0),"open")</f>
        <v>ok</v>
      </c>
      <c r="C3451" s="124" t="s">
        <v>369</v>
      </c>
      <c r="D3451" t="s">
        <v>5520</v>
      </c>
      <c r="E3451" t="s">
        <v>5553</v>
      </c>
      <c r="F3451" s="125" t="s">
        <v>5553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25" t="str">
        <f>IF(Proc[[#This Row],[Author]]="Marcela Urrego",VLOOKUP(LEFT(Proc[[#This Row],[Requested]],1),Table3[#All],2,0),VLOOKUP(Proc[[#This Row],[Author]],Table4[],2,0))</f>
        <v>LS</v>
      </c>
      <c r="L3451" s="125" t="s">
        <v>4896</v>
      </c>
      <c r="M3451" s="127">
        <v>45877</v>
      </c>
      <c r="N3451" s="127"/>
      <c r="O3451" s="127"/>
      <c r="P3451" s="115" t="str">
        <f ca="1">IF(Proc[[#This Row],[DaysAgeing]]&gt;5,"yep","on track")</f>
        <v>on track</v>
      </c>
      <c r="Q3451" s="3">
        <f ca="1">IF(Proc[[#This Row],[DateClosed]]="",ABS(NETWORKDAYS(Proc[[#This Row],[DateOpened]],TODAY()))-1,ABS(NETWORKDAYS(Proc[[#This Row],[DateOpened]],Proc[[#This Row],[DateClosed]]))-1)</f>
        <v>5</v>
      </c>
      <c r="R3451" s="115" t="s">
        <v>489</v>
      </c>
      <c r="S3451" s="125"/>
    </row>
    <row r="3452" spans="1:19" hidden="1">
      <c r="A3452" s="124" t="s">
        <v>5504</v>
      </c>
      <c r="B3452" s="125" t="str">
        <f>IFERROR(VLOOKUP(Proc[[#This Row],[App]],Table2[],3,0),"open")</f>
        <v>ok</v>
      </c>
      <c r="C3452" s="124" t="s">
        <v>369</v>
      </c>
      <c r="D3452" t="s">
        <v>5521</v>
      </c>
      <c r="E3452" t="s">
        <v>5553</v>
      </c>
      <c r="F3452" s="125" t="s">
        <v>5553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25" t="str">
        <f>IF(Proc[[#This Row],[Author]]="Marcela Urrego",VLOOKUP(LEFT(Proc[[#This Row],[Requested]],1),Table3[#All],2,0),VLOOKUP(Proc[[#This Row],[Author]],Table4[],2,0))</f>
        <v>LS</v>
      </c>
      <c r="L3452" s="125" t="s">
        <v>4896</v>
      </c>
      <c r="M3452" s="127">
        <v>45877</v>
      </c>
      <c r="N3452" s="127"/>
      <c r="O3452" s="127"/>
      <c r="P3452" s="115" t="str">
        <f ca="1">IF(Proc[[#This Row],[DaysAgeing]]&gt;5,"yep","on track")</f>
        <v>on track</v>
      </c>
      <c r="Q3452" s="3">
        <f ca="1">IF(Proc[[#This Row],[DateClosed]]="",ABS(NETWORKDAYS(Proc[[#This Row],[DateOpened]],TODAY()))-1,ABS(NETWORKDAYS(Proc[[#This Row],[DateOpened]],Proc[[#This Row],[DateClosed]]))-1)</f>
        <v>5</v>
      </c>
      <c r="R3452" s="115" t="s">
        <v>489</v>
      </c>
      <c r="S3452" s="125"/>
    </row>
    <row r="3453" spans="1:19" hidden="1">
      <c r="A3453" s="124" t="s">
        <v>5504</v>
      </c>
      <c r="B3453" s="125" t="str">
        <f>IFERROR(VLOOKUP(Proc[[#This Row],[App]],Table2[],3,0),"open")</f>
        <v>ok</v>
      </c>
      <c r="C3453" s="124" t="s">
        <v>369</v>
      </c>
      <c r="D3453" t="s">
        <v>5522</v>
      </c>
      <c r="E3453" t="s">
        <v>5553</v>
      </c>
      <c r="F3453" s="125" t="s">
        <v>5553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25" t="str">
        <f>IF(Proc[[#This Row],[Author]]="Marcela Urrego",VLOOKUP(LEFT(Proc[[#This Row],[Requested]],1),Table3[#All],2,0),VLOOKUP(Proc[[#This Row],[Author]],Table4[],2,0))</f>
        <v>LS</v>
      </c>
      <c r="L3453" s="125" t="s">
        <v>4896</v>
      </c>
      <c r="M3453" s="127">
        <v>45877</v>
      </c>
      <c r="N3453" s="127"/>
      <c r="O3453" s="127"/>
      <c r="P3453" s="115" t="str">
        <f ca="1">IF(Proc[[#This Row],[DaysAgeing]]&gt;5,"yep","on track")</f>
        <v>on track</v>
      </c>
      <c r="Q3453" s="3">
        <f ca="1">IF(Proc[[#This Row],[DateClosed]]="",ABS(NETWORKDAYS(Proc[[#This Row],[DateOpened]],TODAY()))-1,ABS(NETWORKDAYS(Proc[[#This Row],[DateOpened]],Proc[[#This Row],[DateClosed]]))-1)</f>
        <v>5</v>
      </c>
      <c r="R3453" s="115" t="s">
        <v>489</v>
      </c>
      <c r="S3453" s="125"/>
    </row>
    <row r="3454" spans="1:19" hidden="1">
      <c r="A3454" s="124" t="s">
        <v>5504</v>
      </c>
      <c r="B3454" s="125" t="str">
        <f>IFERROR(VLOOKUP(Proc[[#This Row],[App]],Table2[],3,0),"open")</f>
        <v>ok</v>
      </c>
      <c r="C3454" s="124" t="s">
        <v>369</v>
      </c>
      <c r="D3454" t="s">
        <v>5523</v>
      </c>
      <c r="E3454" t="s">
        <v>5553</v>
      </c>
      <c r="F3454" s="125" t="s">
        <v>5553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25" t="str">
        <f>IF(Proc[[#This Row],[Author]]="Marcela Urrego",VLOOKUP(LEFT(Proc[[#This Row],[Requested]],1),Table3[#All],2,0),VLOOKUP(Proc[[#This Row],[Author]],Table4[],2,0))</f>
        <v>LS</v>
      </c>
      <c r="L3454" s="125" t="s">
        <v>4896</v>
      </c>
      <c r="M3454" s="127">
        <v>45877</v>
      </c>
      <c r="N3454" s="127"/>
      <c r="O3454" s="127"/>
      <c r="P3454" s="115" t="str">
        <f ca="1">IF(Proc[[#This Row],[DaysAgeing]]&gt;5,"yep","on track")</f>
        <v>on track</v>
      </c>
      <c r="Q3454" s="3">
        <f ca="1">IF(Proc[[#This Row],[DateClosed]]="",ABS(NETWORKDAYS(Proc[[#This Row],[DateOpened]],TODAY()))-1,ABS(NETWORKDAYS(Proc[[#This Row],[DateOpened]],Proc[[#This Row],[DateClosed]]))-1)</f>
        <v>5</v>
      </c>
      <c r="R3454" s="115" t="s">
        <v>489</v>
      </c>
      <c r="S3454" s="125"/>
    </row>
    <row r="3455" spans="1:19" hidden="1">
      <c r="A3455" t="s">
        <v>5524</v>
      </c>
      <c r="B3455" s="125" t="str">
        <f>IFERROR(VLOOKUP(Proc[[#This Row],[App]],Table2[],3,0),"open")</f>
        <v>ok</v>
      </c>
      <c r="C3455" s="124" t="s">
        <v>369</v>
      </c>
      <c r="D3455" t="s">
        <v>5525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25" t="str">
        <f>IF(Proc[[#This Row],[Author]]="Marcela Urrego",VLOOKUP(LEFT(Proc[[#This Row],[Requested]],1),Table3[#All],2,0),VLOOKUP(Proc[[#This Row],[Author]],Table4[],2,0))</f>
        <v>MGF</v>
      </c>
      <c r="L3455" s="125" t="s">
        <v>4896</v>
      </c>
      <c r="M3455" s="127">
        <v>45877</v>
      </c>
      <c r="N3455" s="127"/>
      <c r="O3455" s="127"/>
      <c r="P3455" s="115" t="str">
        <f ca="1">IF(Proc[[#This Row],[DaysAgeing]]&gt;5,"yep","on track")</f>
        <v>on track</v>
      </c>
      <c r="Q3455" s="3">
        <f ca="1">IF(Proc[[#This Row],[DateClosed]]="",ABS(NETWORKDAYS(Proc[[#This Row],[DateOpened]],TODAY()))-1,ABS(NETWORKDAYS(Proc[[#This Row],[DateOpened]],Proc[[#This Row],[DateClosed]]))-1)</f>
        <v>5</v>
      </c>
      <c r="R3455" s="115" t="s">
        <v>1459</v>
      </c>
      <c r="S3455" s="125"/>
    </row>
    <row r="3456" spans="1:19" hidden="1">
      <c r="A3456" t="s">
        <v>5526</v>
      </c>
      <c r="B3456" s="125" t="str">
        <f>IFERROR(VLOOKUP(Proc[[#This Row],[App]],Table2[],3,0),"open")</f>
        <v>ok</v>
      </c>
      <c r="C3456" s="124" t="s">
        <v>369</v>
      </c>
      <c r="D3456" t="s">
        <v>5527</v>
      </c>
      <c r="E3456" t="s">
        <v>5529</v>
      </c>
      <c r="F3456" s="124" t="s">
        <v>5529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25" t="str">
        <f>IF(Proc[[#This Row],[Author]]="Marcela Urrego",VLOOKUP(LEFT(Proc[[#This Row],[Requested]],1),Table3[#All],2,0),VLOOKUP(Proc[[#This Row],[Author]],Table4[],2,0))</f>
        <v>LS</v>
      </c>
      <c r="L3456" s="125" t="s">
        <v>4896</v>
      </c>
      <c r="M3456" s="127">
        <v>45877</v>
      </c>
      <c r="N3456" s="127"/>
      <c r="O3456" s="127"/>
      <c r="P3456" s="115" t="str">
        <f ca="1">IF(Proc[[#This Row],[DaysAgeing]]&gt;5,"yep","on track")</f>
        <v>on track</v>
      </c>
      <c r="Q3456" s="3">
        <f ca="1">IF(Proc[[#This Row],[DateClosed]]="",ABS(NETWORKDAYS(Proc[[#This Row],[DateOpened]],TODAY()))-1,ABS(NETWORKDAYS(Proc[[#This Row],[DateOpened]],Proc[[#This Row],[DateClosed]]))-1)</f>
        <v>5</v>
      </c>
      <c r="R3456" s="115" t="s">
        <v>489</v>
      </c>
      <c r="S3456" s="125"/>
    </row>
    <row r="3457" spans="1:19" hidden="1">
      <c r="A3457" s="124" t="s">
        <v>5526</v>
      </c>
      <c r="B3457" s="125" t="str">
        <f>IFERROR(VLOOKUP(Proc[[#This Row],[App]],Table2[],3,0),"open")</f>
        <v>ok</v>
      </c>
      <c r="C3457" s="124" t="s">
        <v>369</v>
      </c>
      <c r="D3457" t="s">
        <v>5528</v>
      </c>
      <c r="E3457" t="s">
        <v>5530</v>
      </c>
      <c r="F3457" s="124" t="s">
        <v>5530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25" t="str">
        <f>IF(Proc[[#This Row],[Author]]="Marcela Urrego",VLOOKUP(LEFT(Proc[[#This Row],[Requested]],1),Table3[#All],2,0),VLOOKUP(Proc[[#This Row],[Author]],Table4[],2,0))</f>
        <v>LS</v>
      </c>
      <c r="L3457" s="125" t="s">
        <v>4896</v>
      </c>
      <c r="M3457" s="127">
        <v>45877</v>
      </c>
      <c r="N3457" s="127"/>
      <c r="O3457" s="127"/>
      <c r="P3457" s="115" t="str">
        <f ca="1">IF(Proc[[#This Row],[DaysAgeing]]&gt;5,"yep","on track")</f>
        <v>on track</v>
      </c>
      <c r="Q3457" s="3">
        <f ca="1">IF(Proc[[#This Row],[DateClosed]]="",ABS(NETWORKDAYS(Proc[[#This Row],[DateOpened]],TODAY()))-1,ABS(NETWORKDAYS(Proc[[#This Row],[DateOpened]],Proc[[#This Row],[DateClosed]]))-1)</f>
        <v>5</v>
      </c>
      <c r="R3457" s="115" t="s">
        <v>489</v>
      </c>
      <c r="S3457" s="125"/>
    </row>
    <row r="3458" spans="1:19" hidden="1">
      <c r="A3458" t="s">
        <v>5531</v>
      </c>
      <c r="B3458" s="125" t="str">
        <f>IFERROR(VLOOKUP(Proc[[#This Row],[App]],Table2[],3,0),"open")</f>
        <v>ok</v>
      </c>
      <c r="C3458" s="124" t="s">
        <v>369</v>
      </c>
      <c r="D3458" t="s">
        <v>4323</v>
      </c>
      <c r="E3458" t="s">
        <v>5554</v>
      </c>
      <c r="F3458" s="125" t="s">
        <v>5554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25" t="str">
        <f>IF(Proc[[#This Row],[Author]]="Marcela Urrego",VLOOKUP(LEFT(Proc[[#This Row],[Requested]],1),Table3[#All],2,0),VLOOKUP(Proc[[#This Row],[Author]],Table4[],2,0))</f>
        <v>LS</v>
      </c>
      <c r="L3458" s="125" t="s">
        <v>4896</v>
      </c>
      <c r="M3458" s="127">
        <v>45877</v>
      </c>
      <c r="N3458" s="127"/>
      <c r="O3458" s="127"/>
      <c r="P3458" s="115" t="str">
        <f ca="1">IF(Proc[[#This Row],[DaysAgeing]]&gt;5,"yep","on track")</f>
        <v>on track</v>
      </c>
      <c r="Q3458" s="3">
        <f ca="1">IF(Proc[[#This Row],[DateClosed]]="",ABS(NETWORKDAYS(Proc[[#This Row],[DateOpened]],TODAY()))-1,ABS(NETWORKDAYS(Proc[[#This Row],[DateOpened]],Proc[[#This Row],[DateClosed]]))-1)</f>
        <v>5</v>
      </c>
      <c r="R3458" s="115" t="s">
        <v>489</v>
      </c>
      <c r="S3458" s="125"/>
    </row>
    <row r="3459" spans="1:19" hidden="1">
      <c r="A3459" t="s">
        <v>5532</v>
      </c>
      <c r="B3459" s="125" t="str">
        <f>IFERROR(VLOOKUP(Proc[[#This Row],[App]],Table2[],3,0),"open")</f>
        <v>ok</v>
      </c>
      <c r="C3459" s="124" t="s">
        <v>369</v>
      </c>
      <c r="D3459" t="s">
        <v>5559</v>
      </c>
      <c r="E3459" t="s">
        <v>5554</v>
      </c>
      <c r="F3459" s="125" t="s">
        <v>5554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25" t="str">
        <f>IF(Proc[[#This Row],[Author]]="Marcela Urrego",VLOOKUP(LEFT(Proc[[#This Row],[Requested]],1),Table3[#All],2,0),VLOOKUP(Proc[[#This Row],[Author]],Table4[],2,0))</f>
        <v>LS</v>
      </c>
      <c r="L3459" s="125" t="s">
        <v>4896</v>
      </c>
      <c r="M3459" s="127">
        <v>45877</v>
      </c>
      <c r="N3459" s="127"/>
      <c r="O3459" s="127"/>
      <c r="P3459" s="115" t="str">
        <f ca="1">IF(Proc[[#This Row],[DaysAgeing]]&gt;5,"yep","on track")</f>
        <v>on track</v>
      </c>
      <c r="Q3459" s="3">
        <f ca="1">IF(Proc[[#This Row],[DateClosed]]="",ABS(NETWORKDAYS(Proc[[#This Row],[DateOpened]],TODAY()))-1,ABS(NETWORKDAYS(Proc[[#This Row],[DateOpened]],Proc[[#This Row],[DateClosed]]))-1)</f>
        <v>5</v>
      </c>
      <c r="R3459" s="115" t="s">
        <v>489</v>
      </c>
      <c r="S3459" s="125"/>
    </row>
    <row r="3460" spans="1:19" hidden="1">
      <c r="A3460" s="124" t="s">
        <v>5532</v>
      </c>
      <c r="B3460" s="125" t="str">
        <f>IFERROR(VLOOKUP(Proc[[#This Row],[App]],Table2[],3,0),"open")</f>
        <v>ok</v>
      </c>
      <c r="C3460" s="124" t="s">
        <v>369</v>
      </c>
      <c r="D3460" t="s">
        <v>5560</v>
      </c>
      <c r="E3460" t="s">
        <v>5554</v>
      </c>
      <c r="F3460" s="125" t="s">
        <v>5554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25" t="str">
        <f>IF(Proc[[#This Row],[Author]]="Marcela Urrego",VLOOKUP(LEFT(Proc[[#This Row],[Requested]],1),Table3[#All],2,0),VLOOKUP(Proc[[#This Row],[Author]],Table4[],2,0))</f>
        <v>LS</v>
      </c>
      <c r="L3460" s="125" t="s">
        <v>4896</v>
      </c>
      <c r="M3460" s="127">
        <v>45877</v>
      </c>
      <c r="N3460" s="127"/>
      <c r="O3460" s="127"/>
      <c r="P3460" s="115" t="str">
        <f ca="1">IF(Proc[[#This Row],[DaysAgeing]]&gt;5,"yep","on track")</f>
        <v>on track</v>
      </c>
      <c r="Q3460" s="3">
        <f ca="1">IF(Proc[[#This Row],[DateClosed]]="",ABS(NETWORKDAYS(Proc[[#This Row],[DateOpened]],TODAY()))-1,ABS(NETWORKDAYS(Proc[[#This Row],[DateOpened]],Proc[[#This Row],[DateClosed]]))-1)</f>
        <v>5</v>
      </c>
      <c r="R3460" s="115" t="s">
        <v>489</v>
      </c>
      <c r="S3460" s="125"/>
    </row>
    <row r="3461" spans="1:19" hidden="1">
      <c r="A3461" s="124" t="s">
        <v>5532</v>
      </c>
      <c r="B3461" s="125" t="str">
        <f>IFERROR(VLOOKUP(Proc[[#This Row],[App]],Table2[],3,0),"open")</f>
        <v>ok</v>
      </c>
      <c r="C3461" s="124" t="s">
        <v>369</v>
      </c>
      <c r="D3461" t="s">
        <v>5561</v>
      </c>
      <c r="E3461" t="s">
        <v>5554</v>
      </c>
      <c r="F3461" s="125" t="s">
        <v>5554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25" t="str">
        <f>IF(Proc[[#This Row],[Author]]="Marcela Urrego",VLOOKUP(LEFT(Proc[[#This Row],[Requested]],1),Table3[#All],2,0),VLOOKUP(Proc[[#This Row],[Author]],Table4[],2,0))</f>
        <v>LS</v>
      </c>
      <c r="L3461" s="125" t="s">
        <v>4896</v>
      </c>
      <c r="M3461" s="127">
        <v>45877</v>
      </c>
      <c r="N3461" s="127"/>
      <c r="O3461" s="127"/>
      <c r="P3461" s="115" t="str">
        <f ca="1">IF(Proc[[#This Row],[DaysAgeing]]&gt;5,"yep","on track")</f>
        <v>on track</v>
      </c>
      <c r="Q3461" s="3">
        <f ca="1">IF(Proc[[#This Row],[DateClosed]]="",ABS(NETWORKDAYS(Proc[[#This Row],[DateOpened]],TODAY()))-1,ABS(NETWORKDAYS(Proc[[#This Row],[DateOpened]],Proc[[#This Row],[DateClosed]]))-1)</f>
        <v>5</v>
      </c>
      <c r="R3461" s="115" t="s">
        <v>489</v>
      </c>
      <c r="S3461" s="125"/>
    </row>
    <row r="3462" spans="1:19" hidden="1">
      <c r="A3462" s="124" t="s">
        <v>5532</v>
      </c>
      <c r="B3462" s="125" t="str">
        <f>IFERROR(VLOOKUP(Proc[[#This Row],[App]],Table2[],3,0),"open")</f>
        <v>ok</v>
      </c>
      <c r="C3462" s="124" t="s">
        <v>369</v>
      </c>
      <c r="D3462" t="s">
        <v>5562</v>
      </c>
      <c r="E3462" t="s">
        <v>5554</v>
      </c>
      <c r="F3462" s="125" t="s">
        <v>5554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25" t="str">
        <f>IF(Proc[[#This Row],[Author]]="Marcela Urrego",VLOOKUP(LEFT(Proc[[#This Row],[Requested]],1),Table3[#All],2,0),VLOOKUP(Proc[[#This Row],[Author]],Table4[],2,0))</f>
        <v>LS</v>
      </c>
      <c r="L3462" s="125" t="s">
        <v>4896</v>
      </c>
      <c r="M3462" s="127">
        <v>45877</v>
      </c>
      <c r="N3462" s="127"/>
      <c r="O3462" s="127"/>
      <c r="P3462" s="115" t="str">
        <f ca="1">IF(Proc[[#This Row],[DaysAgeing]]&gt;5,"yep","on track")</f>
        <v>on track</v>
      </c>
      <c r="Q3462" s="3">
        <f ca="1">IF(Proc[[#This Row],[DateClosed]]="",ABS(NETWORKDAYS(Proc[[#This Row],[DateOpened]],TODAY()))-1,ABS(NETWORKDAYS(Proc[[#This Row],[DateOpened]],Proc[[#This Row],[DateClosed]]))-1)</f>
        <v>5</v>
      </c>
      <c r="R3462" s="115" t="s">
        <v>489</v>
      </c>
      <c r="S3462" s="125"/>
    </row>
    <row r="3463" spans="1:19" hidden="1">
      <c r="A3463" s="124" t="s">
        <v>5532</v>
      </c>
      <c r="B3463" s="125" t="str">
        <f>IFERROR(VLOOKUP(Proc[[#This Row],[App]],Table2[],3,0),"open")</f>
        <v>ok</v>
      </c>
      <c r="C3463" s="124" t="s">
        <v>369</v>
      </c>
      <c r="D3463" t="s">
        <v>5563</v>
      </c>
      <c r="E3463" t="s">
        <v>5554</v>
      </c>
      <c r="F3463" s="125" t="s">
        <v>5554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25" t="str">
        <f>IF(Proc[[#This Row],[Author]]="Marcela Urrego",VLOOKUP(LEFT(Proc[[#This Row],[Requested]],1),Table3[#All],2,0),VLOOKUP(Proc[[#This Row],[Author]],Table4[],2,0))</f>
        <v>LS</v>
      </c>
      <c r="L3463" s="125" t="s">
        <v>4896</v>
      </c>
      <c r="M3463" s="127">
        <v>45877</v>
      </c>
      <c r="N3463" s="127"/>
      <c r="O3463" s="127"/>
      <c r="P3463" s="115" t="str">
        <f ca="1">IF(Proc[[#This Row],[DaysAgeing]]&gt;5,"yep","on track")</f>
        <v>on track</v>
      </c>
      <c r="Q3463" s="3">
        <f ca="1">IF(Proc[[#This Row],[DateClosed]]="",ABS(NETWORKDAYS(Proc[[#This Row],[DateOpened]],TODAY()))-1,ABS(NETWORKDAYS(Proc[[#This Row],[DateOpened]],Proc[[#This Row],[DateClosed]]))-1)</f>
        <v>5</v>
      </c>
      <c r="R3463" s="115" t="s">
        <v>489</v>
      </c>
      <c r="S3463" s="125"/>
    </row>
    <row r="3464" spans="1:19" hidden="1">
      <c r="A3464" s="124" t="s">
        <v>5532</v>
      </c>
      <c r="B3464" s="125" t="str">
        <f>IFERROR(VLOOKUP(Proc[[#This Row],[App]],Table2[],3,0),"open")</f>
        <v>ok</v>
      </c>
      <c r="C3464" s="124" t="s">
        <v>369</v>
      </c>
      <c r="D3464" t="s">
        <v>5564</v>
      </c>
      <c r="E3464" t="s">
        <v>5554</v>
      </c>
      <c r="F3464" s="125" t="s">
        <v>5554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25" t="str">
        <f>IF(Proc[[#This Row],[Author]]="Marcela Urrego",VLOOKUP(LEFT(Proc[[#This Row],[Requested]],1),Table3[#All],2,0),VLOOKUP(Proc[[#This Row],[Author]],Table4[],2,0))</f>
        <v>LS</v>
      </c>
      <c r="L3464" s="125" t="s">
        <v>4896</v>
      </c>
      <c r="M3464" s="127">
        <v>45877</v>
      </c>
      <c r="N3464" s="127"/>
      <c r="O3464" s="127"/>
      <c r="P3464" s="115" t="str">
        <f ca="1">IF(Proc[[#This Row],[DaysAgeing]]&gt;5,"yep","on track")</f>
        <v>on track</v>
      </c>
      <c r="Q3464" s="3">
        <f ca="1">IF(Proc[[#This Row],[DateClosed]]="",ABS(NETWORKDAYS(Proc[[#This Row],[DateOpened]],TODAY()))-1,ABS(NETWORKDAYS(Proc[[#This Row],[DateOpened]],Proc[[#This Row],[DateClosed]]))-1)</f>
        <v>5</v>
      </c>
      <c r="R3464" s="115" t="s">
        <v>489</v>
      </c>
      <c r="S3464" s="125"/>
    </row>
    <row r="3465" spans="1:19" hidden="1">
      <c r="A3465" s="124" t="s">
        <v>5532</v>
      </c>
      <c r="B3465" s="125" t="str">
        <f>IFERROR(VLOOKUP(Proc[[#This Row],[App]],Table2[],3,0),"open")</f>
        <v>ok</v>
      </c>
      <c r="C3465" s="124" t="s">
        <v>369</v>
      </c>
      <c r="D3465" t="s">
        <v>5565</v>
      </c>
      <c r="E3465" t="s">
        <v>5533</v>
      </c>
      <c r="F3465" s="125" t="s">
        <v>5533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25" t="str">
        <f>IF(Proc[[#This Row],[Author]]="Marcela Urrego",VLOOKUP(LEFT(Proc[[#This Row],[Requested]],1),Table3[#All],2,0),VLOOKUP(Proc[[#This Row],[Author]],Table4[],2,0))</f>
        <v>LS</v>
      </c>
      <c r="L3465" s="125" t="s">
        <v>4896</v>
      </c>
      <c r="M3465" s="127">
        <v>45877</v>
      </c>
      <c r="N3465" s="127"/>
      <c r="O3465" s="127"/>
      <c r="P3465" s="115" t="str">
        <f ca="1">IF(Proc[[#This Row],[DaysAgeing]]&gt;5,"yep","on track")</f>
        <v>on track</v>
      </c>
      <c r="Q3465" s="3">
        <f ca="1">IF(Proc[[#This Row],[DateClosed]]="",ABS(NETWORKDAYS(Proc[[#This Row],[DateOpened]],TODAY()))-1,ABS(NETWORKDAYS(Proc[[#This Row],[DateOpened]],Proc[[#This Row],[DateClosed]]))-1)</f>
        <v>5</v>
      </c>
      <c r="R3465" s="115" t="s">
        <v>489</v>
      </c>
      <c r="S3465" s="125"/>
    </row>
    <row r="3466" spans="1:19" hidden="1">
      <c r="A3466" s="124" t="s">
        <v>5532</v>
      </c>
      <c r="B3466" s="125" t="str">
        <f>IFERROR(VLOOKUP(Proc[[#This Row],[App]],Table2[],3,0),"open")</f>
        <v>ok</v>
      </c>
      <c r="C3466" s="124" t="s">
        <v>369</v>
      </c>
      <c r="D3466" t="s">
        <v>5566</v>
      </c>
      <c r="E3466" t="s">
        <v>5533</v>
      </c>
      <c r="F3466" s="125" t="s">
        <v>5533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25" t="str">
        <f>IF(Proc[[#This Row],[Author]]="Marcela Urrego",VLOOKUP(LEFT(Proc[[#This Row],[Requested]],1),Table3[#All],2,0),VLOOKUP(Proc[[#This Row],[Author]],Table4[],2,0))</f>
        <v>LS</v>
      </c>
      <c r="L3466" s="125" t="s">
        <v>4896</v>
      </c>
      <c r="M3466" s="127">
        <v>45877</v>
      </c>
      <c r="N3466" s="127"/>
      <c r="O3466" s="127"/>
      <c r="P3466" s="115" t="str">
        <f ca="1">IF(Proc[[#This Row],[DaysAgeing]]&gt;5,"yep","on track")</f>
        <v>on track</v>
      </c>
      <c r="Q3466" s="3">
        <f ca="1">IF(Proc[[#This Row],[DateClosed]]="",ABS(NETWORKDAYS(Proc[[#This Row],[DateOpened]],TODAY()))-1,ABS(NETWORKDAYS(Proc[[#This Row],[DateOpened]],Proc[[#This Row],[DateClosed]]))-1)</f>
        <v>5</v>
      </c>
      <c r="R3466" s="115" t="s">
        <v>489</v>
      </c>
      <c r="S3466" s="125"/>
    </row>
    <row r="3467" spans="1:19" hidden="1">
      <c r="A3467" t="s">
        <v>5535</v>
      </c>
      <c r="B3467" s="125" t="str">
        <f>IFERROR(VLOOKUP(Proc[[#This Row],[App]],Table2[],3,0),"open")</f>
        <v>ok</v>
      </c>
      <c r="C3467" s="124" t="s">
        <v>369</v>
      </c>
      <c r="D3467" t="s">
        <v>5536</v>
      </c>
      <c r="E3467" t="s">
        <v>5534</v>
      </c>
      <c r="F3467" s="125" t="s">
        <v>5534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25" t="str">
        <f>IF(Proc[[#This Row],[Author]]="Marcela Urrego",VLOOKUP(LEFT(Proc[[#This Row],[Requested]],1),Table3[#All],2,0),VLOOKUP(Proc[[#This Row],[Author]],Table4[],2,0))</f>
        <v>HC</v>
      </c>
      <c r="L3467" s="125" t="s">
        <v>4896</v>
      </c>
      <c r="M3467" s="127">
        <v>45877</v>
      </c>
      <c r="N3467" s="127"/>
      <c r="O3467" s="127"/>
      <c r="P3467" s="115" t="str">
        <f ca="1">IF(Proc[[#This Row],[DaysAgeing]]&gt;5,"yep","on track")</f>
        <v>on track</v>
      </c>
      <c r="Q3467" s="3">
        <f ca="1">IF(Proc[[#This Row],[DateClosed]]="",ABS(NETWORKDAYS(Proc[[#This Row],[DateOpened]],TODAY()))-1,ABS(NETWORKDAYS(Proc[[#This Row],[DateOpened]],Proc[[#This Row],[DateClosed]]))-1)</f>
        <v>5</v>
      </c>
      <c r="R3467" s="115" t="s">
        <v>415</v>
      </c>
      <c r="S3467" s="125"/>
    </row>
    <row r="3468" spans="1:19" hidden="1">
      <c r="A3468" s="124" t="s">
        <v>5535</v>
      </c>
      <c r="B3468" s="125" t="str">
        <f>IFERROR(VLOOKUP(Proc[[#This Row],[App]],Table2[],3,0),"open")</f>
        <v>ok</v>
      </c>
      <c r="C3468" s="124" t="s">
        <v>369</v>
      </c>
      <c r="D3468" t="s">
        <v>5537</v>
      </c>
      <c r="E3468" t="s">
        <v>5534</v>
      </c>
      <c r="F3468" s="125" t="s">
        <v>5534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25" t="str">
        <f>IF(Proc[[#This Row],[Author]]="Marcela Urrego",VLOOKUP(LEFT(Proc[[#This Row],[Requested]],1),Table3[#All],2,0),VLOOKUP(Proc[[#This Row],[Author]],Table4[],2,0))</f>
        <v>HC</v>
      </c>
      <c r="L3468" s="125" t="s">
        <v>4896</v>
      </c>
      <c r="M3468" s="127">
        <v>45877</v>
      </c>
      <c r="N3468" s="127"/>
      <c r="O3468" s="127"/>
      <c r="P3468" s="115" t="str">
        <f ca="1">IF(Proc[[#This Row],[DaysAgeing]]&gt;5,"yep","on track")</f>
        <v>on track</v>
      </c>
      <c r="Q3468" s="3">
        <f ca="1">IF(Proc[[#This Row],[DateClosed]]="",ABS(NETWORKDAYS(Proc[[#This Row],[DateOpened]],TODAY()))-1,ABS(NETWORKDAYS(Proc[[#This Row],[DateOpened]],Proc[[#This Row],[DateClosed]]))-1)</f>
        <v>5</v>
      </c>
      <c r="R3468" s="115" t="s">
        <v>415</v>
      </c>
      <c r="S3468" s="125"/>
    </row>
    <row r="3469" spans="1:19" hidden="1">
      <c r="A3469" s="124" t="s">
        <v>5535</v>
      </c>
      <c r="B3469" s="125" t="str">
        <f>IFERROR(VLOOKUP(Proc[[#This Row],[App]],Table2[],3,0),"open")</f>
        <v>ok</v>
      </c>
      <c r="C3469" s="124" t="s">
        <v>369</v>
      </c>
      <c r="D3469" t="s">
        <v>5538</v>
      </c>
      <c r="E3469" t="s">
        <v>5534</v>
      </c>
      <c r="F3469" s="125" t="s">
        <v>5534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25" t="str">
        <f>IF(Proc[[#This Row],[Author]]="Marcela Urrego",VLOOKUP(LEFT(Proc[[#This Row],[Requested]],1),Table3[#All],2,0),VLOOKUP(Proc[[#This Row],[Author]],Table4[],2,0))</f>
        <v>HC</v>
      </c>
      <c r="L3469" s="125" t="s">
        <v>4896</v>
      </c>
      <c r="M3469" s="127">
        <v>45877</v>
      </c>
      <c r="N3469" s="127"/>
      <c r="O3469" s="127"/>
      <c r="P3469" s="115" t="str">
        <f ca="1">IF(Proc[[#This Row],[DaysAgeing]]&gt;5,"yep","on track")</f>
        <v>on track</v>
      </c>
      <c r="Q3469" s="3">
        <f ca="1">IF(Proc[[#This Row],[DateClosed]]="",ABS(NETWORKDAYS(Proc[[#This Row],[DateOpened]],TODAY()))-1,ABS(NETWORKDAYS(Proc[[#This Row],[DateOpened]],Proc[[#This Row],[DateClosed]]))-1)</f>
        <v>5</v>
      </c>
      <c r="R3469" s="115" t="s">
        <v>415</v>
      </c>
      <c r="S3469" s="125"/>
    </row>
    <row r="3470" spans="1:19" hidden="1">
      <c r="A3470" s="124" t="s">
        <v>5535</v>
      </c>
      <c r="B3470" s="125" t="str">
        <f>IFERROR(VLOOKUP(Proc[[#This Row],[App]],Table2[],3,0),"open")</f>
        <v>ok</v>
      </c>
      <c r="C3470" s="124" t="s">
        <v>369</v>
      </c>
      <c r="D3470" t="s">
        <v>5539</v>
      </c>
      <c r="E3470" t="s">
        <v>5534</v>
      </c>
      <c r="F3470" s="125" t="s">
        <v>5534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25" t="str">
        <f>IF(Proc[[#This Row],[Author]]="Marcela Urrego",VLOOKUP(LEFT(Proc[[#This Row],[Requested]],1),Table3[#All],2,0),VLOOKUP(Proc[[#This Row],[Author]],Table4[],2,0))</f>
        <v>HC</v>
      </c>
      <c r="L3470" s="125" t="s">
        <v>4896</v>
      </c>
      <c r="M3470" s="127">
        <v>45877</v>
      </c>
      <c r="N3470" s="127"/>
      <c r="O3470" s="127"/>
      <c r="P3470" s="115" t="str">
        <f ca="1">IF(Proc[[#This Row],[DaysAgeing]]&gt;5,"yep","on track")</f>
        <v>on track</v>
      </c>
      <c r="Q3470" s="3">
        <f ca="1">IF(Proc[[#This Row],[DateClosed]]="",ABS(NETWORKDAYS(Proc[[#This Row],[DateOpened]],TODAY()))-1,ABS(NETWORKDAYS(Proc[[#This Row],[DateOpened]],Proc[[#This Row],[DateClosed]]))-1)</f>
        <v>5</v>
      </c>
      <c r="R3470" s="115" t="s">
        <v>415</v>
      </c>
      <c r="S3470" s="125"/>
    </row>
    <row r="3471" spans="1:19" hidden="1">
      <c r="A3471" s="124" t="s">
        <v>5535</v>
      </c>
      <c r="B3471" s="125" t="str">
        <f>IFERROR(VLOOKUP(Proc[[#This Row],[App]],Table2[],3,0),"open")</f>
        <v>ok</v>
      </c>
      <c r="C3471" s="124" t="s">
        <v>369</v>
      </c>
      <c r="D3471" t="s">
        <v>5540</v>
      </c>
      <c r="E3471" t="s">
        <v>5534</v>
      </c>
      <c r="F3471" s="125" t="s">
        <v>5534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25" t="str">
        <f>IF(Proc[[#This Row],[Author]]="Marcela Urrego",VLOOKUP(LEFT(Proc[[#This Row],[Requested]],1),Table3[#All],2,0),VLOOKUP(Proc[[#This Row],[Author]],Table4[],2,0))</f>
        <v>HC</v>
      </c>
      <c r="L3471" s="125" t="s">
        <v>4896</v>
      </c>
      <c r="M3471" s="127">
        <v>45877</v>
      </c>
      <c r="N3471" s="127"/>
      <c r="O3471" s="127"/>
      <c r="P3471" s="115" t="str">
        <f ca="1">IF(Proc[[#This Row],[DaysAgeing]]&gt;5,"yep","on track")</f>
        <v>on track</v>
      </c>
      <c r="Q3471" s="3">
        <f ca="1">IF(Proc[[#This Row],[DateClosed]]="",ABS(NETWORKDAYS(Proc[[#This Row],[DateOpened]],TODAY()))-1,ABS(NETWORKDAYS(Proc[[#This Row],[DateOpened]],Proc[[#This Row],[DateClosed]]))-1)</f>
        <v>5</v>
      </c>
      <c r="R3471" s="115" t="s">
        <v>415</v>
      </c>
      <c r="S3471" s="125"/>
    </row>
    <row r="3472" spans="1:19" hidden="1">
      <c r="A3472" s="124" t="s">
        <v>5535</v>
      </c>
      <c r="B3472" s="125" t="str">
        <f>IFERROR(VLOOKUP(Proc[[#This Row],[App]],Table2[],3,0),"open")</f>
        <v>ok</v>
      </c>
      <c r="C3472" s="124" t="s">
        <v>369</v>
      </c>
      <c r="D3472" t="s">
        <v>5541</v>
      </c>
      <c r="E3472" t="s">
        <v>5534</v>
      </c>
      <c r="F3472" s="125" t="s">
        <v>5534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25" t="str">
        <f>IF(Proc[[#This Row],[Author]]="Marcela Urrego",VLOOKUP(LEFT(Proc[[#This Row],[Requested]],1),Table3[#All],2,0),VLOOKUP(Proc[[#This Row],[Author]],Table4[],2,0))</f>
        <v>HC</v>
      </c>
      <c r="L3472" s="125" t="s">
        <v>4896</v>
      </c>
      <c r="M3472" s="127">
        <v>45877</v>
      </c>
      <c r="N3472" s="127"/>
      <c r="O3472" s="127"/>
      <c r="P3472" s="115" t="str">
        <f ca="1">IF(Proc[[#This Row],[DaysAgeing]]&gt;5,"yep","on track")</f>
        <v>on track</v>
      </c>
      <c r="Q3472" s="3">
        <f ca="1">IF(Proc[[#This Row],[DateClosed]]="",ABS(NETWORKDAYS(Proc[[#This Row],[DateOpened]],TODAY()))-1,ABS(NETWORKDAYS(Proc[[#This Row],[DateOpened]],Proc[[#This Row],[DateClosed]]))-1)</f>
        <v>5</v>
      </c>
      <c r="R3472" s="115" t="s">
        <v>415</v>
      </c>
      <c r="S3472" s="125"/>
    </row>
    <row r="3473" spans="1:19" hidden="1">
      <c r="A3473" s="124" t="s">
        <v>5535</v>
      </c>
      <c r="B3473" s="125" t="str">
        <f>IFERROR(VLOOKUP(Proc[[#This Row],[App]],Table2[],3,0),"open")</f>
        <v>ok</v>
      </c>
      <c r="C3473" s="124" t="s">
        <v>369</v>
      </c>
      <c r="D3473" t="s">
        <v>5542</v>
      </c>
      <c r="E3473" t="s">
        <v>5534</v>
      </c>
      <c r="F3473" s="125" t="s">
        <v>5534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25" t="str">
        <f>IF(Proc[[#This Row],[Author]]="Marcela Urrego",VLOOKUP(LEFT(Proc[[#This Row],[Requested]],1),Table3[#All],2,0),VLOOKUP(Proc[[#This Row],[Author]],Table4[],2,0))</f>
        <v>HC</v>
      </c>
      <c r="L3473" s="125" t="s">
        <v>4896</v>
      </c>
      <c r="M3473" s="127">
        <v>45877</v>
      </c>
      <c r="N3473" s="127"/>
      <c r="O3473" s="127"/>
      <c r="P3473" s="115" t="str">
        <f ca="1">IF(Proc[[#This Row],[DaysAgeing]]&gt;5,"yep","on track")</f>
        <v>on track</v>
      </c>
      <c r="Q3473" s="3">
        <f ca="1">IF(Proc[[#This Row],[DateClosed]]="",ABS(NETWORKDAYS(Proc[[#This Row],[DateOpened]],TODAY()))-1,ABS(NETWORKDAYS(Proc[[#This Row],[DateOpened]],Proc[[#This Row],[DateClosed]]))-1)</f>
        <v>5</v>
      </c>
      <c r="R3473" s="115" t="s">
        <v>415</v>
      </c>
      <c r="S3473" s="125"/>
    </row>
    <row r="3474" spans="1:19" hidden="1">
      <c r="A3474" s="124" t="s">
        <v>5535</v>
      </c>
      <c r="B3474" s="125" t="str">
        <f>IFERROR(VLOOKUP(Proc[[#This Row],[App]],Table2[],3,0),"open")</f>
        <v>ok</v>
      </c>
      <c r="C3474" s="124" t="s">
        <v>369</v>
      </c>
      <c r="D3474" t="s">
        <v>5543</v>
      </c>
      <c r="E3474" t="s">
        <v>5534</v>
      </c>
      <c r="F3474" s="125" t="s">
        <v>5534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25" t="str">
        <f>IF(Proc[[#This Row],[Author]]="Marcela Urrego",VLOOKUP(LEFT(Proc[[#This Row],[Requested]],1),Table3[#All],2,0),VLOOKUP(Proc[[#This Row],[Author]],Table4[],2,0))</f>
        <v>HC</v>
      </c>
      <c r="L3474" s="125" t="s">
        <v>4896</v>
      </c>
      <c r="M3474" s="127">
        <v>45877</v>
      </c>
      <c r="N3474" s="127"/>
      <c r="O3474" s="127"/>
      <c r="P3474" s="115" t="str">
        <f ca="1">IF(Proc[[#This Row],[DaysAgeing]]&gt;5,"yep","on track")</f>
        <v>on track</v>
      </c>
      <c r="Q3474" s="3">
        <f ca="1">IF(Proc[[#This Row],[DateClosed]]="",ABS(NETWORKDAYS(Proc[[#This Row],[DateOpened]],TODAY()))-1,ABS(NETWORKDAYS(Proc[[#This Row],[DateOpened]],Proc[[#This Row],[DateClosed]]))-1)</f>
        <v>5</v>
      </c>
      <c r="R3474" s="115" t="s">
        <v>415</v>
      </c>
      <c r="S3474" s="125"/>
    </row>
    <row r="3475" spans="1:19" hidden="1">
      <c r="A3475" s="124" t="s">
        <v>5535</v>
      </c>
      <c r="B3475" s="125" t="str">
        <f>IFERROR(VLOOKUP(Proc[[#This Row],[App]],Table2[],3,0),"open")</f>
        <v>ok</v>
      </c>
      <c r="C3475" s="124" t="s">
        <v>369</v>
      </c>
      <c r="D3475" t="s">
        <v>5544</v>
      </c>
      <c r="E3475" t="s">
        <v>5534</v>
      </c>
      <c r="F3475" s="125" t="s">
        <v>5534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25" t="str">
        <f>IF(Proc[[#This Row],[Author]]="Marcela Urrego",VLOOKUP(LEFT(Proc[[#This Row],[Requested]],1),Table3[#All],2,0),VLOOKUP(Proc[[#This Row],[Author]],Table4[],2,0))</f>
        <v>HC</v>
      </c>
      <c r="L3475" s="125" t="s">
        <v>4896</v>
      </c>
      <c r="M3475" s="127">
        <v>45877</v>
      </c>
      <c r="N3475" s="127"/>
      <c r="O3475" s="127"/>
      <c r="P3475" s="115" t="str">
        <f ca="1">IF(Proc[[#This Row],[DaysAgeing]]&gt;5,"yep","on track")</f>
        <v>on track</v>
      </c>
      <c r="Q3475" s="3">
        <f ca="1">IF(Proc[[#This Row],[DateClosed]]="",ABS(NETWORKDAYS(Proc[[#This Row],[DateOpened]],TODAY()))-1,ABS(NETWORKDAYS(Proc[[#This Row],[DateOpened]],Proc[[#This Row],[DateClosed]]))-1)</f>
        <v>5</v>
      </c>
      <c r="R3475" s="115" t="s">
        <v>415</v>
      </c>
      <c r="S3475" s="125"/>
    </row>
    <row r="3476" spans="1:19" hidden="1">
      <c r="A3476" s="124" t="s">
        <v>5535</v>
      </c>
      <c r="B3476" s="125" t="str">
        <f>IFERROR(VLOOKUP(Proc[[#This Row],[App]],Table2[],3,0),"open")</f>
        <v>ok</v>
      </c>
      <c r="C3476" s="124" t="s">
        <v>369</v>
      </c>
      <c r="D3476" t="s">
        <v>5545</v>
      </c>
      <c r="E3476" t="s">
        <v>5534</v>
      </c>
      <c r="F3476" s="125" t="s">
        <v>5534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25" t="str">
        <f>IF(Proc[[#This Row],[Author]]="Marcela Urrego",VLOOKUP(LEFT(Proc[[#This Row],[Requested]],1),Table3[#All],2,0),VLOOKUP(Proc[[#This Row],[Author]],Table4[],2,0))</f>
        <v>HC</v>
      </c>
      <c r="L3476" s="125" t="s">
        <v>4896</v>
      </c>
      <c r="M3476" s="127">
        <v>45877</v>
      </c>
      <c r="N3476" s="127"/>
      <c r="O3476" s="127"/>
      <c r="P3476" s="115" t="str">
        <f ca="1">IF(Proc[[#This Row],[DaysAgeing]]&gt;5,"yep","on track")</f>
        <v>on track</v>
      </c>
      <c r="Q3476" s="3">
        <f ca="1">IF(Proc[[#This Row],[DateClosed]]="",ABS(NETWORKDAYS(Proc[[#This Row],[DateOpened]],TODAY()))-1,ABS(NETWORKDAYS(Proc[[#This Row],[DateOpened]],Proc[[#This Row],[DateClosed]]))-1)</f>
        <v>5</v>
      </c>
      <c r="R3476" s="115" t="s">
        <v>415</v>
      </c>
      <c r="S3476" s="125"/>
    </row>
    <row r="3477" spans="1:19" hidden="1">
      <c r="A3477" t="s">
        <v>5548</v>
      </c>
      <c r="B3477" s="125" t="str">
        <f>IFERROR(VLOOKUP(Proc[[#This Row],[App]],Table2[],3,0),"open")</f>
        <v>ok</v>
      </c>
      <c r="C3477" s="124" t="s">
        <v>369</v>
      </c>
      <c r="D3477" t="s">
        <v>5549</v>
      </c>
      <c r="E3477" s="124" t="s">
        <v>5550</v>
      </c>
      <c r="F3477" s="125" t="s">
        <v>5550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25" t="str">
        <f>IF(Proc[[#This Row],[Author]]="Marcela Urrego",VLOOKUP(LEFT(Proc[[#This Row],[Requested]],1),Table3[#All],2,0),VLOOKUP(Proc[[#This Row],[Author]],Table4[],2,0))</f>
        <v>HC</v>
      </c>
      <c r="L3477" s="125" t="s">
        <v>4896</v>
      </c>
      <c r="M3477" s="127">
        <v>45880</v>
      </c>
      <c r="N3477" s="127"/>
      <c r="O3477" s="127"/>
      <c r="P3477" s="115" t="str">
        <f ca="1">IF(Proc[[#This Row],[DaysAgeing]]&gt;5,"yep","on track")</f>
        <v>on track</v>
      </c>
      <c r="Q3477" s="3">
        <f ca="1">IF(Proc[[#This Row],[DateClosed]]="",ABS(NETWORKDAYS(Proc[[#This Row],[DateOpened]],TODAY()))-1,ABS(NETWORKDAYS(Proc[[#This Row],[DateOpened]],Proc[[#This Row],[DateClosed]]))-1)</f>
        <v>4</v>
      </c>
      <c r="R3477" s="115" t="s">
        <v>410</v>
      </c>
      <c r="S3477" s="125"/>
    </row>
    <row r="3478" spans="1:19" hidden="1">
      <c r="A3478" t="s">
        <v>5551</v>
      </c>
      <c r="B3478" s="125" t="str">
        <f>IFERROR(VLOOKUP(Proc[[#This Row],[App]],Table2[],3,0),"open")</f>
        <v>ok</v>
      </c>
      <c r="C3478" s="124" t="s">
        <v>369</v>
      </c>
      <c r="D3478" t="s">
        <v>5552</v>
      </c>
      <c r="E3478" t="s">
        <v>5555</v>
      </c>
      <c r="F3478" s="125" t="s">
        <v>5555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25" t="str">
        <f>IF(Proc[[#This Row],[Author]]="Marcela Urrego",VLOOKUP(LEFT(Proc[[#This Row],[Requested]],1),Table3[#All],2,0),VLOOKUP(Proc[[#This Row],[Author]],Table4[],2,0))</f>
        <v>MGF</v>
      </c>
      <c r="L3478" s="125" t="s">
        <v>4896</v>
      </c>
      <c r="M3478" s="127">
        <v>45880</v>
      </c>
      <c r="N3478" s="127"/>
      <c r="O3478" s="127"/>
      <c r="P3478" s="115" t="str">
        <f ca="1">IF(Proc[[#This Row],[DaysAgeing]]&gt;5,"yep","on track")</f>
        <v>on track</v>
      </c>
      <c r="Q3478" s="3">
        <f ca="1">IF(Proc[[#This Row],[DateClosed]]="",ABS(NETWORKDAYS(Proc[[#This Row],[DateOpened]],TODAY()))-1,ABS(NETWORKDAYS(Proc[[#This Row],[DateOpened]],Proc[[#This Row],[DateClosed]]))-1)</f>
        <v>4</v>
      </c>
      <c r="R3478" s="115" t="s">
        <v>515</v>
      </c>
      <c r="S3478" s="125"/>
    </row>
    <row r="3479" spans="1:19" hidden="1">
      <c r="A3479" t="s">
        <v>5556</v>
      </c>
      <c r="B3479" s="125" t="str">
        <f>IFERROR(VLOOKUP(Proc[[#This Row],[App]],Table2[],3,0),"open")</f>
        <v>ok</v>
      </c>
      <c r="C3479" t="s">
        <v>369</v>
      </c>
      <c r="D3479" t="s">
        <v>5567</v>
      </c>
      <c r="E3479" t="s">
        <v>5557</v>
      </c>
      <c r="F3479" s="129" t="s">
        <v>5557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25" t="str">
        <f>IF(Proc[[#This Row],[Author]]="Marcela Urrego",VLOOKUP(LEFT(Proc[[#This Row],[Requested]],1),Table3[#All],2,0),VLOOKUP(Proc[[#This Row],[Author]],Table4[],2,0))</f>
        <v>HC</v>
      </c>
      <c r="L3479" s="129" t="s">
        <v>4896</v>
      </c>
      <c r="M3479" s="127">
        <v>45881</v>
      </c>
      <c r="N3479" s="127"/>
      <c r="O3479" s="127"/>
      <c r="P3479" s="115" t="str">
        <f ca="1">IF(Proc[[#This Row],[DaysAgeing]]&gt;5,"yep","on track")</f>
        <v>on track</v>
      </c>
      <c r="Q3479" s="3">
        <f ca="1">IF(Proc[[#This Row],[DateClosed]]="",ABS(NETWORKDAYS(Proc[[#This Row],[DateOpened]],TODAY()))-1,ABS(NETWORKDAYS(Proc[[#This Row],[DateOpened]],Proc[[#This Row],[DateClosed]]))-1)</f>
        <v>3</v>
      </c>
      <c r="R3479" s="115" t="s">
        <v>410</v>
      </c>
      <c r="S3479" s="125"/>
    </row>
    <row r="3480" spans="1:19" hidden="1">
      <c r="A3480" s="124" t="s">
        <v>5556</v>
      </c>
      <c r="B3480" s="125" t="str">
        <f>IFERROR(VLOOKUP(Proc[[#This Row],[App]],Table2[],3,0),"open")</f>
        <v>ok</v>
      </c>
      <c r="C3480" s="128" t="s">
        <v>369</v>
      </c>
      <c r="D3480" t="s">
        <v>5568</v>
      </c>
      <c r="E3480" t="s">
        <v>5557</v>
      </c>
      <c r="F3480" s="129" t="s">
        <v>5557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25" t="str">
        <f>IF(Proc[[#This Row],[Author]]="Marcela Urrego",VLOOKUP(LEFT(Proc[[#This Row],[Requested]],1),Table3[#All],2,0),VLOOKUP(Proc[[#This Row],[Author]],Table4[],2,0))</f>
        <v>HC</v>
      </c>
      <c r="L3480" s="129" t="s">
        <v>4896</v>
      </c>
      <c r="M3480" s="127">
        <v>45881</v>
      </c>
      <c r="N3480" s="127"/>
      <c r="O3480" s="127"/>
      <c r="P3480" s="115" t="str">
        <f ca="1">IF(Proc[[#This Row],[DaysAgeing]]&gt;5,"yep","on track")</f>
        <v>on track</v>
      </c>
      <c r="Q3480" s="3">
        <f ca="1">IF(Proc[[#This Row],[DateClosed]]="",ABS(NETWORKDAYS(Proc[[#This Row],[DateOpened]],TODAY()))-1,ABS(NETWORKDAYS(Proc[[#This Row],[DateOpened]],Proc[[#This Row],[DateClosed]]))-1)</f>
        <v>3</v>
      </c>
      <c r="R3480" s="115" t="s">
        <v>410</v>
      </c>
      <c r="S3480" s="125"/>
    </row>
    <row r="3481" spans="1:19" hidden="1">
      <c r="A3481" s="124" t="s">
        <v>5556</v>
      </c>
      <c r="B3481" s="125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25" t="str">
        <f>IF(Proc[[#This Row],[Author]]="Marcela Urrego",VLOOKUP(LEFT(Proc[[#This Row],[Requested]],1),Table3[#All],2,0),VLOOKUP(Proc[[#This Row],[Author]],Table4[],2,0))</f>
        <v>HC</v>
      </c>
      <c r="L3481" s="129" t="s">
        <v>4896</v>
      </c>
      <c r="M3481" s="127">
        <v>45881</v>
      </c>
      <c r="N3481" s="127"/>
      <c r="O3481" s="127"/>
      <c r="P3481" s="115" t="str">
        <f ca="1">IF(Proc[[#This Row],[DaysAgeing]]&gt;5,"yep","on track")</f>
        <v>on track</v>
      </c>
      <c r="Q3481" s="3">
        <f ca="1">IF(Proc[[#This Row],[DateClosed]]="",ABS(NETWORKDAYS(Proc[[#This Row],[DateOpened]],TODAY()))-1,ABS(NETWORKDAYS(Proc[[#This Row],[DateOpened]],Proc[[#This Row],[DateClosed]]))-1)</f>
        <v>3</v>
      </c>
      <c r="R3481" s="115" t="s">
        <v>410</v>
      </c>
      <c r="S3481" s="125"/>
    </row>
    <row r="3482" spans="1:19" hidden="1">
      <c r="A3482" s="124" t="s">
        <v>5556</v>
      </c>
      <c r="B3482" s="125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25" t="str">
        <f>IF(Proc[[#This Row],[Author]]="Marcela Urrego",VLOOKUP(LEFT(Proc[[#This Row],[Requested]],1),Table3[#All],2,0),VLOOKUP(Proc[[#This Row],[Author]],Table4[],2,0))</f>
        <v>HC</v>
      </c>
      <c r="L3482" s="129" t="s">
        <v>4896</v>
      </c>
      <c r="M3482" s="127">
        <v>45881</v>
      </c>
      <c r="N3482" s="127"/>
      <c r="O3482" s="127"/>
      <c r="P3482" s="115" t="str">
        <f ca="1">IF(Proc[[#This Row],[DaysAgeing]]&gt;5,"yep","on track")</f>
        <v>on track</v>
      </c>
      <c r="Q3482" s="3">
        <f ca="1">IF(Proc[[#This Row],[DateClosed]]="",ABS(NETWORKDAYS(Proc[[#This Row],[DateOpened]],TODAY()))-1,ABS(NETWORKDAYS(Proc[[#This Row],[DateOpened]],Proc[[#This Row],[DateClosed]]))-1)</f>
        <v>3</v>
      </c>
      <c r="R3482" s="115" t="s">
        <v>410</v>
      </c>
      <c r="S3482" s="125"/>
    </row>
    <row r="3483" spans="1:19" hidden="1">
      <c r="A3483" s="124" t="s">
        <v>5556</v>
      </c>
      <c r="B3483" s="125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25" t="str">
        <f>IF(Proc[[#This Row],[Author]]="Marcela Urrego",VLOOKUP(LEFT(Proc[[#This Row],[Requested]],1),Table3[#All],2,0),VLOOKUP(Proc[[#This Row],[Author]],Table4[],2,0))</f>
        <v>HC</v>
      </c>
      <c r="L3483" s="129" t="s">
        <v>4896</v>
      </c>
      <c r="M3483" s="127">
        <v>45881</v>
      </c>
      <c r="N3483" s="127"/>
      <c r="O3483" s="127"/>
      <c r="P3483" s="115" t="str">
        <f ca="1">IF(Proc[[#This Row],[DaysAgeing]]&gt;5,"yep","on track")</f>
        <v>on track</v>
      </c>
      <c r="Q3483" s="3">
        <f ca="1">IF(Proc[[#This Row],[DateClosed]]="",ABS(NETWORKDAYS(Proc[[#This Row],[DateOpened]],TODAY()))-1,ABS(NETWORKDAYS(Proc[[#This Row],[DateOpened]],Proc[[#This Row],[DateClosed]]))-1)</f>
        <v>3</v>
      </c>
      <c r="R3483" s="115" t="s">
        <v>410</v>
      </c>
      <c r="S3483" s="125"/>
    </row>
    <row r="3484" spans="1:19" hidden="1">
      <c r="A3484" s="124" t="s">
        <v>5556</v>
      </c>
      <c r="B3484" s="125" t="str">
        <f>IFERROR(VLOOKUP(Proc[[#This Row],[App]],Table2[],3,0),"open")</f>
        <v>ok</v>
      </c>
      <c r="C3484" s="128" t="s">
        <v>369</v>
      </c>
      <c r="D3484" t="s">
        <v>5569</v>
      </c>
      <c r="E3484" t="s">
        <v>5558</v>
      </c>
      <c r="F3484" s="129" t="s">
        <v>5558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25" t="str">
        <f>IF(Proc[[#This Row],[Author]]="Marcela Urrego",VLOOKUP(LEFT(Proc[[#This Row],[Requested]],1),Table3[#All],2,0),VLOOKUP(Proc[[#This Row],[Author]],Table4[],2,0))</f>
        <v>HC</v>
      </c>
      <c r="L3484" s="129" t="s">
        <v>4896</v>
      </c>
      <c r="M3484" s="127">
        <v>45881</v>
      </c>
      <c r="N3484" s="127"/>
      <c r="O3484" s="127"/>
      <c r="P3484" s="115" t="str">
        <f ca="1">IF(Proc[[#This Row],[DaysAgeing]]&gt;5,"yep","on track")</f>
        <v>on track</v>
      </c>
      <c r="Q3484" s="3">
        <f ca="1">IF(Proc[[#This Row],[DateClosed]]="",ABS(NETWORKDAYS(Proc[[#This Row],[DateOpened]],TODAY()))-1,ABS(NETWORKDAYS(Proc[[#This Row],[DateOpened]],Proc[[#This Row],[DateClosed]]))-1)</f>
        <v>3</v>
      </c>
      <c r="R3484" s="115" t="s">
        <v>410</v>
      </c>
      <c r="S3484" s="125"/>
    </row>
    <row r="3485" spans="1:19" hidden="1">
      <c r="A3485" s="124" t="s">
        <v>5556</v>
      </c>
      <c r="B3485" s="125" t="str">
        <f>IFERROR(VLOOKUP(Proc[[#This Row],[App]],Table2[],3,0),"open")</f>
        <v>ok</v>
      </c>
      <c r="C3485" s="128" t="s">
        <v>369</v>
      </c>
      <c r="D3485" t="s">
        <v>5570</v>
      </c>
      <c r="E3485" t="s">
        <v>5558</v>
      </c>
      <c r="F3485" s="129" t="s">
        <v>5558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25" t="str">
        <f>IF(Proc[[#This Row],[Author]]="Marcela Urrego",VLOOKUP(LEFT(Proc[[#This Row],[Requested]],1),Table3[#All],2,0),VLOOKUP(Proc[[#This Row],[Author]],Table4[],2,0))</f>
        <v>HC</v>
      </c>
      <c r="L3485" s="129" t="s">
        <v>4896</v>
      </c>
      <c r="M3485" s="127">
        <v>45881</v>
      </c>
      <c r="N3485" s="127"/>
      <c r="O3485" s="127"/>
      <c r="P3485" s="115" t="str">
        <f ca="1">IF(Proc[[#This Row],[DaysAgeing]]&gt;5,"yep","on track")</f>
        <v>on track</v>
      </c>
      <c r="Q3485" s="3">
        <f ca="1">IF(Proc[[#This Row],[DateClosed]]="",ABS(NETWORKDAYS(Proc[[#This Row],[DateOpened]],TODAY()))-1,ABS(NETWORKDAYS(Proc[[#This Row],[DateOpened]],Proc[[#This Row],[DateClosed]]))-1)</f>
        <v>3</v>
      </c>
      <c r="R3485" s="115" t="s">
        <v>410</v>
      </c>
      <c r="S3485" s="125"/>
    </row>
    <row r="3486" spans="1:19" hidden="1">
      <c r="A3486" t="s">
        <v>5574</v>
      </c>
      <c r="B3486" s="125" t="str">
        <f>IFERROR(VLOOKUP(Proc[[#This Row],[App]],Table2[],3,0),"open")</f>
        <v>ok</v>
      </c>
      <c r="C3486" s="128" t="s">
        <v>369</v>
      </c>
      <c r="D3486" t="s">
        <v>5579</v>
      </c>
      <c r="E3486" s="128" t="s">
        <v>5573</v>
      </c>
      <c r="F3486" s="129" t="s">
        <v>5573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25" t="str">
        <f>IF(Proc[[#This Row],[Author]]="Marcela Urrego",VLOOKUP(LEFT(Proc[[#This Row],[Requested]],1),Table3[#All],2,0),VLOOKUP(Proc[[#This Row],[Author]],Table4[],2,0))</f>
        <v>LS</v>
      </c>
      <c r="L3486" s="129" t="s">
        <v>4896</v>
      </c>
      <c r="M3486" s="127">
        <v>45882</v>
      </c>
      <c r="N3486" s="127"/>
      <c r="O3486" s="127"/>
      <c r="P3486" s="115" t="str">
        <f ca="1">IF(Proc[[#This Row],[DaysAgeing]]&gt;5,"yep","on track")</f>
        <v>on track</v>
      </c>
      <c r="Q3486" s="3">
        <f ca="1">IF(Proc[[#This Row],[DateClosed]]="",ABS(NETWORKDAYS(Proc[[#This Row],[DateOpened]],TODAY()))-1,ABS(NETWORKDAYS(Proc[[#This Row],[DateOpened]],Proc[[#This Row],[DateClosed]]))-1)</f>
        <v>2</v>
      </c>
      <c r="R3486" s="115" t="s">
        <v>1262</v>
      </c>
      <c r="S3486" s="125"/>
    </row>
    <row r="3487" spans="1:19">
      <c r="A3487" t="s">
        <v>5578</v>
      </c>
      <c r="B3487" s="129" t="str">
        <f>IFERROR(VLOOKUP(Proc[[#This Row],[App]],Table2[],3,0),"open")</f>
        <v>open</v>
      </c>
      <c r="C3487" s="128" t="s">
        <v>370</v>
      </c>
      <c r="D3487" t="s">
        <v>5575</v>
      </c>
      <c r="E3487" t="s">
        <v>5577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0</v>
      </c>
      <c r="K3487" s="129" t="str">
        <f>IF(Proc[[#This Row],[Author]]="Marcela Urrego",VLOOKUP(LEFT(Proc[[#This Row],[Requested]],1),Table3[#All],2,0),VLOOKUP(Proc[[#This Row],[Author]],Table4[],2,0))</f>
        <v>MGF</v>
      </c>
      <c r="L3487" s="129" t="s">
        <v>4896</v>
      </c>
      <c r="M3487" s="127">
        <v>45882</v>
      </c>
      <c r="N3487" s="127"/>
      <c r="O3487" s="127"/>
      <c r="P3487" s="115" t="str">
        <f ca="1">IF(Proc[[#This Row],[DaysAgeing]]&gt;5,"yep","on track")</f>
        <v>on track</v>
      </c>
      <c r="Q3487" s="3">
        <f ca="1">IF(Proc[[#This Row],[DateClosed]]="",ABS(NETWORKDAYS(Proc[[#This Row],[DateOpened]],TODAY()))-1,ABS(NETWORKDAYS(Proc[[#This Row],[DateOpened]],Proc[[#This Row],[DateClosed]]))-1)</f>
        <v>2</v>
      </c>
      <c r="R3487" s="115" t="s">
        <v>515</v>
      </c>
      <c r="S3487" s="129"/>
    </row>
    <row r="3488" spans="1:19" hidden="1">
      <c r="A3488" s="128" t="s">
        <v>5578</v>
      </c>
      <c r="B3488" s="129" t="str">
        <f>IFERROR(VLOOKUP(Proc[[#This Row],[App]],Table2[],3,0),"open")</f>
        <v>open</v>
      </c>
      <c r="C3488" s="128" t="s">
        <v>369</v>
      </c>
      <c r="D3488" t="s">
        <v>5576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29" t="str">
        <f>IF(Proc[[#This Row],[Author]]="Marcela Urrego",VLOOKUP(LEFT(Proc[[#This Row],[Requested]],1),Table3[#All],2,0),VLOOKUP(Proc[[#This Row],[Author]],Table4[],2,0))</f>
        <v>MGF</v>
      </c>
      <c r="L3488" s="129" t="s">
        <v>4896</v>
      </c>
      <c r="M3488" s="127">
        <v>45882</v>
      </c>
      <c r="N3488" s="127"/>
      <c r="O3488" s="127"/>
      <c r="P3488" s="115" t="str">
        <f ca="1">IF(Proc[[#This Row],[DaysAgeing]]&gt;5,"yep","on track")</f>
        <v>on track</v>
      </c>
      <c r="Q3488" s="3">
        <f ca="1">IF(Proc[[#This Row],[DateClosed]]="",ABS(NETWORKDAYS(Proc[[#This Row],[DateOpened]],TODAY()))-1,ABS(NETWORKDAYS(Proc[[#This Row],[DateOpened]],Proc[[#This Row],[DateClosed]]))-1)</f>
        <v>2</v>
      </c>
      <c r="R3488" s="115" t="s">
        <v>515</v>
      </c>
      <c r="S3488" s="129"/>
    </row>
    <row r="3489" spans="1:19">
      <c r="A3489" t="s">
        <v>5675</v>
      </c>
      <c r="B3489" s="129" t="str">
        <f>IFERROR(VLOOKUP(Proc[[#This Row],[App]],Table2[],3,0),"open")</f>
        <v>open</v>
      </c>
      <c r="C3489" t="s">
        <v>370</v>
      </c>
      <c r="D3489" t="s">
        <v>5580</v>
      </c>
      <c r="E3489" t="s">
        <v>5673</v>
      </c>
      <c r="F3489" s="129" t="s">
        <v>5674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0</v>
      </c>
      <c r="K3489" s="129" t="str">
        <f>IF(Proc[[#This Row],[Author]]="Marcela Urrego",VLOOKUP(LEFT(Proc[[#This Row],[Requested]],1),Table3[#All],2,0),VLOOKUP(Proc[[#This Row],[Author]],Table4[],2,0))</f>
        <v>MGF</v>
      </c>
      <c r="L3489" s="129" t="s">
        <v>4896</v>
      </c>
      <c r="M3489" s="127">
        <v>45883</v>
      </c>
      <c r="N3489" s="127"/>
      <c r="O3489" s="127"/>
      <c r="P3489" s="115" t="str">
        <f ca="1">IF(Proc[[#This Row],[DaysAgeing]]&gt;5,"yep","on track")</f>
        <v>on track</v>
      </c>
      <c r="Q3489" s="3">
        <f ca="1">IF(Proc[[#This Row],[DateClosed]]="",ABS(NETWORKDAYS(Proc[[#This Row],[DateOpened]],TODAY()))-1,ABS(NETWORKDAYS(Proc[[#This Row],[DateOpened]],Proc[[#This Row],[DateClosed]]))-1)</f>
        <v>1</v>
      </c>
      <c r="R3489" s="115" t="s">
        <v>515</v>
      </c>
      <c r="S3489" s="129"/>
    </row>
    <row r="3490" spans="1:19">
      <c r="A3490" s="128" t="s">
        <v>5675</v>
      </c>
      <c r="B3490" s="129" t="str">
        <f>IFERROR(VLOOKUP(Proc[[#This Row],[App]],Table2[],3,0),"open")</f>
        <v>open</v>
      </c>
      <c r="C3490" s="128" t="s">
        <v>370</v>
      </c>
      <c r="D3490" t="s">
        <v>5581</v>
      </c>
      <c r="E3490" t="s">
        <v>5673</v>
      </c>
      <c r="F3490" s="129" t="s">
        <v>5674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0</v>
      </c>
      <c r="K3490" s="129" t="str">
        <f>IF(Proc[[#This Row],[Author]]="Marcela Urrego",VLOOKUP(LEFT(Proc[[#This Row],[Requested]],1),Table3[#All],2,0),VLOOKUP(Proc[[#This Row],[Author]],Table4[],2,0))</f>
        <v>MGF</v>
      </c>
      <c r="L3490" s="129" t="s">
        <v>4896</v>
      </c>
      <c r="M3490" s="127">
        <v>45883</v>
      </c>
      <c r="N3490" s="127"/>
      <c r="O3490" s="127"/>
      <c r="P3490" s="115" t="str">
        <f ca="1">IF(Proc[[#This Row],[DaysAgeing]]&gt;5,"yep","on track")</f>
        <v>on track</v>
      </c>
      <c r="Q3490" s="3">
        <f ca="1">IF(Proc[[#This Row],[DateClosed]]="",ABS(NETWORKDAYS(Proc[[#This Row],[DateOpened]],TODAY()))-1,ABS(NETWORKDAYS(Proc[[#This Row],[DateOpened]],Proc[[#This Row],[DateClosed]]))-1)</f>
        <v>1</v>
      </c>
      <c r="R3490" s="115" t="s">
        <v>515</v>
      </c>
      <c r="S3490" s="129"/>
    </row>
    <row r="3491" spans="1:19" hidden="1">
      <c r="A3491" s="128" t="s">
        <v>5675</v>
      </c>
      <c r="B3491" s="129" t="str">
        <f>IFERROR(VLOOKUP(Proc[[#This Row],[App]],Table2[],3,0),"open")</f>
        <v>open</v>
      </c>
      <c r="C3491" s="128" t="s">
        <v>369</v>
      </c>
      <c r="D3491" t="s">
        <v>5582</v>
      </c>
      <c r="E3491" t="s">
        <v>5674</v>
      </c>
      <c r="F3491" s="129" t="s">
        <v>5674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29" t="str">
        <f>IF(Proc[[#This Row],[Author]]="Marcela Urrego",VLOOKUP(LEFT(Proc[[#This Row],[Requested]],1),Table3[#All],2,0),VLOOKUP(Proc[[#This Row],[Author]],Table4[],2,0))</f>
        <v>MGF</v>
      </c>
      <c r="L3491" s="129" t="s">
        <v>4896</v>
      </c>
      <c r="M3491" s="127">
        <v>45883</v>
      </c>
      <c r="N3491" s="127"/>
      <c r="O3491" s="127"/>
      <c r="P3491" s="115" t="str">
        <f ca="1">IF(Proc[[#This Row],[DaysAgeing]]&gt;5,"yep","on track")</f>
        <v>on track</v>
      </c>
      <c r="Q3491" s="3">
        <f ca="1">IF(Proc[[#This Row],[DateClosed]]="",ABS(NETWORKDAYS(Proc[[#This Row],[DateOpened]],TODAY()))-1,ABS(NETWORKDAYS(Proc[[#This Row],[DateOpened]],Proc[[#This Row],[DateClosed]]))-1)</f>
        <v>1</v>
      </c>
      <c r="R3491" s="115" t="s">
        <v>515</v>
      </c>
      <c r="S3491" s="129"/>
    </row>
    <row r="3492" spans="1:19" hidden="1">
      <c r="A3492" s="128" t="s">
        <v>5675</v>
      </c>
      <c r="B3492" s="129" t="str">
        <f>IFERROR(VLOOKUP(Proc[[#This Row],[App]],Table2[],3,0),"open")</f>
        <v>open</v>
      </c>
      <c r="C3492" s="128" t="s">
        <v>369</v>
      </c>
      <c r="D3492" t="s">
        <v>5583</v>
      </c>
      <c r="E3492" t="s">
        <v>5674</v>
      </c>
      <c r="F3492" s="129" t="s">
        <v>5674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29" t="str">
        <f>IF(Proc[[#This Row],[Author]]="Marcela Urrego",VLOOKUP(LEFT(Proc[[#This Row],[Requested]],1),Table3[#All],2,0),VLOOKUP(Proc[[#This Row],[Author]],Table4[],2,0))</f>
        <v>MGF</v>
      </c>
      <c r="L3492" s="129" t="s">
        <v>4896</v>
      </c>
      <c r="M3492" s="127">
        <v>45883</v>
      </c>
      <c r="N3492" s="127"/>
      <c r="O3492" s="127"/>
      <c r="P3492" s="115" t="str">
        <f ca="1">IF(Proc[[#This Row],[DaysAgeing]]&gt;5,"yep","on track")</f>
        <v>on track</v>
      </c>
      <c r="Q3492" s="3">
        <f ca="1">IF(Proc[[#This Row],[DateClosed]]="",ABS(NETWORKDAYS(Proc[[#This Row],[DateOpened]],TODAY()))-1,ABS(NETWORKDAYS(Proc[[#This Row],[DateOpened]],Proc[[#This Row],[DateClosed]]))-1)</f>
        <v>1</v>
      </c>
      <c r="R3492" s="115" t="s">
        <v>515</v>
      </c>
      <c r="S3492" s="129"/>
    </row>
    <row r="3493" spans="1:19" hidden="1">
      <c r="A3493" s="128" t="s">
        <v>5675</v>
      </c>
      <c r="B3493" s="129" t="str">
        <f>IFERROR(VLOOKUP(Proc[[#This Row],[App]],Table2[],3,0),"open")</f>
        <v>open</v>
      </c>
      <c r="C3493" s="128" t="s">
        <v>369</v>
      </c>
      <c r="D3493" t="s">
        <v>5584</v>
      </c>
      <c r="E3493" t="s">
        <v>5674</v>
      </c>
      <c r="F3493" s="129" t="s">
        <v>5674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29" t="str">
        <f>IF(Proc[[#This Row],[Author]]="Marcela Urrego",VLOOKUP(LEFT(Proc[[#This Row],[Requested]],1),Table3[#All],2,0),VLOOKUP(Proc[[#This Row],[Author]],Table4[],2,0))</f>
        <v>MGF</v>
      </c>
      <c r="L3493" s="129" t="s">
        <v>4896</v>
      </c>
      <c r="M3493" s="127">
        <v>45883</v>
      </c>
      <c r="N3493" s="127"/>
      <c r="O3493" s="127"/>
      <c r="P3493" s="115" t="str">
        <f ca="1">IF(Proc[[#This Row],[DaysAgeing]]&gt;5,"yep","on track")</f>
        <v>on track</v>
      </c>
      <c r="Q3493" s="3">
        <f ca="1">IF(Proc[[#This Row],[DateClosed]]="",ABS(NETWORKDAYS(Proc[[#This Row],[DateOpened]],TODAY()))-1,ABS(NETWORKDAYS(Proc[[#This Row],[DateOpened]],Proc[[#This Row],[DateClosed]]))-1)</f>
        <v>1</v>
      </c>
      <c r="R3493" s="115" t="s">
        <v>515</v>
      </c>
      <c r="S3493" s="129"/>
    </row>
    <row r="3494" spans="1:19" hidden="1">
      <c r="A3494" s="128" t="s">
        <v>5675</v>
      </c>
      <c r="B3494" s="129" t="str">
        <f>IFERROR(VLOOKUP(Proc[[#This Row],[App]],Table2[],3,0),"open")</f>
        <v>open</v>
      </c>
      <c r="C3494" s="128" t="s">
        <v>369</v>
      </c>
      <c r="D3494" t="s">
        <v>5585</v>
      </c>
      <c r="E3494" t="s">
        <v>5674</v>
      </c>
      <c r="F3494" s="129" t="s">
        <v>5674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29" t="str">
        <f>IF(Proc[[#This Row],[Author]]="Marcela Urrego",VLOOKUP(LEFT(Proc[[#This Row],[Requested]],1),Table3[#All],2,0),VLOOKUP(Proc[[#This Row],[Author]],Table4[],2,0))</f>
        <v>MGF</v>
      </c>
      <c r="L3494" s="129" t="s">
        <v>4896</v>
      </c>
      <c r="M3494" s="127">
        <v>45883</v>
      </c>
      <c r="N3494" s="127"/>
      <c r="O3494" s="127"/>
      <c r="P3494" s="115" t="str">
        <f ca="1">IF(Proc[[#This Row],[DaysAgeing]]&gt;5,"yep","on track")</f>
        <v>on track</v>
      </c>
      <c r="Q3494" s="3">
        <f ca="1">IF(Proc[[#This Row],[DateClosed]]="",ABS(NETWORKDAYS(Proc[[#This Row],[DateOpened]],TODAY()))-1,ABS(NETWORKDAYS(Proc[[#This Row],[DateOpened]],Proc[[#This Row],[DateClosed]]))-1)</f>
        <v>1</v>
      </c>
      <c r="R3494" s="115" t="s">
        <v>515</v>
      </c>
      <c r="S3494" s="129"/>
    </row>
    <row r="3495" spans="1:19" hidden="1">
      <c r="A3495" s="128" t="s">
        <v>5675</v>
      </c>
      <c r="B3495" s="129" t="str">
        <f>IFERROR(VLOOKUP(Proc[[#This Row],[App]],Table2[],3,0),"open")</f>
        <v>open</v>
      </c>
      <c r="C3495" s="128" t="s">
        <v>369</v>
      </c>
      <c r="D3495" t="s">
        <v>5586</v>
      </c>
      <c r="E3495" t="s">
        <v>5674</v>
      </c>
      <c r="F3495" s="129" t="s">
        <v>5674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29" t="str">
        <f>IF(Proc[[#This Row],[Author]]="Marcela Urrego",VLOOKUP(LEFT(Proc[[#This Row],[Requested]],1),Table3[#All],2,0),VLOOKUP(Proc[[#This Row],[Author]],Table4[],2,0))</f>
        <v>MGF</v>
      </c>
      <c r="L3495" s="129" t="s">
        <v>4896</v>
      </c>
      <c r="M3495" s="127">
        <v>45883</v>
      </c>
      <c r="N3495" s="127"/>
      <c r="O3495" s="127"/>
      <c r="P3495" s="115" t="str">
        <f ca="1">IF(Proc[[#This Row],[DaysAgeing]]&gt;5,"yep","on track")</f>
        <v>on track</v>
      </c>
      <c r="Q3495" s="3">
        <f ca="1">IF(Proc[[#This Row],[DateClosed]]="",ABS(NETWORKDAYS(Proc[[#This Row],[DateOpened]],TODAY()))-1,ABS(NETWORKDAYS(Proc[[#This Row],[DateOpened]],Proc[[#This Row],[DateClosed]]))-1)</f>
        <v>1</v>
      </c>
      <c r="R3495" s="115" t="s">
        <v>515</v>
      </c>
      <c r="S3495" s="129"/>
    </row>
    <row r="3496" spans="1:19" hidden="1">
      <c r="A3496" s="128" t="s">
        <v>5675</v>
      </c>
      <c r="B3496" s="129" t="str">
        <f>IFERROR(VLOOKUP(Proc[[#This Row],[App]],Table2[],3,0),"open")</f>
        <v>open</v>
      </c>
      <c r="C3496" s="128" t="s">
        <v>369</v>
      </c>
      <c r="D3496" t="s">
        <v>5587</v>
      </c>
      <c r="E3496" t="s">
        <v>5674</v>
      </c>
      <c r="F3496" s="129" t="s">
        <v>5674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29" t="str">
        <f>IF(Proc[[#This Row],[Author]]="Marcela Urrego",VLOOKUP(LEFT(Proc[[#This Row],[Requested]],1),Table3[#All],2,0),VLOOKUP(Proc[[#This Row],[Author]],Table4[],2,0))</f>
        <v>MGF</v>
      </c>
      <c r="L3496" s="129" t="s">
        <v>4896</v>
      </c>
      <c r="M3496" s="127">
        <v>45883</v>
      </c>
      <c r="N3496" s="127"/>
      <c r="O3496" s="127"/>
      <c r="P3496" s="115" t="str">
        <f ca="1">IF(Proc[[#This Row],[DaysAgeing]]&gt;5,"yep","on track")</f>
        <v>on track</v>
      </c>
      <c r="Q3496" s="3">
        <f ca="1">IF(Proc[[#This Row],[DateClosed]]="",ABS(NETWORKDAYS(Proc[[#This Row],[DateOpened]],TODAY()))-1,ABS(NETWORKDAYS(Proc[[#This Row],[DateOpened]],Proc[[#This Row],[DateClosed]]))-1)</f>
        <v>1</v>
      </c>
      <c r="R3496" s="115" t="s">
        <v>515</v>
      </c>
      <c r="S3496" s="129"/>
    </row>
    <row r="3497" spans="1:19" hidden="1">
      <c r="A3497" s="128" t="s">
        <v>5675</v>
      </c>
      <c r="B3497" s="129" t="str">
        <f>IFERROR(VLOOKUP(Proc[[#This Row],[App]],Table2[],3,0),"open")</f>
        <v>open</v>
      </c>
      <c r="C3497" s="128" t="s">
        <v>369</v>
      </c>
      <c r="D3497" t="s">
        <v>5588</v>
      </c>
      <c r="E3497" t="s">
        <v>5674</v>
      </c>
      <c r="F3497" s="129" t="s">
        <v>5674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29" t="str">
        <f>IF(Proc[[#This Row],[Author]]="Marcela Urrego",VLOOKUP(LEFT(Proc[[#This Row],[Requested]],1),Table3[#All],2,0),VLOOKUP(Proc[[#This Row],[Author]],Table4[],2,0))</f>
        <v>MGF</v>
      </c>
      <c r="L3497" s="129" t="s">
        <v>4896</v>
      </c>
      <c r="M3497" s="127">
        <v>45883</v>
      </c>
      <c r="N3497" s="127"/>
      <c r="O3497" s="127"/>
      <c r="P3497" s="115" t="str">
        <f ca="1">IF(Proc[[#This Row],[DaysAgeing]]&gt;5,"yep","on track")</f>
        <v>on track</v>
      </c>
      <c r="Q3497" s="3">
        <f ca="1">IF(Proc[[#This Row],[DateClosed]]="",ABS(NETWORKDAYS(Proc[[#This Row],[DateOpened]],TODAY()))-1,ABS(NETWORKDAYS(Proc[[#This Row],[DateOpened]],Proc[[#This Row],[DateClosed]]))-1)</f>
        <v>1</v>
      </c>
      <c r="R3497" s="115" t="s">
        <v>515</v>
      </c>
      <c r="S3497" s="129"/>
    </row>
    <row r="3498" spans="1:19" hidden="1">
      <c r="A3498" s="128" t="s">
        <v>5675</v>
      </c>
      <c r="B3498" s="129" t="str">
        <f>IFERROR(VLOOKUP(Proc[[#This Row],[App]],Table2[],3,0),"open")</f>
        <v>open</v>
      </c>
      <c r="C3498" s="128" t="s">
        <v>369</v>
      </c>
      <c r="D3498" t="s">
        <v>5589</v>
      </c>
      <c r="E3498" t="s">
        <v>5674</v>
      </c>
      <c r="F3498" s="129" t="s">
        <v>5674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29" t="str">
        <f>IF(Proc[[#This Row],[Author]]="Marcela Urrego",VLOOKUP(LEFT(Proc[[#This Row],[Requested]],1),Table3[#All],2,0),VLOOKUP(Proc[[#This Row],[Author]],Table4[],2,0))</f>
        <v>MGF</v>
      </c>
      <c r="L3498" s="129" t="s">
        <v>4896</v>
      </c>
      <c r="M3498" s="127">
        <v>45883</v>
      </c>
      <c r="N3498" s="127"/>
      <c r="O3498" s="127"/>
      <c r="P3498" s="115" t="str">
        <f ca="1">IF(Proc[[#This Row],[DaysAgeing]]&gt;5,"yep","on track")</f>
        <v>on track</v>
      </c>
      <c r="Q3498" s="3">
        <f ca="1">IF(Proc[[#This Row],[DateClosed]]="",ABS(NETWORKDAYS(Proc[[#This Row],[DateOpened]],TODAY()))-1,ABS(NETWORKDAYS(Proc[[#This Row],[DateOpened]],Proc[[#This Row],[DateClosed]]))-1)</f>
        <v>1</v>
      </c>
      <c r="R3498" s="115" t="s">
        <v>515</v>
      </c>
      <c r="S3498" s="129"/>
    </row>
    <row r="3499" spans="1:19" hidden="1">
      <c r="A3499" s="128" t="s">
        <v>5675</v>
      </c>
      <c r="B3499" s="129" t="str">
        <f>IFERROR(VLOOKUP(Proc[[#This Row],[App]],Table2[],3,0),"open")</f>
        <v>open</v>
      </c>
      <c r="C3499" s="128" t="s">
        <v>369</v>
      </c>
      <c r="D3499" t="s">
        <v>5590</v>
      </c>
      <c r="E3499" t="s">
        <v>5674</v>
      </c>
      <c r="F3499" s="129" t="s">
        <v>5674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29" t="str">
        <f>IF(Proc[[#This Row],[Author]]="Marcela Urrego",VLOOKUP(LEFT(Proc[[#This Row],[Requested]],1),Table3[#All],2,0),VLOOKUP(Proc[[#This Row],[Author]],Table4[],2,0))</f>
        <v>MGF</v>
      </c>
      <c r="L3499" s="129" t="s">
        <v>4896</v>
      </c>
      <c r="M3499" s="127">
        <v>45883</v>
      </c>
      <c r="N3499" s="127"/>
      <c r="O3499" s="127"/>
      <c r="P3499" s="115" t="str">
        <f ca="1">IF(Proc[[#This Row],[DaysAgeing]]&gt;5,"yep","on track")</f>
        <v>on track</v>
      </c>
      <c r="Q3499" s="3">
        <f ca="1">IF(Proc[[#This Row],[DateClosed]]="",ABS(NETWORKDAYS(Proc[[#This Row],[DateOpened]],TODAY()))-1,ABS(NETWORKDAYS(Proc[[#This Row],[DateOpened]],Proc[[#This Row],[DateClosed]]))-1)</f>
        <v>1</v>
      </c>
      <c r="R3499" s="115" t="s">
        <v>515</v>
      </c>
      <c r="S3499" s="129"/>
    </row>
    <row r="3500" spans="1:19" hidden="1">
      <c r="A3500" s="128" t="s">
        <v>5675</v>
      </c>
      <c r="B3500" s="129" t="str">
        <f>IFERROR(VLOOKUP(Proc[[#This Row],[App]],Table2[],3,0),"open")</f>
        <v>open</v>
      </c>
      <c r="C3500" s="128" t="s">
        <v>369</v>
      </c>
      <c r="D3500" t="s">
        <v>5591</v>
      </c>
      <c r="E3500" t="s">
        <v>5674</v>
      </c>
      <c r="F3500" s="129" t="s">
        <v>5674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29" t="str">
        <f>IF(Proc[[#This Row],[Author]]="Marcela Urrego",VLOOKUP(LEFT(Proc[[#This Row],[Requested]],1),Table3[#All],2,0),VLOOKUP(Proc[[#This Row],[Author]],Table4[],2,0))</f>
        <v>MGF</v>
      </c>
      <c r="L3500" s="129" t="s">
        <v>4896</v>
      </c>
      <c r="M3500" s="127">
        <v>45883</v>
      </c>
      <c r="N3500" s="127"/>
      <c r="O3500" s="127"/>
      <c r="P3500" s="115" t="str">
        <f ca="1">IF(Proc[[#This Row],[DaysAgeing]]&gt;5,"yep","on track")</f>
        <v>on track</v>
      </c>
      <c r="Q3500" s="3">
        <f ca="1">IF(Proc[[#This Row],[DateClosed]]="",ABS(NETWORKDAYS(Proc[[#This Row],[DateOpened]],TODAY()))-1,ABS(NETWORKDAYS(Proc[[#This Row],[DateOpened]],Proc[[#This Row],[DateClosed]]))-1)</f>
        <v>1</v>
      </c>
      <c r="R3500" s="115" t="s">
        <v>515</v>
      </c>
      <c r="S3500" s="129"/>
    </row>
    <row r="3501" spans="1:19" hidden="1">
      <c r="A3501" s="128" t="s">
        <v>5675</v>
      </c>
      <c r="B3501" s="129" t="str">
        <f>IFERROR(VLOOKUP(Proc[[#This Row],[App]],Table2[],3,0),"open")</f>
        <v>open</v>
      </c>
      <c r="C3501" s="128" t="s">
        <v>369</v>
      </c>
      <c r="D3501" t="s">
        <v>5592</v>
      </c>
      <c r="E3501" t="s">
        <v>5674</v>
      </c>
      <c r="F3501" s="129" t="s">
        <v>5674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29" t="str">
        <f>IF(Proc[[#This Row],[Author]]="Marcela Urrego",VLOOKUP(LEFT(Proc[[#This Row],[Requested]],1),Table3[#All],2,0),VLOOKUP(Proc[[#This Row],[Author]],Table4[],2,0))</f>
        <v>MGF</v>
      </c>
      <c r="L3501" s="129" t="s">
        <v>4896</v>
      </c>
      <c r="M3501" s="127">
        <v>45883</v>
      </c>
      <c r="N3501" s="127"/>
      <c r="O3501" s="127"/>
      <c r="P3501" s="115" t="str">
        <f ca="1">IF(Proc[[#This Row],[DaysAgeing]]&gt;5,"yep","on track")</f>
        <v>on track</v>
      </c>
      <c r="Q3501" s="3">
        <f ca="1">IF(Proc[[#This Row],[DateClosed]]="",ABS(NETWORKDAYS(Proc[[#This Row],[DateOpened]],TODAY()))-1,ABS(NETWORKDAYS(Proc[[#This Row],[DateOpened]],Proc[[#This Row],[DateClosed]]))-1)</f>
        <v>1</v>
      </c>
      <c r="R3501" s="115" t="s">
        <v>515</v>
      </c>
      <c r="S3501" s="129"/>
    </row>
    <row r="3502" spans="1:19" hidden="1">
      <c r="A3502" s="128" t="s">
        <v>5675</v>
      </c>
      <c r="B3502" s="129" t="str">
        <f>IFERROR(VLOOKUP(Proc[[#This Row],[App]],Table2[],3,0),"open")</f>
        <v>open</v>
      </c>
      <c r="C3502" s="128" t="s">
        <v>369</v>
      </c>
      <c r="D3502" t="s">
        <v>5593</v>
      </c>
      <c r="E3502" t="s">
        <v>5674</v>
      </c>
      <c r="F3502" s="129" t="s">
        <v>5674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29" t="str">
        <f>IF(Proc[[#This Row],[Author]]="Marcela Urrego",VLOOKUP(LEFT(Proc[[#This Row],[Requested]],1),Table3[#All],2,0),VLOOKUP(Proc[[#This Row],[Author]],Table4[],2,0))</f>
        <v>MGF</v>
      </c>
      <c r="L3502" s="129" t="s">
        <v>4896</v>
      </c>
      <c r="M3502" s="127">
        <v>45883</v>
      </c>
      <c r="N3502" s="127"/>
      <c r="O3502" s="127"/>
      <c r="P3502" s="115" t="str">
        <f ca="1">IF(Proc[[#This Row],[DaysAgeing]]&gt;5,"yep","on track")</f>
        <v>on track</v>
      </c>
      <c r="Q3502" s="3">
        <f ca="1">IF(Proc[[#This Row],[DateClosed]]="",ABS(NETWORKDAYS(Proc[[#This Row],[DateOpened]],TODAY()))-1,ABS(NETWORKDAYS(Proc[[#This Row],[DateOpened]],Proc[[#This Row],[DateClosed]]))-1)</f>
        <v>1</v>
      </c>
      <c r="R3502" s="115" t="s">
        <v>515</v>
      </c>
      <c r="S3502" s="129"/>
    </row>
    <row r="3503" spans="1:19">
      <c r="A3503" s="128" t="s">
        <v>5675</v>
      </c>
      <c r="B3503" s="129" t="str">
        <f>IFERROR(VLOOKUP(Proc[[#This Row],[App]],Table2[],3,0),"open")</f>
        <v>open</v>
      </c>
      <c r="C3503" s="128" t="s">
        <v>370</v>
      </c>
      <c r="D3503" t="s">
        <v>5594</v>
      </c>
      <c r="E3503" t="s">
        <v>5674</v>
      </c>
      <c r="F3503" s="129" t="s">
        <v>5706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0</v>
      </c>
      <c r="K3503" s="129" t="str">
        <f>IF(Proc[[#This Row],[Author]]="Marcela Urrego",VLOOKUP(LEFT(Proc[[#This Row],[Requested]],1),Table3[#All],2,0),VLOOKUP(Proc[[#This Row],[Author]],Table4[],2,0))</f>
        <v>MGF</v>
      </c>
      <c r="L3503" s="129" t="s">
        <v>4896</v>
      </c>
      <c r="M3503" s="127">
        <v>45883</v>
      </c>
      <c r="N3503" s="127"/>
      <c r="O3503" s="127"/>
      <c r="P3503" s="115" t="str">
        <f ca="1">IF(Proc[[#This Row],[DaysAgeing]]&gt;5,"yep","on track")</f>
        <v>on track</v>
      </c>
      <c r="Q3503" s="3">
        <f ca="1">IF(Proc[[#This Row],[DateClosed]]="",ABS(NETWORKDAYS(Proc[[#This Row],[DateOpened]],TODAY()))-1,ABS(NETWORKDAYS(Proc[[#This Row],[DateOpened]],Proc[[#This Row],[DateClosed]]))-1)</f>
        <v>1</v>
      </c>
      <c r="R3503" s="115" t="s">
        <v>515</v>
      </c>
      <c r="S3503" s="129"/>
    </row>
    <row r="3504" spans="1:19">
      <c r="A3504" s="128" t="s">
        <v>5675</v>
      </c>
      <c r="B3504" s="129" t="str">
        <f>IFERROR(VLOOKUP(Proc[[#This Row],[App]],Table2[],3,0),"open")</f>
        <v>open</v>
      </c>
      <c r="C3504" s="128" t="s">
        <v>370</v>
      </c>
      <c r="D3504" t="s">
        <v>5595</v>
      </c>
      <c r="E3504" t="s">
        <v>5674</v>
      </c>
      <c r="F3504" s="129" t="s">
        <v>5706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0</v>
      </c>
      <c r="K3504" s="129" t="str">
        <f>IF(Proc[[#This Row],[Author]]="Marcela Urrego",VLOOKUP(LEFT(Proc[[#This Row],[Requested]],1),Table3[#All],2,0),VLOOKUP(Proc[[#This Row],[Author]],Table4[],2,0))</f>
        <v>MGF</v>
      </c>
      <c r="L3504" s="129" t="s">
        <v>4896</v>
      </c>
      <c r="M3504" s="127">
        <v>45883</v>
      </c>
      <c r="N3504" s="127"/>
      <c r="O3504" s="127"/>
      <c r="P3504" s="115" t="str">
        <f ca="1">IF(Proc[[#This Row],[DaysAgeing]]&gt;5,"yep","on track")</f>
        <v>on track</v>
      </c>
      <c r="Q3504" s="3">
        <f ca="1">IF(Proc[[#This Row],[DateClosed]]="",ABS(NETWORKDAYS(Proc[[#This Row],[DateOpened]],TODAY()))-1,ABS(NETWORKDAYS(Proc[[#This Row],[DateOpened]],Proc[[#This Row],[DateClosed]]))-1)</f>
        <v>1</v>
      </c>
      <c r="R3504" s="115" t="s">
        <v>515</v>
      </c>
      <c r="S3504" s="129"/>
    </row>
    <row r="3505" spans="1:19">
      <c r="A3505" s="128" t="s">
        <v>5675</v>
      </c>
      <c r="B3505" s="129" t="str">
        <f>IFERROR(VLOOKUP(Proc[[#This Row],[App]],Table2[],3,0),"open")</f>
        <v>open</v>
      </c>
      <c r="C3505" s="128" t="s">
        <v>370</v>
      </c>
      <c r="D3505" t="s">
        <v>5596</v>
      </c>
      <c r="E3505" t="s">
        <v>5674</v>
      </c>
      <c r="F3505" s="129" t="s">
        <v>5706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0</v>
      </c>
      <c r="K3505" s="129" t="str">
        <f>IF(Proc[[#This Row],[Author]]="Marcela Urrego",VLOOKUP(LEFT(Proc[[#This Row],[Requested]],1),Table3[#All],2,0),VLOOKUP(Proc[[#This Row],[Author]],Table4[],2,0))</f>
        <v>MGF</v>
      </c>
      <c r="L3505" s="129" t="s">
        <v>4896</v>
      </c>
      <c r="M3505" s="127">
        <v>45883</v>
      </c>
      <c r="N3505" s="127"/>
      <c r="O3505" s="127"/>
      <c r="P3505" s="115" t="str">
        <f ca="1">IF(Proc[[#This Row],[DaysAgeing]]&gt;5,"yep","on track")</f>
        <v>on track</v>
      </c>
      <c r="Q3505" s="3">
        <f ca="1">IF(Proc[[#This Row],[DateClosed]]="",ABS(NETWORKDAYS(Proc[[#This Row],[DateOpened]],TODAY()))-1,ABS(NETWORKDAYS(Proc[[#This Row],[DateOpened]],Proc[[#This Row],[DateClosed]]))-1)</f>
        <v>1</v>
      </c>
      <c r="R3505" s="115" t="s">
        <v>515</v>
      </c>
      <c r="S3505" s="129"/>
    </row>
    <row r="3506" spans="1:19">
      <c r="A3506" s="128" t="s">
        <v>5675</v>
      </c>
      <c r="B3506" s="129" t="str">
        <f>IFERROR(VLOOKUP(Proc[[#This Row],[App]],Table2[],3,0),"open")</f>
        <v>open</v>
      </c>
      <c r="C3506" s="128" t="s">
        <v>370</v>
      </c>
      <c r="D3506" t="s">
        <v>5597</v>
      </c>
      <c r="E3506" t="s">
        <v>5674</v>
      </c>
      <c r="F3506" s="129" t="s">
        <v>5706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0</v>
      </c>
      <c r="K3506" s="129" t="str">
        <f>IF(Proc[[#This Row],[Author]]="Marcela Urrego",VLOOKUP(LEFT(Proc[[#This Row],[Requested]],1),Table3[#All],2,0),VLOOKUP(Proc[[#This Row],[Author]],Table4[],2,0))</f>
        <v>MGF</v>
      </c>
      <c r="L3506" s="129" t="s">
        <v>4896</v>
      </c>
      <c r="M3506" s="127">
        <v>45883</v>
      </c>
      <c r="N3506" s="127"/>
      <c r="O3506" s="127"/>
      <c r="P3506" s="115" t="str">
        <f ca="1">IF(Proc[[#This Row],[DaysAgeing]]&gt;5,"yep","on track")</f>
        <v>on track</v>
      </c>
      <c r="Q3506" s="3">
        <f ca="1">IF(Proc[[#This Row],[DateClosed]]="",ABS(NETWORKDAYS(Proc[[#This Row],[DateOpened]],TODAY()))-1,ABS(NETWORKDAYS(Proc[[#This Row],[DateOpened]],Proc[[#This Row],[DateClosed]]))-1)</f>
        <v>1</v>
      </c>
      <c r="R3506" s="115" t="s">
        <v>515</v>
      </c>
      <c r="S3506" s="129"/>
    </row>
    <row r="3507" spans="1:19">
      <c r="A3507" s="128" t="s">
        <v>5675</v>
      </c>
      <c r="B3507" s="129" t="str">
        <f>IFERROR(VLOOKUP(Proc[[#This Row],[App]],Table2[],3,0),"open")</f>
        <v>open</v>
      </c>
      <c r="C3507" s="128" t="s">
        <v>370</v>
      </c>
      <c r="D3507" t="s">
        <v>5598</v>
      </c>
      <c r="E3507" t="s">
        <v>5674</v>
      </c>
      <c r="F3507" s="129" t="s">
        <v>5706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0</v>
      </c>
      <c r="K3507" s="129" t="str">
        <f>IF(Proc[[#This Row],[Author]]="Marcela Urrego",VLOOKUP(LEFT(Proc[[#This Row],[Requested]],1),Table3[#All],2,0),VLOOKUP(Proc[[#This Row],[Author]],Table4[],2,0))</f>
        <v>MGF</v>
      </c>
      <c r="L3507" s="129" t="s">
        <v>4896</v>
      </c>
      <c r="M3507" s="127">
        <v>45883</v>
      </c>
      <c r="N3507" s="127"/>
      <c r="O3507" s="127"/>
      <c r="P3507" s="115" t="str">
        <f ca="1">IF(Proc[[#This Row],[DaysAgeing]]&gt;5,"yep","on track")</f>
        <v>on track</v>
      </c>
      <c r="Q3507" s="3">
        <f ca="1">IF(Proc[[#This Row],[DateClosed]]="",ABS(NETWORKDAYS(Proc[[#This Row],[DateOpened]],TODAY()))-1,ABS(NETWORKDAYS(Proc[[#This Row],[DateOpened]],Proc[[#This Row],[DateClosed]]))-1)</f>
        <v>1</v>
      </c>
      <c r="R3507" s="115" t="s">
        <v>515</v>
      </c>
      <c r="S3507" s="129"/>
    </row>
    <row r="3508" spans="1:19">
      <c r="A3508" s="128" t="s">
        <v>5675</v>
      </c>
      <c r="B3508" s="129" t="str">
        <f>IFERROR(VLOOKUP(Proc[[#This Row],[App]],Table2[],3,0),"open")</f>
        <v>open</v>
      </c>
      <c r="C3508" s="128" t="s">
        <v>370</v>
      </c>
      <c r="D3508" t="s">
        <v>5599</v>
      </c>
      <c r="E3508" t="s">
        <v>5674</v>
      </c>
      <c r="F3508" s="129" t="s">
        <v>5706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0</v>
      </c>
      <c r="K3508" s="129" t="str">
        <f>IF(Proc[[#This Row],[Author]]="Marcela Urrego",VLOOKUP(LEFT(Proc[[#This Row],[Requested]],1),Table3[#All],2,0),VLOOKUP(Proc[[#This Row],[Author]],Table4[],2,0))</f>
        <v>MGF</v>
      </c>
      <c r="L3508" s="129" t="s">
        <v>4896</v>
      </c>
      <c r="M3508" s="127">
        <v>45883</v>
      </c>
      <c r="N3508" s="127"/>
      <c r="O3508" s="127"/>
      <c r="P3508" s="115" t="str">
        <f ca="1">IF(Proc[[#This Row],[DaysAgeing]]&gt;5,"yep","on track")</f>
        <v>on track</v>
      </c>
      <c r="Q3508" s="3">
        <f ca="1">IF(Proc[[#This Row],[DateClosed]]="",ABS(NETWORKDAYS(Proc[[#This Row],[DateOpened]],TODAY()))-1,ABS(NETWORKDAYS(Proc[[#This Row],[DateOpened]],Proc[[#This Row],[DateClosed]]))-1)</f>
        <v>1</v>
      </c>
      <c r="R3508" s="115" t="s">
        <v>515</v>
      </c>
      <c r="S3508" s="129"/>
    </row>
    <row r="3509" spans="1:19">
      <c r="A3509" s="128" t="s">
        <v>5675</v>
      </c>
      <c r="B3509" s="129" t="str">
        <f>IFERROR(VLOOKUP(Proc[[#This Row],[App]],Table2[],3,0),"open")</f>
        <v>open</v>
      </c>
      <c r="C3509" s="128" t="s">
        <v>370</v>
      </c>
      <c r="D3509" t="s">
        <v>5600</v>
      </c>
      <c r="E3509" t="s">
        <v>5674</v>
      </c>
      <c r="F3509" s="129" t="s">
        <v>5706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0</v>
      </c>
      <c r="K3509" s="129" t="str">
        <f>IF(Proc[[#This Row],[Author]]="Marcela Urrego",VLOOKUP(LEFT(Proc[[#This Row],[Requested]],1),Table3[#All],2,0),VLOOKUP(Proc[[#This Row],[Author]],Table4[],2,0))</f>
        <v>MGF</v>
      </c>
      <c r="L3509" s="129" t="s">
        <v>4896</v>
      </c>
      <c r="M3509" s="127">
        <v>45883</v>
      </c>
      <c r="N3509" s="127"/>
      <c r="O3509" s="127"/>
      <c r="P3509" s="115" t="str">
        <f ca="1">IF(Proc[[#This Row],[DaysAgeing]]&gt;5,"yep","on track")</f>
        <v>on track</v>
      </c>
      <c r="Q3509" s="3">
        <f ca="1">IF(Proc[[#This Row],[DateClosed]]="",ABS(NETWORKDAYS(Proc[[#This Row],[DateOpened]],TODAY()))-1,ABS(NETWORKDAYS(Proc[[#This Row],[DateOpened]],Proc[[#This Row],[DateClosed]]))-1)</f>
        <v>1</v>
      </c>
      <c r="R3509" s="115" t="s">
        <v>515</v>
      </c>
      <c r="S3509" s="129"/>
    </row>
    <row r="3510" spans="1:19">
      <c r="A3510" s="128" t="s">
        <v>5675</v>
      </c>
      <c r="B3510" s="129" t="str">
        <f>IFERROR(VLOOKUP(Proc[[#This Row],[App]],Table2[],3,0),"open")</f>
        <v>open</v>
      </c>
      <c r="C3510" s="128" t="s">
        <v>370</v>
      </c>
      <c r="D3510" t="s">
        <v>5601</v>
      </c>
      <c r="E3510" t="s">
        <v>5674</v>
      </c>
      <c r="F3510" s="129" t="s">
        <v>5706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0</v>
      </c>
      <c r="K3510" s="129" t="str">
        <f>IF(Proc[[#This Row],[Author]]="Marcela Urrego",VLOOKUP(LEFT(Proc[[#This Row],[Requested]],1),Table3[#All],2,0),VLOOKUP(Proc[[#This Row],[Author]],Table4[],2,0))</f>
        <v>MGF</v>
      </c>
      <c r="L3510" s="129" t="s">
        <v>4896</v>
      </c>
      <c r="M3510" s="127">
        <v>45883</v>
      </c>
      <c r="N3510" s="127"/>
      <c r="O3510" s="127"/>
      <c r="P3510" s="115" t="str">
        <f ca="1">IF(Proc[[#This Row],[DaysAgeing]]&gt;5,"yep","on track")</f>
        <v>on track</v>
      </c>
      <c r="Q3510" s="3">
        <f ca="1">IF(Proc[[#This Row],[DateClosed]]="",ABS(NETWORKDAYS(Proc[[#This Row],[DateOpened]],TODAY()))-1,ABS(NETWORKDAYS(Proc[[#This Row],[DateOpened]],Proc[[#This Row],[DateClosed]]))-1)</f>
        <v>1</v>
      </c>
      <c r="R3510" s="115" t="s">
        <v>515</v>
      </c>
      <c r="S3510" s="129"/>
    </row>
    <row r="3511" spans="1:19">
      <c r="A3511" s="128" t="s">
        <v>5675</v>
      </c>
      <c r="B3511" s="129" t="str">
        <f>IFERROR(VLOOKUP(Proc[[#This Row],[App]],Table2[],3,0),"open")</f>
        <v>open</v>
      </c>
      <c r="C3511" s="128" t="s">
        <v>370</v>
      </c>
      <c r="D3511" t="s">
        <v>5602</v>
      </c>
      <c r="E3511" t="s">
        <v>5674</v>
      </c>
      <c r="F3511" s="129" t="s">
        <v>5706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0</v>
      </c>
      <c r="K3511" s="129" t="str">
        <f>IF(Proc[[#This Row],[Author]]="Marcela Urrego",VLOOKUP(LEFT(Proc[[#This Row],[Requested]],1),Table3[#All],2,0),VLOOKUP(Proc[[#This Row],[Author]],Table4[],2,0))</f>
        <v>MGF</v>
      </c>
      <c r="L3511" s="129" t="s">
        <v>4896</v>
      </c>
      <c r="M3511" s="127">
        <v>45883</v>
      </c>
      <c r="N3511" s="127"/>
      <c r="O3511" s="127"/>
      <c r="P3511" s="115" t="str">
        <f ca="1">IF(Proc[[#This Row],[DaysAgeing]]&gt;5,"yep","on track")</f>
        <v>on track</v>
      </c>
      <c r="Q3511" s="3">
        <f ca="1">IF(Proc[[#This Row],[DateClosed]]="",ABS(NETWORKDAYS(Proc[[#This Row],[DateOpened]],TODAY()))-1,ABS(NETWORKDAYS(Proc[[#This Row],[DateOpened]],Proc[[#This Row],[DateClosed]]))-1)</f>
        <v>1</v>
      </c>
      <c r="R3511" s="115" t="s">
        <v>515</v>
      </c>
      <c r="S3511" s="129"/>
    </row>
    <row r="3512" spans="1:19">
      <c r="A3512" s="128" t="s">
        <v>5675</v>
      </c>
      <c r="B3512" s="129" t="str">
        <f>IFERROR(VLOOKUP(Proc[[#This Row],[App]],Table2[],3,0),"open")</f>
        <v>open</v>
      </c>
      <c r="C3512" s="128" t="s">
        <v>370</v>
      </c>
      <c r="D3512" t="s">
        <v>5603</v>
      </c>
      <c r="E3512" t="s">
        <v>5674</v>
      </c>
      <c r="F3512" s="129" t="s">
        <v>5706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0</v>
      </c>
      <c r="K3512" s="129" t="str">
        <f>IF(Proc[[#This Row],[Author]]="Marcela Urrego",VLOOKUP(LEFT(Proc[[#This Row],[Requested]],1),Table3[#All],2,0),VLOOKUP(Proc[[#This Row],[Author]],Table4[],2,0))</f>
        <v>MGF</v>
      </c>
      <c r="L3512" s="129" t="s">
        <v>4896</v>
      </c>
      <c r="M3512" s="127">
        <v>45883</v>
      </c>
      <c r="N3512" s="127"/>
      <c r="O3512" s="127"/>
      <c r="P3512" s="115" t="str">
        <f ca="1">IF(Proc[[#This Row],[DaysAgeing]]&gt;5,"yep","on track")</f>
        <v>on track</v>
      </c>
      <c r="Q3512" s="3">
        <f ca="1">IF(Proc[[#This Row],[DateClosed]]="",ABS(NETWORKDAYS(Proc[[#This Row],[DateOpened]],TODAY()))-1,ABS(NETWORKDAYS(Proc[[#This Row],[DateOpened]],Proc[[#This Row],[DateClosed]]))-1)</f>
        <v>1</v>
      </c>
      <c r="R3512" s="115" t="s">
        <v>515</v>
      </c>
      <c r="S3512" s="129"/>
    </row>
    <row r="3513" spans="1:19">
      <c r="A3513" s="128" t="s">
        <v>5675</v>
      </c>
      <c r="B3513" s="129" t="str">
        <f>IFERROR(VLOOKUP(Proc[[#This Row],[App]],Table2[],3,0),"open")</f>
        <v>open</v>
      </c>
      <c r="C3513" s="128" t="s">
        <v>370</v>
      </c>
      <c r="D3513" t="s">
        <v>5604</v>
      </c>
      <c r="E3513" t="s">
        <v>5674</v>
      </c>
      <c r="F3513" s="129" t="s">
        <v>5706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0</v>
      </c>
      <c r="K3513" s="129" t="str">
        <f>IF(Proc[[#This Row],[Author]]="Marcela Urrego",VLOOKUP(LEFT(Proc[[#This Row],[Requested]],1),Table3[#All],2,0),VLOOKUP(Proc[[#This Row],[Author]],Table4[],2,0))</f>
        <v>MGF</v>
      </c>
      <c r="L3513" s="129" t="s">
        <v>4896</v>
      </c>
      <c r="M3513" s="127">
        <v>45883</v>
      </c>
      <c r="N3513" s="127"/>
      <c r="O3513" s="127"/>
      <c r="P3513" s="115" t="str">
        <f ca="1">IF(Proc[[#This Row],[DaysAgeing]]&gt;5,"yep","on track")</f>
        <v>on track</v>
      </c>
      <c r="Q3513" s="3">
        <f ca="1">IF(Proc[[#This Row],[DateClosed]]="",ABS(NETWORKDAYS(Proc[[#This Row],[DateOpened]],TODAY()))-1,ABS(NETWORKDAYS(Proc[[#This Row],[DateOpened]],Proc[[#This Row],[DateClosed]]))-1)</f>
        <v>1</v>
      </c>
      <c r="R3513" s="115" t="s">
        <v>515</v>
      </c>
      <c r="S3513" s="129"/>
    </row>
    <row r="3514" spans="1:19">
      <c r="A3514" s="128" t="s">
        <v>5675</v>
      </c>
      <c r="B3514" s="129" t="str">
        <f>IFERROR(VLOOKUP(Proc[[#This Row],[App]],Table2[],3,0),"open")</f>
        <v>open</v>
      </c>
      <c r="C3514" s="128" t="s">
        <v>370</v>
      </c>
      <c r="D3514" t="s">
        <v>5605</v>
      </c>
      <c r="E3514" t="s">
        <v>5674</v>
      </c>
      <c r="F3514" s="129" t="s">
        <v>5706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0</v>
      </c>
      <c r="K3514" s="129" t="str">
        <f>IF(Proc[[#This Row],[Author]]="Marcela Urrego",VLOOKUP(LEFT(Proc[[#This Row],[Requested]],1),Table3[#All],2,0),VLOOKUP(Proc[[#This Row],[Author]],Table4[],2,0))</f>
        <v>MGF</v>
      </c>
      <c r="L3514" s="129" t="s">
        <v>4896</v>
      </c>
      <c r="M3514" s="127">
        <v>45883</v>
      </c>
      <c r="N3514" s="127"/>
      <c r="O3514" s="127"/>
      <c r="P3514" s="115" t="str">
        <f ca="1">IF(Proc[[#This Row],[DaysAgeing]]&gt;5,"yep","on track")</f>
        <v>on track</v>
      </c>
      <c r="Q3514" s="3">
        <f ca="1">IF(Proc[[#This Row],[DateClosed]]="",ABS(NETWORKDAYS(Proc[[#This Row],[DateOpened]],TODAY()))-1,ABS(NETWORKDAYS(Proc[[#This Row],[DateOpened]],Proc[[#This Row],[DateClosed]]))-1)</f>
        <v>1</v>
      </c>
      <c r="R3514" s="115" t="s">
        <v>515</v>
      </c>
      <c r="S3514" s="129"/>
    </row>
    <row r="3515" spans="1:19">
      <c r="A3515" s="128" t="s">
        <v>5675</v>
      </c>
      <c r="B3515" s="129" t="str">
        <f>IFERROR(VLOOKUP(Proc[[#This Row],[App]],Table2[],3,0),"open")</f>
        <v>open</v>
      </c>
      <c r="C3515" s="128" t="s">
        <v>370</v>
      </c>
      <c r="D3515" t="s">
        <v>5606</v>
      </c>
      <c r="E3515" t="s">
        <v>5674</v>
      </c>
      <c r="F3515" s="129" t="s">
        <v>5706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0</v>
      </c>
      <c r="K3515" s="129" t="str">
        <f>IF(Proc[[#This Row],[Author]]="Marcela Urrego",VLOOKUP(LEFT(Proc[[#This Row],[Requested]],1),Table3[#All],2,0),VLOOKUP(Proc[[#This Row],[Author]],Table4[],2,0))</f>
        <v>MGF</v>
      </c>
      <c r="L3515" s="129" t="s">
        <v>4896</v>
      </c>
      <c r="M3515" s="127">
        <v>45883</v>
      </c>
      <c r="N3515" s="127"/>
      <c r="O3515" s="127"/>
      <c r="P3515" s="115" t="str">
        <f ca="1">IF(Proc[[#This Row],[DaysAgeing]]&gt;5,"yep","on track")</f>
        <v>on track</v>
      </c>
      <c r="Q3515" s="3">
        <f ca="1">IF(Proc[[#This Row],[DateClosed]]="",ABS(NETWORKDAYS(Proc[[#This Row],[DateOpened]],TODAY()))-1,ABS(NETWORKDAYS(Proc[[#This Row],[DateOpened]],Proc[[#This Row],[DateClosed]]))-1)</f>
        <v>1</v>
      </c>
      <c r="R3515" s="115" t="s">
        <v>515</v>
      </c>
      <c r="S3515" s="129"/>
    </row>
    <row r="3516" spans="1:19">
      <c r="A3516" s="128" t="s">
        <v>5675</v>
      </c>
      <c r="B3516" s="129" t="str">
        <f>IFERROR(VLOOKUP(Proc[[#This Row],[App]],Table2[],3,0),"open")</f>
        <v>open</v>
      </c>
      <c r="C3516" s="128" t="s">
        <v>370</v>
      </c>
      <c r="D3516" t="s">
        <v>5607</v>
      </c>
      <c r="E3516" t="s">
        <v>5674</v>
      </c>
      <c r="F3516" s="129" t="s">
        <v>5706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0</v>
      </c>
      <c r="K3516" s="129" t="str">
        <f>IF(Proc[[#This Row],[Author]]="Marcela Urrego",VLOOKUP(LEFT(Proc[[#This Row],[Requested]],1),Table3[#All],2,0),VLOOKUP(Proc[[#This Row],[Author]],Table4[],2,0))</f>
        <v>MGF</v>
      </c>
      <c r="L3516" s="129" t="s">
        <v>4896</v>
      </c>
      <c r="M3516" s="127">
        <v>45883</v>
      </c>
      <c r="N3516" s="127"/>
      <c r="O3516" s="127"/>
      <c r="P3516" s="115" t="str">
        <f ca="1">IF(Proc[[#This Row],[DaysAgeing]]&gt;5,"yep","on track")</f>
        <v>on track</v>
      </c>
      <c r="Q3516" s="3">
        <f ca="1">IF(Proc[[#This Row],[DateClosed]]="",ABS(NETWORKDAYS(Proc[[#This Row],[DateOpened]],TODAY()))-1,ABS(NETWORKDAYS(Proc[[#This Row],[DateOpened]],Proc[[#This Row],[DateClosed]]))-1)</f>
        <v>1</v>
      </c>
      <c r="R3516" s="115" t="s">
        <v>515</v>
      </c>
      <c r="S3516" s="129"/>
    </row>
    <row r="3517" spans="1:19">
      <c r="A3517" s="128" t="s">
        <v>5675</v>
      </c>
      <c r="B3517" s="129" t="str">
        <f>IFERROR(VLOOKUP(Proc[[#This Row],[App]],Table2[],3,0),"open")</f>
        <v>open</v>
      </c>
      <c r="C3517" s="128" t="s">
        <v>370</v>
      </c>
      <c r="D3517" t="s">
        <v>5608</v>
      </c>
      <c r="E3517" t="s">
        <v>5674</v>
      </c>
      <c r="F3517" s="129" t="s">
        <v>5706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0</v>
      </c>
      <c r="K3517" s="129" t="str">
        <f>IF(Proc[[#This Row],[Author]]="Marcela Urrego",VLOOKUP(LEFT(Proc[[#This Row],[Requested]],1),Table3[#All],2,0),VLOOKUP(Proc[[#This Row],[Author]],Table4[],2,0))</f>
        <v>MGF</v>
      </c>
      <c r="L3517" s="129" t="s">
        <v>4896</v>
      </c>
      <c r="M3517" s="127">
        <v>45883</v>
      </c>
      <c r="N3517" s="127"/>
      <c r="O3517" s="127"/>
      <c r="P3517" s="115" t="str">
        <f ca="1">IF(Proc[[#This Row],[DaysAgeing]]&gt;5,"yep","on track")</f>
        <v>on track</v>
      </c>
      <c r="Q3517" s="3">
        <f ca="1">IF(Proc[[#This Row],[DateClosed]]="",ABS(NETWORKDAYS(Proc[[#This Row],[DateOpened]],TODAY()))-1,ABS(NETWORKDAYS(Proc[[#This Row],[DateOpened]],Proc[[#This Row],[DateClosed]]))-1)</f>
        <v>1</v>
      </c>
      <c r="R3517" s="115" t="s">
        <v>515</v>
      </c>
      <c r="S3517" s="129"/>
    </row>
    <row r="3518" spans="1:19">
      <c r="A3518" s="128" t="s">
        <v>5675</v>
      </c>
      <c r="B3518" s="129" t="str">
        <f>IFERROR(VLOOKUP(Proc[[#This Row],[App]],Table2[],3,0),"open")</f>
        <v>open</v>
      </c>
      <c r="C3518" s="128" t="s">
        <v>370</v>
      </c>
      <c r="D3518" t="s">
        <v>5609</v>
      </c>
      <c r="E3518" t="s">
        <v>5674</v>
      </c>
      <c r="F3518" s="129" t="s">
        <v>5706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0</v>
      </c>
      <c r="K3518" s="129" t="str">
        <f>IF(Proc[[#This Row],[Author]]="Marcela Urrego",VLOOKUP(LEFT(Proc[[#This Row],[Requested]],1),Table3[#All],2,0),VLOOKUP(Proc[[#This Row],[Author]],Table4[],2,0))</f>
        <v>MGF</v>
      </c>
      <c r="L3518" s="129" t="s">
        <v>4896</v>
      </c>
      <c r="M3518" s="127">
        <v>45883</v>
      </c>
      <c r="N3518" s="127"/>
      <c r="O3518" s="127"/>
      <c r="P3518" s="115" t="str">
        <f ca="1">IF(Proc[[#This Row],[DaysAgeing]]&gt;5,"yep","on track")</f>
        <v>on track</v>
      </c>
      <c r="Q3518" s="3">
        <f ca="1">IF(Proc[[#This Row],[DateClosed]]="",ABS(NETWORKDAYS(Proc[[#This Row],[DateOpened]],TODAY()))-1,ABS(NETWORKDAYS(Proc[[#This Row],[DateOpened]],Proc[[#This Row],[DateClosed]]))-1)</f>
        <v>1</v>
      </c>
      <c r="R3518" s="115" t="s">
        <v>515</v>
      </c>
      <c r="S3518" s="129"/>
    </row>
    <row r="3519" spans="1:19">
      <c r="A3519" s="128" t="s">
        <v>5675</v>
      </c>
      <c r="B3519" s="129" t="str">
        <f>IFERROR(VLOOKUP(Proc[[#This Row],[App]],Table2[],3,0),"open")</f>
        <v>open</v>
      </c>
      <c r="C3519" s="128" t="s">
        <v>370</v>
      </c>
      <c r="D3519" t="s">
        <v>5610</v>
      </c>
      <c r="E3519" t="s">
        <v>5674</v>
      </c>
      <c r="F3519" s="129" t="s">
        <v>5706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0</v>
      </c>
      <c r="K3519" s="129" t="str">
        <f>IF(Proc[[#This Row],[Author]]="Marcela Urrego",VLOOKUP(LEFT(Proc[[#This Row],[Requested]],1),Table3[#All],2,0),VLOOKUP(Proc[[#This Row],[Author]],Table4[],2,0))</f>
        <v>MGF</v>
      </c>
      <c r="L3519" s="129" t="s">
        <v>4896</v>
      </c>
      <c r="M3519" s="127">
        <v>45883</v>
      </c>
      <c r="N3519" s="127"/>
      <c r="O3519" s="127"/>
      <c r="P3519" s="115" t="str">
        <f ca="1">IF(Proc[[#This Row],[DaysAgeing]]&gt;5,"yep","on track")</f>
        <v>on track</v>
      </c>
      <c r="Q3519" s="3">
        <f ca="1">IF(Proc[[#This Row],[DateClosed]]="",ABS(NETWORKDAYS(Proc[[#This Row],[DateOpened]],TODAY()))-1,ABS(NETWORKDAYS(Proc[[#This Row],[DateOpened]],Proc[[#This Row],[DateClosed]]))-1)</f>
        <v>1</v>
      </c>
      <c r="R3519" s="115" t="s">
        <v>515</v>
      </c>
      <c r="S3519" s="129"/>
    </row>
    <row r="3520" spans="1:19">
      <c r="A3520" s="128" t="s">
        <v>5675</v>
      </c>
      <c r="B3520" s="129" t="str">
        <f>IFERROR(VLOOKUP(Proc[[#This Row],[App]],Table2[],3,0),"open")</f>
        <v>open</v>
      </c>
      <c r="C3520" s="128" t="s">
        <v>370</v>
      </c>
      <c r="D3520" t="s">
        <v>5611</v>
      </c>
      <c r="E3520" t="s">
        <v>5674</v>
      </c>
      <c r="F3520" s="129" t="s">
        <v>5706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0</v>
      </c>
      <c r="K3520" s="129" t="str">
        <f>IF(Proc[[#This Row],[Author]]="Marcela Urrego",VLOOKUP(LEFT(Proc[[#This Row],[Requested]],1),Table3[#All],2,0),VLOOKUP(Proc[[#This Row],[Author]],Table4[],2,0))</f>
        <v>MGF</v>
      </c>
      <c r="L3520" s="129" t="s">
        <v>4896</v>
      </c>
      <c r="M3520" s="127">
        <v>45883</v>
      </c>
      <c r="N3520" s="127"/>
      <c r="O3520" s="127"/>
      <c r="P3520" s="115" t="str">
        <f ca="1">IF(Proc[[#This Row],[DaysAgeing]]&gt;5,"yep","on track")</f>
        <v>on track</v>
      </c>
      <c r="Q3520" s="3">
        <f ca="1">IF(Proc[[#This Row],[DateClosed]]="",ABS(NETWORKDAYS(Proc[[#This Row],[DateOpened]],TODAY()))-1,ABS(NETWORKDAYS(Proc[[#This Row],[DateOpened]],Proc[[#This Row],[DateClosed]]))-1)</f>
        <v>1</v>
      </c>
      <c r="R3520" s="115" t="s">
        <v>515</v>
      </c>
      <c r="S3520" s="129"/>
    </row>
    <row r="3521" spans="1:19">
      <c r="A3521" s="128" t="s">
        <v>5675</v>
      </c>
      <c r="B3521" s="129" t="str">
        <f>IFERROR(VLOOKUP(Proc[[#This Row],[App]],Table2[],3,0),"open")</f>
        <v>open</v>
      </c>
      <c r="C3521" s="128" t="s">
        <v>370</v>
      </c>
      <c r="D3521" t="s">
        <v>5612</v>
      </c>
      <c r="E3521" t="s">
        <v>5674</v>
      </c>
      <c r="F3521" s="129" t="s">
        <v>5706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0</v>
      </c>
      <c r="K3521" s="129" t="str">
        <f>IF(Proc[[#This Row],[Author]]="Marcela Urrego",VLOOKUP(LEFT(Proc[[#This Row],[Requested]],1),Table3[#All],2,0),VLOOKUP(Proc[[#This Row],[Author]],Table4[],2,0))</f>
        <v>MGF</v>
      </c>
      <c r="L3521" s="129" t="s">
        <v>4896</v>
      </c>
      <c r="M3521" s="127">
        <v>45883</v>
      </c>
      <c r="N3521" s="127"/>
      <c r="O3521" s="127"/>
      <c r="P3521" s="115" t="str">
        <f ca="1">IF(Proc[[#This Row],[DaysAgeing]]&gt;5,"yep","on track")</f>
        <v>on track</v>
      </c>
      <c r="Q3521" s="3">
        <f ca="1">IF(Proc[[#This Row],[DateClosed]]="",ABS(NETWORKDAYS(Proc[[#This Row],[DateOpened]],TODAY()))-1,ABS(NETWORKDAYS(Proc[[#This Row],[DateOpened]],Proc[[#This Row],[DateClosed]]))-1)</f>
        <v>1</v>
      </c>
      <c r="R3521" s="115" t="s">
        <v>515</v>
      </c>
      <c r="S3521" s="129"/>
    </row>
    <row r="3522" spans="1:19">
      <c r="A3522" s="128" t="s">
        <v>5675</v>
      </c>
      <c r="B3522" s="129" t="str">
        <f>IFERROR(VLOOKUP(Proc[[#This Row],[App]],Table2[],3,0),"open")</f>
        <v>open</v>
      </c>
      <c r="C3522" s="128" t="s">
        <v>370</v>
      </c>
      <c r="D3522" t="s">
        <v>5613</v>
      </c>
      <c r="E3522" t="s">
        <v>5674</v>
      </c>
      <c r="F3522" s="129" t="s">
        <v>5706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0</v>
      </c>
      <c r="K3522" s="129" t="str">
        <f>IF(Proc[[#This Row],[Author]]="Marcela Urrego",VLOOKUP(LEFT(Proc[[#This Row],[Requested]],1),Table3[#All],2,0),VLOOKUP(Proc[[#This Row],[Author]],Table4[],2,0))</f>
        <v>MGF</v>
      </c>
      <c r="L3522" s="129" t="s">
        <v>4896</v>
      </c>
      <c r="M3522" s="127">
        <v>45883</v>
      </c>
      <c r="N3522" s="127"/>
      <c r="O3522" s="127"/>
      <c r="P3522" s="115" t="str">
        <f ca="1">IF(Proc[[#This Row],[DaysAgeing]]&gt;5,"yep","on track")</f>
        <v>on track</v>
      </c>
      <c r="Q3522" s="3">
        <f ca="1">IF(Proc[[#This Row],[DateClosed]]="",ABS(NETWORKDAYS(Proc[[#This Row],[DateOpened]],TODAY()))-1,ABS(NETWORKDAYS(Proc[[#This Row],[DateOpened]],Proc[[#This Row],[DateClosed]]))-1)</f>
        <v>1</v>
      </c>
      <c r="R3522" s="115" t="s">
        <v>515</v>
      </c>
      <c r="S3522" s="129"/>
    </row>
    <row r="3523" spans="1:19">
      <c r="A3523" s="128" t="s">
        <v>5675</v>
      </c>
      <c r="B3523" s="129" t="str">
        <f>IFERROR(VLOOKUP(Proc[[#This Row],[App]],Table2[],3,0),"open")</f>
        <v>open</v>
      </c>
      <c r="C3523" s="128" t="s">
        <v>370</v>
      </c>
      <c r="D3523" t="s">
        <v>5614</v>
      </c>
      <c r="E3523" t="s">
        <v>5674</v>
      </c>
      <c r="F3523" s="129" t="s">
        <v>5706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0</v>
      </c>
      <c r="K3523" s="129" t="str">
        <f>IF(Proc[[#This Row],[Author]]="Marcela Urrego",VLOOKUP(LEFT(Proc[[#This Row],[Requested]],1),Table3[#All],2,0),VLOOKUP(Proc[[#This Row],[Author]],Table4[],2,0))</f>
        <v>MGF</v>
      </c>
      <c r="L3523" s="129" t="s">
        <v>4896</v>
      </c>
      <c r="M3523" s="127">
        <v>45883</v>
      </c>
      <c r="N3523" s="127"/>
      <c r="O3523" s="127"/>
      <c r="P3523" s="115" t="str">
        <f ca="1">IF(Proc[[#This Row],[DaysAgeing]]&gt;5,"yep","on track")</f>
        <v>on track</v>
      </c>
      <c r="Q3523" s="3">
        <f ca="1">IF(Proc[[#This Row],[DateClosed]]="",ABS(NETWORKDAYS(Proc[[#This Row],[DateOpened]],TODAY()))-1,ABS(NETWORKDAYS(Proc[[#This Row],[DateOpened]],Proc[[#This Row],[DateClosed]]))-1)</f>
        <v>1</v>
      </c>
      <c r="R3523" s="115" t="s">
        <v>515</v>
      </c>
      <c r="S3523" s="129"/>
    </row>
    <row r="3524" spans="1:19">
      <c r="A3524" s="128" t="s">
        <v>5675</v>
      </c>
      <c r="B3524" s="129" t="str">
        <f>IFERROR(VLOOKUP(Proc[[#This Row],[App]],Table2[],3,0),"open")</f>
        <v>open</v>
      </c>
      <c r="C3524" s="128" t="s">
        <v>370</v>
      </c>
      <c r="D3524" t="s">
        <v>5615</v>
      </c>
      <c r="E3524" t="s">
        <v>5674</v>
      </c>
      <c r="F3524" s="129" t="s">
        <v>5706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0</v>
      </c>
      <c r="K3524" s="129" t="str">
        <f>IF(Proc[[#This Row],[Author]]="Marcela Urrego",VLOOKUP(LEFT(Proc[[#This Row],[Requested]],1),Table3[#All],2,0),VLOOKUP(Proc[[#This Row],[Author]],Table4[],2,0))</f>
        <v>MGF</v>
      </c>
      <c r="L3524" s="129" t="s">
        <v>4896</v>
      </c>
      <c r="M3524" s="127">
        <v>45883</v>
      </c>
      <c r="N3524" s="127"/>
      <c r="O3524" s="127"/>
      <c r="P3524" s="115" t="str">
        <f ca="1">IF(Proc[[#This Row],[DaysAgeing]]&gt;5,"yep","on track")</f>
        <v>on track</v>
      </c>
      <c r="Q3524" s="3">
        <f ca="1">IF(Proc[[#This Row],[DateClosed]]="",ABS(NETWORKDAYS(Proc[[#This Row],[DateOpened]],TODAY()))-1,ABS(NETWORKDAYS(Proc[[#This Row],[DateOpened]],Proc[[#This Row],[DateClosed]]))-1)</f>
        <v>1</v>
      </c>
      <c r="R3524" s="115" t="s">
        <v>515</v>
      </c>
      <c r="S3524" s="129"/>
    </row>
    <row r="3525" spans="1:19">
      <c r="A3525" s="128" t="s">
        <v>5675</v>
      </c>
      <c r="B3525" s="129" t="str">
        <f>IFERROR(VLOOKUP(Proc[[#This Row],[App]],Table2[],3,0),"open")</f>
        <v>open</v>
      </c>
      <c r="C3525" s="128" t="s">
        <v>370</v>
      </c>
      <c r="D3525" t="s">
        <v>5616</v>
      </c>
      <c r="E3525" t="s">
        <v>5674</v>
      </c>
      <c r="F3525" s="129" t="s">
        <v>5706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0</v>
      </c>
      <c r="K3525" s="129" t="str">
        <f>IF(Proc[[#This Row],[Author]]="Marcela Urrego",VLOOKUP(LEFT(Proc[[#This Row],[Requested]],1),Table3[#All],2,0),VLOOKUP(Proc[[#This Row],[Author]],Table4[],2,0))</f>
        <v>MGF</v>
      </c>
      <c r="L3525" s="129" t="s">
        <v>4896</v>
      </c>
      <c r="M3525" s="127">
        <v>45883</v>
      </c>
      <c r="N3525" s="127"/>
      <c r="O3525" s="127"/>
      <c r="P3525" s="115" t="str">
        <f ca="1">IF(Proc[[#This Row],[DaysAgeing]]&gt;5,"yep","on track")</f>
        <v>on track</v>
      </c>
      <c r="Q3525" s="3">
        <f ca="1">IF(Proc[[#This Row],[DateClosed]]="",ABS(NETWORKDAYS(Proc[[#This Row],[DateOpened]],TODAY()))-1,ABS(NETWORKDAYS(Proc[[#This Row],[DateOpened]],Proc[[#This Row],[DateClosed]]))-1)</f>
        <v>1</v>
      </c>
      <c r="R3525" s="115" t="s">
        <v>515</v>
      </c>
      <c r="S3525" s="129"/>
    </row>
    <row r="3526" spans="1:19">
      <c r="A3526" s="128" t="s">
        <v>5675</v>
      </c>
      <c r="B3526" s="129" t="str">
        <f>IFERROR(VLOOKUP(Proc[[#This Row],[App]],Table2[],3,0),"open")</f>
        <v>open</v>
      </c>
      <c r="C3526" s="128" t="s">
        <v>370</v>
      </c>
      <c r="D3526" t="s">
        <v>5617</v>
      </c>
      <c r="E3526" t="s">
        <v>5674</v>
      </c>
      <c r="F3526" s="129" t="s">
        <v>5706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0</v>
      </c>
      <c r="K3526" s="129" t="str">
        <f>IF(Proc[[#This Row],[Author]]="Marcela Urrego",VLOOKUP(LEFT(Proc[[#This Row],[Requested]],1),Table3[#All],2,0),VLOOKUP(Proc[[#This Row],[Author]],Table4[],2,0))</f>
        <v>MGF</v>
      </c>
      <c r="L3526" s="129" t="s">
        <v>4896</v>
      </c>
      <c r="M3526" s="127">
        <v>45883</v>
      </c>
      <c r="N3526" s="127"/>
      <c r="O3526" s="127"/>
      <c r="P3526" s="115" t="str">
        <f ca="1">IF(Proc[[#This Row],[DaysAgeing]]&gt;5,"yep","on track")</f>
        <v>on track</v>
      </c>
      <c r="Q3526" s="3">
        <f ca="1">IF(Proc[[#This Row],[DateClosed]]="",ABS(NETWORKDAYS(Proc[[#This Row],[DateOpened]],TODAY()))-1,ABS(NETWORKDAYS(Proc[[#This Row],[DateOpened]],Proc[[#This Row],[DateClosed]]))-1)</f>
        <v>1</v>
      </c>
      <c r="R3526" s="115" t="s">
        <v>515</v>
      </c>
      <c r="S3526" s="129"/>
    </row>
    <row r="3527" spans="1:19">
      <c r="A3527" s="128" t="s">
        <v>5675</v>
      </c>
      <c r="B3527" s="129" t="str">
        <f>IFERROR(VLOOKUP(Proc[[#This Row],[App]],Table2[],3,0),"open")</f>
        <v>open</v>
      </c>
      <c r="C3527" s="128" t="s">
        <v>370</v>
      </c>
      <c r="D3527" t="s">
        <v>5618</v>
      </c>
      <c r="E3527" t="s">
        <v>5674</v>
      </c>
      <c r="F3527" s="129" t="s">
        <v>5706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0</v>
      </c>
      <c r="K3527" s="129" t="str">
        <f>IF(Proc[[#This Row],[Author]]="Marcela Urrego",VLOOKUP(LEFT(Proc[[#This Row],[Requested]],1),Table3[#All],2,0),VLOOKUP(Proc[[#This Row],[Author]],Table4[],2,0))</f>
        <v>MGF</v>
      </c>
      <c r="L3527" s="129" t="s">
        <v>4896</v>
      </c>
      <c r="M3527" s="127">
        <v>45883</v>
      </c>
      <c r="N3527" s="127"/>
      <c r="O3527" s="127"/>
      <c r="P3527" s="115" t="str">
        <f ca="1">IF(Proc[[#This Row],[DaysAgeing]]&gt;5,"yep","on track")</f>
        <v>on track</v>
      </c>
      <c r="Q3527" s="3">
        <f ca="1">IF(Proc[[#This Row],[DateClosed]]="",ABS(NETWORKDAYS(Proc[[#This Row],[DateOpened]],TODAY()))-1,ABS(NETWORKDAYS(Proc[[#This Row],[DateOpened]],Proc[[#This Row],[DateClosed]]))-1)</f>
        <v>1</v>
      </c>
      <c r="R3527" s="115" t="s">
        <v>515</v>
      </c>
      <c r="S3527" s="129"/>
    </row>
    <row r="3528" spans="1:19">
      <c r="A3528" s="128" t="s">
        <v>5675</v>
      </c>
      <c r="B3528" s="129" t="str">
        <f>IFERROR(VLOOKUP(Proc[[#This Row],[App]],Table2[],3,0),"open")</f>
        <v>open</v>
      </c>
      <c r="C3528" s="128" t="s">
        <v>370</v>
      </c>
      <c r="D3528" t="s">
        <v>5619</v>
      </c>
      <c r="E3528" t="s">
        <v>5674</v>
      </c>
      <c r="F3528" s="129" t="s">
        <v>5706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0</v>
      </c>
      <c r="K3528" s="129" t="str">
        <f>IF(Proc[[#This Row],[Author]]="Marcela Urrego",VLOOKUP(LEFT(Proc[[#This Row],[Requested]],1),Table3[#All],2,0),VLOOKUP(Proc[[#This Row],[Author]],Table4[],2,0))</f>
        <v>MGF</v>
      </c>
      <c r="L3528" s="129" t="s">
        <v>4896</v>
      </c>
      <c r="M3528" s="127">
        <v>45883</v>
      </c>
      <c r="N3528" s="127"/>
      <c r="O3528" s="127"/>
      <c r="P3528" s="115" t="str">
        <f ca="1">IF(Proc[[#This Row],[DaysAgeing]]&gt;5,"yep","on track")</f>
        <v>on track</v>
      </c>
      <c r="Q3528" s="3">
        <f ca="1">IF(Proc[[#This Row],[DateClosed]]="",ABS(NETWORKDAYS(Proc[[#This Row],[DateOpened]],TODAY()))-1,ABS(NETWORKDAYS(Proc[[#This Row],[DateOpened]],Proc[[#This Row],[DateClosed]]))-1)</f>
        <v>1</v>
      </c>
      <c r="R3528" s="115" t="s">
        <v>515</v>
      </c>
      <c r="S3528" s="129"/>
    </row>
    <row r="3529" spans="1:19">
      <c r="A3529" s="128" t="s">
        <v>5675</v>
      </c>
      <c r="B3529" s="129" t="str">
        <f>IFERROR(VLOOKUP(Proc[[#This Row],[App]],Table2[],3,0),"open")</f>
        <v>open</v>
      </c>
      <c r="C3529" s="128" t="s">
        <v>370</v>
      </c>
      <c r="D3529" t="s">
        <v>5620</v>
      </c>
      <c r="E3529" t="s">
        <v>5674</v>
      </c>
      <c r="F3529" s="129" t="s">
        <v>5706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0</v>
      </c>
      <c r="K3529" s="129" t="str">
        <f>IF(Proc[[#This Row],[Author]]="Marcela Urrego",VLOOKUP(LEFT(Proc[[#This Row],[Requested]],1),Table3[#All],2,0),VLOOKUP(Proc[[#This Row],[Author]],Table4[],2,0))</f>
        <v>MGF</v>
      </c>
      <c r="L3529" s="129" t="s">
        <v>4896</v>
      </c>
      <c r="M3529" s="127">
        <v>45883</v>
      </c>
      <c r="N3529" s="127"/>
      <c r="O3529" s="127"/>
      <c r="P3529" s="115" t="str">
        <f ca="1">IF(Proc[[#This Row],[DaysAgeing]]&gt;5,"yep","on track")</f>
        <v>on track</v>
      </c>
      <c r="Q3529" s="3">
        <f ca="1">IF(Proc[[#This Row],[DateClosed]]="",ABS(NETWORKDAYS(Proc[[#This Row],[DateOpened]],TODAY()))-1,ABS(NETWORKDAYS(Proc[[#This Row],[DateOpened]],Proc[[#This Row],[DateClosed]]))-1)</f>
        <v>1</v>
      </c>
      <c r="R3529" s="115" t="s">
        <v>515</v>
      </c>
      <c r="S3529" s="129"/>
    </row>
    <row r="3530" spans="1:19">
      <c r="A3530" s="128" t="s">
        <v>5675</v>
      </c>
      <c r="B3530" s="129" t="str">
        <f>IFERROR(VLOOKUP(Proc[[#This Row],[App]],Table2[],3,0),"open")</f>
        <v>open</v>
      </c>
      <c r="C3530" s="128" t="s">
        <v>370</v>
      </c>
      <c r="D3530" t="s">
        <v>5621</v>
      </c>
      <c r="E3530" t="s">
        <v>5674</v>
      </c>
      <c r="F3530" s="129" t="s">
        <v>5706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0</v>
      </c>
      <c r="K3530" s="129" t="str">
        <f>IF(Proc[[#This Row],[Author]]="Marcela Urrego",VLOOKUP(LEFT(Proc[[#This Row],[Requested]],1),Table3[#All],2,0),VLOOKUP(Proc[[#This Row],[Author]],Table4[],2,0))</f>
        <v>MGF</v>
      </c>
      <c r="L3530" s="129" t="s">
        <v>4896</v>
      </c>
      <c r="M3530" s="127">
        <v>45883</v>
      </c>
      <c r="N3530" s="127"/>
      <c r="O3530" s="127"/>
      <c r="P3530" s="115" t="str">
        <f ca="1">IF(Proc[[#This Row],[DaysAgeing]]&gt;5,"yep","on track")</f>
        <v>on track</v>
      </c>
      <c r="Q3530" s="3">
        <f ca="1">IF(Proc[[#This Row],[DateClosed]]="",ABS(NETWORKDAYS(Proc[[#This Row],[DateOpened]],TODAY()))-1,ABS(NETWORKDAYS(Proc[[#This Row],[DateOpened]],Proc[[#This Row],[DateClosed]]))-1)</f>
        <v>1</v>
      </c>
      <c r="R3530" s="115" t="s">
        <v>515</v>
      </c>
      <c r="S3530" s="129"/>
    </row>
    <row r="3531" spans="1:19">
      <c r="A3531" s="128" t="s">
        <v>5675</v>
      </c>
      <c r="B3531" s="129" t="str">
        <f>IFERROR(VLOOKUP(Proc[[#This Row],[App]],Table2[],3,0),"open")</f>
        <v>open</v>
      </c>
      <c r="C3531" s="128" t="s">
        <v>370</v>
      </c>
      <c r="D3531" t="s">
        <v>5622</v>
      </c>
      <c r="E3531" t="s">
        <v>5674</v>
      </c>
      <c r="F3531" s="129" t="s">
        <v>5706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0</v>
      </c>
      <c r="K3531" s="129" t="str">
        <f>IF(Proc[[#This Row],[Author]]="Marcela Urrego",VLOOKUP(LEFT(Proc[[#This Row],[Requested]],1),Table3[#All],2,0),VLOOKUP(Proc[[#This Row],[Author]],Table4[],2,0))</f>
        <v>MGF</v>
      </c>
      <c r="L3531" s="129" t="s">
        <v>4896</v>
      </c>
      <c r="M3531" s="127">
        <v>45883</v>
      </c>
      <c r="N3531" s="127"/>
      <c r="O3531" s="127"/>
      <c r="P3531" s="115" t="str">
        <f ca="1">IF(Proc[[#This Row],[DaysAgeing]]&gt;5,"yep","on track")</f>
        <v>on track</v>
      </c>
      <c r="Q3531" s="3">
        <f ca="1">IF(Proc[[#This Row],[DateClosed]]="",ABS(NETWORKDAYS(Proc[[#This Row],[DateOpened]],TODAY()))-1,ABS(NETWORKDAYS(Proc[[#This Row],[DateOpened]],Proc[[#This Row],[DateClosed]]))-1)</f>
        <v>1</v>
      </c>
      <c r="R3531" s="115" t="s">
        <v>515</v>
      </c>
      <c r="S3531" s="129"/>
    </row>
    <row r="3532" spans="1:19">
      <c r="A3532" s="128" t="s">
        <v>5675</v>
      </c>
      <c r="B3532" s="129" t="str">
        <f>IFERROR(VLOOKUP(Proc[[#This Row],[App]],Table2[],3,0),"open")</f>
        <v>open</v>
      </c>
      <c r="C3532" s="128" t="s">
        <v>370</v>
      </c>
      <c r="D3532" t="s">
        <v>5623</v>
      </c>
      <c r="E3532" t="s">
        <v>5674</v>
      </c>
      <c r="F3532" s="129" t="s">
        <v>5706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0</v>
      </c>
      <c r="K3532" s="129" t="str">
        <f>IF(Proc[[#This Row],[Author]]="Marcela Urrego",VLOOKUP(LEFT(Proc[[#This Row],[Requested]],1),Table3[#All],2,0),VLOOKUP(Proc[[#This Row],[Author]],Table4[],2,0))</f>
        <v>MGF</v>
      </c>
      <c r="L3532" s="129" t="s">
        <v>4896</v>
      </c>
      <c r="M3532" s="127">
        <v>45883</v>
      </c>
      <c r="N3532" s="127"/>
      <c r="O3532" s="127"/>
      <c r="P3532" s="115" t="str">
        <f ca="1">IF(Proc[[#This Row],[DaysAgeing]]&gt;5,"yep","on track")</f>
        <v>on track</v>
      </c>
      <c r="Q3532" s="3">
        <f ca="1">IF(Proc[[#This Row],[DateClosed]]="",ABS(NETWORKDAYS(Proc[[#This Row],[DateOpened]],TODAY()))-1,ABS(NETWORKDAYS(Proc[[#This Row],[DateOpened]],Proc[[#This Row],[DateClosed]]))-1)</f>
        <v>1</v>
      </c>
      <c r="R3532" s="115" t="s">
        <v>515</v>
      </c>
      <c r="S3532" s="129"/>
    </row>
    <row r="3533" spans="1:19">
      <c r="A3533" s="128" t="s">
        <v>5675</v>
      </c>
      <c r="B3533" s="129" t="str">
        <f>IFERROR(VLOOKUP(Proc[[#This Row],[App]],Table2[],3,0),"open")</f>
        <v>open</v>
      </c>
      <c r="C3533" s="128" t="s">
        <v>370</v>
      </c>
      <c r="D3533" t="s">
        <v>5624</v>
      </c>
      <c r="E3533" t="s">
        <v>5674</v>
      </c>
      <c r="F3533" s="129" t="s">
        <v>5706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0</v>
      </c>
      <c r="K3533" s="129" t="str">
        <f>IF(Proc[[#This Row],[Author]]="Marcela Urrego",VLOOKUP(LEFT(Proc[[#This Row],[Requested]],1),Table3[#All],2,0),VLOOKUP(Proc[[#This Row],[Author]],Table4[],2,0))</f>
        <v>MGF</v>
      </c>
      <c r="L3533" s="129" t="s">
        <v>4896</v>
      </c>
      <c r="M3533" s="127">
        <v>45883</v>
      </c>
      <c r="N3533" s="127"/>
      <c r="O3533" s="127"/>
      <c r="P3533" s="115" t="str">
        <f ca="1">IF(Proc[[#This Row],[DaysAgeing]]&gt;5,"yep","on track")</f>
        <v>on track</v>
      </c>
      <c r="Q3533" s="3">
        <f ca="1">IF(Proc[[#This Row],[DateClosed]]="",ABS(NETWORKDAYS(Proc[[#This Row],[DateOpened]],TODAY()))-1,ABS(NETWORKDAYS(Proc[[#This Row],[DateOpened]],Proc[[#This Row],[DateClosed]]))-1)</f>
        <v>1</v>
      </c>
      <c r="R3533" s="115" t="s">
        <v>515</v>
      </c>
      <c r="S3533" s="129"/>
    </row>
    <row r="3534" spans="1:19">
      <c r="A3534" s="128" t="s">
        <v>5675</v>
      </c>
      <c r="B3534" s="129" t="str">
        <f>IFERROR(VLOOKUP(Proc[[#This Row],[App]],Table2[],3,0),"open")</f>
        <v>open</v>
      </c>
      <c r="C3534" s="128" t="s">
        <v>370</v>
      </c>
      <c r="D3534" t="s">
        <v>5625</v>
      </c>
      <c r="E3534" t="s">
        <v>5674</v>
      </c>
      <c r="F3534" s="129" t="s">
        <v>5706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0</v>
      </c>
      <c r="K3534" s="129" t="str">
        <f>IF(Proc[[#This Row],[Author]]="Marcela Urrego",VLOOKUP(LEFT(Proc[[#This Row],[Requested]],1),Table3[#All],2,0),VLOOKUP(Proc[[#This Row],[Author]],Table4[],2,0))</f>
        <v>MGF</v>
      </c>
      <c r="L3534" s="129" t="s">
        <v>4896</v>
      </c>
      <c r="M3534" s="127">
        <v>45883</v>
      </c>
      <c r="N3534" s="127"/>
      <c r="O3534" s="127"/>
      <c r="P3534" s="115" t="str">
        <f ca="1">IF(Proc[[#This Row],[DaysAgeing]]&gt;5,"yep","on track")</f>
        <v>on track</v>
      </c>
      <c r="Q3534" s="3">
        <f ca="1">IF(Proc[[#This Row],[DateClosed]]="",ABS(NETWORKDAYS(Proc[[#This Row],[DateOpened]],TODAY()))-1,ABS(NETWORKDAYS(Proc[[#This Row],[DateOpened]],Proc[[#This Row],[DateClosed]]))-1)</f>
        <v>1</v>
      </c>
      <c r="R3534" s="115" t="s">
        <v>515</v>
      </c>
      <c r="S3534" s="129"/>
    </row>
    <row r="3535" spans="1:19">
      <c r="A3535" s="128" t="s">
        <v>5675</v>
      </c>
      <c r="B3535" s="129" t="str">
        <f>IFERROR(VLOOKUP(Proc[[#This Row],[App]],Table2[],3,0),"open")</f>
        <v>open</v>
      </c>
      <c r="C3535" s="128" t="s">
        <v>370</v>
      </c>
      <c r="D3535" t="s">
        <v>5626</v>
      </c>
      <c r="E3535" t="s">
        <v>5674</v>
      </c>
      <c r="F3535" s="129" t="s">
        <v>5706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0</v>
      </c>
      <c r="K3535" s="129" t="str">
        <f>IF(Proc[[#This Row],[Author]]="Marcela Urrego",VLOOKUP(LEFT(Proc[[#This Row],[Requested]],1),Table3[#All],2,0),VLOOKUP(Proc[[#This Row],[Author]],Table4[],2,0))</f>
        <v>MGF</v>
      </c>
      <c r="L3535" s="129" t="s">
        <v>4896</v>
      </c>
      <c r="M3535" s="127">
        <v>45883</v>
      </c>
      <c r="N3535" s="127"/>
      <c r="O3535" s="127"/>
      <c r="P3535" s="115" t="str">
        <f ca="1">IF(Proc[[#This Row],[DaysAgeing]]&gt;5,"yep","on track")</f>
        <v>on track</v>
      </c>
      <c r="Q3535" s="3">
        <f ca="1">IF(Proc[[#This Row],[DateClosed]]="",ABS(NETWORKDAYS(Proc[[#This Row],[DateOpened]],TODAY()))-1,ABS(NETWORKDAYS(Proc[[#This Row],[DateOpened]],Proc[[#This Row],[DateClosed]]))-1)</f>
        <v>1</v>
      </c>
      <c r="R3535" s="115" t="s">
        <v>515</v>
      </c>
      <c r="S3535" s="129"/>
    </row>
    <row r="3536" spans="1:19">
      <c r="A3536" s="128" t="s">
        <v>5675</v>
      </c>
      <c r="B3536" s="129" t="str">
        <f>IFERROR(VLOOKUP(Proc[[#This Row],[App]],Table2[],3,0),"open")</f>
        <v>open</v>
      </c>
      <c r="C3536" s="128" t="s">
        <v>370</v>
      </c>
      <c r="D3536" t="s">
        <v>5627</v>
      </c>
      <c r="E3536" t="s">
        <v>5674</v>
      </c>
      <c r="F3536" s="129" t="s">
        <v>5706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0</v>
      </c>
      <c r="K3536" s="129" t="str">
        <f>IF(Proc[[#This Row],[Author]]="Marcela Urrego",VLOOKUP(LEFT(Proc[[#This Row],[Requested]],1),Table3[#All],2,0),VLOOKUP(Proc[[#This Row],[Author]],Table4[],2,0))</f>
        <v>MGF</v>
      </c>
      <c r="L3536" s="129" t="s">
        <v>4896</v>
      </c>
      <c r="M3536" s="127">
        <v>45883</v>
      </c>
      <c r="N3536" s="127"/>
      <c r="O3536" s="127"/>
      <c r="P3536" s="115" t="str">
        <f ca="1">IF(Proc[[#This Row],[DaysAgeing]]&gt;5,"yep","on track")</f>
        <v>on track</v>
      </c>
      <c r="Q3536" s="3">
        <f ca="1">IF(Proc[[#This Row],[DateClosed]]="",ABS(NETWORKDAYS(Proc[[#This Row],[DateOpened]],TODAY()))-1,ABS(NETWORKDAYS(Proc[[#This Row],[DateOpened]],Proc[[#This Row],[DateClosed]]))-1)</f>
        <v>1</v>
      </c>
      <c r="R3536" s="115" t="s">
        <v>515</v>
      </c>
      <c r="S3536" s="129"/>
    </row>
    <row r="3537" spans="1:19">
      <c r="A3537" s="128" t="s">
        <v>5675</v>
      </c>
      <c r="B3537" s="129" t="str">
        <f>IFERROR(VLOOKUP(Proc[[#This Row],[App]],Table2[],3,0),"open")</f>
        <v>open</v>
      </c>
      <c r="C3537" s="128" t="s">
        <v>370</v>
      </c>
      <c r="D3537" t="s">
        <v>5628</v>
      </c>
      <c r="E3537" t="s">
        <v>5674</v>
      </c>
      <c r="F3537" s="129" t="s">
        <v>5706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0</v>
      </c>
      <c r="K3537" s="129" t="str">
        <f>IF(Proc[[#This Row],[Author]]="Marcela Urrego",VLOOKUP(LEFT(Proc[[#This Row],[Requested]],1),Table3[#All],2,0),VLOOKUP(Proc[[#This Row],[Author]],Table4[],2,0))</f>
        <v>MGF</v>
      </c>
      <c r="L3537" s="129" t="s">
        <v>4896</v>
      </c>
      <c r="M3537" s="127">
        <v>45883</v>
      </c>
      <c r="N3537" s="127"/>
      <c r="O3537" s="127"/>
      <c r="P3537" s="115" t="str">
        <f ca="1">IF(Proc[[#This Row],[DaysAgeing]]&gt;5,"yep","on track")</f>
        <v>on track</v>
      </c>
      <c r="Q3537" s="3">
        <f ca="1">IF(Proc[[#This Row],[DateClosed]]="",ABS(NETWORKDAYS(Proc[[#This Row],[DateOpened]],TODAY()))-1,ABS(NETWORKDAYS(Proc[[#This Row],[DateOpened]],Proc[[#This Row],[DateClosed]]))-1)</f>
        <v>1</v>
      </c>
      <c r="R3537" s="115" t="s">
        <v>515</v>
      </c>
      <c r="S3537" s="129"/>
    </row>
    <row r="3538" spans="1:19">
      <c r="A3538" s="128" t="s">
        <v>5675</v>
      </c>
      <c r="B3538" s="129" t="str">
        <f>IFERROR(VLOOKUP(Proc[[#This Row],[App]],Table2[],3,0),"open")</f>
        <v>open</v>
      </c>
      <c r="C3538" s="128" t="s">
        <v>370</v>
      </c>
      <c r="D3538" t="s">
        <v>5629</v>
      </c>
      <c r="E3538" t="s">
        <v>5674</v>
      </c>
      <c r="F3538" s="129" t="s">
        <v>5706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0</v>
      </c>
      <c r="K3538" s="129" t="str">
        <f>IF(Proc[[#This Row],[Author]]="Marcela Urrego",VLOOKUP(LEFT(Proc[[#This Row],[Requested]],1),Table3[#All],2,0),VLOOKUP(Proc[[#This Row],[Author]],Table4[],2,0))</f>
        <v>MGF</v>
      </c>
      <c r="L3538" s="129" t="s">
        <v>4896</v>
      </c>
      <c r="M3538" s="127">
        <v>45883</v>
      </c>
      <c r="N3538" s="127"/>
      <c r="O3538" s="127"/>
      <c r="P3538" s="115" t="str">
        <f ca="1">IF(Proc[[#This Row],[DaysAgeing]]&gt;5,"yep","on track")</f>
        <v>on track</v>
      </c>
      <c r="Q3538" s="3">
        <f ca="1">IF(Proc[[#This Row],[DateClosed]]="",ABS(NETWORKDAYS(Proc[[#This Row],[DateOpened]],TODAY()))-1,ABS(NETWORKDAYS(Proc[[#This Row],[DateOpened]],Proc[[#This Row],[DateClosed]]))-1)</f>
        <v>1</v>
      </c>
      <c r="R3538" s="115" t="s">
        <v>515</v>
      </c>
      <c r="S3538" s="129"/>
    </row>
    <row r="3539" spans="1:19" hidden="1">
      <c r="A3539" s="128" t="s">
        <v>5675</v>
      </c>
      <c r="B3539" s="129" t="str">
        <f>IFERROR(VLOOKUP(Proc[[#This Row],[App]],Table2[],3,0),"open")</f>
        <v>open</v>
      </c>
      <c r="C3539" s="128" t="s">
        <v>369</v>
      </c>
      <c r="D3539" t="s">
        <v>5630</v>
      </c>
      <c r="E3539" t="s">
        <v>5674</v>
      </c>
      <c r="F3539" s="129" t="s">
        <v>5674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29" t="str">
        <f>IF(Proc[[#This Row],[Author]]="Marcela Urrego",VLOOKUP(LEFT(Proc[[#This Row],[Requested]],1),Table3[#All],2,0),VLOOKUP(Proc[[#This Row],[Author]],Table4[],2,0))</f>
        <v>MGF</v>
      </c>
      <c r="L3539" s="129" t="s">
        <v>4896</v>
      </c>
      <c r="M3539" s="127">
        <v>45883</v>
      </c>
      <c r="N3539" s="127"/>
      <c r="O3539" s="127"/>
      <c r="P3539" s="115" t="str">
        <f ca="1">IF(Proc[[#This Row],[DaysAgeing]]&gt;5,"yep","on track")</f>
        <v>on track</v>
      </c>
      <c r="Q3539" s="3">
        <f ca="1">IF(Proc[[#This Row],[DateClosed]]="",ABS(NETWORKDAYS(Proc[[#This Row],[DateOpened]],TODAY()))-1,ABS(NETWORKDAYS(Proc[[#This Row],[DateOpened]],Proc[[#This Row],[DateClosed]]))-1)</f>
        <v>1</v>
      </c>
      <c r="R3539" s="115" t="s">
        <v>515</v>
      </c>
      <c r="S3539" s="129"/>
    </row>
    <row r="3540" spans="1:19" hidden="1">
      <c r="A3540" s="128" t="s">
        <v>5675</v>
      </c>
      <c r="B3540" s="129" t="str">
        <f>IFERROR(VLOOKUP(Proc[[#This Row],[App]],Table2[],3,0),"open")</f>
        <v>open</v>
      </c>
      <c r="C3540" s="128" t="s">
        <v>369</v>
      </c>
      <c r="D3540" t="s">
        <v>5631</v>
      </c>
      <c r="E3540" t="s">
        <v>5674</v>
      </c>
      <c r="F3540" s="129" t="s">
        <v>5674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29" t="str">
        <f>IF(Proc[[#This Row],[Author]]="Marcela Urrego",VLOOKUP(LEFT(Proc[[#This Row],[Requested]],1),Table3[#All],2,0),VLOOKUP(Proc[[#This Row],[Author]],Table4[],2,0))</f>
        <v>MGF</v>
      </c>
      <c r="L3540" s="129" t="s">
        <v>4896</v>
      </c>
      <c r="M3540" s="127">
        <v>45883</v>
      </c>
      <c r="N3540" s="127"/>
      <c r="O3540" s="127"/>
      <c r="P3540" s="115" t="str">
        <f ca="1">IF(Proc[[#This Row],[DaysAgeing]]&gt;5,"yep","on track")</f>
        <v>on track</v>
      </c>
      <c r="Q3540" s="3">
        <f ca="1">IF(Proc[[#This Row],[DateClosed]]="",ABS(NETWORKDAYS(Proc[[#This Row],[DateOpened]],TODAY()))-1,ABS(NETWORKDAYS(Proc[[#This Row],[DateOpened]],Proc[[#This Row],[DateClosed]]))-1)</f>
        <v>1</v>
      </c>
      <c r="R3540" s="115" t="s">
        <v>515</v>
      </c>
      <c r="S3540" s="129"/>
    </row>
    <row r="3541" spans="1:19" hidden="1">
      <c r="A3541" s="128" t="s">
        <v>5675</v>
      </c>
      <c r="B3541" s="129" t="str">
        <f>IFERROR(VLOOKUP(Proc[[#This Row],[App]],Table2[],3,0),"open")</f>
        <v>open</v>
      </c>
      <c r="C3541" s="128" t="s">
        <v>369</v>
      </c>
      <c r="D3541" t="s">
        <v>5632</v>
      </c>
      <c r="E3541" t="s">
        <v>5674</v>
      </c>
      <c r="F3541" s="129" t="s">
        <v>5674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29" t="str">
        <f>IF(Proc[[#This Row],[Author]]="Marcela Urrego",VLOOKUP(LEFT(Proc[[#This Row],[Requested]],1),Table3[#All],2,0),VLOOKUP(Proc[[#This Row],[Author]],Table4[],2,0))</f>
        <v>MGF</v>
      </c>
      <c r="L3541" s="129" t="s">
        <v>4896</v>
      </c>
      <c r="M3541" s="127">
        <v>45883</v>
      </c>
      <c r="N3541" s="127"/>
      <c r="O3541" s="127"/>
      <c r="P3541" s="115" t="str">
        <f ca="1">IF(Proc[[#This Row],[DaysAgeing]]&gt;5,"yep","on track")</f>
        <v>on track</v>
      </c>
      <c r="Q3541" s="3">
        <f ca="1">IF(Proc[[#This Row],[DateClosed]]="",ABS(NETWORKDAYS(Proc[[#This Row],[DateOpened]],TODAY()))-1,ABS(NETWORKDAYS(Proc[[#This Row],[DateOpened]],Proc[[#This Row],[DateClosed]]))-1)</f>
        <v>1</v>
      </c>
      <c r="R3541" s="115" t="s">
        <v>515</v>
      </c>
      <c r="S3541" s="129"/>
    </row>
    <row r="3542" spans="1:19" hidden="1">
      <c r="A3542" s="128" t="s">
        <v>5675</v>
      </c>
      <c r="B3542" s="129" t="str">
        <f>IFERROR(VLOOKUP(Proc[[#This Row],[App]],Table2[],3,0),"open")</f>
        <v>open</v>
      </c>
      <c r="C3542" s="128" t="s">
        <v>369</v>
      </c>
      <c r="D3542" t="s">
        <v>5633</v>
      </c>
      <c r="E3542" t="s">
        <v>5674</v>
      </c>
      <c r="F3542" s="129" t="s">
        <v>5674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29" t="str">
        <f>IF(Proc[[#This Row],[Author]]="Marcela Urrego",VLOOKUP(LEFT(Proc[[#This Row],[Requested]],1),Table3[#All],2,0),VLOOKUP(Proc[[#This Row],[Author]],Table4[],2,0))</f>
        <v>MGF</v>
      </c>
      <c r="L3542" s="129" t="s">
        <v>4896</v>
      </c>
      <c r="M3542" s="127">
        <v>45883</v>
      </c>
      <c r="N3542" s="127"/>
      <c r="O3542" s="127"/>
      <c r="P3542" s="115" t="str">
        <f ca="1">IF(Proc[[#This Row],[DaysAgeing]]&gt;5,"yep","on track")</f>
        <v>on track</v>
      </c>
      <c r="Q3542" s="3">
        <f ca="1">IF(Proc[[#This Row],[DateClosed]]="",ABS(NETWORKDAYS(Proc[[#This Row],[DateOpened]],TODAY()))-1,ABS(NETWORKDAYS(Proc[[#This Row],[DateOpened]],Proc[[#This Row],[DateClosed]]))-1)</f>
        <v>1</v>
      </c>
      <c r="R3542" s="115" t="s">
        <v>515</v>
      </c>
      <c r="S3542" s="129"/>
    </row>
    <row r="3543" spans="1:19" hidden="1">
      <c r="A3543" s="128" t="s">
        <v>5675</v>
      </c>
      <c r="B3543" s="129" t="str">
        <f>IFERROR(VLOOKUP(Proc[[#This Row],[App]],Table2[],3,0),"open")</f>
        <v>open</v>
      </c>
      <c r="C3543" s="128" t="s">
        <v>369</v>
      </c>
      <c r="D3543" t="s">
        <v>5634</v>
      </c>
      <c r="E3543" t="s">
        <v>5674</v>
      </c>
      <c r="F3543" s="129" t="s">
        <v>5674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29" t="str">
        <f>IF(Proc[[#This Row],[Author]]="Marcela Urrego",VLOOKUP(LEFT(Proc[[#This Row],[Requested]],1),Table3[#All],2,0),VLOOKUP(Proc[[#This Row],[Author]],Table4[],2,0))</f>
        <v>MGF</v>
      </c>
      <c r="L3543" s="129" t="s">
        <v>4896</v>
      </c>
      <c r="M3543" s="127">
        <v>45883</v>
      </c>
      <c r="N3543" s="127"/>
      <c r="O3543" s="127"/>
      <c r="P3543" s="115" t="str">
        <f ca="1">IF(Proc[[#This Row],[DaysAgeing]]&gt;5,"yep","on track")</f>
        <v>on track</v>
      </c>
      <c r="Q3543" s="3">
        <f ca="1">IF(Proc[[#This Row],[DateClosed]]="",ABS(NETWORKDAYS(Proc[[#This Row],[DateOpened]],TODAY()))-1,ABS(NETWORKDAYS(Proc[[#This Row],[DateOpened]],Proc[[#This Row],[DateClosed]]))-1)</f>
        <v>1</v>
      </c>
      <c r="R3543" s="115" t="s">
        <v>515</v>
      </c>
      <c r="S3543" s="129"/>
    </row>
    <row r="3544" spans="1:19" hidden="1">
      <c r="A3544" s="128" t="s">
        <v>5675</v>
      </c>
      <c r="B3544" s="129" t="str">
        <f>IFERROR(VLOOKUP(Proc[[#This Row],[App]],Table2[],3,0),"open")</f>
        <v>open</v>
      </c>
      <c r="C3544" s="128" t="s">
        <v>369</v>
      </c>
      <c r="D3544" t="s">
        <v>5635</v>
      </c>
      <c r="E3544" t="s">
        <v>5674</v>
      </c>
      <c r="F3544" s="129" t="s">
        <v>5674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29" t="str">
        <f>IF(Proc[[#This Row],[Author]]="Marcela Urrego",VLOOKUP(LEFT(Proc[[#This Row],[Requested]],1),Table3[#All],2,0),VLOOKUP(Proc[[#This Row],[Author]],Table4[],2,0))</f>
        <v>MGF</v>
      </c>
      <c r="L3544" s="129" t="s">
        <v>4896</v>
      </c>
      <c r="M3544" s="127">
        <v>45883</v>
      </c>
      <c r="N3544" s="127"/>
      <c r="O3544" s="127"/>
      <c r="P3544" s="115" t="str">
        <f ca="1">IF(Proc[[#This Row],[DaysAgeing]]&gt;5,"yep","on track")</f>
        <v>on track</v>
      </c>
      <c r="Q3544" s="3">
        <f ca="1">IF(Proc[[#This Row],[DateClosed]]="",ABS(NETWORKDAYS(Proc[[#This Row],[DateOpened]],TODAY()))-1,ABS(NETWORKDAYS(Proc[[#This Row],[DateOpened]],Proc[[#This Row],[DateClosed]]))-1)</f>
        <v>1</v>
      </c>
      <c r="R3544" s="115" t="s">
        <v>515</v>
      </c>
      <c r="S3544" s="129"/>
    </row>
    <row r="3545" spans="1:19" hidden="1">
      <c r="A3545" s="128" t="s">
        <v>5675</v>
      </c>
      <c r="B3545" s="129" t="str">
        <f>IFERROR(VLOOKUP(Proc[[#This Row],[App]],Table2[],3,0),"open")</f>
        <v>open</v>
      </c>
      <c r="C3545" s="128" t="s">
        <v>369</v>
      </c>
      <c r="D3545" t="s">
        <v>5636</v>
      </c>
      <c r="E3545" t="s">
        <v>5674</v>
      </c>
      <c r="F3545" s="129" t="s">
        <v>5674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29" t="str">
        <f>IF(Proc[[#This Row],[Author]]="Marcela Urrego",VLOOKUP(LEFT(Proc[[#This Row],[Requested]],1),Table3[#All],2,0),VLOOKUP(Proc[[#This Row],[Author]],Table4[],2,0))</f>
        <v>MGF</v>
      </c>
      <c r="L3545" s="129" t="s">
        <v>4896</v>
      </c>
      <c r="M3545" s="127">
        <v>45883</v>
      </c>
      <c r="N3545" s="127"/>
      <c r="O3545" s="127"/>
      <c r="P3545" s="115" t="str">
        <f ca="1">IF(Proc[[#This Row],[DaysAgeing]]&gt;5,"yep","on track")</f>
        <v>on track</v>
      </c>
      <c r="Q3545" s="3">
        <f ca="1">IF(Proc[[#This Row],[DateClosed]]="",ABS(NETWORKDAYS(Proc[[#This Row],[DateOpened]],TODAY()))-1,ABS(NETWORKDAYS(Proc[[#This Row],[DateOpened]],Proc[[#This Row],[DateClosed]]))-1)</f>
        <v>1</v>
      </c>
      <c r="R3545" s="115" t="s">
        <v>515</v>
      </c>
      <c r="S3545" s="129"/>
    </row>
    <row r="3546" spans="1:19" hidden="1">
      <c r="A3546" s="128" t="s">
        <v>5675</v>
      </c>
      <c r="B3546" s="129" t="str">
        <f>IFERROR(VLOOKUP(Proc[[#This Row],[App]],Table2[],3,0),"open")</f>
        <v>open</v>
      </c>
      <c r="C3546" s="128" t="s">
        <v>369</v>
      </c>
      <c r="D3546" t="s">
        <v>5637</v>
      </c>
      <c r="E3546" t="s">
        <v>5674</v>
      </c>
      <c r="F3546" s="129" t="s">
        <v>5674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29" t="str">
        <f>IF(Proc[[#This Row],[Author]]="Marcela Urrego",VLOOKUP(LEFT(Proc[[#This Row],[Requested]],1),Table3[#All],2,0),VLOOKUP(Proc[[#This Row],[Author]],Table4[],2,0))</f>
        <v>MGF</v>
      </c>
      <c r="L3546" s="129" t="s">
        <v>4896</v>
      </c>
      <c r="M3546" s="127">
        <v>45883</v>
      </c>
      <c r="N3546" s="127"/>
      <c r="O3546" s="127"/>
      <c r="P3546" s="115" t="str">
        <f ca="1">IF(Proc[[#This Row],[DaysAgeing]]&gt;5,"yep","on track")</f>
        <v>on track</v>
      </c>
      <c r="Q3546" s="3">
        <f ca="1">IF(Proc[[#This Row],[DateClosed]]="",ABS(NETWORKDAYS(Proc[[#This Row],[DateOpened]],TODAY()))-1,ABS(NETWORKDAYS(Proc[[#This Row],[DateOpened]],Proc[[#This Row],[DateClosed]]))-1)</f>
        <v>1</v>
      </c>
      <c r="R3546" s="115" t="s">
        <v>515</v>
      </c>
      <c r="S3546" s="129"/>
    </row>
    <row r="3547" spans="1:19" hidden="1">
      <c r="A3547" s="128" t="s">
        <v>5675</v>
      </c>
      <c r="B3547" s="129" t="str">
        <f>IFERROR(VLOOKUP(Proc[[#This Row],[App]],Table2[],3,0),"open")</f>
        <v>open</v>
      </c>
      <c r="C3547" s="128" t="s">
        <v>369</v>
      </c>
      <c r="D3547" t="s">
        <v>5638</v>
      </c>
      <c r="E3547" t="s">
        <v>5674</v>
      </c>
      <c r="F3547" s="129" t="s">
        <v>5674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29" t="str">
        <f>IF(Proc[[#This Row],[Author]]="Marcela Urrego",VLOOKUP(LEFT(Proc[[#This Row],[Requested]],1),Table3[#All],2,0),VLOOKUP(Proc[[#This Row],[Author]],Table4[],2,0))</f>
        <v>MGF</v>
      </c>
      <c r="L3547" s="129" t="s">
        <v>4896</v>
      </c>
      <c r="M3547" s="127">
        <v>45883</v>
      </c>
      <c r="N3547" s="127"/>
      <c r="O3547" s="127"/>
      <c r="P3547" s="115" t="str">
        <f ca="1">IF(Proc[[#This Row],[DaysAgeing]]&gt;5,"yep","on track")</f>
        <v>on track</v>
      </c>
      <c r="Q3547" s="3">
        <f ca="1">IF(Proc[[#This Row],[DateClosed]]="",ABS(NETWORKDAYS(Proc[[#This Row],[DateOpened]],TODAY()))-1,ABS(NETWORKDAYS(Proc[[#This Row],[DateOpened]],Proc[[#This Row],[DateClosed]]))-1)</f>
        <v>1</v>
      </c>
      <c r="R3547" s="115" t="s">
        <v>515</v>
      </c>
      <c r="S3547" s="129"/>
    </row>
    <row r="3548" spans="1:19" hidden="1">
      <c r="A3548" s="128" t="s">
        <v>5675</v>
      </c>
      <c r="B3548" s="129" t="str">
        <f>IFERROR(VLOOKUP(Proc[[#This Row],[App]],Table2[],3,0),"open")</f>
        <v>open</v>
      </c>
      <c r="C3548" s="128" t="s">
        <v>369</v>
      </c>
      <c r="D3548" t="s">
        <v>5639</v>
      </c>
      <c r="E3548" t="s">
        <v>5674</v>
      </c>
      <c r="F3548" s="129" t="s">
        <v>5674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29" t="str">
        <f>IF(Proc[[#This Row],[Author]]="Marcela Urrego",VLOOKUP(LEFT(Proc[[#This Row],[Requested]],1),Table3[#All],2,0),VLOOKUP(Proc[[#This Row],[Author]],Table4[],2,0))</f>
        <v>MGF</v>
      </c>
      <c r="L3548" s="129" t="s">
        <v>4896</v>
      </c>
      <c r="M3548" s="127">
        <v>45883</v>
      </c>
      <c r="N3548" s="127"/>
      <c r="O3548" s="127"/>
      <c r="P3548" s="115" t="str">
        <f ca="1">IF(Proc[[#This Row],[DaysAgeing]]&gt;5,"yep","on track")</f>
        <v>on track</v>
      </c>
      <c r="Q3548" s="3">
        <f ca="1">IF(Proc[[#This Row],[DateClosed]]="",ABS(NETWORKDAYS(Proc[[#This Row],[DateOpened]],TODAY()))-1,ABS(NETWORKDAYS(Proc[[#This Row],[DateOpened]],Proc[[#This Row],[DateClosed]]))-1)</f>
        <v>1</v>
      </c>
      <c r="R3548" s="115" t="s">
        <v>515</v>
      </c>
      <c r="S3548" s="129"/>
    </row>
    <row r="3549" spans="1:19" hidden="1">
      <c r="A3549" s="128" t="s">
        <v>5675</v>
      </c>
      <c r="B3549" s="129" t="str">
        <f>IFERROR(VLOOKUP(Proc[[#This Row],[App]],Table2[],3,0),"open")</f>
        <v>open</v>
      </c>
      <c r="C3549" s="128" t="s">
        <v>369</v>
      </c>
      <c r="D3549" t="s">
        <v>5640</v>
      </c>
      <c r="E3549" t="s">
        <v>5674</v>
      </c>
      <c r="F3549" s="129" t="s">
        <v>5674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29" t="str">
        <f>IF(Proc[[#This Row],[Author]]="Marcela Urrego",VLOOKUP(LEFT(Proc[[#This Row],[Requested]],1),Table3[#All],2,0),VLOOKUP(Proc[[#This Row],[Author]],Table4[],2,0))</f>
        <v>MGF</v>
      </c>
      <c r="L3549" s="129" t="s">
        <v>4896</v>
      </c>
      <c r="M3549" s="127">
        <v>45883</v>
      </c>
      <c r="N3549" s="127"/>
      <c r="O3549" s="127"/>
      <c r="P3549" s="115" t="str">
        <f ca="1">IF(Proc[[#This Row],[DaysAgeing]]&gt;5,"yep","on track")</f>
        <v>on track</v>
      </c>
      <c r="Q3549" s="3">
        <f ca="1">IF(Proc[[#This Row],[DateClosed]]="",ABS(NETWORKDAYS(Proc[[#This Row],[DateOpened]],TODAY()))-1,ABS(NETWORKDAYS(Proc[[#This Row],[DateOpened]],Proc[[#This Row],[DateClosed]]))-1)</f>
        <v>1</v>
      </c>
      <c r="R3549" s="115" t="s">
        <v>515</v>
      </c>
      <c r="S3549" s="129"/>
    </row>
    <row r="3550" spans="1:19" hidden="1">
      <c r="A3550" s="128" t="s">
        <v>5675</v>
      </c>
      <c r="B3550" s="129" t="str">
        <f>IFERROR(VLOOKUP(Proc[[#This Row],[App]],Table2[],3,0),"open")</f>
        <v>open</v>
      </c>
      <c r="C3550" s="128" t="s">
        <v>369</v>
      </c>
      <c r="D3550" t="s">
        <v>5641</v>
      </c>
      <c r="E3550" t="s">
        <v>5674</v>
      </c>
      <c r="F3550" s="129" t="s">
        <v>5674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29" t="str">
        <f>IF(Proc[[#This Row],[Author]]="Marcela Urrego",VLOOKUP(LEFT(Proc[[#This Row],[Requested]],1),Table3[#All],2,0),VLOOKUP(Proc[[#This Row],[Author]],Table4[],2,0))</f>
        <v>MGF</v>
      </c>
      <c r="L3550" s="129" t="s">
        <v>4896</v>
      </c>
      <c r="M3550" s="127">
        <v>45883</v>
      </c>
      <c r="N3550" s="127"/>
      <c r="O3550" s="127"/>
      <c r="P3550" s="115" t="str">
        <f ca="1">IF(Proc[[#This Row],[DaysAgeing]]&gt;5,"yep","on track")</f>
        <v>on track</v>
      </c>
      <c r="Q3550" s="3">
        <f ca="1">IF(Proc[[#This Row],[DateClosed]]="",ABS(NETWORKDAYS(Proc[[#This Row],[DateOpened]],TODAY()))-1,ABS(NETWORKDAYS(Proc[[#This Row],[DateOpened]],Proc[[#This Row],[DateClosed]]))-1)</f>
        <v>1</v>
      </c>
      <c r="R3550" s="115" t="s">
        <v>515</v>
      </c>
      <c r="S3550" s="129"/>
    </row>
    <row r="3551" spans="1:19" hidden="1">
      <c r="A3551" s="128" t="s">
        <v>5675</v>
      </c>
      <c r="B3551" s="129" t="str">
        <f>IFERROR(VLOOKUP(Proc[[#This Row],[App]],Table2[],3,0),"open")</f>
        <v>open</v>
      </c>
      <c r="C3551" s="128" t="s">
        <v>369</v>
      </c>
      <c r="D3551" t="s">
        <v>5642</v>
      </c>
      <c r="E3551" t="s">
        <v>5674</v>
      </c>
      <c r="F3551" s="129" t="s">
        <v>5674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29" t="str">
        <f>IF(Proc[[#This Row],[Author]]="Marcela Urrego",VLOOKUP(LEFT(Proc[[#This Row],[Requested]],1),Table3[#All],2,0),VLOOKUP(Proc[[#This Row],[Author]],Table4[],2,0))</f>
        <v>MGF</v>
      </c>
      <c r="L3551" s="129" t="s">
        <v>4896</v>
      </c>
      <c r="M3551" s="127">
        <v>45883</v>
      </c>
      <c r="N3551" s="127"/>
      <c r="O3551" s="127"/>
      <c r="P3551" s="115" t="str">
        <f ca="1">IF(Proc[[#This Row],[DaysAgeing]]&gt;5,"yep","on track")</f>
        <v>on track</v>
      </c>
      <c r="Q3551" s="3">
        <f ca="1">IF(Proc[[#This Row],[DateClosed]]="",ABS(NETWORKDAYS(Proc[[#This Row],[DateOpened]],TODAY()))-1,ABS(NETWORKDAYS(Proc[[#This Row],[DateOpened]],Proc[[#This Row],[DateClosed]]))-1)</f>
        <v>1</v>
      </c>
      <c r="R3551" s="115" t="s">
        <v>515</v>
      </c>
      <c r="S3551" s="129"/>
    </row>
    <row r="3552" spans="1:19" hidden="1">
      <c r="A3552" s="128" t="s">
        <v>5675</v>
      </c>
      <c r="B3552" s="129" t="str">
        <f>IFERROR(VLOOKUP(Proc[[#This Row],[App]],Table2[],3,0),"open")</f>
        <v>open</v>
      </c>
      <c r="C3552" s="128" t="s">
        <v>369</v>
      </c>
      <c r="D3552" t="s">
        <v>5643</v>
      </c>
      <c r="E3552" t="s">
        <v>5674</v>
      </c>
      <c r="F3552" s="129" t="s">
        <v>5674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29" t="str">
        <f>IF(Proc[[#This Row],[Author]]="Marcela Urrego",VLOOKUP(LEFT(Proc[[#This Row],[Requested]],1),Table3[#All],2,0),VLOOKUP(Proc[[#This Row],[Author]],Table4[],2,0))</f>
        <v>MGF</v>
      </c>
      <c r="L3552" s="129" t="s">
        <v>4896</v>
      </c>
      <c r="M3552" s="127">
        <v>45883</v>
      </c>
      <c r="N3552" s="127"/>
      <c r="O3552" s="127"/>
      <c r="P3552" s="115" t="str">
        <f ca="1">IF(Proc[[#This Row],[DaysAgeing]]&gt;5,"yep","on track")</f>
        <v>on track</v>
      </c>
      <c r="Q3552" s="3">
        <f ca="1">IF(Proc[[#This Row],[DateClosed]]="",ABS(NETWORKDAYS(Proc[[#This Row],[DateOpened]],TODAY()))-1,ABS(NETWORKDAYS(Proc[[#This Row],[DateOpened]],Proc[[#This Row],[DateClosed]]))-1)</f>
        <v>1</v>
      </c>
      <c r="R3552" s="115" t="s">
        <v>515</v>
      </c>
      <c r="S3552" s="129"/>
    </row>
    <row r="3553" spans="1:19" hidden="1">
      <c r="A3553" s="128" t="s">
        <v>5675</v>
      </c>
      <c r="B3553" s="129" t="str">
        <f>IFERROR(VLOOKUP(Proc[[#This Row],[App]],Table2[],3,0),"open")</f>
        <v>open</v>
      </c>
      <c r="C3553" s="128" t="s">
        <v>369</v>
      </c>
      <c r="D3553" t="s">
        <v>5644</v>
      </c>
      <c r="E3553" t="s">
        <v>5674</v>
      </c>
      <c r="F3553" s="129" t="s">
        <v>5674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29" t="str">
        <f>IF(Proc[[#This Row],[Author]]="Marcela Urrego",VLOOKUP(LEFT(Proc[[#This Row],[Requested]],1),Table3[#All],2,0),VLOOKUP(Proc[[#This Row],[Author]],Table4[],2,0))</f>
        <v>MGF</v>
      </c>
      <c r="L3553" s="129" t="s">
        <v>4896</v>
      </c>
      <c r="M3553" s="127">
        <v>45883</v>
      </c>
      <c r="N3553" s="127"/>
      <c r="O3553" s="127"/>
      <c r="P3553" s="115" t="str">
        <f ca="1">IF(Proc[[#This Row],[DaysAgeing]]&gt;5,"yep","on track")</f>
        <v>on track</v>
      </c>
      <c r="Q3553" s="3">
        <f ca="1">IF(Proc[[#This Row],[DateClosed]]="",ABS(NETWORKDAYS(Proc[[#This Row],[DateOpened]],TODAY()))-1,ABS(NETWORKDAYS(Proc[[#This Row],[DateOpened]],Proc[[#This Row],[DateClosed]]))-1)</f>
        <v>1</v>
      </c>
      <c r="R3553" s="115" t="s">
        <v>515</v>
      </c>
      <c r="S3553" s="129"/>
    </row>
    <row r="3554" spans="1:19" hidden="1">
      <c r="A3554" s="128" t="s">
        <v>5675</v>
      </c>
      <c r="B3554" s="129" t="str">
        <f>IFERROR(VLOOKUP(Proc[[#This Row],[App]],Table2[],3,0),"open")</f>
        <v>open</v>
      </c>
      <c r="C3554" s="128" t="s">
        <v>369</v>
      </c>
      <c r="D3554" t="s">
        <v>5645</v>
      </c>
      <c r="E3554" t="s">
        <v>5674</v>
      </c>
      <c r="F3554" s="129" t="s">
        <v>5674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29" t="str">
        <f>IF(Proc[[#This Row],[Author]]="Marcela Urrego",VLOOKUP(LEFT(Proc[[#This Row],[Requested]],1),Table3[#All],2,0),VLOOKUP(Proc[[#This Row],[Author]],Table4[],2,0))</f>
        <v>MGF</v>
      </c>
      <c r="L3554" s="129" t="s">
        <v>4896</v>
      </c>
      <c r="M3554" s="127">
        <v>45883</v>
      </c>
      <c r="N3554" s="127"/>
      <c r="O3554" s="127"/>
      <c r="P3554" s="115" t="str">
        <f ca="1">IF(Proc[[#This Row],[DaysAgeing]]&gt;5,"yep","on track")</f>
        <v>on track</v>
      </c>
      <c r="Q3554" s="3">
        <f ca="1">IF(Proc[[#This Row],[DateClosed]]="",ABS(NETWORKDAYS(Proc[[#This Row],[DateOpened]],TODAY()))-1,ABS(NETWORKDAYS(Proc[[#This Row],[DateOpened]],Proc[[#This Row],[DateClosed]]))-1)</f>
        <v>1</v>
      </c>
      <c r="R3554" s="115" t="s">
        <v>515</v>
      </c>
      <c r="S3554" s="129"/>
    </row>
    <row r="3555" spans="1:19" hidden="1">
      <c r="A3555" s="128" t="s">
        <v>5675</v>
      </c>
      <c r="B3555" s="129" t="str">
        <f>IFERROR(VLOOKUP(Proc[[#This Row],[App]],Table2[],3,0),"open")</f>
        <v>open</v>
      </c>
      <c r="C3555" s="128" t="s">
        <v>369</v>
      </c>
      <c r="D3555" t="s">
        <v>5646</v>
      </c>
      <c r="E3555" t="s">
        <v>5674</v>
      </c>
      <c r="F3555" s="129" t="s">
        <v>5674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29" t="str">
        <f>IF(Proc[[#This Row],[Author]]="Marcela Urrego",VLOOKUP(LEFT(Proc[[#This Row],[Requested]],1),Table3[#All],2,0),VLOOKUP(Proc[[#This Row],[Author]],Table4[],2,0))</f>
        <v>MGF</v>
      </c>
      <c r="L3555" s="129" t="s">
        <v>4896</v>
      </c>
      <c r="M3555" s="127">
        <v>45883</v>
      </c>
      <c r="N3555" s="127"/>
      <c r="O3555" s="127"/>
      <c r="P3555" s="115" t="str">
        <f ca="1">IF(Proc[[#This Row],[DaysAgeing]]&gt;5,"yep","on track")</f>
        <v>on track</v>
      </c>
      <c r="Q3555" s="3">
        <f ca="1">IF(Proc[[#This Row],[DateClosed]]="",ABS(NETWORKDAYS(Proc[[#This Row],[DateOpened]],TODAY()))-1,ABS(NETWORKDAYS(Proc[[#This Row],[DateOpened]],Proc[[#This Row],[DateClosed]]))-1)</f>
        <v>1</v>
      </c>
      <c r="R3555" s="115" t="s">
        <v>515</v>
      </c>
      <c r="S3555" s="129"/>
    </row>
    <row r="3556" spans="1:19" hidden="1">
      <c r="A3556" s="128" t="s">
        <v>5675</v>
      </c>
      <c r="B3556" s="129" t="str">
        <f>IFERROR(VLOOKUP(Proc[[#This Row],[App]],Table2[],3,0),"open")</f>
        <v>open</v>
      </c>
      <c r="C3556" s="128" t="s">
        <v>369</v>
      </c>
      <c r="D3556" t="s">
        <v>5647</v>
      </c>
      <c r="E3556" t="s">
        <v>5674</v>
      </c>
      <c r="F3556" s="129" t="s">
        <v>5674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29" t="str">
        <f>IF(Proc[[#This Row],[Author]]="Marcela Urrego",VLOOKUP(LEFT(Proc[[#This Row],[Requested]],1),Table3[#All],2,0),VLOOKUP(Proc[[#This Row],[Author]],Table4[],2,0))</f>
        <v>MGF</v>
      </c>
      <c r="L3556" s="129" t="s">
        <v>4896</v>
      </c>
      <c r="M3556" s="127">
        <v>45883</v>
      </c>
      <c r="N3556" s="127"/>
      <c r="O3556" s="127"/>
      <c r="P3556" s="115" t="str">
        <f ca="1">IF(Proc[[#This Row],[DaysAgeing]]&gt;5,"yep","on track")</f>
        <v>on track</v>
      </c>
      <c r="Q3556" s="3">
        <f ca="1">IF(Proc[[#This Row],[DateClosed]]="",ABS(NETWORKDAYS(Proc[[#This Row],[DateOpened]],TODAY()))-1,ABS(NETWORKDAYS(Proc[[#This Row],[DateOpened]],Proc[[#This Row],[DateClosed]]))-1)</f>
        <v>1</v>
      </c>
      <c r="R3556" s="115" t="s">
        <v>515</v>
      </c>
      <c r="S3556" s="129"/>
    </row>
    <row r="3557" spans="1:19" hidden="1">
      <c r="A3557" s="128" t="s">
        <v>5675</v>
      </c>
      <c r="B3557" s="129" t="str">
        <f>IFERROR(VLOOKUP(Proc[[#This Row],[App]],Table2[],3,0),"open")</f>
        <v>open</v>
      </c>
      <c r="C3557" s="128" t="s">
        <v>369</v>
      </c>
      <c r="D3557" t="s">
        <v>5648</v>
      </c>
      <c r="E3557" t="s">
        <v>5674</v>
      </c>
      <c r="F3557" s="129" t="s">
        <v>5674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29" t="str">
        <f>IF(Proc[[#This Row],[Author]]="Marcela Urrego",VLOOKUP(LEFT(Proc[[#This Row],[Requested]],1),Table3[#All],2,0),VLOOKUP(Proc[[#This Row],[Author]],Table4[],2,0))</f>
        <v>MGF</v>
      </c>
      <c r="L3557" s="129" t="s">
        <v>4896</v>
      </c>
      <c r="M3557" s="127">
        <v>45883</v>
      </c>
      <c r="N3557" s="127"/>
      <c r="O3557" s="127"/>
      <c r="P3557" s="115" t="str">
        <f ca="1">IF(Proc[[#This Row],[DaysAgeing]]&gt;5,"yep","on track")</f>
        <v>on track</v>
      </c>
      <c r="Q3557" s="3">
        <f ca="1">IF(Proc[[#This Row],[DateClosed]]="",ABS(NETWORKDAYS(Proc[[#This Row],[DateOpened]],TODAY()))-1,ABS(NETWORKDAYS(Proc[[#This Row],[DateOpened]],Proc[[#This Row],[DateClosed]]))-1)</f>
        <v>1</v>
      </c>
      <c r="R3557" s="115" t="s">
        <v>515</v>
      </c>
      <c r="S3557" s="129"/>
    </row>
    <row r="3558" spans="1:19" hidden="1">
      <c r="A3558" s="128" t="s">
        <v>5675</v>
      </c>
      <c r="B3558" s="129" t="str">
        <f>IFERROR(VLOOKUP(Proc[[#This Row],[App]],Table2[],3,0),"open")</f>
        <v>open</v>
      </c>
      <c r="C3558" s="128" t="s">
        <v>369</v>
      </c>
      <c r="D3558" t="s">
        <v>5649</v>
      </c>
      <c r="E3558" t="s">
        <v>5674</v>
      </c>
      <c r="F3558" s="129" t="s">
        <v>5674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29" t="str">
        <f>IF(Proc[[#This Row],[Author]]="Marcela Urrego",VLOOKUP(LEFT(Proc[[#This Row],[Requested]],1),Table3[#All],2,0),VLOOKUP(Proc[[#This Row],[Author]],Table4[],2,0))</f>
        <v>MGF</v>
      </c>
      <c r="L3558" s="129" t="s">
        <v>4896</v>
      </c>
      <c r="M3558" s="127">
        <v>45883</v>
      </c>
      <c r="N3558" s="127"/>
      <c r="O3558" s="127"/>
      <c r="P3558" s="115" t="str">
        <f ca="1">IF(Proc[[#This Row],[DaysAgeing]]&gt;5,"yep","on track")</f>
        <v>on track</v>
      </c>
      <c r="Q3558" s="3">
        <f ca="1">IF(Proc[[#This Row],[DateClosed]]="",ABS(NETWORKDAYS(Proc[[#This Row],[DateOpened]],TODAY()))-1,ABS(NETWORKDAYS(Proc[[#This Row],[DateOpened]],Proc[[#This Row],[DateClosed]]))-1)</f>
        <v>1</v>
      </c>
      <c r="R3558" s="115" t="s">
        <v>515</v>
      </c>
      <c r="S3558" s="129"/>
    </row>
    <row r="3559" spans="1:19" hidden="1">
      <c r="A3559" s="128" t="s">
        <v>5675</v>
      </c>
      <c r="B3559" s="129" t="str">
        <f>IFERROR(VLOOKUP(Proc[[#This Row],[App]],Table2[],3,0),"open")</f>
        <v>open</v>
      </c>
      <c r="C3559" s="128" t="s">
        <v>369</v>
      </c>
      <c r="D3559" t="s">
        <v>5650</v>
      </c>
      <c r="E3559" t="s">
        <v>5674</v>
      </c>
      <c r="F3559" s="129" t="s">
        <v>5674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29" t="str">
        <f>IF(Proc[[#This Row],[Author]]="Marcela Urrego",VLOOKUP(LEFT(Proc[[#This Row],[Requested]],1),Table3[#All],2,0),VLOOKUP(Proc[[#This Row],[Author]],Table4[],2,0))</f>
        <v>MGF</v>
      </c>
      <c r="L3559" s="129" t="s">
        <v>4896</v>
      </c>
      <c r="M3559" s="127">
        <v>45883</v>
      </c>
      <c r="N3559" s="127"/>
      <c r="O3559" s="127"/>
      <c r="P3559" s="115" t="str">
        <f ca="1">IF(Proc[[#This Row],[DaysAgeing]]&gt;5,"yep","on track")</f>
        <v>on track</v>
      </c>
      <c r="Q3559" s="3">
        <f ca="1">IF(Proc[[#This Row],[DateClosed]]="",ABS(NETWORKDAYS(Proc[[#This Row],[DateOpened]],TODAY()))-1,ABS(NETWORKDAYS(Proc[[#This Row],[DateOpened]],Proc[[#This Row],[DateClosed]]))-1)</f>
        <v>1</v>
      </c>
      <c r="R3559" s="115" t="s">
        <v>515</v>
      </c>
      <c r="S3559" s="129"/>
    </row>
    <row r="3560" spans="1:19" hidden="1">
      <c r="A3560" s="128" t="s">
        <v>5675</v>
      </c>
      <c r="B3560" s="129" t="str">
        <f>IFERROR(VLOOKUP(Proc[[#This Row],[App]],Table2[],3,0),"open")</f>
        <v>open</v>
      </c>
      <c r="C3560" s="128" t="s">
        <v>369</v>
      </c>
      <c r="D3560" t="s">
        <v>5651</v>
      </c>
      <c r="E3560" t="s">
        <v>5674</v>
      </c>
      <c r="F3560" s="129" t="s">
        <v>5674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29" t="str">
        <f>IF(Proc[[#This Row],[Author]]="Marcela Urrego",VLOOKUP(LEFT(Proc[[#This Row],[Requested]],1),Table3[#All],2,0),VLOOKUP(Proc[[#This Row],[Author]],Table4[],2,0))</f>
        <v>MGF</v>
      </c>
      <c r="L3560" s="129" t="s">
        <v>4896</v>
      </c>
      <c r="M3560" s="127">
        <v>45883</v>
      </c>
      <c r="N3560" s="127"/>
      <c r="O3560" s="127"/>
      <c r="P3560" s="115" t="str">
        <f ca="1">IF(Proc[[#This Row],[DaysAgeing]]&gt;5,"yep","on track")</f>
        <v>on track</v>
      </c>
      <c r="Q3560" s="3">
        <f ca="1">IF(Proc[[#This Row],[DateClosed]]="",ABS(NETWORKDAYS(Proc[[#This Row],[DateOpened]],TODAY()))-1,ABS(NETWORKDAYS(Proc[[#This Row],[DateOpened]],Proc[[#This Row],[DateClosed]]))-1)</f>
        <v>1</v>
      </c>
      <c r="R3560" s="115" t="s">
        <v>515</v>
      </c>
      <c r="S3560" s="129"/>
    </row>
    <row r="3561" spans="1:19" hidden="1">
      <c r="A3561" s="128" t="s">
        <v>5675</v>
      </c>
      <c r="B3561" s="129" t="str">
        <f>IFERROR(VLOOKUP(Proc[[#This Row],[App]],Table2[],3,0),"open")</f>
        <v>open</v>
      </c>
      <c r="C3561" s="128" t="s">
        <v>369</v>
      </c>
      <c r="D3561" t="s">
        <v>5652</v>
      </c>
      <c r="E3561" t="s">
        <v>5674</v>
      </c>
      <c r="F3561" s="129" t="s">
        <v>5674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29" t="str">
        <f>IF(Proc[[#This Row],[Author]]="Marcela Urrego",VLOOKUP(LEFT(Proc[[#This Row],[Requested]],1),Table3[#All],2,0),VLOOKUP(Proc[[#This Row],[Author]],Table4[],2,0))</f>
        <v>MGF</v>
      </c>
      <c r="L3561" s="129" t="s">
        <v>4896</v>
      </c>
      <c r="M3561" s="127">
        <v>45883</v>
      </c>
      <c r="N3561" s="127"/>
      <c r="O3561" s="127"/>
      <c r="P3561" s="115" t="str">
        <f ca="1">IF(Proc[[#This Row],[DaysAgeing]]&gt;5,"yep","on track")</f>
        <v>on track</v>
      </c>
      <c r="Q3561" s="3">
        <f ca="1">IF(Proc[[#This Row],[DateClosed]]="",ABS(NETWORKDAYS(Proc[[#This Row],[DateOpened]],TODAY()))-1,ABS(NETWORKDAYS(Proc[[#This Row],[DateOpened]],Proc[[#This Row],[DateClosed]]))-1)</f>
        <v>1</v>
      </c>
      <c r="R3561" s="115" t="s">
        <v>515</v>
      </c>
      <c r="S3561" s="129"/>
    </row>
    <row r="3562" spans="1:19" hidden="1">
      <c r="A3562" s="128" t="s">
        <v>5675</v>
      </c>
      <c r="B3562" s="129" t="str">
        <f>IFERROR(VLOOKUP(Proc[[#This Row],[App]],Table2[],3,0),"open")</f>
        <v>open</v>
      </c>
      <c r="C3562" s="128" t="s">
        <v>369</v>
      </c>
      <c r="D3562" t="s">
        <v>5653</v>
      </c>
      <c r="E3562" t="s">
        <v>5674</v>
      </c>
      <c r="F3562" s="129" t="s">
        <v>5674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29" t="str">
        <f>IF(Proc[[#This Row],[Author]]="Marcela Urrego",VLOOKUP(LEFT(Proc[[#This Row],[Requested]],1),Table3[#All],2,0),VLOOKUP(Proc[[#This Row],[Author]],Table4[],2,0))</f>
        <v>MGF</v>
      </c>
      <c r="L3562" s="129" t="s">
        <v>4896</v>
      </c>
      <c r="M3562" s="127">
        <v>45883</v>
      </c>
      <c r="N3562" s="127"/>
      <c r="O3562" s="127"/>
      <c r="P3562" s="115" t="str">
        <f ca="1">IF(Proc[[#This Row],[DaysAgeing]]&gt;5,"yep","on track")</f>
        <v>on track</v>
      </c>
      <c r="Q3562" s="3">
        <f ca="1">IF(Proc[[#This Row],[DateClosed]]="",ABS(NETWORKDAYS(Proc[[#This Row],[DateOpened]],TODAY()))-1,ABS(NETWORKDAYS(Proc[[#This Row],[DateOpened]],Proc[[#This Row],[DateClosed]]))-1)</f>
        <v>1</v>
      </c>
      <c r="R3562" s="115" t="s">
        <v>515</v>
      </c>
      <c r="S3562" s="129"/>
    </row>
    <row r="3563" spans="1:19" hidden="1">
      <c r="A3563" s="128" t="s">
        <v>5675</v>
      </c>
      <c r="B3563" s="129" t="str">
        <f>IFERROR(VLOOKUP(Proc[[#This Row],[App]],Table2[],3,0),"open")</f>
        <v>open</v>
      </c>
      <c r="C3563" s="128" t="s">
        <v>369</v>
      </c>
      <c r="D3563" t="s">
        <v>5654</v>
      </c>
      <c r="E3563" t="s">
        <v>5674</v>
      </c>
      <c r="F3563" s="129" t="s">
        <v>5674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29" t="str">
        <f>IF(Proc[[#This Row],[Author]]="Marcela Urrego",VLOOKUP(LEFT(Proc[[#This Row],[Requested]],1),Table3[#All],2,0),VLOOKUP(Proc[[#This Row],[Author]],Table4[],2,0))</f>
        <v>MGF</v>
      </c>
      <c r="L3563" s="129" t="s">
        <v>4896</v>
      </c>
      <c r="M3563" s="127">
        <v>45883</v>
      </c>
      <c r="N3563" s="127"/>
      <c r="O3563" s="127"/>
      <c r="P3563" s="115" t="str">
        <f ca="1">IF(Proc[[#This Row],[DaysAgeing]]&gt;5,"yep","on track")</f>
        <v>on track</v>
      </c>
      <c r="Q3563" s="3">
        <f ca="1">IF(Proc[[#This Row],[DateClosed]]="",ABS(NETWORKDAYS(Proc[[#This Row],[DateOpened]],TODAY()))-1,ABS(NETWORKDAYS(Proc[[#This Row],[DateOpened]],Proc[[#This Row],[DateClosed]]))-1)</f>
        <v>1</v>
      </c>
      <c r="R3563" s="115" t="s">
        <v>515</v>
      </c>
      <c r="S3563" s="129"/>
    </row>
    <row r="3564" spans="1:19" hidden="1">
      <c r="A3564" s="128" t="s">
        <v>5675</v>
      </c>
      <c r="B3564" s="129" t="str">
        <f>IFERROR(VLOOKUP(Proc[[#This Row],[App]],Table2[],3,0),"open")</f>
        <v>open</v>
      </c>
      <c r="C3564" s="128" t="s">
        <v>369</v>
      </c>
      <c r="D3564" t="s">
        <v>5655</v>
      </c>
      <c r="E3564" t="s">
        <v>5674</v>
      </c>
      <c r="F3564" s="129" t="s">
        <v>5674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29" t="str">
        <f>IF(Proc[[#This Row],[Author]]="Marcela Urrego",VLOOKUP(LEFT(Proc[[#This Row],[Requested]],1),Table3[#All],2,0),VLOOKUP(Proc[[#This Row],[Author]],Table4[],2,0))</f>
        <v>MGF</v>
      </c>
      <c r="L3564" s="129" t="s">
        <v>4896</v>
      </c>
      <c r="M3564" s="127">
        <v>45883</v>
      </c>
      <c r="N3564" s="127"/>
      <c r="O3564" s="127"/>
      <c r="P3564" s="115" t="str">
        <f ca="1">IF(Proc[[#This Row],[DaysAgeing]]&gt;5,"yep","on track")</f>
        <v>on track</v>
      </c>
      <c r="Q3564" s="3">
        <f ca="1">IF(Proc[[#This Row],[DateClosed]]="",ABS(NETWORKDAYS(Proc[[#This Row],[DateOpened]],TODAY()))-1,ABS(NETWORKDAYS(Proc[[#This Row],[DateOpened]],Proc[[#This Row],[DateClosed]]))-1)</f>
        <v>1</v>
      </c>
      <c r="R3564" s="115" t="s">
        <v>515</v>
      </c>
      <c r="S3564" s="129"/>
    </row>
    <row r="3565" spans="1:19" hidden="1">
      <c r="A3565" s="128" t="s">
        <v>5675</v>
      </c>
      <c r="B3565" s="129" t="str">
        <f>IFERROR(VLOOKUP(Proc[[#This Row],[App]],Table2[],3,0),"open")</f>
        <v>open</v>
      </c>
      <c r="C3565" s="128" t="s">
        <v>369</v>
      </c>
      <c r="D3565" t="s">
        <v>5656</v>
      </c>
      <c r="E3565" t="s">
        <v>5674</v>
      </c>
      <c r="F3565" s="129" t="s">
        <v>5674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29" t="str">
        <f>IF(Proc[[#This Row],[Author]]="Marcela Urrego",VLOOKUP(LEFT(Proc[[#This Row],[Requested]],1),Table3[#All],2,0),VLOOKUP(Proc[[#This Row],[Author]],Table4[],2,0))</f>
        <v>MGF</v>
      </c>
      <c r="L3565" s="129" t="s">
        <v>4896</v>
      </c>
      <c r="M3565" s="127">
        <v>45883</v>
      </c>
      <c r="N3565" s="127"/>
      <c r="O3565" s="127"/>
      <c r="P3565" s="115" t="str">
        <f ca="1">IF(Proc[[#This Row],[DaysAgeing]]&gt;5,"yep","on track")</f>
        <v>on track</v>
      </c>
      <c r="Q3565" s="3">
        <f ca="1">IF(Proc[[#This Row],[DateClosed]]="",ABS(NETWORKDAYS(Proc[[#This Row],[DateOpened]],TODAY()))-1,ABS(NETWORKDAYS(Proc[[#This Row],[DateOpened]],Proc[[#This Row],[DateClosed]]))-1)</f>
        <v>1</v>
      </c>
      <c r="R3565" s="115" t="s">
        <v>515</v>
      </c>
      <c r="S3565" s="129"/>
    </row>
    <row r="3566" spans="1:19" hidden="1">
      <c r="A3566" s="128" t="s">
        <v>5675</v>
      </c>
      <c r="B3566" s="129" t="str">
        <f>IFERROR(VLOOKUP(Proc[[#This Row],[App]],Table2[],3,0),"open")</f>
        <v>open</v>
      </c>
      <c r="C3566" s="128" t="s">
        <v>369</v>
      </c>
      <c r="D3566" t="s">
        <v>5657</v>
      </c>
      <c r="E3566" t="s">
        <v>5674</v>
      </c>
      <c r="F3566" s="129" t="s">
        <v>5674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29" t="str">
        <f>IF(Proc[[#This Row],[Author]]="Marcela Urrego",VLOOKUP(LEFT(Proc[[#This Row],[Requested]],1),Table3[#All],2,0),VLOOKUP(Proc[[#This Row],[Author]],Table4[],2,0))</f>
        <v>MGF</v>
      </c>
      <c r="L3566" s="129" t="s">
        <v>4896</v>
      </c>
      <c r="M3566" s="127">
        <v>45883</v>
      </c>
      <c r="N3566" s="127"/>
      <c r="O3566" s="127"/>
      <c r="P3566" s="115" t="str">
        <f ca="1">IF(Proc[[#This Row],[DaysAgeing]]&gt;5,"yep","on track")</f>
        <v>on track</v>
      </c>
      <c r="Q3566" s="3">
        <f ca="1">IF(Proc[[#This Row],[DateClosed]]="",ABS(NETWORKDAYS(Proc[[#This Row],[DateOpened]],TODAY()))-1,ABS(NETWORKDAYS(Proc[[#This Row],[DateOpened]],Proc[[#This Row],[DateClosed]]))-1)</f>
        <v>1</v>
      </c>
      <c r="R3566" s="115" t="s">
        <v>515</v>
      </c>
      <c r="S3566" s="129"/>
    </row>
    <row r="3567" spans="1:19" hidden="1">
      <c r="A3567" s="128" t="s">
        <v>5675</v>
      </c>
      <c r="B3567" s="129" t="str">
        <f>IFERROR(VLOOKUP(Proc[[#This Row],[App]],Table2[],3,0),"open")</f>
        <v>open</v>
      </c>
      <c r="C3567" s="128" t="s">
        <v>369</v>
      </c>
      <c r="D3567" t="s">
        <v>5658</v>
      </c>
      <c r="E3567" t="s">
        <v>5674</v>
      </c>
      <c r="F3567" s="129" t="s">
        <v>5674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29" t="str">
        <f>IF(Proc[[#This Row],[Author]]="Marcela Urrego",VLOOKUP(LEFT(Proc[[#This Row],[Requested]],1),Table3[#All],2,0),VLOOKUP(Proc[[#This Row],[Author]],Table4[],2,0))</f>
        <v>MGF</v>
      </c>
      <c r="L3567" s="129" t="s">
        <v>4896</v>
      </c>
      <c r="M3567" s="127">
        <v>45883</v>
      </c>
      <c r="N3567" s="127"/>
      <c r="O3567" s="127"/>
      <c r="P3567" s="115" t="str">
        <f ca="1">IF(Proc[[#This Row],[DaysAgeing]]&gt;5,"yep","on track")</f>
        <v>on track</v>
      </c>
      <c r="Q3567" s="3">
        <f ca="1">IF(Proc[[#This Row],[DateClosed]]="",ABS(NETWORKDAYS(Proc[[#This Row],[DateOpened]],TODAY()))-1,ABS(NETWORKDAYS(Proc[[#This Row],[DateOpened]],Proc[[#This Row],[DateClosed]]))-1)</f>
        <v>1</v>
      </c>
      <c r="R3567" s="115" t="s">
        <v>515</v>
      </c>
      <c r="S3567" s="129"/>
    </row>
    <row r="3568" spans="1:19" hidden="1">
      <c r="A3568" s="128" t="s">
        <v>5675</v>
      </c>
      <c r="B3568" s="129" t="str">
        <f>IFERROR(VLOOKUP(Proc[[#This Row],[App]],Table2[],3,0),"open")</f>
        <v>open</v>
      </c>
      <c r="C3568" s="128" t="s">
        <v>369</v>
      </c>
      <c r="D3568" t="s">
        <v>5659</v>
      </c>
      <c r="E3568" t="s">
        <v>5674</v>
      </c>
      <c r="F3568" s="129" t="s">
        <v>5674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29" t="str">
        <f>IF(Proc[[#This Row],[Author]]="Marcela Urrego",VLOOKUP(LEFT(Proc[[#This Row],[Requested]],1),Table3[#All],2,0),VLOOKUP(Proc[[#This Row],[Author]],Table4[],2,0))</f>
        <v>MGF</v>
      </c>
      <c r="L3568" s="129" t="s">
        <v>4896</v>
      </c>
      <c r="M3568" s="127">
        <v>45883</v>
      </c>
      <c r="N3568" s="127"/>
      <c r="O3568" s="127"/>
      <c r="P3568" s="115" t="str">
        <f ca="1">IF(Proc[[#This Row],[DaysAgeing]]&gt;5,"yep","on track")</f>
        <v>on track</v>
      </c>
      <c r="Q3568" s="3">
        <f ca="1">IF(Proc[[#This Row],[DateClosed]]="",ABS(NETWORKDAYS(Proc[[#This Row],[DateOpened]],TODAY()))-1,ABS(NETWORKDAYS(Proc[[#This Row],[DateOpened]],Proc[[#This Row],[DateClosed]]))-1)</f>
        <v>1</v>
      </c>
      <c r="R3568" s="115" t="s">
        <v>515</v>
      </c>
      <c r="S3568" s="129"/>
    </row>
    <row r="3569" spans="1:19" hidden="1">
      <c r="A3569" s="128" t="s">
        <v>5675</v>
      </c>
      <c r="B3569" s="129" t="str">
        <f>IFERROR(VLOOKUP(Proc[[#This Row],[App]],Table2[],3,0),"open")</f>
        <v>open</v>
      </c>
      <c r="C3569" s="128" t="s">
        <v>369</v>
      </c>
      <c r="D3569" t="s">
        <v>5660</v>
      </c>
      <c r="E3569" t="s">
        <v>5674</v>
      </c>
      <c r="F3569" s="129" t="s">
        <v>5674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29" t="str">
        <f>IF(Proc[[#This Row],[Author]]="Marcela Urrego",VLOOKUP(LEFT(Proc[[#This Row],[Requested]],1),Table3[#All],2,0),VLOOKUP(Proc[[#This Row],[Author]],Table4[],2,0))</f>
        <v>MGF</v>
      </c>
      <c r="L3569" s="129" t="s">
        <v>4896</v>
      </c>
      <c r="M3569" s="127">
        <v>45883</v>
      </c>
      <c r="N3569" s="127"/>
      <c r="O3569" s="127"/>
      <c r="P3569" s="115" t="str">
        <f ca="1">IF(Proc[[#This Row],[DaysAgeing]]&gt;5,"yep","on track")</f>
        <v>on track</v>
      </c>
      <c r="Q3569" s="3">
        <f ca="1">IF(Proc[[#This Row],[DateClosed]]="",ABS(NETWORKDAYS(Proc[[#This Row],[DateOpened]],TODAY()))-1,ABS(NETWORKDAYS(Proc[[#This Row],[DateOpened]],Proc[[#This Row],[DateClosed]]))-1)</f>
        <v>1</v>
      </c>
      <c r="R3569" s="115" t="s">
        <v>515</v>
      </c>
      <c r="S3569" s="129"/>
    </row>
    <row r="3570" spans="1:19" hidden="1">
      <c r="A3570" s="128" t="s">
        <v>5675</v>
      </c>
      <c r="B3570" s="129" t="str">
        <f>IFERROR(VLOOKUP(Proc[[#This Row],[App]],Table2[],3,0),"open")</f>
        <v>open</v>
      </c>
      <c r="C3570" s="128" t="s">
        <v>369</v>
      </c>
      <c r="D3570" t="s">
        <v>5661</v>
      </c>
      <c r="E3570" t="s">
        <v>5674</v>
      </c>
      <c r="F3570" s="129" t="s">
        <v>5674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29" t="str">
        <f>IF(Proc[[#This Row],[Author]]="Marcela Urrego",VLOOKUP(LEFT(Proc[[#This Row],[Requested]],1),Table3[#All],2,0),VLOOKUP(Proc[[#This Row],[Author]],Table4[],2,0))</f>
        <v>MGF</v>
      </c>
      <c r="L3570" s="129" t="s">
        <v>4896</v>
      </c>
      <c r="M3570" s="127">
        <v>45883</v>
      </c>
      <c r="N3570" s="127"/>
      <c r="O3570" s="127"/>
      <c r="P3570" s="115" t="str">
        <f ca="1">IF(Proc[[#This Row],[DaysAgeing]]&gt;5,"yep","on track")</f>
        <v>on track</v>
      </c>
      <c r="Q3570" s="3">
        <f ca="1">IF(Proc[[#This Row],[DateClosed]]="",ABS(NETWORKDAYS(Proc[[#This Row],[DateOpened]],TODAY()))-1,ABS(NETWORKDAYS(Proc[[#This Row],[DateOpened]],Proc[[#This Row],[DateClosed]]))-1)</f>
        <v>1</v>
      </c>
      <c r="R3570" s="115" t="s">
        <v>515</v>
      </c>
      <c r="S3570" s="129"/>
    </row>
    <row r="3571" spans="1:19" hidden="1">
      <c r="A3571" s="128" t="s">
        <v>5675</v>
      </c>
      <c r="B3571" s="129" t="str">
        <f>IFERROR(VLOOKUP(Proc[[#This Row],[App]],Table2[],3,0),"open")</f>
        <v>open</v>
      </c>
      <c r="C3571" s="128" t="s">
        <v>369</v>
      </c>
      <c r="D3571" t="s">
        <v>5662</v>
      </c>
      <c r="E3571" t="s">
        <v>5674</v>
      </c>
      <c r="F3571" s="129" t="s">
        <v>5674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29" t="str">
        <f>IF(Proc[[#This Row],[Author]]="Marcela Urrego",VLOOKUP(LEFT(Proc[[#This Row],[Requested]],1),Table3[#All],2,0),VLOOKUP(Proc[[#This Row],[Author]],Table4[],2,0))</f>
        <v>MGF</v>
      </c>
      <c r="L3571" s="129" t="s">
        <v>4896</v>
      </c>
      <c r="M3571" s="127">
        <v>45883</v>
      </c>
      <c r="N3571" s="127"/>
      <c r="O3571" s="127"/>
      <c r="P3571" s="115" t="str">
        <f ca="1">IF(Proc[[#This Row],[DaysAgeing]]&gt;5,"yep","on track")</f>
        <v>on track</v>
      </c>
      <c r="Q3571" s="3">
        <f ca="1">IF(Proc[[#This Row],[DateClosed]]="",ABS(NETWORKDAYS(Proc[[#This Row],[DateOpened]],TODAY()))-1,ABS(NETWORKDAYS(Proc[[#This Row],[DateOpened]],Proc[[#This Row],[DateClosed]]))-1)</f>
        <v>1</v>
      </c>
      <c r="R3571" s="115" t="s">
        <v>515</v>
      </c>
      <c r="S3571" s="129"/>
    </row>
    <row r="3572" spans="1:19" hidden="1">
      <c r="A3572" s="128" t="s">
        <v>5675</v>
      </c>
      <c r="B3572" s="129" t="str">
        <f>IFERROR(VLOOKUP(Proc[[#This Row],[App]],Table2[],3,0),"open")</f>
        <v>open</v>
      </c>
      <c r="C3572" s="128" t="s">
        <v>369</v>
      </c>
      <c r="D3572" t="s">
        <v>5663</v>
      </c>
      <c r="E3572" t="s">
        <v>5674</v>
      </c>
      <c r="F3572" s="129" t="s">
        <v>5674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29" t="str">
        <f>IF(Proc[[#This Row],[Author]]="Marcela Urrego",VLOOKUP(LEFT(Proc[[#This Row],[Requested]],1),Table3[#All],2,0),VLOOKUP(Proc[[#This Row],[Author]],Table4[],2,0))</f>
        <v>MGF</v>
      </c>
      <c r="L3572" s="129" t="s">
        <v>4896</v>
      </c>
      <c r="M3572" s="127">
        <v>45883</v>
      </c>
      <c r="N3572" s="127"/>
      <c r="O3572" s="127"/>
      <c r="P3572" s="115" t="str">
        <f ca="1">IF(Proc[[#This Row],[DaysAgeing]]&gt;5,"yep","on track")</f>
        <v>on track</v>
      </c>
      <c r="Q3572" s="3">
        <f ca="1">IF(Proc[[#This Row],[DateClosed]]="",ABS(NETWORKDAYS(Proc[[#This Row],[DateOpened]],TODAY()))-1,ABS(NETWORKDAYS(Proc[[#This Row],[DateOpened]],Proc[[#This Row],[DateClosed]]))-1)</f>
        <v>1</v>
      </c>
      <c r="R3572" s="115" t="s">
        <v>515</v>
      </c>
      <c r="S3572" s="129"/>
    </row>
    <row r="3573" spans="1:19" hidden="1">
      <c r="A3573" s="128" t="s">
        <v>5675</v>
      </c>
      <c r="B3573" s="129" t="str">
        <f>IFERROR(VLOOKUP(Proc[[#This Row],[App]],Table2[],3,0),"open")</f>
        <v>open</v>
      </c>
      <c r="C3573" s="128" t="s">
        <v>369</v>
      </c>
      <c r="D3573" t="s">
        <v>5664</v>
      </c>
      <c r="E3573" t="s">
        <v>5674</v>
      </c>
      <c r="F3573" s="129" t="s">
        <v>5674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29" t="str">
        <f>IF(Proc[[#This Row],[Author]]="Marcela Urrego",VLOOKUP(LEFT(Proc[[#This Row],[Requested]],1),Table3[#All],2,0),VLOOKUP(Proc[[#This Row],[Author]],Table4[],2,0))</f>
        <v>MGF</v>
      </c>
      <c r="L3573" s="129" t="s">
        <v>4896</v>
      </c>
      <c r="M3573" s="127">
        <v>45883</v>
      </c>
      <c r="N3573" s="127"/>
      <c r="O3573" s="127"/>
      <c r="P3573" s="115" t="str">
        <f ca="1">IF(Proc[[#This Row],[DaysAgeing]]&gt;5,"yep","on track")</f>
        <v>on track</v>
      </c>
      <c r="Q3573" s="3">
        <f ca="1">IF(Proc[[#This Row],[DateClosed]]="",ABS(NETWORKDAYS(Proc[[#This Row],[DateOpened]],TODAY()))-1,ABS(NETWORKDAYS(Proc[[#This Row],[DateOpened]],Proc[[#This Row],[DateClosed]]))-1)</f>
        <v>1</v>
      </c>
      <c r="R3573" s="115" t="s">
        <v>515</v>
      </c>
      <c r="S3573" s="129"/>
    </row>
    <row r="3574" spans="1:19" hidden="1">
      <c r="A3574" s="128" t="s">
        <v>5675</v>
      </c>
      <c r="B3574" s="129" t="str">
        <f>IFERROR(VLOOKUP(Proc[[#This Row],[App]],Table2[],3,0),"open")</f>
        <v>open</v>
      </c>
      <c r="C3574" s="128" t="s">
        <v>369</v>
      </c>
      <c r="D3574" t="s">
        <v>5665</v>
      </c>
      <c r="E3574" t="s">
        <v>5674</v>
      </c>
      <c r="F3574" s="129" t="s">
        <v>5674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29" t="str">
        <f>IF(Proc[[#This Row],[Author]]="Marcela Urrego",VLOOKUP(LEFT(Proc[[#This Row],[Requested]],1),Table3[#All],2,0),VLOOKUP(Proc[[#This Row],[Author]],Table4[],2,0))</f>
        <v>MGF</v>
      </c>
      <c r="L3574" s="129" t="s">
        <v>4896</v>
      </c>
      <c r="M3574" s="127">
        <v>45883</v>
      </c>
      <c r="N3574" s="127"/>
      <c r="O3574" s="127"/>
      <c r="P3574" s="115" t="str">
        <f ca="1">IF(Proc[[#This Row],[DaysAgeing]]&gt;5,"yep","on track")</f>
        <v>on track</v>
      </c>
      <c r="Q3574" s="3">
        <f ca="1">IF(Proc[[#This Row],[DateClosed]]="",ABS(NETWORKDAYS(Proc[[#This Row],[DateOpened]],TODAY()))-1,ABS(NETWORKDAYS(Proc[[#This Row],[DateOpened]],Proc[[#This Row],[DateClosed]]))-1)</f>
        <v>1</v>
      </c>
      <c r="R3574" s="115" t="s">
        <v>515</v>
      </c>
      <c r="S3574" s="129"/>
    </row>
    <row r="3575" spans="1:19" hidden="1">
      <c r="A3575" s="128" t="s">
        <v>5675</v>
      </c>
      <c r="B3575" s="129" t="str">
        <f>IFERROR(VLOOKUP(Proc[[#This Row],[App]],Table2[],3,0),"open")</f>
        <v>open</v>
      </c>
      <c r="C3575" s="128" t="s">
        <v>369</v>
      </c>
      <c r="D3575" t="s">
        <v>5666</v>
      </c>
      <c r="E3575" t="s">
        <v>5674</v>
      </c>
      <c r="F3575" s="129" t="s">
        <v>5674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29" t="str">
        <f>IF(Proc[[#This Row],[Author]]="Marcela Urrego",VLOOKUP(LEFT(Proc[[#This Row],[Requested]],1),Table3[#All],2,0),VLOOKUP(Proc[[#This Row],[Author]],Table4[],2,0))</f>
        <v>MGF</v>
      </c>
      <c r="L3575" s="129" t="s">
        <v>4896</v>
      </c>
      <c r="M3575" s="127">
        <v>45883</v>
      </c>
      <c r="N3575" s="127"/>
      <c r="O3575" s="127"/>
      <c r="P3575" s="115" t="str">
        <f ca="1">IF(Proc[[#This Row],[DaysAgeing]]&gt;5,"yep","on track")</f>
        <v>on track</v>
      </c>
      <c r="Q3575" s="3">
        <f ca="1">IF(Proc[[#This Row],[DateClosed]]="",ABS(NETWORKDAYS(Proc[[#This Row],[DateOpened]],TODAY()))-1,ABS(NETWORKDAYS(Proc[[#This Row],[DateOpened]],Proc[[#This Row],[DateClosed]]))-1)</f>
        <v>1</v>
      </c>
      <c r="R3575" s="115" t="s">
        <v>515</v>
      </c>
      <c r="S3575" s="129"/>
    </row>
    <row r="3576" spans="1:19" hidden="1">
      <c r="A3576" s="128" t="s">
        <v>5675</v>
      </c>
      <c r="B3576" s="129" t="str">
        <f>IFERROR(VLOOKUP(Proc[[#This Row],[App]],Table2[],3,0),"open")</f>
        <v>open</v>
      </c>
      <c r="C3576" s="128" t="s">
        <v>369</v>
      </c>
      <c r="D3576" t="s">
        <v>5667</v>
      </c>
      <c r="E3576" t="s">
        <v>5674</v>
      </c>
      <c r="F3576" s="129" t="s">
        <v>5674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29" t="str">
        <f>IF(Proc[[#This Row],[Author]]="Marcela Urrego",VLOOKUP(LEFT(Proc[[#This Row],[Requested]],1),Table3[#All],2,0),VLOOKUP(Proc[[#This Row],[Author]],Table4[],2,0))</f>
        <v>MGF</v>
      </c>
      <c r="L3576" s="129" t="s">
        <v>4896</v>
      </c>
      <c r="M3576" s="127">
        <v>45883</v>
      </c>
      <c r="N3576" s="127"/>
      <c r="O3576" s="127"/>
      <c r="P3576" s="115" t="str">
        <f ca="1">IF(Proc[[#This Row],[DaysAgeing]]&gt;5,"yep","on track")</f>
        <v>on track</v>
      </c>
      <c r="Q3576" s="3">
        <f ca="1">IF(Proc[[#This Row],[DateClosed]]="",ABS(NETWORKDAYS(Proc[[#This Row],[DateOpened]],TODAY()))-1,ABS(NETWORKDAYS(Proc[[#This Row],[DateOpened]],Proc[[#This Row],[DateClosed]]))-1)</f>
        <v>1</v>
      </c>
      <c r="R3576" s="115" t="s">
        <v>515</v>
      </c>
      <c r="S3576" s="129"/>
    </row>
    <row r="3577" spans="1:19" hidden="1">
      <c r="A3577" s="128" t="s">
        <v>5675</v>
      </c>
      <c r="B3577" s="129" t="str">
        <f>IFERROR(VLOOKUP(Proc[[#This Row],[App]],Table2[],3,0),"open")</f>
        <v>open</v>
      </c>
      <c r="C3577" s="128" t="s">
        <v>369</v>
      </c>
      <c r="D3577" t="s">
        <v>5668</v>
      </c>
      <c r="E3577" t="s">
        <v>5674</v>
      </c>
      <c r="F3577" s="129" t="s">
        <v>5674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29" t="str">
        <f>IF(Proc[[#This Row],[Author]]="Marcela Urrego",VLOOKUP(LEFT(Proc[[#This Row],[Requested]],1),Table3[#All],2,0),VLOOKUP(Proc[[#This Row],[Author]],Table4[],2,0))</f>
        <v>MGF</v>
      </c>
      <c r="L3577" s="129" t="s">
        <v>4896</v>
      </c>
      <c r="M3577" s="127">
        <v>45883</v>
      </c>
      <c r="N3577" s="127"/>
      <c r="O3577" s="127"/>
      <c r="P3577" s="115" t="str">
        <f ca="1">IF(Proc[[#This Row],[DaysAgeing]]&gt;5,"yep","on track")</f>
        <v>on track</v>
      </c>
      <c r="Q3577" s="3">
        <f ca="1">IF(Proc[[#This Row],[DateClosed]]="",ABS(NETWORKDAYS(Proc[[#This Row],[DateOpened]],TODAY()))-1,ABS(NETWORKDAYS(Proc[[#This Row],[DateOpened]],Proc[[#This Row],[DateClosed]]))-1)</f>
        <v>1</v>
      </c>
      <c r="R3577" s="115" t="s">
        <v>515</v>
      </c>
      <c r="S3577" s="129"/>
    </row>
    <row r="3578" spans="1:19" hidden="1">
      <c r="A3578" s="128" t="s">
        <v>5675</v>
      </c>
      <c r="B3578" s="129" t="str">
        <f>IFERROR(VLOOKUP(Proc[[#This Row],[App]],Table2[],3,0),"open")</f>
        <v>open</v>
      </c>
      <c r="C3578" s="128" t="s">
        <v>369</v>
      </c>
      <c r="D3578" t="s">
        <v>5669</v>
      </c>
      <c r="E3578" t="s">
        <v>5674</v>
      </c>
      <c r="F3578" s="129" t="s">
        <v>5674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29" t="str">
        <f>IF(Proc[[#This Row],[Author]]="Marcela Urrego",VLOOKUP(LEFT(Proc[[#This Row],[Requested]],1),Table3[#All],2,0),VLOOKUP(Proc[[#This Row],[Author]],Table4[],2,0))</f>
        <v>MGF</v>
      </c>
      <c r="L3578" s="129" t="s">
        <v>4896</v>
      </c>
      <c r="M3578" s="127">
        <v>45883</v>
      </c>
      <c r="N3578" s="127"/>
      <c r="O3578" s="127"/>
      <c r="P3578" s="115" t="str">
        <f ca="1">IF(Proc[[#This Row],[DaysAgeing]]&gt;5,"yep","on track")</f>
        <v>on track</v>
      </c>
      <c r="Q3578" s="3">
        <f ca="1">IF(Proc[[#This Row],[DateClosed]]="",ABS(NETWORKDAYS(Proc[[#This Row],[DateOpened]],TODAY()))-1,ABS(NETWORKDAYS(Proc[[#This Row],[DateOpened]],Proc[[#This Row],[DateClosed]]))-1)</f>
        <v>1</v>
      </c>
      <c r="R3578" s="115" t="s">
        <v>515</v>
      </c>
      <c r="S3578" s="129"/>
    </row>
    <row r="3579" spans="1:19" hidden="1">
      <c r="A3579" s="128" t="s">
        <v>5675</v>
      </c>
      <c r="B3579" s="129" t="str">
        <f>IFERROR(VLOOKUP(Proc[[#This Row],[App]],Table2[],3,0),"open")</f>
        <v>open</v>
      </c>
      <c r="C3579" s="128" t="s">
        <v>369</v>
      </c>
      <c r="D3579" t="s">
        <v>5670</v>
      </c>
      <c r="E3579" t="s">
        <v>5674</v>
      </c>
      <c r="F3579" s="129" t="s">
        <v>5674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29" t="str">
        <f>IF(Proc[[#This Row],[Author]]="Marcela Urrego",VLOOKUP(LEFT(Proc[[#This Row],[Requested]],1),Table3[#All],2,0),VLOOKUP(Proc[[#This Row],[Author]],Table4[],2,0))</f>
        <v>MGF</v>
      </c>
      <c r="L3579" s="129" t="s">
        <v>4896</v>
      </c>
      <c r="M3579" s="127">
        <v>45883</v>
      </c>
      <c r="N3579" s="127"/>
      <c r="O3579" s="127"/>
      <c r="P3579" s="115" t="str">
        <f ca="1">IF(Proc[[#This Row],[DaysAgeing]]&gt;5,"yep","on track")</f>
        <v>on track</v>
      </c>
      <c r="Q3579" s="3">
        <f ca="1">IF(Proc[[#This Row],[DateClosed]]="",ABS(NETWORKDAYS(Proc[[#This Row],[DateOpened]],TODAY()))-1,ABS(NETWORKDAYS(Proc[[#This Row],[DateOpened]],Proc[[#This Row],[DateClosed]]))-1)</f>
        <v>1</v>
      </c>
      <c r="R3579" s="115" t="s">
        <v>515</v>
      </c>
      <c r="S3579" s="129"/>
    </row>
    <row r="3580" spans="1:19" hidden="1">
      <c r="A3580" s="128" t="s">
        <v>5675</v>
      </c>
      <c r="B3580" s="129" t="str">
        <f>IFERROR(VLOOKUP(Proc[[#This Row],[App]],Table2[],3,0),"open")</f>
        <v>open</v>
      </c>
      <c r="C3580" s="128" t="s">
        <v>369</v>
      </c>
      <c r="D3580" t="s">
        <v>5671</v>
      </c>
      <c r="E3580" t="s">
        <v>5674</v>
      </c>
      <c r="F3580" s="129" t="s">
        <v>5674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29" t="str">
        <f>IF(Proc[[#This Row],[Author]]="Marcela Urrego",VLOOKUP(LEFT(Proc[[#This Row],[Requested]],1),Table3[#All],2,0),VLOOKUP(Proc[[#This Row],[Author]],Table4[],2,0))</f>
        <v>MGF</v>
      </c>
      <c r="L3580" s="129" t="s">
        <v>4896</v>
      </c>
      <c r="M3580" s="127">
        <v>45883</v>
      </c>
      <c r="N3580" s="127"/>
      <c r="O3580" s="127"/>
      <c r="P3580" s="115" t="str">
        <f ca="1">IF(Proc[[#This Row],[DaysAgeing]]&gt;5,"yep","on track")</f>
        <v>on track</v>
      </c>
      <c r="Q3580" s="3">
        <f ca="1">IF(Proc[[#This Row],[DateClosed]]="",ABS(NETWORKDAYS(Proc[[#This Row],[DateOpened]],TODAY()))-1,ABS(NETWORKDAYS(Proc[[#This Row],[DateOpened]],Proc[[#This Row],[DateClosed]]))-1)</f>
        <v>1</v>
      </c>
      <c r="R3580" s="115" t="s">
        <v>515</v>
      </c>
      <c r="S3580" s="129"/>
    </row>
    <row r="3581" spans="1:19" hidden="1">
      <c r="A3581" s="128" t="s">
        <v>5675</v>
      </c>
      <c r="B3581" s="129" t="str">
        <f>IFERROR(VLOOKUP(Proc[[#This Row],[App]],Table2[],3,0),"open")</f>
        <v>open</v>
      </c>
      <c r="C3581" s="128" t="s">
        <v>369</v>
      </c>
      <c r="D3581" t="s">
        <v>5672</v>
      </c>
      <c r="E3581" t="s">
        <v>5674</v>
      </c>
      <c r="F3581" s="129" t="s">
        <v>5674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29" t="str">
        <f>IF(Proc[[#This Row],[Author]]="Marcela Urrego",VLOOKUP(LEFT(Proc[[#This Row],[Requested]],1),Table3[#All],2,0),VLOOKUP(Proc[[#This Row],[Author]],Table4[],2,0))</f>
        <v>MGF</v>
      </c>
      <c r="L3581" s="129" t="s">
        <v>4896</v>
      </c>
      <c r="M3581" s="127">
        <v>45883</v>
      </c>
      <c r="N3581" s="127"/>
      <c r="O3581" s="127"/>
      <c r="P3581" s="115" t="str">
        <f ca="1">IF(Proc[[#This Row],[DaysAgeing]]&gt;5,"yep","on track")</f>
        <v>on track</v>
      </c>
      <c r="Q3581" s="3">
        <f ca="1">IF(Proc[[#This Row],[DateClosed]]="",ABS(NETWORKDAYS(Proc[[#This Row],[DateOpened]],TODAY()))-1,ABS(NETWORKDAYS(Proc[[#This Row],[DateOpened]],Proc[[#This Row],[DateClosed]]))-1)</f>
        <v>1</v>
      </c>
      <c r="R3581" s="115" t="s">
        <v>515</v>
      </c>
      <c r="S3581" s="129"/>
    </row>
    <row r="3582" spans="1:19">
      <c r="A3582" t="s">
        <v>5676</v>
      </c>
      <c r="B3582" s="129" t="str">
        <f>IFERROR(VLOOKUP(Proc[[#This Row],[App]],Table2[],3,0),"open")</f>
        <v>open</v>
      </c>
      <c r="C3582" s="128" t="s">
        <v>370</v>
      </c>
      <c r="D3582" t="s">
        <v>5705</v>
      </c>
      <c r="E3582" t="s">
        <v>5677</v>
      </c>
      <c r="F3582" s="129" t="s">
        <v>5707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0</v>
      </c>
      <c r="K3582" s="129" t="str">
        <f>IF(Proc[[#This Row],[Author]]="Marcela Urrego",VLOOKUP(LEFT(Proc[[#This Row],[Requested]],1),Table3[#All],2,0),VLOOKUP(Proc[[#This Row],[Author]],Table4[],2,0))</f>
        <v>LS</v>
      </c>
      <c r="L3582" s="129" t="s">
        <v>4896</v>
      </c>
      <c r="M3582" s="127">
        <v>45883</v>
      </c>
      <c r="N3582" s="127"/>
      <c r="O3582" s="127"/>
      <c r="P3582" s="115" t="str">
        <f ca="1">IF(Proc[[#This Row],[DaysAgeing]]&gt;5,"yep","on track")</f>
        <v>on track</v>
      </c>
      <c r="Q3582" s="3">
        <f ca="1">IF(Proc[[#This Row],[DateClosed]]="",ABS(NETWORKDAYS(Proc[[#This Row],[DateOpened]],TODAY()))-1,ABS(NETWORKDAYS(Proc[[#This Row],[DateOpened]],Proc[[#This Row],[DateClosed]]))-1)</f>
        <v>1</v>
      </c>
      <c r="R3582" s="115" t="s">
        <v>1262</v>
      </c>
      <c r="S3582" s="129"/>
    </row>
    <row r="3583" spans="1:19">
      <c r="A3583" t="s">
        <v>5678</v>
      </c>
      <c r="B3583" s="129" t="str">
        <f>IFERROR(VLOOKUP(Proc[[#This Row],[App]],Table2[],3,0),"open")</f>
        <v>open</v>
      </c>
      <c r="C3583" s="128" t="s">
        <v>370</v>
      </c>
      <c r="D3583" t="s">
        <v>5679</v>
      </c>
      <c r="E3583" t="s">
        <v>5685</v>
      </c>
      <c r="F3583" s="129" t="s">
        <v>5708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0</v>
      </c>
      <c r="K3583" s="129" t="str">
        <f>IF(Proc[[#This Row],[Author]]="Marcela Urrego",VLOOKUP(LEFT(Proc[[#This Row],[Requested]],1),Table3[#All],2,0),VLOOKUP(Proc[[#This Row],[Author]],Table4[],2,0))</f>
        <v>HC</v>
      </c>
      <c r="L3583" s="129" t="s">
        <v>4896</v>
      </c>
      <c r="M3583" s="127">
        <v>45884</v>
      </c>
      <c r="N3583" s="127"/>
      <c r="O3583" s="127"/>
      <c r="P3583" s="130" t="str">
        <f ca="1">IF(Proc[[#This Row],[DaysAgeing]]&gt;5,"yep","on track")</f>
        <v>on track</v>
      </c>
      <c r="Q3583" s="3">
        <f ca="1">IF(Proc[[#This Row],[DateClosed]]="",ABS(NETWORKDAYS(Proc[[#This Row],[DateOpened]],TODAY()))-1,ABS(NETWORKDAYS(Proc[[#This Row],[DateOpened]],Proc[[#This Row],[DateClosed]]))-1)</f>
        <v>0</v>
      </c>
      <c r="R3583" s="130" t="s">
        <v>5688</v>
      </c>
      <c r="S3583" s="129"/>
    </row>
    <row r="3584" spans="1:19">
      <c r="A3584" s="128" t="s">
        <v>5678</v>
      </c>
      <c r="B3584" s="129" t="str">
        <f>IFERROR(VLOOKUP(Proc[[#This Row],[App]],Table2[],3,0),"open")</f>
        <v>open</v>
      </c>
      <c r="C3584" s="128" t="s">
        <v>370</v>
      </c>
      <c r="D3584" t="s">
        <v>5680</v>
      </c>
      <c r="E3584" t="s">
        <v>5686</v>
      </c>
      <c r="F3584" s="129" t="s">
        <v>5709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0</v>
      </c>
      <c r="K3584" s="129" t="str">
        <f>IF(Proc[[#This Row],[Author]]="Marcela Urrego",VLOOKUP(LEFT(Proc[[#This Row],[Requested]],1),Table3[#All],2,0),VLOOKUP(Proc[[#This Row],[Author]],Table4[],2,0))</f>
        <v>HC</v>
      </c>
      <c r="L3584" s="129" t="s">
        <v>4896</v>
      </c>
      <c r="M3584" s="127">
        <v>45884</v>
      </c>
      <c r="N3584" s="127"/>
      <c r="O3584" s="127"/>
      <c r="P3584" s="130" t="str">
        <f ca="1">IF(Proc[[#This Row],[DaysAgeing]]&gt;5,"yep","on track")</f>
        <v>on track</v>
      </c>
      <c r="Q3584" s="3">
        <f ca="1">IF(Proc[[#This Row],[DateClosed]]="",ABS(NETWORKDAYS(Proc[[#This Row],[DateOpened]],TODAY()))-1,ABS(NETWORKDAYS(Proc[[#This Row],[DateOpened]],Proc[[#This Row],[DateClosed]]))-1)</f>
        <v>0</v>
      </c>
      <c r="R3584" s="130" t="s">
        <v>5688</v>
      </c>
      <c r="S3584" s="129"/>
    </row>
    <row r="3585" spans="1:19">
      <c r="A3585" s="128" t="s">
        <v>5678</v>
      </c>
      <c r="B3585" s="129" t="str">
        <f>IFERROR(VLOOKUP(Proc[[#This Row],[App]],Table2[],3,0),"open")</f>
        <v>open</v>
      </c>
      <c r="C3585" s="128" t="s">
        <v>370</v>
      </c>
      <c r="D3585" t="s">
        <v>5681</v>
      </c>
      <c r="E3585" t="s">
        <v>5686</v>
      </c>
      <c r="F3585" s="129" t="s">
        <v>5710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0</v>
      </c>
      <c r="K3585" s="129" t="str">
        <f>IF(Proc[[#This Row],[Author]]="Marcela Urrego",VLOOKUP(LEFT(Proc[[#This Row],[Requested]],1),Table3[#All],2,0),VLOOKUP(Proc[[#This Row],[Author]],Table4[],2,0))</f>
        <v>HC</v>
      </c>
      <c r="L3585" s="129" t="s">
        <v>4896</v>
      </c>
      <c r="M3585" s="127">
        <v>45884</v>
      </c>
      <c r="N3585" s="127"/>
      <c r="O3585" s="127"/>
      <c r="P3585" s="130" t="str">
        <f ca="1">IF(Proc[[#This Row],[DaysAgeing]]&gt;5,"yep","on track")</f>
        <v>on track</v>
      </c>
      <c r="Q3585" s="3">
        <f ca="1">IF(Proc[[#This Row],[DateClosed]]="",ABS(NETWORKDAYS(Proc[[#This Row],[DateOpened]],TODAY()))-1,ABS(NETWORKDAYS(Proc[[#This Row],[DateOpened]],Proc[[#This Row],[DateClosed]]))-1)</f>
        <v>0</v>
      </c>
      <c r="R3585" s="130" t="s">
        <v>5688</v>
      </c>
      <c r="S3585" s="129"/>
    </row>
    <row r="3586" spans="1:19">
      <c r="A3586" s="128" t="s">
        <v>5678</v>
      </c>
      <c r="B3586" s="129" t="str">
        <f>IFERROR(VLOOKUP(Proc[[#This Row],[App]],Table2[],3,0),"open")</f>
        <v>open</v>
      </c>
      <c r="C3586" s="128" t="s">
        <v>370</v>
      </c>
      <c r="D3586" t="s">
        <v>5682</v>
      </c>
      <c r="E3586" t="s">
        <v>5687</v>
      </c>
      <c r="F3586" s="129" t="s">
        <v>5711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0</v>
      </c>
      <c r="K3586" s="129" t="str">
        <f>IF(Proc[[#This Row],[Author]]="Marcela Urrego",VLOOKUP(LEFT(Proc[[#This Row],[Requested]],1),Table3[#All],2,0),VLOOKUP(Proc[[#This Row],[Author]],Table4[],2,0))</f>
        <v>HC</v>
      </c>
      <c r="L3586" s="129" t="s">
        <v>4896</v>
      </c>
      <c r="M3586" s="127">
        <v>45884</v>
      </c>
      <c r="N3586" s="127"/>
      <c r="O3586" s="127"/>
      <c r="P3586" s="130" t="str">
        <f ca="1">IF(Proc[[#This Row],[DaysAgeing]]&gt;5,"yep","on track")</f>
        <v>on track</v>
      </c>
      <c r="Q3586" s="3">
        <f ca="1">IF(Proc[[#This Row],[DateClosed]]="",ABS(NETWORKDAYS(Proc[[#This Row],[DateOpened]],TODAY()))-1,ABS(NETWORKDAYS(Proc[[#This Row],[DateOpened]],Proc[[#This Row],[DateClosed]]))-1)</f>
        <v>0</v>
      </c>
      <c r="R3586" s="130" t="s">
        <v>5688</v>
      </c>
      <c r="S3586" s="129"/>
    </row>
    <row r="3587" spans="1:19">
      <c r="A3587" s="128" t="s">
        <v>5678</v>
      </c>
      <c r="B3587" s="129" t="str">
        <f>IFERROR(VLOOKUP(Proc[[#This Row],[App]],Table2[],3,0),"open")</f>
        <v>open</v>
      </c>
      <c r="C3587" s="128" t="s">
        <v>370</v>
      </c>
      <c r="D3587" t="s">
        <v>5683</v>
      </c>
      <c r="E3587" t="s">
        <v>5685</v>
      </c>
      <c r="F3587" s="129" t="s">
        <v>5712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0</v>
      </c>
      <c r="K3587" s="129" t="str">
        <f>IF(Proc[[#This Row],[Author]]="Marcela Urrego",VLOOKUP(LEFT(Proc[[#This Row],[Requested]],1),Table3[#All],2,0),VLOOKUP(Proc[[#This Row],[Author]],Table4[],2,0))</f>
        <v>HC</v>
      </c>
      <c r="L3587" s="129" t="s">
        <v>4896</v>
      </c>
      <c r="M3587" s="127">
        <v>45884</v>
      </c>
      <c r="N3587" s="127"/>
      <c r="O3587" s="127"/>
      <c r="P3587" s="130" t="str">
        <f ca="1">IF(Proc[[#This Row],[DaysAgeing]]&gt;5,"yep","on track")</f>
        <v>on track</v>
      </c>
      <c r="Q3587" s="3">
        <f ca="1">IF(Proc[[#This Row],[DateClosed]]="",ABS(NETWORKDAYS(Proc[[#This Row],[DateOpened]],TODAY()))-1,ABS(NETWORKDAYS(Proc[[#This Row],[DateOpened]],Proc[[#This Row],[DateClosed]]))-1)</f>
        <v>0</v>
      </c>
      <c r="R3587" s="130" t="s">
        <v>5688</v>
      </c>
      <c r="S3587" s="129"/>
    </row>
    <row r="3588" spans="1:19">
      <c r="A3588" s="128" t="s">
        <v>5678</v>
      </c>
      <c r="B3588" s="129" t="str">
        <f>IFERROR(VLOOKUP(Proc[[#This Row],[App]],Table2[],3,0),"open")</f>
        <v>open</v>
      </c>
      <c r="C3588" s="128" t="s">
        <v>370</v>
      </c>
      <c r="D3588" t="s">
        <v>5684</v>
      </c>
      <c r="E3588" t="s">
        <v>5685</v>
      </c>
      <c r="F3588" s="129" t="s">
        <v>5713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0</v>
      </c>
      <c r="K3588" s="129" t="str">
        <f>IF(Proc[[#This Row],[Author]]="Marcela Urrego",VLOOKUP(LEFT(Proc[[#This Row],[Requested]],1),Table3[#All],2,0),VLOOKUP(Proc[[#This Row],[Author]],Table4[],2,0))</f>
        <v>HC</v>
      </c>
      <c r="L3588" s="129" t="s">
        <v>4896</v>
      </c>
      <c r="M3588" s="127">
        <v>45884</v>
      </c>
      <c r="N3588" s="127"/>
      <c r="O3588" s="127"/>
      <c r="P3588" s="130" t="str">
        <f ca="1">IF(Proc[[#This Row],[DaysAgeing]]&gt;5,"yep","on track")</f>
        <v>on track</v>
      </c>
      <c r="Q3588" s="3">
        <f ca="1">IF(Proc[[#This Row],[DateClosed]]="",ABS(NETWORKDAYS(Proc[[#This Row],[DateOpened]],TODAY()))-1,ABS(NETWORKDAYS(Proc[[#This Row],[DateOpened]],Proc[[#This Row],[DateClosed]]))-1)</f>
        <v>0</v>
      </c>
      <c r="R3588" s="130" t="s">
        <v>5688</v>
      </c>
      <c r="S3588" s="129"/>
    </row>
    <row r="3589" spans="1:19">
      <c r="A3589" t="s">
        <v>5689</v>
      </c>
      <c r="B3589" s="129" t="str">
        <f>IFERROR(VLOOKUP(Proc[[#This Row],[App]],Table2[],3,0),"open")</f>
        <v>open</v>
      </c>
      <c r="C3589" s="128" t="s">
        <v>370</v>
      </c>
      <c r="D3589" t="s">
        <v>5690</v>
      </c>
      <c r="E3589" t="s">
        <v>2161</v>
      </c>
      <c r="F3589" s="129" t="s">
        <v>5714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0</v>
      </c>
      <c r="K3589" s="129" t="str">
        <f>IF(Proc[[#This Row],[Author]]="Marcela Urrego",VLOOKUP(LEFT(Proc[[#This Row],[Requested]],1),Table3[#All],2,0),VLOOKUP(Proc[[#This Row],[Author]],Table4[],2,0))</f>
        <v>HC</v>
      </c>
      <c r="L3589" s="129" t="s">
        <v>4896</v>
      </c>
      <c r="M3589" s="127">
        <v>45884</v>
      </c>
      <c r="N3589" s="127"/>
      <c r="O3589" s="127"/>
      <c r="P3589" s="130" t="str">
        <f ca="1">IF(Proc[[#This Row],[DaysAgeing]]&gt;5,"yep","on track")</f>
        <v>on track</v>
      </c>
      <c r="Q3589" s="3">
        <f ca="1">IF(Proc[[#This Row],[DateClosed]]="",ABS(NETWORKDAYS(Proc[[#This Row],[DateOpened]],TODAY()))-1,ABS(NETWORKDAYS(Proc[[#This Row],[DateOpened]],Proc[[#This Row],[DateClosed]]))-1)</f>
        <v>0</v>
      </c>
      <c r="R3589" s="130" t="s">
        <v>5688</v>
      </c>
      <c r="S3589" s="129"/>
    </row>
    <row r="3590" spans="1:19">
      <c r="A3590" s="128" t="s">
        <v>5689</v>
      </c>
      <c r="B3590" s="129" t="str">
        <f>IFERROR(VLOOKUP(Proc[[#This Row],[App]],Table2[],3,0),"open")</f>
        <v>open</v>
      </c>
      <c r="C3590" s="128" t="s">
        <v>370</v>
      </c>
      <c r="D3590" t="s">
        <v>5691</v>
      </c>
      <c r="E3590" t="s">
        <v>2161</v>
      </c>
      <c r="F3590" s="129" t="s">
        <v>5715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0</v>
      </c>
      <c r="K3590" s="129" t="str">
        <f>IF(Proc[[#This Row],[Author]]="Marcela Urrego",VLOOKUP(LEFT(Proc[[#This Row],[Requested]],1),Table3[#All],2,0),VLOOKUP(Proc[[#This Row],[Author]],Table4[],2,0))</f>
        <v>HC</v>
      </c>
      <c r="L3590" s="129" t="s">
        <v>4896</v>
      </c>
      <c r="M3590" s="127">
        <v>45884</v>
      </c>
      <c r="N3590" s="127"/>
      <c r="O3590" s="127"/>
      <c r="P3590" s="130" t="str">
        <f ca="1">IF(Proc[[#This Row],[DaysAgeing]]&gt;5,"yep","on track")</f>
        <v>on track</v>
      </c>
      <c r="Q3590" s="3">
        <f ca="1">IF(Proc[[#This Row],[DateClosed]]="",ABS(NETWORKDAYS(Proc[[#This Row],[DateOpened]],TODAY()))-1,ABS(NETWORKDAYS(Proc[[#This Row],[DateOpened]],Proc[[#This Row],[DateClosed]]))-1)</f>
        <v>0</v>
      </c>
      <c r="R3590" s="130" t="s">
        <v>5688</v>
      </c>
      <c r="S3590" s="129"/>
    </row>
    <row r="3591" spans="1:19">
      <c r="A3591" s="128" t="s">
        <v>5689</v>
      </c>
      <c r="B3591" s="129" t="str">
        <f>IFERROR(VLOOKUP(Proc[[#This Row],[App]],Table2[],3,0),"open")</f>
        <v>open</v>
      </c>
      <c r="C3591" s="128" t="s">
        <v>370</v>
      </c>
      <c r="D3591" t="s">
        <v>5692</v>
      </c>
      <c r="E3591" t="s">
        <v>2161</v>
      </c>
      <c r="F3591" s="129" t="s">
        <v>5716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0</v>
      </c>
      <c r="K3591" s="129" t="str">
        <f>IF(Proc[[#This Row],[Author]]="Marcela Urrego",VLOOKUP(LEFT(Proc[[#This Row],[Requested]],1),Table3[#All],2,0),VLOOKUP(Proc[[#This Row],[Author]],Table4[],2,0))</f>
        <v>HC</v>
      </c>
      <c r="L3591" s="129" t="s">
        <v>4896</v>
      </c>
      <c r="M3591" s="127">
        <v>45884</v>
      </c>
      <c r="N3591" s="127"/>
      <c r="O3591" s="127"/>
      <c r="P3591" s="130" t="str">
        <f ca="1">IF(Proc[[#This Row],[DaysAgeing]]&gt;5,"yep","on track")</f>
        <v>on track</v>
      </c>
      <c r="Q3591" s="3">
        <f ca="1">IF(Proc[[#This Row],[DateClosed]]="",ABS(NETWORKDAYS(Proc[[#This Row],[DateOpened]],TODAY()))-1,ABS(NETWORKDAYS(Proc[[#This Row],[DateOpened]],Proc[[#This Row],[DateClosed]]))-1)</f>
        <v>0</v>
      </c>
      <c r="R3591" s="130" t="s">
        <v>5688</v>
      </c>
      <c r="S3591" s="129"/>
    </row>
    <row r="3592" spans="1:19">
      <c r="A3592" s="128" t="s">
        <v>5689</v>
      </c>
      <c r="B3592" s="129" t="str">
        <f>IFERROR(VLOOKUP(Proc[[#This Row],[App]],Table2[],3,0),"open")</f>
        <v>open</v>
      </c>
      <c r="C3592" s="128" t="s">
        <v>370</v>
      </c>
      <c r="D3592" t="s">
        <v>5693</v>
      </c>
      <c r="E3592" t="s">
        <v>2161</v>
      </c>
      <c r="F3592" s="129" t="s">
        <v>5716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0</v>
      </c>
      <c r="K3592" s="129" t="str">
        <f>IF(Proc[[#This Row],[Author]]="Marcela Urrego",VLOOKUP(LEFT(Proc[[#This Row],[Requested]],1),Table3[#All],2,0),VLOOKUP(Proc[[#This Row],[Author]],Table4[],2,0))</f>
        <v>HC</v>
      </c>
      <c r="L3592" s="129" t="s">
        <v>4896</v>
      </c>
      <c r="M3592" s="127">
        <v>45884</v>
      </c>
      <c r="N3592" s="127"/>
      <c r="O3592" s="127"/>
      <c r="P3592" s="130" t="str">
        <f ca="1">IF(Proc[[#This Row],[DaysAgeing]]&gt;5,"yep","on track")</f>
        <v>on track</v>
      </c>
      <c r="Q3592" s="3">
        <f ca="1">IF(Proc[[#This Row],[DateClosed]]="",ABS(NETWORKDAYS(Proc[[#This Row],[DateOpened]],TODAY()))-1,ABS(NETWORKDAYS(Proc[[#This Row],[DateOpened]],Proc[[#This Row],[DateClosed]]))-1)</f>
        <v>0</v>
      </c>
      <c r="R3592" s="130" t="s">
        <v>5688</v>
      </c>
      <c r="S3592" s="129"/>
    </row>
    <row r="3593" spans="1:19">
      <c r="A3593" s="128" t="s">
        <v>5689</v>
      </c>
      <c r="B3593" s="129" t="str">
        <f>IFERROR(VLOOKUP(Proc[[#This Row],[App]],Table2[],3,0),"open")</f>
        <v>open</v>
      </c>
      <c r="C3593" s="128" t="s">
        <v>370</v>
      </c>
      <c r="D3593" t="s">
        <v>5694</v>
      </c>
      <c r="E3593" t="s">
        <v>2161</v>
      </c>
      <c r="F3593" s="129" t="s">
        <v>5717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0</v>
      </c>
      <c r="K3593" s="129" t="str">
        <f>IF(Proc[[#This Row],[Author]]="Marcela Urrego",VLOOKUP(LEFT(Proc[[#This Row],[Requested]],1),Table3[#All],2,0),VLOOKUP(Proc[[#This Row],[Author]],Table4[],2,0))</f>
        <v>HC</v>
      </c>
      <c r="L3593" s="129" t="s">
        <v>4896</v>
      </c>
      <c r="M3593" s="127">
        <v>45884</v>
      </c>
      <c r="N3593" s="127"/>
      <c r="O3593" s="127"/>
      <c r="P3593" s="130" t="str">
        <f ca="1">IF(Proc[[#This Row],[DaysAgeing]]&gt;5,"yep","on track")</f>
        <v>on track</v>
      </c>
      <c r="Q3593" s="3">
        <f ca="1">IF(Proc[[#This Row],[DateClosed]]="",ABS(NETWORKDAYS(Proc[[#This Row],[DateOpened]],TODAY()))-1,ABS(NETWORKDAYS(Proc[[#This Row],[DateOpened]],Proc[[#This Row],[DateClosed]]))-1)</f>
        <v>0</v>
      </c>
      <c r="R3593" s="130" t="s">
        <v>5688</v>
      </c>
      <c r="S3593" s="129"/>
    </row>
    <row r="3594" spans="1:19">
      <c r="A3594" s="128" t="s">
        <v>5689</v>
      </c>
      <c r="B3594" s="129" t="str">
        <f>IFERROR(VLOOKUP(Proc[[#This Row],[App]],Table2[],3,0),"open")</f>
        <v>open</v>
      </c>
      <c r="C3594" s="128" t="s">
        <v>370</v>
      </c>
      <c r="D3594" t="s">
        <v>5695</v>
      </c>
      <c r="E3594" t="s">
        <v>2161</v>
      </c>
      <c r="F3594" s="129" t="s">
        <v>5717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0</v>
      </c>
      <c r="K3594" s="129" t="str">
        <f>IF(Proc[[#This Row],[Author]]="Marcela Urrego",VLOOKUP(LEFT(Proc[[#This Row],[Requested]],1),Table3[#All],2,0),VLOOKUP(Proc[[#This Row],[Author]],Table4[],2,0))</f>
        <v>HC</v>
      </c>
      <c r="L3594" s="129" t="s">
        <v>4896</v>
      </c>
      <c r="M3594" s="127">
        <v>45884</v>
      </c>
      <c r="N3594" s="127"/>
      <c r="O3594" s="127"/>
      <c r="P3594" s="130" t="str">
        <f ca="1">IF(Proc[[#This Row],[DaysAgeing]]&gt;5,"yep","on track")</f>
        <v>on track</v>
      </c>
      <c r="Q3594" s="3">
        <f ca="1">IF(Proc[[#This Row],[DateClosed]]="",ABS(NETWORKDAYS(Proc[[#This Row],[DateOpened]],TODAY()))-1,ABS(NETWORKDAYS(Proc[[#This Row],[DateOpened]],Proc[[#This Row],[DateClosed]]))-1)</f>
        <v>0</v>
      </c>
      <c r="R3594" s="130" t="s">
        <v>5688</v>
      </c>
      <c r="S3594" s="129"/>
    </row>
    <row r="3595" spans="1:19">
      <c r="A3595" s="128" t="s">
        <v>5689</v>
      </c>
      <c r="B3595" s="129" t="str">
        <f>IFERROR(VLOOKUP(Proc[[#This Row],[App]],Table2[],3,0),"open")</f>
        <v>open</v>
      </c>
      <c r="C3595" s="128" t="s">
        <v>370</v>
      </c>
      <c r="D3595" t="s">
        <v>5696</v>
      </c>
      <c r="E3595" t="s">
        <v>2161</v>
      </c>
      <c r="F3595" s="129" t="s">
        <v>5714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0</v>
      </c>
      <c r="K3595" s="129" t="str">
        <f>IF(Proc[[#This Row],[Author]]="Marcela Urrego",VLOOKUP(LEFT(Proc[[#This Row],[Requested]],1),Table3[#All],2,0),VLOOKUP(Proc[[#This Row],[Author]],Table4[],2,0))</f>
        <v>HC</v>
      </c>
      <c r="L3595" s="129" t="s">
        <v>4896</v>
      </c>
      <c r="M3595" s="127">
        <v>45884</v>
      </c>
      <c r="N3595" s="127"/>
      <c r="O3595" s="127"/>
      <c r="P3595" s="130" t="str">
        <f ca="1">IF(Proc[[#This Row],[DaysAgeing]]&gt;5,"yep","on track")</f>
        <v>on track</v>
      </c>
      <c r="Q3595" s="3">
        <f ca="1">IF(Proc[[#This Row],[DateClosed]]="",ABS(NETWORKDAYS(Proc[[#This Row],[DateOpened]],TODAY()))-1,ABS(NETWORKDAYS(Proc[[#This Row],[DateOpened]],Proc[[#This Row],[DateClosed]]))-1)</f>
        <v>0</v>
      </c>
      <c r="R3595" s="130" t="s">
        <v>5688</v>
      </c>
      <c r="S3595" s="129"/>
    </row>
    <row r="3596" spans="1:19">
      <c r="A3596" s="128" t="s">
        <v>5689</v>
      </c>
      <c r="B3596" s="129" t="str">
        <f>IFERROR(VLOOKUP(Proc[[#This Row],[App]],Table2[],3,0),"open")</f>
        <v>open</v>
      </c>
      <c r="C3596" s="128" t="s">
        <v>370</v>
      </c>
      <c r="D3596" t="s">
        <v>5697</v>
      </c>
      <c r="E3596" t="s">
        <v>2161</v>
      </c>
      <c r="F3596" s="129" t="s">
        <v>5714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0</v>
      </c>
      <c r="K3596" s="129" t="str">
        <f>IF(Proc[[#This Row],[Author]]="Marcela Urrego",VLOOKUP(LEFT(Proc[[#This Row],[Requested]],1),Table3[#All],2,0),VLOOKUP(Proc[[#This Row],[Author]],Table4[],2,0))</f>
        <v>HC</v>
      </c>
      <c r="L3596" s="129" t="s">
        <v>4896</v>
      </c>
      <c r="M3596" s="127">
        <v>45884</v>
      </c>
      <c r="N3596" s="127"/>
      <c r="O3596" s="127"/>
      <c r="P3596" s="130" t="str">
        <f ca="1">IF(Proc[[#This Row],[DaysAgeing]]&gt;5,"yep","on track")</f>
        <v>on track</v>
      </c>
      <c r="Q3596" s="3">
        <f ca="1">IF(Proc[[#This Row],[DateClosed]]="",ABS(NETWORKDAYS(Proc[[#This Row],[DateOpened]],TODAY()))-1,ABS(NETWORKDAYS(Proc[[#This Row],[DateOpened]],Proc[[#This Row],[DateClosed]]))-1)</f>
        <v>0</v>
      </c>
      <c r="R3596" s="130" t="s">
        <v>5688</v>
      </c>
      <c r="S3596" s="129"/>
    </row>
    <row r="3597" spans="1:19">
      <c r="A3597" s="128" t="s">
        <v>5689</v>
      </c>
      <c r="B3597" s="129" t="str">
        <f>IFERROR(VLOOKUP(Proc[[#This Row],[App]],Table2[],3,0),"open")</f>
        <v>open</v>
      </c>
      <c r="C3597" s="128" t="s">
        <v>370</v>
      </c>
      <c r="D3597" t="s">
        <v>5698</v>
      </c>
      <c r="E3597" t="s">
        <v>2161</v>
      </c>
      <c r="F3597" s="129" t="s">
        <v>5716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0</v>
      </c>
      <c r="K3597" s="129" t="str">
        <f>IF(Proc[[#This Row],[Author]]="Marcela Urrego",VLOOKUP(LEFT(Proc[[#This Row],[Requested]],1),Table3[#All],2,0),VLOOKUP(Proc[[#This Row],[Author]],Table4[],2,0))</f>
        <v>HC</v>
      </c>
      <c r="L3597" s="129" t="s">
        <v>4896</v>
      </c>
      <c r="M3597" s="127">
        <v>45884</v>
      </c>
      <c r="N3597" s="127"/>
      <c r="O3597" s="127"/>
      <c r="P3597" s="130" t="str">
        <f ca="1">IF(Proc[[#This Row],[DaysAgeing]]&gt;5,"yep","on track")</f>
        <v>on track</v>
      </c>
      <c r="Q3597" s="3">
        <f ca="1">IF(Proc[[#This Row],[DateClosed]]="",ABS(NETWORKDAYS(Proc[[#This Row],[DateOpened]],TODAY()))-1,ABS(NETWORKDAYS(Proc[[#This Row],[DateOpened]],Proc[[#This Row],[DateClosed]]))-1)</f>
        <v>0</v>
      </c>
      <c r="R3597" s="130" t="s">
        <v>5688</v>
      </c>
      <c r="S3597" s="129"/>
    </row>
    <row r="3598" spans="1:19">
      <c r="A3598" s="128" t="s">
        <v>5689</v>
      </c>
      <c r="B3598" s="129" t="str">
        <f>IFERROR(VLOOKUP(Proc[[#This Row],[App]],Table2[],3,0),"open")</f>
        <v>open</v>
      </c>
      <c r="C3598" s="128" t="s">
        <v>370</v>
      </c>
      <c r="D3598" t="s">
        <v>5699</v>
      </c>
      <c r="E3598" t="s">
        <v>2161</v>
      </c>
      <c r="F3598" s="129" t="s">
        <v>5717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0</v>
      </c>
      <c r="K3598" s="129" t="str">
        <f>IF(Proc[[#This Row],[Author]]="Marcela Urrego",VLOOKUP(LEFT(Proc[[#This Row],[Requested]],1),Table3[#All],2,0),VLOOKUP(Proc[[#This Row],[Author]],Table4[],2,0))</f>
        <v>HC</v>
      </c>
      <c r="L3598" s="129" t="s">
        <v>4896</v>
      </c>
      <c r="M3598" s="127">
        <v>45884</v>
      </c>
      <c r="N3598" s="127"/>
      <c r="O3598" s="127"/>
      <c r="P3598" s="130" t="str">
        <f ca="1">IF(Proc[[#This Row],[DaysAgeing]]&gt;5,"yep","on track")</f>
        <v>on track</v>
      </c>
      <c r="Q3598" s="3">
        <f ca="1">IF(Proc[[#This Row],[DateClosed]]="",ABS(NETWORKDAYS(Proc[[#This Row],[DateOpened]],TODAY()))-1,ABS(NETWORKDAYS(Proc[[#This Row],[DateOpened]],Proc[[#This Row],[DateClosed]]))-1)</f>
        <v>0</v>
      </c>
      <c r="R3598" s="130" t="s">
        <v>5688</v>
      </c>
      <c r="S3598" s="129"/>
    </row>
    <row r="3599" spans="1:19">
      <c r="A3599" s="128" t="s">
        <v>5689</v>
      </c>
      <c r="B3599" s="129" t="str">
        <f>IFERROR(VLOOKUP(Proc[[#This Row],[App]],Table2[],3,0),"open")</f>
        <v>open</v>
      </c>
      <c r="C3599" s="128" t="s">
        <v>370</v>
      </c>
      <c r="D3599" t="s">
        <v>5700</v>
      </c>
      <c r="E3599" t="s">
        <v>2161</v>
      </c>
      <c r="F3599" s="129" t="s">
        <v>5717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0</v>
      </c>
      <c r="K3599" s="129" t="str">
        <f>IF(Proc[[#This Row],[Author]]="Marcela Urrego",VLOOKUP(LEFT(Proc[[#This Row],[Requested]],1),Table3[#All],2,0),VLOOKUP(Proc[[#This Row],[Author]],Table4[],2,0))</f>
        <v>HC</v>
      </c>
      <c r="L3599" s="129" t="s">
        <v>4896</v>
      </c>
      <c r="M3599" s="127">
        <v>45884</v>
      </c>
      <c r="N3599" s="127"/>
      <c r="O3599" s="127"/>
      <c r="P3599" s="130" t="str">
        <f ca="1">IF(Proc[[#This Row],[DaysAgeing]]&gt;5,"yep","on track")</f>
        <v>on track</v>
      </c>
      <c r="Q3599" s="3">
        <f ca="1">IF(Proc[[#This Row],[DateClosed]]="",ABS(NETWORKDAYS(Proc[[#This Row],[DateOpened]],TODAY()))-1,ABS(NETWORKDAYS(Proc[[#This Row],[DateOpened]],Proc[[#This Row],[DateClosed]]))-1)</f>
        <v>0</v>
      </c>
      <c r="R3599" s="130" t="s">
        <v>5688</v>
      </c>
      <c r="S3599" s="129"/>
    </row>
    <row r="3600" spans="1:19">
      <c r="A3600" s="128" t="s">
        <v>5689</v>
      </c>
      <c r="B3600" s="129" t="str">
        <f>IFERROR(VLOOKUP(Proc[[#This Row],[App]],Table2[],3,0),"open")</f>
        <v>open</v>
      </c>
      <c r="C3600" s="128" t="s">
        <v>370</v>
      </c>
      <c r="D3600" t="s">
        <v>5701</v>
      </c>
      <c r="E3600" t="s">
        <v>2161</v>
      </c>
      <c r="F3600" s="129" t="s">
        <v>5718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0</v>
      </c>
      <c r="K3600" s="129" t="str">
        <f>IF(Proc[[#This Row],[Author]]="Marcela Urrego",VLOOKUP(LEFT(Proc[[#This Row],[Requested]],1),Table3[#All],2,0),VLOOKUP(Proc[[#This Row],[Author]],Table4[],2,0))</f>
        <v>HC</v>
      </c>
      <c r="L3600" s="129" t="s">
        <v>4896</v>
      </c>
      <c r="M3600" s="127">
        <v>45884</v>
      </c>
      <c r="N3600" s="127"/>
      <c r="O3600" s="127"/>
      <c r="P3600" s="130" t="str">
        <f ca="1">IF(Proc[[#This Row],[DaysAgeing]]&gt;5,"yep","on track")</f>
        <v>on track</v>
      </c>
      <c r="Q3600" s="3">
        <f ca="1">IF(Proc[[#This Row],[DateClosed]]="",ABS(NETWORKDAYS(Proc[[#This Row],[DateOpened]],TODAY()))-1,ABS(NETWORKDAYS(Proc[[#This Row],[DateOpened]],Proc[[#This Row],[DateClosed]]))-1)</f>
        <v>0</v>
      </c>
      <c r="R3600" s="130" t="s">
        <v>5688</v>
      </c>
      <c r="S3600" s="129"/>
    </row>
    <row r="3601" spans="1:19">
      <c r="A3601" t="s">
        <v>5702</v>
      </c>
      <c r="B3601" s="129" t="str">
        <f>IFERROR(VLOOKUP(Proc[[#This Row],[App]],Table2[],3,0),"open")</f>
        <v>open</v>
      </c>
      <c r="C3601" s="128" t="s">
        <v>370</v>
      </c>
      <c r="D3601" t="s">
        <v>5703</v>
      </c>
      <c r="E3601" t="s">
        <v>5704</v>
      </c>
      <c r="F3601" s="129" t="s">
        <v>5719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0</v>
      </c>
      <c r="K3601" s="129" t="str">
        <f>IF(Proc[[#This Row],[Author]]="Marcela Urrego",VLOOKUP(LEFT(Proc[[#This Row],[Requested]],1),Table3[#All],2,0),VLOOKUP(Proc[[#This Row],[Author]],Table4[],2,0))</f>
        <v>HC</v>
      </c>
      <c r="L3601" s="129" t="s">
        <v>4896</v>
      </c>
      <c r="M3601" s="127">
        <v>45884</v>
      </c>
      <c r="N3601" s="127"/>
      <c r="O3601" s="127"/>
      <c r="P3601" s="130" t="str">
        <f ca="1">IF(Proc[[#This Row],[DaysAgeing]]&gt;5,"yep","on track")</f>
        <v>on track</v>
      </c>
      <c r="Q3601" s="3">
        <f ca="1">IF(Proc[[#This Row],[DateClosed]]="",ABS(NETWORKDAYS(Proc[[#This Row],[DateOpened]],TODAY()))-1,ABS(NETWORKDAYS(Proc[[#This Row],[DateOpened]],Proc[[#This Row],[DateClosed]]))-1)</f>
        <v>0</v>
      </c>
      <c r="R3601" s="130" t="s">
        <v>5688</v>
      </c>
      <c r="S3601" s="129"/>
    </row>
  </sheetData>
  <phoneticPr fontId="0" type="noConversion"/>
  <conditionalFormatting sqref="D642">
    <cfRule type="duplicateValues" dxfId="19" priority="3"/>
  </conditionalFormatting>
  <conditionalFormatting sqref="D1017:D1042">
    <cfRule type="duplicateValues" dxfId="18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G2:G3601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H31" sqref="H31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33"/>
  <sheetViews>
    <sheetView topLeftCell="A121" workbookViewId="0">
      <selection activeCell="B133" sqref="B133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2891</v>
      </c>
      <c r="B125" t="s">
        <v>568</v>
      </c>
    </row>
    <row r="126" spans="1:2">
      <c r="A126" s="86" t="s">
        <v>3285</v>
      </c>
      <c r="B126" t="s">
        <v>569</v>
      </c>
    </row>
    <row r="127" spans="1:2">
      <c r="A127" t="s">
        <v>3291</v>
      </c>
      <c r="B127" t="s">
        <v>568</v>
      </c>
    </row>
    <row r="128" spans="1:2">
      <c r="A128" s="90" t="s">
        <v>3640</v>
      </c>
      <c r="B128" s="93" t="s">
        <v>569</v>
      </c>
    </row>
    <row r="129" spans="1:2">
      <c r="A129" s="110" t="s">
        <v>4418</v>
      </c>
      <c r="B129" s="103" t="s">
        <v>569</v>
      </c>
    </row>
    <row r="130" spans="1:2">
      <c r="A130" t="s">
        <v>4822</v>
      </c>
      <c r="B130" s="117" t="s">
        <v>568</v>
      </c>
    </row>
    <row r="131" spans="1:2">
      <c r="A131" t="s">
        <v>4821</v>
      </c>
      <c r="B131" s="117" t="s">
        <v>568</v>
      </c>
    </row>
    <row r="132" spans="1:2">
      <c r="A132" s="115" t="s">
        <v>5503</v>
      </c>
      <c r="B132" t="s">
        <v>570</v>
      </c>
    </row>
    <row r="133" spans="1:2">
      <c r="A133" t="s">
        <v>5688</v>
      </c>
      <c r="B133" t="s">
        <v>569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Application xmlns="http://www.sap.com/cof/excel/application">
  <Version>2</Version>
  <Revision>2.6.200.79950</Revision>
</Application>
</file>

<file path=customXml/item2.xml>�� 
</file>

<file path=customXml/itemProps1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customXml/itemProps2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KPI</vt:lpstr>
      <vt:lpstr>Report</vt:lpstr>
      <vt:lpstr>OK</vt:lpstr>
      <vt:lpstr>PROC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2025-08-15T15:09:37Z</dcterms:modified>
  <cp:category/>
  <cp:contentStatus/>
</cp:coreProperties>
</file>