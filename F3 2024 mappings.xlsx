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93E3107-0460-4A3C-82E2-9919702767F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131" i="1" l="1"/>
  <c r="J4131" i="1"/>
  <c r="J4129" i="1"/>
  <c r="J4128" i="1"/>
  <c r="J4126" i="1"/>
  <c r="J4124" i="1"/>
  <c r="J4123" i="1"/>
  <c r="J4122" i="1"/>
  <c r="J4121" i="1"/>
  <c r="B4131" i="1"/>
  <c r="H4131" i="1"/>
  <c r="Q4131" i="1"/>
  <c r="P4131" i="1" s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K4120" i="1"/>
  <c r="K4121" i="1"/>
  <c r="K4122" i="1"/>
  <c r="K4123" i="1"/>
  <c r="K4124" i="1"/>
  <c r="K4125" i="1"/>
  <c r="K4126" i="1"/>
  <c r="K4127" i="1"/>
  <c r="K4128" i="1"/>
  <c r="K4129" i="1"/>
  <c r="K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 l="1"/>
  <c r="B4119" i="1"/>
  <c r="H4119" i="1"/>
  <c r="K4119" i="1"/>
  <c r="Q4119" i="1"/>
  <c r="P4119" i="1" s="1"/>
  <c r="B4006" i="1" l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B4005" i="1"/>
  <c r="H4005" i="1"/>
  <c r="J4005" i="1"/>
  <c r="K4005" i="1"/>
  <c r="Q4005" i="1"/>
  <c r="P4005" i="1" s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B3987" i="1"/>
  <c r="H3987" i="1"/>
  <c r="J3987" i="1"/>
  <c r="K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<sst xmlns="http://schemas.openxmlformats.org/spreadsheetml/2006/main" count="36913" uniqueCount="6224">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</sst>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8.858962962964" createdVersion="7" refreshedVersion="7" minRefreshableVersion="3" recordCount="4130" xr:uid="{11839AE3-6158-4318-87AD-2C711D0BF451}">
  <cacheSource type="worksheet">
    <worksheetSource name="Proc"/>
  </cacheSource>
  <cacheFields count="19">
    <cacheField name="App" numFmtId="0">
      <sharedItems containsBlank="1" count="15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2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0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9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9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8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8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4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4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1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1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1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1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1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1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1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1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1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1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1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0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0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9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9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9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9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9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9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9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8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8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8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7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7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7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7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7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7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7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7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7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7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7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7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7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7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7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7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7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7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7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7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7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7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7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7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7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7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7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7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7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7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7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7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7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7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7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7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7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7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6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6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5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4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4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4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9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7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0"/>
    <n v="5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0"/>
    <n v="5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0"/>
    <n v="5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0"/>
    <n v="5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0"/>
    <n v="5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0"/>
    <n v="5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0"/>
    <n v="5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0"/>
    <n v="5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0"/>
    <n v="5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0"/>
    <n v="5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0"/>
    <n v="5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0"/>
    <n v="5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0"/>
    <n v="5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4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4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4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4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4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4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4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4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4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4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4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4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4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4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4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4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4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4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4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4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4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4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4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4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4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4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4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4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4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4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4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4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4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4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4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4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4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4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4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4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4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4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4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4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4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4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4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4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4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4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4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4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4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4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4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4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4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4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4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4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4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4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4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4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4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4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4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4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4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4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4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4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4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4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4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4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4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4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4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4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4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4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4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4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4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4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4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4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4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4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4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4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4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4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4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4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4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4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4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4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4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4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4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4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4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4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4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4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4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4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4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4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4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4"/>
    <s v="Robert Coman"/>
    <m/>
  </r>
  <r>
    <x v="359"/>
    <x v="1"/>
    <x v="5"/>
    <s v="CEMERAL_70001058600"/>
    <s v="L000012407"/>
    <m/>
    <s v="Non-LFF"/>
    <s v=""/>
    <m/>
    <b v="0"/>
    <x v="2"/>
    <x v="3"/>
    <d v="2025-09-02T00:00:00"/>
    <m/>
    <m/>
    <x v="0"/>
    <n v="4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0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0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0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0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0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0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0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0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0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0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0"/>
    <s v="Robert Coman"/>
    <m/>
  </r>
  <r>
    <x v="361"/>
    <x v="1"/>
    <x v="5"/>
    <s v="CTEMPEU_1000PL80GMK003"/>
    <s v="G000001362"/>
    <m/>
    <s v="Non-LFF"/>
    <s v=""/>
    <m/>
    <b v="0"/>
    <x v="0"/>
    <x v="3"/>
    <d v="2025-09-08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4" firstHeaderRow="1" firstDataRow="1" firstDataCol="1" rowPageCount="1" colPageCount="1"/>
  <pivotFields count="19">
    <pivotField axis="axisRow" showAll="0" sortType="ascending">
      <items count="1544">
        <item m="1" x="928"/>
        <item x="0"/>
        <item m="1" x="998"/>
        <item m="1" x="1419"/>
        <item m="1" x="581"/>
        <item m="1" x="1436"/>
        <item m="1" x="958"/>
        <item m="1" x="1048"/>
        <item m="1" x="1469"/>
        <item m="1" x="1263"/>
        <item m="1" x="951"/>
        <item m="1" x="1535"/>
        <item m="1" x="1281"/>
        <item m="1" x="1525"/>
        <item m="1" x="899"/>
        <item m="1" x="800"/>
        <item m="1" x="504"/>
        <item m="1" x="765"/>
        <item m="1" x="1489"/>
        <item m="1" x="557"/>
        <item m="1" x="865"/>
        <item m="1" x="1233"/>
        <item m="1" x="948"/>
        <item m="1" x="1041"/>
        <item m="1" x="1337"/>
        <item m="1" x="1522"/>
        <item m="1" x="983"/>
        <item m="1" x="1005"/>
        <item m="1" x="770"/>
        <item m="1" x="1171"/>
        <item m="1" x="930"/>
        <item m="1" x="1476"/>
        <item m="1" x="1133"/>
        <item m="1" x="566"/>
        <item m="1" x="674"/>
        <item m="1" x="1461"/>
        <item m="1" x="1225"/>
        <item m="1" x="479"/>
        <item m="1" x="1311"/>
        <item m="1" x="977"/>
        <item m="1" x="1272"/>
        <item m="1" x="858"/>
        <item m="1" x="1210"/>
        <item m="1" x="469"/>
        <item m="1" x="499"/>
        <item m="1" x="1538"/>
        <item m="1" x="1217"/>
        <item m="1" x="1285"/>
        <item m="1" x="1392"/>
        <item m="1" x="1161"/>
        <item m="1" x="1259"/>
        <item m="1" x="1098"/>
        <item m="1" x="553"/>
        <item m="1" x="744"/>
        <item m="1" x="1520"/>
        <item m="1" x="1088"/>
        <item m="1" x="1228"/>
        <item m="1" x="756"/>
        <item m="1" x="717"/>
        <item m="1" x="1009"/>
        <item m="1" x="901"/>
        <item m="1" x="934"/>
        <item m="1" x="493"/>
        <item m="1" x="632"/>
        <item m="1" x="1294"/>
        <item m="1" x="1511"/>
        <item m="1" x="697"/>
        <item m="1" x="1102"/>
        <item m="1" x="1112"/>
        <item m="1" x="1289"/>
        <item m="1" x="1399"/>
        <item m="1" x="1277"/>
        <item m="1" x="572"/>
        <item m="1" x="1420"/>
        <item m="1" x="1150"/>
        <item m="1" x="1137"/>
        <item m="1" x="672"/>
        <item m="1" x="1025"/>
        <item m="1" x="1372"/>
        <item m="1" x="490"/>
        <item m="1" x="1069"/>
        <item m="1" x="1422"/>
        <item m="1" x="1260"/>
        <item m="1" x="995"/>
        <item m="1" x="1037"/>
        <item m="1" x="918"/>
        <item m="1" x="1153"/>
        <item m="1" x="965"/>
        <item m="1" x="1197"/>
        <item m="1" x="681"/>
        <item m="1" x="1510"/>
        <item m="1" x="1035"/>
        <item m="1" x="1321"/>
        <item m="1" x="398"/>
        <item m="1" x="1526"/>
        <item m="1" x="1062"/>
        <item m="1" x="1351"/>
        <item m="1" x="1264"/>
        <item m="1" x="1042"/>
        <item m="1" x="552"/>
        <item m="1" x="559"/>
        <item m="1" x="599"/>
        <item m="1" x="781"/>
        <item m="1" x="1205"/>
        <item m="1" x="966"/>
        <item m="1" x="1082"/>
        <item m="1" x="1145"/>
        <item m="1" x="1292"/>
        <item m="1" x="1375"/>
        <item m="1" x="937"/>
        <item m="1" x="658"/>
        <item m="1" x="501"/>
        <item m="1" x="644"/>
        <item m="1" x="1519"/>
        <item m="1" x="676"/>
        <item m="1" x="1357"/>
        <item m="1" x="1286"/>
        <item m="1" x="904"/>
        <item m="1" x="976"/>
        <item m="1" x="842"/>
        <item m="1" x="1099"/>
        <item m="1" x="1474"/>
        <item m="1" x="650"/>
        <item m="1" x="598"/>
        <item m="1" x="533"/>
        <item m="1" x="1199"/>
        <item m="1" x="1459"/>
        <item m="1" x="1387"/>
        <item m="1" x="1044"/>
        <item m="1" x="568"/>
        <item m="1" x="1293"/>
        <item m="1" x="745"/>
        <item m="1" x="999"/>
        <item m="1" x="1174"/>
        <item m="1" x="1282"/>
        <item m="1" x="402"/>
        <item m="1" x="1231"/>
        <item m="1" x="1194"/>
        <item m="1" x="635"/>
        <item m="1" x="1083"/>
        <item m="1" x="971"/>
        <item m="1" x="924"/>
        <item m="1" x="657"/>
        <item m="1" x="593"/>
        <item m="1" x="833"/>
        <item m="1" x="1020"/>
        <item m="1" x="427"/>
        <item m="1" x="766"/>
        <item m="1" x="625"/>
        <item m="1" x="367"/>
        <item m="1" x="877"/>
        <item m="1" x="1078"/>
        <item m="1" x="960"/>
        <item m="1" x="1006"/>
        <item m="1" x="1325"/>
        <item m="1" x="907"/>
        <item m="1" x="1433"/>
        <item m="1" x="1157"/>
        <item m="1" x="1096"/>
        <item m="1" x="610"/>
        <item m="1" x="1243"/>
        <item m="1" x="1521"/>
        <item m="1" x="1209"/>
        <item m="1" x="1193"/>
        <item m="1" x="480"/>
        <item m="1" x="528"/>
        <item m="1" x="1063"/>
        <item m="1" x="569"/>
        <item m="1" x="1506"/>
        <item m="1" x="1172"/>
        <item m="1" x="1097"/>
        <item m="1" x="1049"/>
        <item m="1" x="850"/>
        <item m="1" x="478"/>
        <item m="1" x="578"/>
        <item m="1" x="684"/>
        <item m="1" x="1417"/>
        <item m="1" x="1449"/>
        <item m="1" x="1148"/>
        <item m="1" x="875"/>
        <item m="1" x="963"/>
        <item m="1" x="473"/>
        <item m="1" x="513"/>
        <item m="1" x="852"/>
        <item m="1" x="1077"/>
        <item m="1" x="990"/>
        <item m="1" x="648"/>
        <item m="1" x="881"/>
        <item m="1" x="595"/>
        <item m="1" x="790"/>
        <item m="1" x="712"/>
        <item m="1" x="547"/>
        <item m="1" x="683"/>
        <item m="1" x="1053"/>
        <item m="1" x="463"/>
        <item m="1" x="702"/>
        <item m="1" x="494"/>
        <item m="1" x="1187"/>
        <item m="1" x="1376"/>
        <item m="1" x="986"/>
        <item m="1" x="630"/>
        <item m="1" x="1280"/>
        <item m="1" x="1125"/>
        <item m="1" x="642"/>
        <item m="1" x="643"/>
        <item m="1" x="828"/>
        <item m="1" x="518"/>
        <item m="1" x="707"/>
        <item m="1" x="502"/>
        <item m="1" x="688"/>
        <item m="1" x="1256"/>
        <item m="1" x="767"/>
        <item m="1" x="1134"/>
        <item m="1" x="1184"/>
        <item m="1" x="1318"/>
        <item m="1" x="1322"/>
        <item m="1" x="1039"/>
        <item m="1" x="880"/>
        <item m="1" x="919"/>
        <item m="1" x="1486"/>
        <item m="1" x="779"/>
        <item m="1" x="591"/>
        <item m="1" x="969"/>
        <item m="1" x="426"/>
        <item m="1" x="1490"/>
        <item m="1" x="953"/>
        <item m="1" x="387"/>
        <item m="1" x="1408"/>
        <item m="1" x="1451"/>
        <item m="1" x="1288"/>
        <item m="1" x="665"/>
        <item m="1" x="404"/>
        <item m="1" x="1338"/>
        <item m="1" x="729"/>
        <item m="1" x="365"/>
        <item m="1" x="1509"/>
        <item m="1" x="753"/>
        <item m="1" x="908"/>
        <item m="1" x="1353"/>
        <item m="1" x="440"/>
        <item m="1" x="1265"/>
        <item m="1" x="1073"/>
        <item m="1" x="938"/>
        <item m="1" x="808"/>
        <item m="1" x="555"/>
        <item m="1" x="1056"/>
        <item m="1" x="758"/>
        <item m="1" x="1296"/>
        <item m="1" x="618"/>
        <item m="1" x="1366"/>
        <item m="1" x="1373"/>
        <item m="1" x="1057"/>
        <item m="1" x="1247"/>
        <item m="1" x="664"/>
        <item m="1" x="961"/>
        <item m="1" x="1250"/>
        <item m="1" x="834"/>
        <item m="1" x="1124"/>
        <item m="1" x="763"/>
        <item m="1" x="548"/>
        <item m="1" x="752"/>
        <item m="1" x="1518"/>
        <item m="1" x="1460"/>
        <item m="1" x="605"/>
        <item m="1" x="1406"/>
        <item m="1" x="412"/>
        <item m="1" x="1428"/>
        <item m="1" x="447"/>
        <item m="1" x="749"/>
        <item m="1" x="847"/>
        <item m="1" x="794"/>
        <item m="1" x="1401"/>
        <item m="1" x="1304"/>
        <item m="1" x="545"/>
        <item m="1" x="1115"/>
        <item m="1" x="1323"/>
        <item m="1" x="1457"/>
        <item m="1" x="1364"/>
        <item m="1" x="450"/>
        <item m="1" x="1530"/>
        <item m="1" x="601"/>
        <item m="1" x="882"/>
        <item m="1" x="1326"/>
        <item m="1" x="449"/>
        <item m="1" x="1385"/>
        <item m="1" x="614"/>
        <item m="1" x="1258"/>
        <item m="1" x="1122"/>
        <item m="1" x="1100"/>
        <item m="1" x="679"/>
        <item m="1" x="641"/>
        <item m="1" x="1453"/>
        <item m="1" x="394"/>
        <item m="1" x="576"/>
        <item m="1" x="1235"/>
        <item m="1" x="1346"/>
        <item m="1" x="1273"/>
        <item m="1" x="1477"/>
        <item m="1" x="981"/>
        <item m="1" x="608"/>
        <item m="1" x="728"/>
        <item m="1" x="1047"/>
        <item m="1" x="789"/>
        <item m="1" x="1117"/>
        <item m="1" x="730"/>
        <item m="1" x="532"/>
        <item m="1" x="1185"/>
        <item m="1" x="587"/>
        <item m="1" x="467"/>
        <item m="1" x="1319"/>
        <item m="1" x="1466"/>
        <item m="1" x="1167"/>
        <item m="1" x="432"/>
        <item m="1" x="1358"/>
        <item m="1" x="1156"/>
        <item m="1" x="1266"/>
        <item m="1" x="1405"/>
        <item m="1" x="633"/>
        <item m="1" x="825"/>
        <item m="1" x="663"/>
        <item m="1" x="931"/>
        <item m="1" x="855"/>
        <item m="1" x="885"/>
        <item m="1" x="1421"/>
        <item m="1" x="867"/>
        <item m="1" x="1070"/>
        <item m="1" x="602"/>
        <item m="1" x="801"/>
        <item m="1" x="775"/>
        <item m="1" x="1118"/>
        <item m="1" x="1021"/>
        <item m="1" x="1249"/>
        <item m="1" x="771"/>
        <item m="1" x="1407"/>
        <item m="1" x="609"/>
        <item m="1" x="535"/>
        <item m="1" x="791"/>
        <item m="1" x="1332"/>
        <item m="1" x="442"/>
        <item m="1" x="443"/>
        <item m="1" x="739"/>
        <item m="1" x="1412"/>
        <item m="1" x="806"/>
        <item m="1" x="451"/>
        <item m="1" x="611"/>
        <item m="1" x="853"/>
        <item m="1" x="1164"/>
        <item m="1" x="1136"/>
        <item m="1" x="807"/>
        <item m="1" x="388"/>
        <item m="1" x="526"/>
        <item m="1" x="738"/>
        <item m="1" x="626"/>
        <item m="1" x="383"/>
        <item m="1" x="1336"/>
        <item m="1" x="1465"/>
        <item m="1" x="935"/>
        <item m="1" x="1365"/>
        <item m="1" x="1425"/>
        <item m="1" x="448"/>
        <item m="1" x="1463"/>
        <item m="1" x="1201"/>
        <item m="1" x="624"/>
        <item m="1" x="810"/>
        <item m="1" x="714"/>
        <item m="1" x="1076"/>
        <item m="1" x="647"/>
        <item m="1" x="863"/>
        <item m="1" x="1158"/>
        <item m="1" x="1283"/>
        <item m="1" x="786"/>
        <item m="1" x="914"/>
        <item m="1" x="726"/>
        <item m="1" x="652"/>
        <item m="1" x="1163"/>
        <item m="1" x="1278"/>
        <item m="1" x="1440"/>
        <item m="1" x="482"/>
        <item m="1" x="686"/>
        <item m="1" x="1126"/>
        <item m="1" x="527"/>
        <item m="1" x="814"/>
        <item m="1" x="1195"/>
        <item m="1" x="460"/>
        <item m="1" x="670"/>
        <item m="1" x="780"/>
        <item m="1" x="1386"/>
        <item m="1" x="619"/>
        <item m="1" x="889"/>
        <item m="1" x="1442"/>
        <item m="1" x="570"/>
        <item m="1" x="759"/>
        <item m="1" x="947"/>
        <item m="1" x="1284"/>
        <item m="1" x="582"/>
        <item m="1" x="838"/>
        <item m="1" x="680"/>
        <item m="1" x="1176"/>
        <item m="1" x="1362"/>
        <item m="1" x="488"/>
        <item m="1" x="708"/>
        <item m="1" x="1444"/>
        <item m="1" x="1409"/>
        <item m="1" x="509"/>
        <item m="1" x="826"/>
        <item m="1" x="1350"/>
        <item m="1" x="1481"/>
        <item m="1" x="1352"/>
        <item m="1" x="1327"/>
        <item m="1" x="458"/>
        <item m="1" x="634"/>
        <item m="1" x="716"/>
        <item m="1" x="705"/>
        <item m="1" x="932"/>
        <item m="1" x="420"/>
        <item m="1" x="1119"/>
        <item m="1" x="1190"/>
        <item m="1" x="372"/>
        <item m="1" x="1450"/>
        <item m="1" x="1312"/>
        <item m="1" x="1441"/>
        <item m="1" x="1471"/>
        <item m="1" x="1507"/>
        <item m="1" x="1445"/>
        <item m="1" x="809"/>
        <item m="1" x="1169"/>
        <item m="1" x="776"/>
        <item m="1" x="1182"/>
        <item m="1" x="1147"/>
        <item m="1" x="585"/>
        <item m="1" x="623"/>
        <item m="1" x="761"/>
        <item m="1" x="1226"/>
        <item m="1" x="746"/>
        <item m="1" x="492"/>
        <item m="1" x="1491"/>
        <item m="1" x="1241"/>
        <item m="1" x="1074"/>
        <item m="1" x="1106"/>
        <item m="1" x="1155"/>
        <item m="1" x="580"/>
        <item m="1" x="922"/>
        <item m="1" x="1267"/>
        <item m="1" x="418"/>
        <item m="1" x="661"/>
        <item m="1" x="561"/>
        <item m="1" x="558"/>
        <item m="1" x="562"/>
        <item m="1" x="363"/>
        <item m="1" x="584"/>
        <item m="1" x="1381"/>
        <item m="1" x="385"/>
        <item m="1" x="1031"/>
        <item m="1" x="1468"/>
        <item m="1" x="1279"/>
        <item m="1" x="539"/>
        <item m="1" x="1539"/>
        <item m="1" x="468"/>
        <item m="1" x="835"/>
        <item m="1" x="1058"/>
        <item m="1" x="514"/>
        <item m="1" x="967"/>
        <item m="1" x="1127"/>
        <item m="1" x="1395"/>
        <item m="1" x="1297"/>
        <item m="1" x="376"/>
        <item m="1" x="1059"/>
        <item m="1" x="459"/>
        <item m="1" x="695"/>
        <item m="1" x="667"/>
        <item m="1" x="429"/>
        <item m="1" x="1022"/>
        <item m="1" x="1029"/>
        <item m="1" x="1129"/>
        <item m="1" x="878"/>
        <item m="1" x="1378"/>
        <item m="1" x="787"/>
        <item m="1" x="1497"/>
        <item m="1" x="1132"/>
        <item m="1" x="1023"/>
        <item m="1" x="687"/>
        <item m="1" x="1095"/>
        <item m="1" x="1393"/>
        <item m="1" x="1458"/>
        <item m="1" x="1437"/>
        <item m="1" x="1367"/>
        <item m="1" x="1116"/>
        <item m="1" x="1229"/>
        <item m="1" x="742"/>
        <item m="1" x="1191"/>
        <item m="1" x="1016"/>
        <item m="1" x="975"/>
        <item m="1" x="973"/>
        <item m="1" x="974"/>
        <item m="1" x="671"/>
        <item m="1" x="715"/>
        <item m="1" x="1328"/>
        <item m="1" x="893"/>
        <item m="1" x="735"/>
        <item m="1" x="777"/>
        <item m="1" x="823"/>
        <item m="1" x="1075"/>
        <item m="1" x="1413"/>
        <item m="1" x="1502"/>
        <item m="1" x="620"/>
        <item m="1" x="571"/>
        <item m="1" x="408"/>
        <item m="1" x="430"/>
        <item m="1" x="727"/>
        <item m="1" x="515"/>
        <item m="1" x="843"/>
        <item m="1" x="1379"/>
        <item m="1" x="720"/>
        <item m="1" x="512"/>
        <item m="1" x="1271"/>
        <item m="1" x="389"/>
        <item m="1" x="1397"/>
        <item m="1" x="1472"/>
        <item m="1" x="1536"/>
        <item m="1" x="1411"/>
        <item m="1" x="654"/>
        <item m="1" x="431"/>
        <item m="1" x="895"/>
        <item m="1" x="979"/>
        <item m="1" x="1175"/>
        <item m="1" x="1143"/>
        <item m="1" x="1179"/>
        <item m="1" x="956"/>
        <item m="1" x="994"/>
        <item m="1" x="1435"/>
        <item m="1" x="1198"/>
        <item m="1" x="1168"/>
        <item m="1" x="1107"/>
        <item m="1" x="1180"/>
        <item m="1" x="381"/>
        <item m="1" x="386"/>
        <item m="1" x="989"/>
        <item m="1" x="1374"/>
        <item m="1" x="944"/>
        <item m="1" x="1514"/>
        <item m="1" x="913"/>
        <item m="1" x="1089"/>
        <item m="1" x="1160"/>
        <item m="1" x="774"/>
        <item m="1" x="606"/>
        <item m="1" x="982"/>
        <item m="1" x="668"/>
        <item m="1" x="1523"/>
        <item m="1" x="1438"/>
        <item m="1" x="1251"/>
        <item m="1" x="508"/>
        <item m="1" x="435"/>
        <item m="1" x="1008"/>
        <item m="1" x="1252"/>
        <item m="1" x="1541"/>
        <item m="1" x="887"/>
        <item m="1" x="1488"/>
        <item m="1" x="422"/>
        <item m="1" x="536"/>
        <item m="1" x="848"/>
        <item m="1" x="939"/>
        <item m="1" x="1368"/>
        <item m="1" x="692"/>
        <item m="1" x="1371"/>
        <item m="1" x="788"/>
        <item m="1" x="1360"/>
        <item m="1" x="1524"/>
        <item m="1" x="452"/>
        <item m="1" x="1508"/>
        <item m="1" x="399"/>
        <item m="1" x="1261"/>
        <item m="1" x="879"/>
        <item m="1" x="710"/>
        <item m="1" x="673"/>
        <item m="1" x="817"/>
        <item m="1" x="416"/>
        <item m="1" x="1501"/>
        <item m="1" x="500"/>
        <item m="1" x="521"/>
        <item m="1" x="1394"/>
        <item m="1" x="1473"/>
        <item m="1" x="987"/>
        <item m="1" x="1128"/>
        <item m="1" x="829"/>
        <item m="1" x="942"/>
        <item m="1" x="1091"/>
        <item m="1" x="1208"/>
        <item m="1" x="795"/>
        <item m="1" x="1071"/>
        <item m="1" x="890"/>
        <item m="1" x="1527"/>
        <item m="1" x="380"/>
        <item m="1" x="819"/>
        <item m="1" x="760"/>
        <item m="1" x="721"/>
        <item m="1" x="1515"/>
        <item m="1" x="1333"/>
        <item m="1" x="1464"/>
        <item m="1" x="477"/>
        <item m="1" x="1475"/>
        <item m="1" x="1462"/>
        <item m="1" x="1339"/>
        <item m="1" x="574"/>
        <item m="1" x="943"/>
        <item m="1" x="1036"/>
        <item m="1" x="782"/>
        <item m="1" x="1380"/>
        <item m="1" x="1166"/>
        <item m="1" x="1186"/>
        <item m="1" x="1080"/>
        <item m="1" x="423"/>
        <item m="1" x="1253"/>
        <item m="1" x="1415"/>
        <item m="1" x="820"/>
        <item m="1" x="1534"/>
        <item m="1" x="1028"/>
        <item m="1" x="615"/>
        <item m="1" x="748"/>
        <item m="1" x="784"/>
        <item m="1" x="1443"/>
        <item m="1" x="1427"/>
        <item m="1" x="487"/>
        <item m="1" x="489"/>
        <item m="1" x="403"/>
        <item m="1" x="1363"/>
        <item m="1" x="405"/>
        <item m="1" x="822"/>
        <item m="1" x="722"/>
        <item m="1" x="1178"/>
        <item m="1" x="1121"/>
        <item m="1" x="1470"/>
        <item m="1" x="1402"/>
        <item m="1" x="894"/>
        <item m="1" x="1108"/>
        <item m="1" x="1343"/>
        <item m="1" x="456"/>
        <item m="1" x="888"/>
        <item m="1" x="818"/>
        <item m="1" x="1512"/>
        <item m="1" x="1479"/>
        <item m="1" x="910"/>
        <item m="1" x="516"/>
        <item m="1" x="811"/>
        <item m="1" x="984"/>
        <item m="1" x="438"/>
        <item m="1" x="1274"/>
        <item m="1" x="868"/>
        <item m="1" x="678"/>
        <item m="1" x="772"/>
        <item m="1" x="1218"/>
        <item m="1" x="1517"/>
        <item m="1" x="596"/>
        <item m="1" x="1369"/>
        <item m="1" x="590"/>
        <item m="1" x="1154"/>
        <item m="1" x="926"/>
        <item m="1" x="857"/>
        <item m="1" x="579"/>
        <item m="1" x="646"/>
        <item m="1" x="434"/>
        <item m="1" x="1234"/>
        <item m="1" x="747"/>
        <item m="1" x="471"/>
        <item m="1" x="1085"/>
        <item m="1" x="1400"/>
        <item m="1" x="940"/>
        <item m="1" x="898"/>
        <item m="1" x="369"/>
        <item m="1" x="1505"/>
        <item m="1" x="755"/>
        <item m="1" x="815"/>
        <item m="1" x="1222"/>
        <item m="1" x="1499"/>
        <item m="1" x="1424"/>
        <item m="1" x="1275"/>
        <item m="1" x="1390"/>
        <item m="1" x="551"/>
        <item m="1" x="750"/>
        <item m="1" x="583"/>
        <item m="1" x="375"/>
        <item m="1" x="988"/>
        <item m="1" x="437"/>
        <item m="1" x="659"/>
        <item m="1" x="603"/>
        <item m="1" x="549"/>
        <item m="1" x="1504"/>
        <item m="1" x="600"/>
        <item m="1" x="1202"/>
        <item m="1" x="1414"/>
        <item m="1" x="540"/>
        <item m="1" x="444"/>
        <item m="1" x="1237"/>
        <item m="1" x="1213"/>
        <item m="1" x="1254"/>
        <item m="1" x="1173"/>
        <item m="1" x="517"/>
        <item m="1" x="873"/>
        <item m="1" x="1141"/>
        <item m="1" x="1391"/>
        <item m="1" x="985"/>
        <item m="1" x="1103"/>
        <item m="1" x="1447"/>
        <item m="1" x="859"/>
        <item m="1" x="703"/>
        <item m="1" x="936"/>
        <item m="1" x="883"/>
        <item m="1" x="813"/>
        <item m="1" x="1330"/>
        <item m="1" x="1017"/>
        <item m="1" x="1113"/>
        <item m="1" x="364"/>
        <item m="1" x="909"/>
        <item m="1" x="511"/>
        <item m="1" x="778"/>
        <item m="1" x="916"/>
        <item m="1" x="446"/>
        <item m="1" x="563"/>
        <item m="1" x="1018"/>
        <item m="1" x="1215"/>
        <item m="1" x="1485"/>
        <item m="1" x="1528"/>
        <item m="1" x="1138"/>
        <item m="1" x="486"/>
        <item m="1" x="414"/>
        <item m="1" x="1000"/>
        <item m="1" x="622"/>
        <item m="1" x="896"/>
        <item m="1" x="524"/>
        <item m="1" x="627"/>
        <item m="1" x="1054"/>
        <item m="1" x="1410"/>
        <item m="1" x="1341"/>
        <item m="1" x="757"/>
        <item m="1" x="792"/>
        <item m="1" x="1068"/>
        <item m="1" x="1498"/>
        <item m="1" x="1224"/>
        <item m="1" x="390"/>
        <item m="1" x="1452"/>
        <item m="1" x="498"/>
        <item m="1" x="1144"/>
        <item m="1" x="1189"/>
        <item m="1" x="1192"/>
        <item m="1" x="1532"/>
        <item m="1" x="425"/>
        <item m="1" x="1203"/>
        <item m="1" x="1300"/>
        <item m="1" x="1072"/>
        <item m="1" x="1242"/>
        <item m="1" x="484"/>
        <item m="1" x="876"/>
        <item m="1" x="723"/>
        <item m="1" x="1335"/>
        <item m="1" x="1430"/>
        <item m="1" x="959"/>
        <item m="1" x="1398"/>
        <item m="1" x="1446"/>
        <item m="1" x="799"/>
        <item m="1" x="1302"/>
        <item m="1" x="1165"/>
        <item m="1" x="1448"/>
        <item m="1" x="1492"/>
        <item m="1" x="1230"/>
        <item m="1" x="840"/>
        <item m="1" x="645"/>
        <item m="1" x="1480"/>
        <item m="1" x="1027"/>
        <item m="1" x="1001"/>
        <item m="1" x="1010"/>
        <item m="1" x="1531"/>
        <item m="1" x="1255"/>
        <item m="1" x="950"/>
        <item m="1" x="1219"/>
        <item m="1" x="1196"/>
        <item m="1" x="812"/>
        <item m="1" x="713"/>
        <item m="1" x="1212"/>
        <item m="1" x="607"/>
        <item m="1" x="564"/>
        <item m="1" x="506"/>
        <item m="1" x="1493"/>
        <item m="1" x="1109"/>
        <item m="1" x="844"/>
        <item m="1" x="925"/>
        <item m="1" x="406"/>
        <item m="1" x="1482"/>
        <item m="1" x="1033"/>
        <item m="1" x="1181"/>
        <item m="1" x="629"/>
        <item m="1" x="1313"/>
        <item m="1" x="816"/>
        <item m="1" x="709"/>
        <item m="1" x="1537"/>
        <item m="1" x="839"/>
        <item m="1" x="1478"/>
        <item m="1" x="1064"/>
        <item m="1" x="740"/>
        <item m="1" x="531"/>
        <item m="1" x="474"/>
        <item m="1" x="768"/>
        <item m="1" x="465"/>
        <item m="1" x="436"/>
        <item m="1" x="453"/>
        <item m="1" x="732"/>
        <item m="1" x="577"/>
        <item m="1" x="884"/>
        <item m="1" x="941"/>
        <item m="1" x="1040"/>
        <item m="1" x="911"/>
        <item m="1" x="1244"/>
        <item m="1" x="1308"/>
        <item m="1" x="520"/>
        <item m="1" x="530"/>
        <item m="1" x="719"/>
        <item m="1" x="861"/>
        <item m="1" x="651"/>
        <item m="1" x="1204"/>
        <item m="1" x="954"/>
        <item m="1" x="871"/>
        <item m="1" x="1004"/>
        <item m="1" x="1310"/>
        <item m="1" x="1248"/>
        <item m="1" x="1334"/>
        <item m="1" x="1090"/>
        <item m="1" x="510"/>
        <item m="1" x="1516"/>
        <item m="1" x="929"/>
        <item m="1" x="544"/>
        <item m="1" x="368"/>
        <item m="1" x="1513"/>
        <item m="1" x="997"/>
        <item m="1" x="964"/>
        <item m="1" x="736"/>
        <item m="1" x="616"/>
        <item m="1" x="700"/>
        <item m="1" x="854"/>
        <item m="1" x="1429"/>
        <item m="1" x="1348"/>
        <item m="1" x="724"/>
        <item m="1" x="797"/>
        <item m="1" x="804"/>
        <item m="1" x="1342"/>
        <item m="1" x="945"/>
        <item m="1" x="417"/>
        <item m="1" x="978"/>
        <item m="1" x="1257"/>
        <item m="1" x="1383"/>
        <item m="1" x="1276"/>
        <item m="1" x="1084"/>
        <item m="1" x="1382"/>
        <item m="1" x="396"/>
        <item m="1" x="1299"/>
        <item m="1" x="378"/>
        <item m="1" x="718"/>
        <item m="1" x="382"/>
        <item m="1" x="541"/>
        <item m="1" x="631"/>
        <item m="1" x="637"/>
        <item m="1" x="1055"/>
        <item m="1" x="1309"/>
        <item m="1" x="836"/>
        <item m="1" x="407"/>
        <item m="1" x="613"/>
        <item m="1" x="401"/>
        <item m="1" x="1396"/>
        <item m="1" x="621"/>
        <item m="1" x="957"/>
        <item m="1" x="1416"/>
        <item m="1" x="743"/>
        <item m="1" x="685"/>
        <item m="1" x="1081"/>
        <item m="1" x="638"/>
        <item m="1" x="946"/>
        <item m="1" x="1240"/>
        <item m="1" x="379"/>
        <item m="1" x="892"/>
        <item m="1" x="1011"/>
        <item m="1" x="503"/>
        <item m="1" x="845"/>
        <item m="1" x="980"/>
        <item m="1" x="731"/>
        <item m="1" x="769"/>
        <item m="1" x="496"/>
        <item m="1" x="902"/>
        <item m="1" x="366"/>
        <item m="1" x="1038"/>
        <item m="1" x="1431"/>
        <item m="1" x="1152"/>
        <item m="1" x="1146"/>
        <item m="1" x="1045"/>
        <item m="1" x="371"/>
        <item m="1" x="1177"/>
        <item m="1" x="1220"/>
        <item m="1" x="1026"/>
        <item m="1" x="370"/>
        <item m="1" x="1377"/>
        <item m="1" x="1344"/>
        <item m="1" x="374"/>
        <item m="1" x="653"/>
        <item m="1" x="1043"/>
        <item m="1" x="1298"/>
        <item m="1" x="495"/>
        <item m="1" x="391"/>
        <item m="1" x="550"/>
        <item m="1" x="441"/>
        <item m="1" x="849"/>
        <item m="1" x="662"/>
        <item m="1" x="660"/>
        <item m="1" x="831"/>
        <item m="1" x="933"/>
        <item m="1" x="837"/>
        <item m="1" x="1034"/>
        <item m="1" x="886"/>
        <item m="1" x="751"/>
        <item m="1" x="866"/>
        <item m="1" x="1359"/>
        <item m="1" x="1454"/>
        <item m="1" x="711"/>
        <item m="1" x="1434"/>
        <item m="1" x="476"/>
        <item m="1" x="1423"/>
        <item m="1" x="1120"/>
        <item m="1" x="1291"/>
        <item m="1" x="1370"/>
        <item m="1" x="1050"/>
        <item m="1" x="1262"/>
        <item m="1" x="554"/>
        <item m="1" x="537"/>
        <item m="1" x="1159"/>
        <item m="1" x="1131"/>
        <item m="1" x="693"/>
        <item m="1" x="1529"/>
        <item m="1" x="1101"/>
        <item m="1" x="841"/>
        <item m="1" x="915"/>
        <item m="1" x="874"/>
        <item m="1" x="1384"/>
        <item m="1" x="1388"/>
        <item m="1" x="384"/>
        <item m="1" x="1268"/>
        <item m="1" x="1314"/>
        <item m="1" x="433"/>
        <item m="1" x="805"/>
        <item m="1" x="796"/>
        <item m="1" x="1303"/>
        <item m="1" x="1002"/>
        <item m="1" x="1206"/>
        <item m="1" x="872"/>
        <item m="1" x="1223"/>
        <item m="1" x="411"/>
        <item m="1" x="534"/>
        <item m="1" x="1503"/>
        <item m="1" x="1123"/>
        <item m="1" x="1495"/>
        <item m="1" x="415"/>
        <item m="1" x="675"/>
        <item m="1" x="491"/>
        <item m="1" x="424"/>
        <item m="1" x="439"/>
        <item m="1" x="991"/>
        <item m="1" x="1024"/>
        <item m="1" x="696"/>
        <item m="1" x="1114"/>
        <item m="1" x="1432"/>
        <item m="1" x="783"/>
        <item m="1" x="862"/>
        <item m="1" x="1012"/>
        <item m="1" x="1500"/>
        <item m="1" x="677"/>
        <item m="1" x="689"/>
        <item m="1" x="699"/>
        <item m="1" x="1320"/>
        <item m="1" x="1456"/>
        <item m="1" x="373"/>
        <item m="1" x="1200"/>
        <item m="1" x="1496"/>
        <item m="1" x="597"/>
        <item m="1" x="912"/>
        <item m="1" x="1533"/>
        <item m="1" x="1439"/>
        <item m="1" x="586"/>
        <item m="1" x="698"/>
        <item m="1" x="785"/>
        <item m="1" x="1110"/>
        <item m="1" x="1307"/>
        <item m="1" x="542"/>
        <item m="1" x="1013"/>
        <item m="1" x="538"/>
        <item m="1" x="507"/>
        <item m="1" x="455"/>
        <item m="1" x="1426"/>
        <item m="1" x="1019"/>
        <item m="1" x="1467"/>
        <item m="1" x="860"/>
        <item m="1" x="1484"/>
        <item m="1" x="1236"/>
        <item m="1" x="525"/>
        <item m="1" x="1340"/>
        <item m="1" x="1354"/>
        <item m="1" x="1014"/>
        <item m="1" x="1389"/>
        <item m="1" x="1227"/>
        <item m="1" x="1092"/>
        <item m="1" x="409"/>
        <item m="1" x="1238"/>
        <item m="1" x="970"/>
        <item m="1" x="903"/>
        <item m="1" x="1246"/>
        <item m="1" x="830"/>
        <item m="1" x="464"/>
        <item m="1" x="636"/>
        <item m="1" x="413"/>
        <item m="1" x="762"/>
        <item m="1" x="1140"/>
        <item m="1" x="725"/>
        <item m="1" x="588"/>
        <item m="1" x="803"/>
        <item m="1" x="481"/>
        <item m="1" x="733"/>
        <item m="1" x="604"/>
        <item m="1" x="955"/>
        <item m="1" x="1542"/>
        <item m="1" x="996"/>
        <item m="1" x="592"/>
        <item m="1" x="869"/>
        <item m="1" x="575"/>
        <item m="1" x="628"/>
        <item m="1" x="920"/>
        <item m="1" x="1188"/>
        <item m="1" x="905"/>
        <item m="1" x="1355"/>
        <item m="1" x="917"/>
        <item m="1" x="1151"/>
        <item m="1" x="466"/>
        <item m="1" x="949"/>
        <item m="1" x="589"/>
        <item m="1" x="519"/>
        <item m="1" x="1245"/>
        <item m="1" x="560"/>
        <item m="1" x="1269"/>
        <item m="1" x="461"/>
        <item m="1" x="1086"/>
        <item m="1" x="1093"/>
        <item m="1" x="497"/>
        <item m="1" x="1015"/>
        <item m="1" x="393"/>
        <item m="1" x="1216"/>
        <item m="1" x="921"/>
        <item m="1" x="1142"/>
        <item m="1" x="1111"/>
        <item m="1" x="1331"/>
        <item m="1" x="1104"/>
        <item m="1" x="682"/>
        <item m="1" x="1183"/>
        <item m="1" x="1317"/>
        <item m="1" x="1007"/>
        <item m="1" x="1139"/>
        <item m="1" x="472"/>
        <item m="1" x="1305"/>
        <item m="1" x="962"/>
        <item m="1" x="827"/>
        <item m="1" x="1211"/>
        <item m="1" x="737"/>
        <item m="1" x="1060"/>
        <item m="1" x="594"/>
        <item m="1" x="690"/>
        <item m="1" x="1087"/>
        <item m="1" x="856"/>
        <item m="1" x="400"/>
        <item m="1" x="734"/>
        <item m="1" x="1214"/>
        <item m="1" x="1316"/>
        <item m="1" x="419"/>
        <item m="1" x="704"/>
        <item m="1" x="639"/>
        <item m="1" x="972"/>
        <item m="1" x="1065"/>
        <item m="1" x="505"/>
        <item m="1" x="1487"/>
        <item m="1" x="470"/>
        <item m="1" x="543"/>
        <item m="1" x="1324"/>
        <item m="1" x="832"/>
        <item m="1" x="846"/>
        <item m="1" x="900"/>
        <item m="1" x="475"/>
        <item m="1" x="754"/>
        <item m="1" x="1149"/>
        <item m="1" x="1061"/>
        <item m="1" x="851"/>
        <item m="1" x="798"/>
        <item m="1" x="428"/>
        <item m="1" x="666"/>
        <item m="1" x="1130"/>
        <item m="1" x="764"/>
        <item m="1" x="927"/>
        <item m="1" x="864"/>
        <item m="1" x="1046"/>
        <item m="1" x="410"/>
        <item m="1" x="891"/>
        <item m="1" x="565"/>
        <item m="1" x="968"/>
        <item m="1" x="1094"/>
        <item m="1" x="1170"/>
        <item m="1" x="1105"/>
        <item m="1" x="1066"/>
        <item m="1" x="992"/>
        <item m="1" x="1403"/>
        <item m="1" x="1295"/>
        <item m="1" x="546"/>
        <item m="1" x="1287"/>
        <item m="1" x="741"/>
        <item m="1" x="1051"/>
        <item m="1" x="457"/>
        <item m="1" x="1030"/>
        <item m="1" x="897"/>
        <item m="1" x="1329"/>
        <item m="1" x="483"/>
        <item m="1" x="1540"/>
        <item m="1" x="522"/>
        <item m="1" x="462"/>
        <item m="1" x="1032"/>
        <item m="1" x="1232"/>
        <item m="1" x="1135"/>
        <item m="1" x="421"/>
        <item m="1" x="573"/>
        <item m="1" x="1361"/>
        <item m="1" x="1301"/>
        <item m="1" x="556"/>
        <item m="1" x="529"/>
        <item m="1" x="824"/>
        <item m="1" x="445"/>
        <item m="1" x="1052"/>
        <item m="1" x="485"/>
        <item m="1" x="655"/>
        <item m="1" x="952"/>
        <item m="1" x="1483"/>
        <item m="1" x="523"/>
        <item m="1" x="793"/>
        <item m="1" x="640"/>
        <item m="1" x="802"/>
        <item m="1" x="1356"/>
        <item m="1" x="1239"/>
        <item m="1" x="701"/>
        <item m="1" x="454"/>
        <item m="1" x="1404"/>
        <item m="1" x="567"/>
        <item m="1" x="1349"/>
        <item m="1" x="906"/>
        <item m="1" x="1290"/>
        <item m="1" x="649"/>
        <item m="1" x="821"/>
        <item m="1" x="1306"/>
        <item m="1" x="1494"/>
        <item m="1" x="1270"/>
        <item m="1" x="669"/>
        <item m="1" x="612"/>
        <item m="1" x="1315"/>
        <item m="1" x="1079"/>
        <item m="1" x="923"/>
        <item m="1" x="1347"/>
        <item m="1" x="395"/>
        <item m="1" x="392"/>
        <item m="1" x="1067"/>
        <item m="1" x="1207"/>
        <item m="1" x="1162"/>
        <item m="1" x="1345"/>
        <item m="1" x="870"/>
        <item m="1" x="617"/>
        <item m="1" x="691"/>
        <item m="1" x="1221"/>
        <item m="1" x="773"/>
        <item m="1" x="1003"/>
        <item m="1" x="1418"/>
        <item m="1" x="656"/>
        <item m="1" x="993"/>
        <item m="1" x="377"/>
        <item m="1" x="7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m="1" x="694"/>
        <item m="1" x="1455"/>
        <item m="1" x="397"/>
        <item m="1" x="3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0">
    <i>
      <x/>
    </i>
    <i r="1">
      <x v="1533"/>
    </i>
    <i r="2">
      <x v="3"/>
    </i>
    <i r="2">
      <x v="8"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31">
  <autoFilter ref="A1:C1277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31" totalsRowShown="0">
  <autoFilter ref="A1:S4131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1323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/>
    </row>
    <row r="7" spans="1:2">
      <c r="A7" s="111" t="s">
        <v>370</v>
      </c>
      <c r="B7" s="140">
        <v>4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/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385</v>
      </c>
    </row>
    <row r="25" spans="1:2">
      <c r="A25" s="111" t="s">
        <v>369</v>
      </c>
      <c r="B25" s="140">
        <v>369</v>
      </c>
    </row>
    <row r="26" spans="1:2">
      <c r="A26" s="111" t="s">
        <v>370</v>
      </c>
      <c r="B26" s="140">
        <v>14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4121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143</v>
      </c>
      <c r="C5"/>
      <c r="D5"/>
      <c r="E5"/>
    </row>
    <row r="6" spans="1:6">
      <c r="A6" s="111" t="s">
        <v>6163</v>
      </c>
      <c r="B6" s="140">
        <v>17</v>
      </c>
      <c r="C6" s="126"/>
      <c r="D6" s="124"/>
      <c r="E6" s="124"/>
    </row>
    <row r="7" spans="1:6">
      <c r="A7" s="112" t="s">
        <v>369</v>
      </c>
      <c r="B7" s="140">
        <v>14</v>
      </c>
      <c r="C7"/>
      <c r="D7"/>
      <c r="E7"/>
    </row>
    <row r="8" spans="1:6">
      <c r="A8" s="112" t="s">
        <v>370</v>
      </c>
      <c r="B8" s="140">
        <v>3</v>
      </c>
      <c r="C8" s="56"/>
      <c r="D8" s="124"/>
      <c r="E8" s="124"/>
    </row>
    <row r="9" spans="1:6">
      <c r="A9" s="111" t="s">
        <v>6204</v>
      </c>
      <c r="B9" s="140">
        <v>113</v>
      </c>
      <c r="C9"/>
      <c r="D9"/>
    </row>
    <row r="10" spans="1:6">
      <c r="A10" s="112" t="s">
        <v>369</v>
      </c>
      <c r="B10" s="140">
        <v>109</v>
      </c>
      <c r="C10" s="53"/>
      <c r="D10" s="124"/>
      <c r="E10" s="124"/>
    </row>
    <row r="11" spans="1:6">
      <c r="A11" s="112" t="s">
        <v>370</v>
      </c>
      <c r="B11" s="140">
        <v>4</v>
      </c>
      <c r="C11"/>
      <c r="D11"/>
    </row>
    <row r="12" spans="1:6">
      <c r="A12" s="111" t="s">
        <v>6205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6220</v>
      </c>
      <c r="B14" s="140">
        <v>11</v>
      </c>
      <c r="C14" s="126"/>
      <c r="D14"/>
    </row>
    <row r="15" spans="1:6">
      <c r="A15" s="112" t="s">
        <v>369</v>
      </c>
      <c r="B15" s="140">
        <v>3</v>
      </c>
      <c r="C15"/>
      <c r="D15" s="124"/>
      <c r="E15" s="124"/>
    </row>
    <row r="16" spans="1:6">
      <c r="A16" s="112" t="s">
        <v>370</v>
      </c>
      <c r="B16" s="140">
        <v>8</v>
      </c>
      <c r="C16"/>
      <c r="D16"/>
    </row>
    <row r="17" spans="1:5">
      <c r="A17" s="111" t="s">
        <v>6222</v>
      </c>
      <c r="B17" s="140">
        <v>1</v>
      </c>
      <c r="C17"/>
      <c r="D17" s="124"/>
      <c r="E17" s="124"/>
    </row>
    <row r="18" spans="1:5">
      <c r="A18" s="112" t="s">
        <v>370</v>
      </c>
      <c r="B18" s="140">
        <v>1</v>
      </c>
      <c r="C18" s="126"/>
      <c r="D18"/>
    </row>
    <row r="19" spans="1:5">
      <c r="A19" s="17" t="s">
        <v>4328</v>
      </c>
      <c r="B19" s="140">
        <v>315</v>
      </c>
      <c r="C19" s="47"/>
      <c r="D19"/>
    </row>
    <row r="20" spans="1:5">
      <c r="A20" s="111" t="s">
        <v>4414</v>
      </c>
      <c r="B20" s="140">
        <v>11</v>
      </c>
      <c r="C20" s="126"/>
    </row>
    <row r="21" spans="1:5" ht="17.25" customHeight="1">
      <c r="A21" s="112" t="s">
        <v>369</v>
      </c>
      <c r="B21" s="140">
        <v>10</v>
      </c>
    </row>
    <row r="22" spans="1:5">
      <c r="A22" s="112" t="s">
        <v>692</v>
      </c>
      <c r="B22" s="140">
        <v>1</v>
      </c>
    </row>
    <row r="23" spans="1:5">
      <c r="A23" s="111" t="s">
        <v>5480</v>
      </c>
      <c r="B23" s="140">
        <v>178</v>
      </c>
    </row>
    <row r="24" spans="1:5">
      <c r="A24" s="112" t="s">
        <v>369</v>
      </c>
      <c r="B24" s="140">
        <v>177</v>
      </c>
    </row>
    <row r="25" spans="1:5">
      <c r="A25" s="112" t="s">
        <v>692</v>
      </c>
      <c r="B25" s="140">
        <v>1</v>
      </c>
      <c r="D25" s="124"/>
      <c r="E25" s="124"/>
    </row>
    <row r="26" spans="1:5">
      <c r="A26" s="111" t="s">
        <v>5774</v>
      </c>
      <c r="B26" s="140">
        <v>11</v>
      </c>
      <c r="C26" s="126"/>
    </row>
    <row r="27" spans="1:5">
      <c r="A27" s="112" t="s">
        <v>369</v>
      </c>
      <c r="B27" s="140">
        <v>10</v>
      </c>
    </row>
    <row r="28" spans="1:5">
      <c r="A28" s="112" t="s">
        <v>692</v>
      </c>
      <c r="B28" s="140">
        <v>1</v>
      </c>
    </row>
    <row r="29" spans="1:5">
      <c r="A29" s="111" t="s">
        <v>6089</v>
      </c>
      <c r="B29" s="140">
        <v>114</v>
      </c>
    </row>
    <row r="30" spans="1:5">
      <c r="A30" s="112" t="s">
        <v>369</v>
      </c>
      <c r="B30" s="140">
        <v>113</v>
      </c>
    </row>
    <row r="31" spans="1:5">
      <c r="A31" s="112" t="s">
        <v>370</v>
      </c>
      <c r="B31" s="140">
        <v>1</v>
      </c>
      <c r="C31" s="30"/>
    </row>
    <row r="32" spans="1:5">
      <c r="A32" s="111" t="s">
        <v>6108</v>
      </c>
      <c r="B32" s="140">
        <v>1</v>
      </c>
      <c r="C32" s="30"/>
    </row>
    <row r="33" spans="1:3">
      <c r="A33" s="112" t="s">
        <v>370</v>
      </c>
      <c r="B33" s="140">
        <v>1</v>
      </c>
      <c r="C33" s="30"/>
    </row>
    <row r="34" spans="1:3">
      <c r="A34" s="17" t="s">
        <v>381</v>
      </c>
      <c r="B34" s="140">
        <v>458</v>
      </c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37" workbookViewId="0">
      <selection activeCell="C1274" sqref="C1274:C127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6092</v>
      </c>
      <c r="B1271">
        <v>5</v>
      </c>
      <c r="C1271" s="138" t="s">
        <v>4</v>
      </c>
    </row>
    <row r="1272" spans="1:3">
      <c r="A1272" t="s">
        <v>6101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6109</v>
      </c>
      <c r="B1274">
        <v>39</v>
      </c>
      <c r="C1274" s="139" t="s">
        <v>4</v>
      </c>
    </row>
    <row r="1275" spans="1:3">
      <c r="A1275" t="s">
        <v>6150</v>
      </c>
      <c r="B1275">
        <v>1</v>
      </c>
      <c r="C1275" s="144" t="s">
        <v>4</v>
      </c>
    </row>
    <row r="1276" spans="1:3">
      <c r="A1276" t="s">
        <v>6164</v>
      </c>
      <c r="B1276">
        <v>1</v>
      </c>
      <c r="C1276" s="144" t="s">
        <v>4</v>
      </c>
    </row>
    <row r="1277" spans="1:3">
      <c r="A1277" t="s">
        <v>6102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32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31"/>
  <sheetViews>
    <sheetView tabSelected="1" zoomScale="85" zoomScaleNormal="85" workbookViewId="0">
      <selection activeCell="A4131" sqref="A413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186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161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161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161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161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161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161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161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161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161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161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161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157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154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154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154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154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154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154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154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154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154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154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154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154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154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154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154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154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154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154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154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154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154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154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154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154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154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154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154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154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154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154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154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154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154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154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154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153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153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153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153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153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153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153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153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153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153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153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153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153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153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153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153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153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153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153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153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153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153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153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153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153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153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153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153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153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153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153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153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153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153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153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153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153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153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153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153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153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153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153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153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153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153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153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153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153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153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153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153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153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153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153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153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153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153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153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152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152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152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152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152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151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149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149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148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145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145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145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145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145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145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145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145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145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145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145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145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145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145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144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144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144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144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144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139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139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139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134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134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134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134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134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134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134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134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134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134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134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134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134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134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134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134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134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134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130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130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130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125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124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110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110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109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109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109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99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84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84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84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84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84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84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84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84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84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84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84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84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84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84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84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84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84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84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84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84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81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81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81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81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80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80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80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80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80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80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80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80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80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80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80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80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80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80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80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80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80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80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80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80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80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80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80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80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80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80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80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80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80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80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79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79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79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79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79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79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79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79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79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79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79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79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79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79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79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79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79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79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75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75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75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75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75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75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75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75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75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75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75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75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75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75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75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75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75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75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75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75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75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75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75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75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75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75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75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75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75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75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75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75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75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75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75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75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75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75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75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75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75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75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75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75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75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75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75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75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75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75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75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75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75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75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75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75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75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75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75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75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75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75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75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75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75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75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75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75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75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75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75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75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75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75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75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75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75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75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75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75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75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75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75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75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75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75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75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75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75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75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75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75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69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69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64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64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59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59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59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59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59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59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59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59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59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59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59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59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59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59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59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59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59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59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59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59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59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59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59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59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59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59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59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59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59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59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59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59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59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59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59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59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59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59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59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59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59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59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59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59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59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59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59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59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59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59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59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59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59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59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59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59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59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59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59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59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59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59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59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59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59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59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59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59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59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59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59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59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59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59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59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59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59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59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59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59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59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59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59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59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59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59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59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59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59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59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59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59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59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59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59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59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59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59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59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59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59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59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59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59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59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56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56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56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56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57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54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54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49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49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49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49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49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49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49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49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49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49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49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47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47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47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47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47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47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47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47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47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47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47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47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47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47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47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47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47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47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47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47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47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47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47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47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47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47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47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47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47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47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47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47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47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47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47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47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47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47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47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47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47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47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47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47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47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47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47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47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47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47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47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47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47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47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47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47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47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47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47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47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47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47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47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47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47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47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47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47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47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47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47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47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47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47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47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47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47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47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47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47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47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47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47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47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47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47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47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47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47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47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47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47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47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47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47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47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47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47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47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47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47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47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47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47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47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47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47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47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47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47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47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47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47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47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47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47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47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47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47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47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47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47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47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47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47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47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47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47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47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47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47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47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47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47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47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47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47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47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47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47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47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47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47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47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47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47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47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47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47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47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47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47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47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47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47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47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47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47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47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47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47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47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47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47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47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47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47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47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47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47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47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47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47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47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47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47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47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47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47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47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47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47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47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47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47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47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47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47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47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47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47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47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47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47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47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47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47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47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47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47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47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47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47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47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47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47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47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47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47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47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47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47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47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47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47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47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47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47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47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47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47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47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47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47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47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47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47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47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47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47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47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47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47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47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47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47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47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47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47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47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47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47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47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47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47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47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47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47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47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47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47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47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47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47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47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47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47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47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47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47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47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47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47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47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47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47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47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47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47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47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47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47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47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47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47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47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47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47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47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47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47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47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47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47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47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47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47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47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47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47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47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47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47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47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47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47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47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47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47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47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47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47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47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47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47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47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47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47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47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47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47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47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47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47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47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47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47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47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47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47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47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47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47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47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47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47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47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47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47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47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47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47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47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47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47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45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45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45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45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45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45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45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45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45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45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44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44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44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43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43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43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43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43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43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42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42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40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39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39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39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38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38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38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36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36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36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36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36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36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36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33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33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33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33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33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33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33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33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33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33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33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33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33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33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33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33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33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33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33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33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33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33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33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33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33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33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33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33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33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32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32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30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30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30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30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30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30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30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30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30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30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28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28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28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28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28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28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28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28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27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27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27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27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27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27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27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27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27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27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27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27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27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27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27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27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27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25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25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25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25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25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25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25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25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25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25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25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25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25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25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25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25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25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25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25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25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25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25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25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25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25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25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25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25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25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25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25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25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25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25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25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25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25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25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25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25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25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25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25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25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25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25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25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25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25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25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25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25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25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25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25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25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25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25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25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25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25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25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25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25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25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25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25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25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25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25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25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25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25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25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25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25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25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25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25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25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25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25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25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25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25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25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25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25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25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25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25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25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25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25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25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25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25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25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25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25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25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25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25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25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25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25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25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25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25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25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25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25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25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25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25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25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25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25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25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25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25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25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25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25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25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25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25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25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25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25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25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25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25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25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25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25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25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25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25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25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25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25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25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25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25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25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25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25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25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25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25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25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25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25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25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25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25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25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25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25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25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25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25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25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25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25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25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25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25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25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25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25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25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25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25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25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25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25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25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25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25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25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25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25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25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25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25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25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25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25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25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25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25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25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25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25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25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25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25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25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25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25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25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25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25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25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25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25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25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25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25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25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25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25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25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25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25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25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25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25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25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25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25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25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25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25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25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25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25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25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25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25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25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25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25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25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25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25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25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25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25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25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25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25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25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25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25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25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25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25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25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25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25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25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25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25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25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25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25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25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25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25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25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25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25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25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25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25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25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25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25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25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25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25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25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25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25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25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25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25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25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25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25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25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25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25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25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25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25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25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25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25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25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25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25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24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24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24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24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24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24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24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24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24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24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24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24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24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24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24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24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24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24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24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24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24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24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24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24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24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24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24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24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24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24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24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24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24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24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24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24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24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24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24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24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24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24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24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24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24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24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24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24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24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24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24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24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24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24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24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24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24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24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24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24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24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24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24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24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24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24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24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24</v>
      </c>
      <c r="R3299" s="115" t="s">
        <v>1459</v>
      </c>
      <c r="S3299" s="125"/>
    </row>
    <row r="3300" spans="1:19" hidden="1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24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24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24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24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24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24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24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24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24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24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24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24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24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24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24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24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24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24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24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24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24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24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24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24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24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24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24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24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24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24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24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24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24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24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24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24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24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24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24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24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24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24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24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24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24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24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24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24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24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24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24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24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24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24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24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24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24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24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24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24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24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24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24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24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24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24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24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24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24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24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24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24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24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24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24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24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24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24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24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24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24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24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24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24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24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24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24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24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24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24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24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24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24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24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24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24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24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24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24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24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24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24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24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24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24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24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24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24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24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24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24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24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24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24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24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24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24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24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24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24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24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24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24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24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24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24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24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24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24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24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24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24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24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24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21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21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21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21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21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21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21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21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21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21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21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21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21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21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21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21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21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21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21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21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21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21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21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21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21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21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21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21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21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21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21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21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21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21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21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21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21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21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21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21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21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21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21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20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20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19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19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19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19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19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19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19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18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18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18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17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17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17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17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17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17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17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17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17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17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17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17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17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17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17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17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17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17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17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17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17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17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17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17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17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17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17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17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17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17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17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17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17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17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17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17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17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17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17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17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17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17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17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17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17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17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17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17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17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17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17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17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17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17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17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17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17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17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17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17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17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17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17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17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17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17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17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17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17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17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17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17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17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17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17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17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17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17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17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17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17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17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17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17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17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17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17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17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17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17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17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17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17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17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16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16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16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16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16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16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16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16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16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16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16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16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16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16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16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16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16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16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16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15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15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15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15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15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15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15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15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15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15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15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15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15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15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15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15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15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15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14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14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14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14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14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14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14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14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14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14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14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14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6152</v>
      </c>
      <c r="E3650" t="s">
        <v>5772</v>
      </c>
      <c r="F3650" s="140" t="s">
        <v>5947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</v>
      </c>
      <c r="R3650" s="130" t="s">
        <v>746</v>
      </c>
      <c r="S3650" s="129"/>
    </row>
    <row r="3651" spans="1:19" hidden="1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</v>
      </c>
      <c r="R3651" s="130" t="s">
        <v>746</v>
      </c>
      <c r="S3651" s="129"/>
    </row>
    <row r="3652" spans="1:19" hidden="1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</v>
      </c>
      <c r="R3652" s="130" t="s">
        <v>746</v>
      </c>
      <c r="S3652" s="129"/>
    </row>
    <row r="3653" spans="1:19" hidden="1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</v>
      </c>
      <c r="R3653" s="130" t="s">
        <v>746</v>
      </c>
      <c r="S3653" s="129"/>
    </row>
    <row r="3654" spans="1:19" hidden="1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</v>
      </c>
      <c r="R3654" s="130" t="s">
        <v>746</v>
      </c>
      <c r="S3654" s="129"/>
    </row>
    <row r="3655" spans="1:19" hidden="1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</v>
      </c>
      <c r="R3655" s="130" t="s">
        <v>746</v>
      </c>
      <c r="S3655" s="129"/>
    </row>
    <row r="3656" spans="1:19" hidden="1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</v>
      </c>
      <c r="R3656" s="130" t="s">
        <v>746</v>
      </c>
      <c r="S3656" s="129"/>
    </row>
    <row r="3657" spans="1:19" hidden="1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</v>
      </c>
      <c r="R3657" s="130" t="s">
        <v>746</v>
      </c>
      <c r="S3657" s="129"/>
    </row>
    <row r="3658" spans="1:19" hidden="1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</v>
      </c>
      <c r="R3658" s="130" t="s">
        <v>746</v>
      </c>
      <c r="S3658" s="129"/>
    </row>
    <row r="3659" spans="1:19" hidden="1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</v>
      </c>
      <c r="R3659" s="130" t="s">
        <v>746</v>
      </c>
      <c r="S3659" s="129"/>
    </row>
    <row r="3660" spans="1:19" hidden="1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</v>
      </c>
      <c r="R3817" s="136" t="s">
        <v>1013</v>
      </c>
      <c r="S3817" s="129"/>
    </row>
    <row r="3818" spans="1:19" hidden="1">
      <c r="A3818" s="135" t="s">
        <v>6089</v>
      </c>
      <c r="B3818" s="138" t="str">
        <f>IFERROR(VLOOKUP(Proc[[#This Row],[App]],Table2[],3,0),"open")</f>
        <v>open</v>
      </c>
      <c r="C3818" s="138" t="s">
        <v>369</v>
      </c>
      <c r="D3818" t="s">
        <v>5948</v>
      </c>
      <c r="E3818" t="s">
        <v>6062</v>
      </c>
      <c r="F3818" s="129" t="s">
        <v>6062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</v>
      </c>
      <c r="R3818" s="136" t="s">
        <v>6090</v>
      </c>
      <c r="S3818" s="129"/>
    </row>
    <row r="3819" spans="1:19" hidden="1">
      <c r="A3819" s="135" t="s">
        <v>6089</v>
      </c>
      <c r="B3819" s="138" t="str">
        <f>IFERROR(VLOOKUP(Proc[[#This Row],[App]],Table2[],3,0),"open")</f>
        <v>open</v>
      </c>
      <c r="C3819" s="138" t="s">
        <v>369</v>
      </c>
      <c r="D3819" t="s">
        <v>5949</v>
      </c>
      <c r="E3819" t="s">
        <v>6062</v>
      </c>
      <c r="F3819" s="129" t="s">
        <v>6062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</v>
      </c>
      <c r="R3819" s="136" t="s">
        <v>6090</v>
      </c>
      <c r="S3819" s="129"/>
    </row>
    <row r="3820" spans="1:19" hidden="1">
      <c r="A3820" s="135" t="s">
        <v>6089</v>
      </c>
      <c r="B3820" s="138" t="str">
        <f>IFERROR(VLOOKUP(Proc[[#This Row],[App]],Table2[],3,0),"open")</f>
        <v>open</v>
      </c>
      <c r="C3820" s="138" t="s">
        <v>369</v>
      </c>
      <c r="D3820" t="s">
        <v>5950</v>
      </c>
      <c r="E3820" t="s">
        <v>6062</v>
      </c>
      <c r="F3820" s="129" t="s">
        <v>6062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</v>
      </c>
      <c r="R3820" s="136" t="s">
        <v>6090</v>
      </c>
      <c r="S3820" s="129"/>
    </row>
    <row r="3821" spans="1:19" hidden="1">
      <c r="A3821" s="135" t="s">
        <v>6089</v>
      </c>
      <c r="B3821" s="138" t="str">
        <f>IFERROR(VLOOKUP(Proc[[#This Row],[App]],Table2[],3,0),"open")</f>
        <v>open</v>
      </c>
      <c r="C3821" s="138" t="s">
        <v>369</v>
      </c>
      <c r="D3821" t="s">
        <v>5951</v>
      </c>
      <c r="E3821" t="s">
        <v>6063</v>
      </c>
      <c r="F3821" s="129" t="s">
        <v>6063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</v>
      </c>
      <c r="R3821" s="136" t="s">
        <v>6090</v>
      </c>
      <c r="S3821" s="129"/>
    </row>
    <row r="3822" spans="1:19" hidden="1">
      <c r="A3822" s="135" t="s">
        <v>6089</v>
      </c>
      <c r="B3822" s="138" t="str">
        <f>IFERROR(VLOOKUP(Proc[[#This Row],[App]],Table2[],3,0),"open")</f>
        <v>open</v>
      </c>
      <c r="C3822" s="138" t="s">
        <v>369</v>
      </c>
      <c r="D3822" t="s">
        <v>5952</v>
      </c>
      <c r="E3822" t="s">
        <v>6064</v>
      </c>
      <c r="F3822" s="129" t="s">
        <v>6064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</v>
      </c>
      <c r="R3822" s="136" t="s">
        <v>6090</v>
      </c>
      <c r="S3822" s="129"/>
    </row>
    <row r="3823" spans="1:19" hidden="1">
      <c r="A3823" s="135" t="s">
        <v>6089</v>
      </c>
      <c r="B3823" s="138" t="str">
        <f>IFERROR(VLOOKUP(Proc[[#This Row],[App]],Table2[],3,0),"open")</f>
        <v>open</v>
      </c>
      <c r="C3823" s="138" t="s">
        <v>369</v>
      </c>
      <c r="D3823" t="s">
        <v>5953</v>
      </c>
      <c r="E3823" t="s">
        <v>6064</v>
      </c>
      <c r="F3823" s="129" t="s">
        <v>6064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</v>
      </c>
      <c r="R3823" s="136" t="s">
        <v>6090</v>
      </c>
      <c r="S3823" s="129"/>
    </row>
    <row r="3824" spans="1:19" hidden="1">
      <c r="A3824" s="135" t="s">
        <v>6089</v>
      </c>
      <c r="B3824" s="138" t="str">
        <f>IFERROR(VLOOKUP(Proc[[#This Row],[App]],Table2[],3,0),"open")</f>
        <v>open</v>
      </c>
      <c r="C3824" s="138" t="s">
        <v>369</v>
      </c>
      <c r="D3824" t="s">
        <v>5954</v>
      </c>
      <c r="E3824" t="s">
        <v>6065</v>
      </c>
      <c r="F3824" s="129" t="s">
        <v>6065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</v>
      </c>
      <c r="R3824" s="136" t="s">
        <v>6090</v>
      </c>
      <c r="S3824" s="129"/>
    </row>
    <row r="3825" spans="1:19" hidden="1">
      <c r="A3825" s="135" t="s">
        <v>6089</v>
      </c>
      <c r="B3825" s="138" t="str">
        <f>IFERROR(VLOOKUP(Proc[[#This Row],[App]],Table2[],3,0),"open")</f>
        <v>open</v>
      </c>
      <c r="C3825" s="138" t="s">
        <v>369</v>
      </c>
      <c r="D3825" t="s">
        <v>5955</v>
      </c>
      <c r="E3825" t="s">
        <v>6065</v>
      </c>
      <c r="F3825" s="129" t="s">
        <v>6065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</v>
      </c>
      <c r="R3825" s="136" t="s">
        <v>6090</v>
      </c>
      <c r="S3825" s="129"/>
    </row>
    <row r="3826" spans="1:19">
      <c r="A3826" s="135" t="s">
        <v>6089</v>
      </c>
      <c r="B3826" s="138" t="str">
        <f>IFERROR(VLOOKUP(Proc[[#This Row],[App]],Table2[],3,0),"open")</f>
        <v>open</v>
      </c>
      <c r="C3826" s="144" t="s">
        <v>370</v>
      </c>
      <c r="D3826" t="s">
        <v>5956</v>
      </c>
      <c r="E3826" t="s">
        <v>6066</v>
      </c>
      <c r="F3826" s="140" t="s">
        <v>6106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</v>
      </c>
      <c r="R3826" s="136" t="s">
        <v>6090</v>
      </c>
      <c r="S3826" s="129"/>
    </row>
    <row r="3827" spans="1:19" hidden="1">
      <c r="A3827" s="135" t="s">
        <v>6089</v>
      </c>
      <c r="B3827" s="138" t="str">
        <f>IFERROR(VLOOKUP(Proc[[#This Row],[App]],Table2[],3,0),"open")</f>
        <v>open</v>
      </c>
      <c r="C3827" s="138" t="s">
        <v>369</v>
      </c>
      <c r="D3827" t="s">
        <v>5957</v>
      </c>
      <c r="E3827" t="s">
        <v>6067</v>
      </c>
      <c r="F3827" s="138" t="s">
        <v>6067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</v>
      </c>
      <c r="R3827" s="136" t="s">
        <v>6090</v>
      </c>
      <c r="S3827" s="129"/>
    </row>
    <row r="3828" spans="1:19" hidden="1">
      <c r="A3828" s="135" t="s">
        <v>6089</v>
      </c>
      <c r="B3828" s="138" t="str">
        <f>IFERROR(VLOOKUP(Proc[[#This Row],[App]],Table2[],3,0),"open")</f>
        <v>open</v>
      </c>
      <c r="C3828" s="138" t="s">
        <v>369</v>
      </c>
      <c r="D3828" t="s">
        <v>5958</v>
      </c>
      <c r="E3828" t="s">
        <v>6068</v>
      </c>
      <c r="F3828" s="129" t="s">
        <v>6068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</v>
      </c>
      <c r="R3828" s="136" t="s">
        <v>6090</v>
      </c>
      <c r="S3828" s="129"/>
    </row>
    <row r="3829" spans="1:19" hidden="1">
      <c r="A3829" s="135" t="s">
        <v>6089</v>
      </c>
      <c r="B3829" s="138" t="str">
        <f>IFERROR(VLOOKUP(Proc[[#This Row],[App]],Table2[],3,0),"open")</f>
        <v>open</v>
      </c>
      <c r="C3829" s="138" t="s">
        <v>369</v>
      </c>
      <c r="D3829" t="s">
        <v>5959</v>
      </c>
      <c r="E3829" t="s">
        <v>6065</v>
      </c>
      <c r="F3829" s="129" t="s">
        <v>6065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</v>
      </c>
      <c r="R3829" s="136" t="s">
        <v>6090</v>
      </c>
      <c r="S3829" s="129"/>
    </row>
    <row r="3830" spans="1:19" hidden="1">
      <c r="A3830" s="135" t="s">
        <v>6089</v>
      </c>
      <c r="B3830" s="138" t="str">
        <f>IFERROR(VLOOKUP(Proc[[#This Row],[App]],Table2[],3,0),"open")</f>
        <v>open</v>
      </c>
      <c r="C3830" s="138" t="s">
        <v>369</v>
      </c>
      <c r="D3830" t="s">
        <v>5960</v>
      </c>
      <c r="E3830" t="s">
        <v>6069</v>
      </c>
      <c r="F3830" s="129" t="s">
        <v>6069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</v>
      </c>
      <c r="R3830" s="136" t="s">
        <v>6090</v>
      </c>
      <c r="S3830" s="129"/>
    </row>
    <row r="3831" spans="1:19" hidden="1">
      <c r="A3831" s="135" t="s">
        <v>6089</v>
      </c>
      <c r="B3831" s="138" t="str">
        <f>IFERROR(VLOOKUP(Proc[[#This Row],[App]],Table2[],3,0),"open")</f>
        <v>open</v>
      </c>
      <c r="C3831" s="138" t="s">
        <v>369</v>
      </c>
      <c r="D3831" t="s">
        <v>5961</v>
      </c>
      <c r="E3831" t="s">
        <v>6069</v>
      </c>
      <c r="F3831" s="129" t="s">
        <v>6069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</v>
      </c>
      <c r="R3831" s="136" t="s">
        <v>6090</v>
      </c>
      <c r="S3831" s="129"/>
    </row>
    <row r="3832" spans="1:19" hidden="1">
      <c r="A3832" s="135" t="s">
        <v>6089</v>
      </c>
      <c r="B3832" s="138" t="str">
        <f>IFERROR(VLOOKUP(Proc[[#This Row],[App]],Table2[],3,0),"open")</f>
        <v>open</v>
      </c>
      <c r="C3832" s="138" t="s">
        <v>369</v>
      </c>
      <c r="D3832" t="s">
        <v>5962</v>
      </c>
      <c r="E3832" t="s">
        <v>6069</v>
      </c>
      <c r="F3832" s="129" t="s">
        <v>6069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</v>
      </c>
      <c r="R3832" s="136" t="s">
        <v>6090</v>
      </c>
      <c r="S3832" s="129"/>
    </row>
    <row r="3833" spans="1:19" hidden="1">
      <c r="A3833" s="135" t="s">
        <v>6089</v>
      </c>
      <c r="B3833" s="138" t="str">
        <f>IFERROR(VLOOKUP(Proc[[#This Row],[App]],Table2[],3,0),"open")</f>
        <v>open</v>
      </c>
      <c r="C3833" s="138" t="s">
        <v>369</v>
      </c>
      <c r="D3833" t="s">
        <v>5963</v>
      </c>
      <c r="E3833" t="s">
        <v>6069</v>
      </c>
      <c r="F3833" s="129" t="s">
        <v>6069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</v>
      </c>
      <c r="R3833" s="136" t="s">
        <v>6090</v>
      </c>
      <c r="S3833" s="129"/>
    </row>
    <row r="3834" spans="1:19" hidden="1">
      <c r="A3834" s="135" t="s">
        <v>6089</v>
      </c>
      <c r="B3834" s="138" t="str">
        <f>IFERROR(VLOOKUP(Proc[[#This Row],[App]],Table2[],3,0),"open")</f>
        <v>open</v>
      </c>
      <c r="C3834" s="138" t="s">
        <v>369</v>
      </c>
      <c r="D3834" t="s">
        <v>5964</v>
      </c>
      <c r="E3834" t="s">
        <v>6070</v>
      </c>
      <c r="F3834" s="129" t="s">
        <v>6070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</v>
      </c>
      <c r="R3834" s="136" t="s">
        <v>6090</v>
      </c>
      <c r="S3834" s="129"/>
    </row>
    <row r="3835" spans="1:19" hidden="1">
      <c r="A3835" s="135" t="s">
        <v>6089</v>
      </c>
      <c r="B3835" s="138" t="str">
        <f>IFERROR(VLOOKUP(Proc[[#This Row],[App]],Table2[],3,0),"open")</f>
        <v>open</v>
      </c>
      <c r="C3835" s="138" t="s">
        <v>369</v>
      </c>
      <c r="D3835" t="s">
        <v>5965</v>
      </c>
      <c r="E3835" t="s">
        <v>6071</v>
      </c>
      <c r="F3835" s="129" t="s">
        <v>6071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</v>
      </c>
      <c r="R3835" s="136" t="s">
        <v>6090</v>
      </c>
      <c r="S3835" s="129"/>
    </row>
    <row r="3836" spans="1:19" hidden="1">
      <c r="A3836" s="135" t="s">
        <v>6089</v>
      </c>
      <c r="B3836" s="138" t="str">
        <f>IFERROR(VLOOKUP(Proc[[#This Row],[App]],Table2[],3,0),"open")</f>
        <v>open</v>
      </c>
      <c r="C3836" s="138" t="s">
        <v>369</v>
      </c>
      <c r="D3836" t="s">
        <v>5966</v>
      </c>
      <c r="E3836" t="s">
        <v>6070</v>
      </c>
      <c r="F3836" s="129" t="s">
        <v>6070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</v>
      </c>
      <c r="R3836" s="136" t="s">
        <v>6090</v>
      </c>
      <c r="S3836" s="129"/>
    </row>
    <row r="3837" spans="1:19" hidden="1">
      <c r="A3837" s="135" t="s">
        <v>6089</v>
      </c>
      <c r="B3837" s="138" t="str">
        <f>IFERROR(VLOOKUP(Proc[[#This Row],[App]],Table2[],3,0),"open")</f>
        <v>open</v>
      </c>
      <c r="C3837" s="138" t="s">
        <v>369</v>
      </c>
      <c r="D3837" t="s">
        <v>5967</v>
      </c>
      <c r="E3837" t="s">
        <v>6070</v>
      </c>
      <c r="F3837" s="129" t="s">
        <v>6070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</v>
      </c>
      <c r="R3837" s="136" t="s">
        <v>6090</v>
      </c>
      <c r="S3837" s="129"/>
    </row>
    <row r="3838" spans="1:19" hidden="1">
      <c r="A3838" s="135" t="s">
        <v>6089</v>
      </c>
      <c r="B3838" s="138" t="str">
        <f>IFERROR(VLOOKUP(Proc[[#This Row],[App]],Table2[],3,0),"open")</f>
        <v>open</v>
      </c>
      <c r="C3838" s="138" t="s">
        <v>369</v>
      </c>
      <c r="D3838" t="s">
        <v>5968</v>
      </c>
      <c r="E3838" t="s">
        <v>6072</v>
      </c>
      <c r="F3838" s="129" t="s">
        <v>6072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</v>
      </c>
      <c r="R3838" s="136" t="s">
        <v>6090</v>
      </c>
      <c r="S3838" s="129"/>
    </row>
    <row r="3839" spans="1:19" hidden="1">
      <c r="A3839" s="135" t="s">
        <v>6089</v>
      </c>
      <c r="B3839" s="138" t="str">
        <f>IFERROR(VLOOKUP(Proc[[#This Row],[App]],Table2[],3,0),"open")</f>
        <v>open</v>
      </c>
      <c r="C3839" s="138" t="s">
        <v>369</v>
      </c>
      <c r="D3839" t="s">
        <v>5969</v>
      </c>
      <c r="E3839" t="s">
        <v>6072</v>
      </c>
      <c r="F3839" s="129" t="s">
        <v>6072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</v>
      </c>
      <c r="R3839" s="136" t="s">
        <v>6090</v>
      </c>
      <c r="S3839" s="129"/>
    </row>
    <row r="3840" spans="1:19" hidden="1">
      <c r="A3840" s="135" t="s">
        <v>6089</v>
      </c>
      <c r="B3840" s="138" t="str">
        <f>IFERROR(VLOOKUP(Proc[[#This Row],[App]],Table2[],3,0),"open")</f>
        <v>open</v>
      </c>
      <c r="C3840" s="138" t="s">
        <v>369</v>
      </c>
      <c r="D3840" t="s">
        <v>5970</v>
      </c>
      <c r="E3840" t="s">
        <v>6069</v>
      </c>
      <c r="F3840" s="129" t="s">
        <v>6069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</v>
      </c>
      <c r="R3840" s="136" t="s">
        <v>6090</v>
      </c>
      <c r="S3840" s="129"/>
    </row>
    <row r="3841" spans="1:19" hidden="1">
      <c r="A3841" s="135" t="s">
        <v>6089</v>
      </c>
      <c r="B3841" s="138" t="str">
        <f>IFERROR(VLOOKUP(Proc[[#This Row],[App]],Table2[],3,0),"open")</f>
        <v>open</v>
      </c>
      <c r="C3841" s="138" t="s">
        <v>369</v>
      </c>
      <c r="D3841" t="s">
        <v>5971</v>
      </c>
      <c r="E3841" t="s">
        <v>6073</v>
      </c>
      <c r="F3841" s="129" t="s">
        <v>6073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</v>
      </c>
      <c r="R3841" s="136" t="s">
        <v>6090</v>
      </c>
      <c r="S3841" s="129"/>
    </row>
    <row r="3842" spans="1:19" hidden="1">
      <c r="A3842" s="135" t="s">
        <v>6089</v>
      </c>
      <c r="B3842" s="138" t="str">
        <f>IFERROR(VLOOKUP(Proc[[#This Row],[App]],Table2[],3,0),"open")</f>
        <v>open</v>
      </c>
      <c r="C3842" s="138" t="s">
        <v>369</v>
      </c>
      <c r="D3842" t="s">
        <v>5972</v>
      </c>
      <c r="E3842" t="s">
        <v>6073</v>
      </c>
      <c r="F3842" s="129" t="s">
        <v>6073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</v>
      </c>
      <c r="R3842" s="136" t="s">
        <v>6090</v>
      </c>
      <c r="S3842" s="129"/>
    </row>
    <row r="3843" spans="1:19" hidden="1">
      <c r="A3843" s="135" t="s">
        <v>6089</v>
      </c>
      <c r="B3843" s="138" t="str">
        <f>IFERROR(VLOOKUP(Proc[[#This Row],[App]],Table2[],3,0),"open")</f>
        <v>open</v>
      </c>
      <c r="C3843" s="138" t="s">
        <v>369</v>
      </c>
      <c r="D3843" t="s">
        <v>5973</v>
      </c>
      <c r="E3843" t="s">
        <v>6062</v>
      </c>
      <c r="F3843" s="129" t="s">
        <v>6062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</v>
      </c>
      <c r="R3843" s="136" t="s">
        <v>6090</v>
      </c>
      <c r="S3843" s="129"/>
    </row>
    <row r="3844" spans="1:19" hidden="1">
      <c r="A3844" s="135" t="s">
        <v>6089</v>
      </c>
      <c r="B3844" s="138" t="str">
        <f>IFERROR(VLOOKUP(Proc[[#This Row],[App]],Table2[],3,0),"open")</f>
        <v>open</v>
      </c>
      <c r="C3844" s="138" t="s">
        <v>369</v>
      </c>
      <c r="D3844" t="s">
        <v>5974</v>
      </c>
      <c r="E3844" t="s">
        <v>6062</v>
      </c>
      <c r="F3844" s="129" t="s">
        <v>6062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</v>
      </c>
      <c r="R3844" s="136" t="s">
        <v>6090</v>
      </c>
      <c r="S3844" s="129"/>
    </row>
    <row r="3845" spans="1:19" hidden="1">
      <c r="A3845" s="135" t="s">
        <v>6089</v>
      </c>
      <c r="B3845" s="138" t="str">
        <f>IFERROR(VLOOKUP(Proc[[#This Row],[App]],Table2[],3,0),"open")</f>
        <v>open</v>
      </c>
      <c r="C3845" s="138" t="s">
        <v>369</v>
      </c>
      <c r="D3845" t="s">
        <v>5975</v>
      </c>
      <c r="E3845" t="s">
        <v>6062</v>
      </c>
      <c r="F3845" s="129" t="s">
        <v>6062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</v>
      </c>
      <c r="R3845" s="136" t="s">
        <v>6090</v>
      </c>
      <c r="S3845" s="129"/>
    </row>
    <row r="3846" spans="1:19" hidden="1">
      <c r="A3846" s="135" t="s">
        <v>6089</v>
      </c>
      <c r="B3846" s="138" t="str">
        <f>IFERROR(VLOOKUP(Proc[[#This Row],[App]],Table2[],3,0),"open")</f>
        <v>open</v>
      </c>
      <c r="C3846" s="138" t="s">
        <v>369</v>
      </c>
      <c r="D3846" t="s">
        <v>5976</v>
      </c>
      <c r="E3846" t="s">
        <v>6070</v>
      </c>
      <c r="F3846" s="129" t="s">
        <v>6070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</v>
      </c>
      <c r="R3846" s="136" t="s">
        <v>6090</v>
      </c>
      <c r="S3846" s="129"/>
    </row>
    <row r="3847" spans="1:19" hidden="1">
      <c r="A3847" s="135" t="s">
        <v>6089</v>
      </c>
      <c r="B3847" s="138" t="str">
        <f>IFERROR(VLOOKUP(Proc[[#This Row],[App]],Table2[],3,0),"open")</f>
        <v>open</v>
      </c>
      <c r="C3847" s="138" t="s">
        <v>369</v>
      </c>
      <c r="D3847" t="s">
        <v>5977</v>
      </c>
      <c r="E3847" t="s">
        <v>6062</v>
      </c>
      <c r="F3847" s="129" t="s">
        <v>6062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</v>
      </c>
      <c r="R3847" s="136" t="s">
        <v>6090</v>
      </c>
      <c r="S3847" s="129"/>
    </row>
    <row r="3848" spans="1:19" hidden="1">
      <c r="A3848" s="135" t="s">
        <v>6089</v>
      </c>
      <c r="B3848" s="138" t="str">
        <f>IFERROR(VLOOKUP(Proc[[#This Row],[App]],Table2[],3,0),"open")</f>
        <v>open</v>
      </c>
      <c r="C3848" s="138" t="s">
        <v>369</v>
      </c>
      <c r="D3848" t="s">
        <v>5978</v>
      </c>
      <c r="E3848" t="s">
        <v>6062</v>
      </c>
      <c r="F3848" s="129" t="s">
        <v>6062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</v>
      </c>
      <c r="R3848" s="136" t="s">
        <v>6090</v>
      </c>
      <c r="S3848" s="129"/>
    </row>
    <row r="3849" spans="1:19" hidden="1">
      <c r="A3849" s="135" t="s">
        <v>6089</v>
      </c>
      <c r="B3849" s="138" t="str">
        <f>IFERROR(VLOOKUP(Proc[[#This Row],[App]],Table2[],3,0),"open")</f>
        <v>open</v>
      </c>
      <c r="C3849" s="138" t="s">
        <v>369</v>
      </c>
      <c r="D3849" t="s">
        <v>5979</v>
      </c>
      <c r="E3849" t="s">
        <v>6062</v>
      </c>
      <c r="F3849" s="129" t="s">
        <v>6062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</v>
      </c>
      <c r="R3849" s="136" t="s">
        <v>6090</v>
      </c>
      <c r="S3849" s="129"/>
    </row>
    <row r="3850" spans="1:19" hidden="1">
      <c r="A3850" s="135" t="s">
        <v>6089</v>
      </c>
      <c r="B3850" s="138" t="str">
        <f>IFERROR(VLOOKUP(Proc[[#This Row],[App]],Table2[],3,0),"open")</f>
        <v>open</v>
      </c>
      <c r="C3850" s="138" t="s">
        <v>369</v>
      </c>
      <c r="D3850" t="s">
        <v>5980</v>
      </c>
      <c r="E3850" t="s">
        <v>6074</v>
      </c>
      <c r="F3850" s="129" t="s">
        <v>6074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</v>
      </c>
      <c r="R3850" s="136" t="s">
        <v>6090</v>
      </c>
      <c r="S3850" s="129"/>
    </row>
    <row r="3851" spans="1:19" hidden="1">
      <c r="A3851" s="135" t="s">
        <v>6089</v>
      </c>
      <c r="B3851" s="138" t="str">
        <f>IFERROR(VLOOKUP(Proc[[#This Row],[App]],Table2[],3,0),"open")</f>
        <v>open</v>
      </c>
      <c r="C3851" s="138" t="s">
        <v>369</v>
      </c>
      <c r="D3851" t="s">
        <v>5981</v>
      </c>
      <c r="E3851" t="s">
        <v>6074</v>
      </c>
      <c r="F3851" s="129" t="s">
        <v>6074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</v>
      </c>
      <c r="R3851" s="136" t="s">
        <v>6090</v>
      </c>
      <c r="S3851" s="129"/>
    </row>
    <row r="3852" spans="1:19" hidden="1">
      <c r="A3852" s="135" t="s">
        <v>6089</v>
      </c>
      <c r="B3852" s="138" t="str">
        <f>IFERROR(VLOOKUP(Proc[[#This Row],[App]],Table2[],3,0),"open")</f>
        <v>open</v>
      </c>
      <c r="C3852" s="138" t="s">
        <v>369</v>
      </c>
      <c r="D3852" t="s">
        <v>5982</v>
      </c>
      <c r="E3852" t="s">
        <v>6070</v>
      </c>
      <c r="F3852" s="129" t="s">
        <v>6070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</v>
      </c>
      <c r="R3852" s="136" t="s">
        <v>6090</v>
      </c>
      <c r="S3852" s="129"/>
    </row>
    <row r="3853" spans="1:19" hidden="1">
      <c r="A3853" s="135" t="s">
        <v>6089</v>
      </c>
      <c r="B3853" s="138" t="str">
        <f>IFERROR(VLOOKUP(Proc[[#This Row],[App]],Table2[],3,0),"open")</f>
        <v>open</v>
      </c>
      <c r="C3853" s="138" t="s">
        <v>369</v>
      </c>
      <c r="D3853" t="s">
        <v>5983</v>
      </c>
      <c r="E3853" t="s">
        <v>6075</v>
      </c>
      <c r="F3853" s="129" t="s">
        <v>6075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</v>
      </c>
      <c r="R3853" s="136" t="s">
        <v>6090</v>
      </c>
      <c r="S3853" s="129"/>
    </row>
    <row r="3854" spans="1:19" hidden="1">
      <c r="A3854" s="135" t="s">
        <v>6089</v>
      </c>
      <c r="B3854" s="138" t="str">
        <f>IFERROR(VLOOKUP(Proc[[#This Row],[App]],Table2[],3,0),"open")</f>
        <v>open</v>
      </c>
      <c r="C3854" s="138" t="s">
        <v>369</v>
      </c>
      <c r="D3854" t="s">
        <v>5984</v>
      </c>
      <c r="E3854" t="s">
        <v>6069</v>
      </c>
      <c r="F3854" s="129" t="s">
        <v>6069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</v>
      </c>
      <c r="R3854" s="136" t="s">
        <v>6090</v>
      </c>
      <c r="S3854" s="129"/>
    </row>
    <row r="3855" spans="1:19" hidden="1">
      <c r="A3855" s="135" t="s">
        <v>6089</v>
      </c>
      <c r="B3855" s="138" t="str">
        <f>IFERROR(VLOOKUP(Proc[[#This Row],[App]],Table2[],3,0),"open")</f>
        <v>open</v>
      </c>
      <c r="C3855" s="138" t="s">
        <v>369</v>
      </c>
      <c r="D3855" t="s">
        <v>5985</v>
      </c>
      <c r="E3855" t="s">
        <v>6070</v>
      </c>
      <c r="F3855" s="129" t="s">
        <v>6070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</v>
      </c>
      <c r="R3855" s="136" t="s">
        <v>6090</v>
      </c>
      <c r="S3855" s="129"/>
    </row>
    <row r="3856" spans="1:19" hidden="1">
      <c r="A3856" s="135" t="s">
        <v>6089</v>
      </c>
      <c r="B3856" s="138" t="str">
        <f>IFERROR(VLOOKUP(Proc[[#This Row],[App]],Table2[],3,0),"open")</f>
        <v>open</v>
      </c>
      <c r="C3856" s="138" t="s">
        <v>369</v>
      </c>
      <c r="D3856" t="s">
        <v>5986</v>
      </c>
      <c r="E3856" t="s">
        <v>6070</v>
      </c>
      <c r="F3856" s="129" t="s">
        <v>6070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</v>
      </c>
      <c r="R3856" s="136" t="s">
        <v>6090</v>
      </c>
      <c r="S3856" s="129"/>
    </row>
    <row r="3857" spans="1:19" hidden="1">
      <c r="A3857" s="135" t="s">
        <v>6089</v>
      </c>
      <c r="B3857" s="138" t="str">
        <f>IFERROR(VLOOKUP(Proc[[#This Row],[App]],Table2[],3,0),"open")</f>
        <v>open</v>
      </c>
      <c r="C3857" s="138" t="s">
        <v>369</v>
      </c>
      <c r="D3857" t="s">
        <v>5987</v>
      </c>
      <c r="E3857" t="s">
        <v>6070</v>
      </c>
      <c r="F3857" s="129" t="s">
        <v>6070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</v>
      </c>
      <c r="R3857" s="136" t="s">
        <v>6090</v>
      </c>
      <c r="S3857" s="129"/>
    </row>
    <row r="3858" spans="1:19" hidden="1">
      <c r="A3858" s="135" t="s">
        <v>6089</v>
      </c>
      <c r="B3858" s="138" t="str">
        <f>IFERROR(VLOOKUP(Proc[[#This Row],[App]],Table2[],3,0),"open")</f>
        <v>open</v>
      </c>
      <c r="C3858" s="138" t="s">
        <v>369</v>
      </c>
      <c r="D3858" t="s">
        <v>5988</v>
      </c>
      <c r="E3858" t="s">
        <v>6070</v>
      </c>
      <c r="F3858" s="129" t="s">
        <v>6070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</v>
      </c>
      <c r="R3858" s="136" t="s">
        <v>6090</v>
      </c>
      <c r="S3858" s="129"/>
    </row>
    <row r="3859" spans="1:19" hidden="1">
      <c r="A3859" s="135" t="s">
        <v>6089</v>
      </c>
      <c r="B3859" s="138" t="str">
        <f>IFERROR(VLOOKUP(Proc[[#This Row],[App]],Table2[],3,0),"open")</f>
        <v>open</v>
      </c>
      <c r="C3859" s="138" t="s">
        <v>369</v>
      </c>
      <c r="D3859" t="s">
        <v>5989</v>
      </c>
      <c r="E3859" t="s">
        <v>6070</v>
      </c>
      <c r="F3859" s="129" t="s">
        <v>6070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</v>
      </c>
      <c r="R3859" s="136" t="s">
        <v>6090</v>
      </c>
      <c r="S3859" s="129"/>
    </row>
    <row r="3860" spans="1:19" hidden="1">
      <c r="A3860" s="135" t="s">
        <v>6089</v>
      </c>
      <c r="B3860" s="138" t="str">
        <f>IFERROR(VLOOKUP(Proc[[#This Row],[App]],Table2[],3,0),"open")</f>
        <v>open</v>
      </c>
      <c r="C3860" s="138" t="s">
        <v>369</v>
      </c>
      <c r="D3860" t="s">
        <v>5990</v>
      </c>
      <c r="E3860" t="s">
        <v>6070</v>
      </c>
      <c r="F3860" s="129" t="s">
        <v>6070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</v>
      </c>
      <c r="R3860" s="136" t="s">
        <v>6090</v>
      </c>
      <c r="S3860" s="129"/>
    </row>
    <row r="3861" spans="1:19" hidden="1">
      <c r="A3861" s="135" t="s">
        <v>6089</v>
      </c>
      <c r="B3861" s="138" t="str">
        <f>IFERROR(VLOOKUP(Proc[[#This Row],[App]],Table2[],3,0),"open")</f>
        <v>open</v>
      </c>
      <c r="C3861" s="138" t="s">
        <v>369</v>
      </c>
      <c r="D3861" t="s">
        <v>5991</v>
      </c>
      <c r="E3861" t="s">
        <v>6072</v>
      </c>
      <c r="F3861" s="129" t="s">
        <v>6072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</v>
      </c>
      <c r="R3861" s="136" t="s">
        <v>6090</v>
      </c>
      <c r="S3861" s="129"/>
    </row>
    <row r="3862" spans="1:19" hidden="1">
      <c r="A3862" s="135" t="s">
        <v>6089</v>
      </c>
      <c r="B3862" s="138" t="str">
        <f>IFERROR(VLOOKUP(Proc[[#This Row],[App]],Table2[],3,0),"open")</f>
        <v>open</v>
      </c>
      <c r="C3862" s="138" t="s">
        <v>369</v>
      </c>
      <c r="D3862" t="s">
        <v>5992</v>
      </c>
      <c r="E3862" t="s">
        <v>6070</v>
      </c>
      <c r="F3862" s="129" t="s">
        <v>6070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</v>
      </c>
      <c r="R3862" s="136" t="s">
        <v>6090</v>
      </c>
      <c r="S3862" s="129"/>
    </row>
    <row r="3863" spans="1:19" hidden="1">
      <c r="A3863" s="135" t="s">
        <v>6089</v>
      </c>
      <c r="B3863" s="138" t="str">
        <f>IFERROR(VLOOKUP(Proc[[#This Row],[App]],Table2[],3,0),"open")</f>
        <v>open</v>
      </c>
      <c r="C3863" s="138" t="s">
        <v>369</v>
      </c>
      <c r="D3863" t="s">
        <v>5993</v>
      </c>
      <c r="E3863" t="s">
        <v>6070</v>
      </c>
      <c r="F3863" s="129" t="s">
        <v>6070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</v>
      </c>
      <c r="R3863" s="136" t="s">
        <v>6090</v>
      </c>
      <c r="S3863" s="129"/>
    </row>
    <row r="3864" spans="1:19" hidden="1">
      <c r="A3864" s="135" t="s">
        <v>6089</v>
      </c>
      <c r="B3864" s="138" t="str">
        <f>IFERROR(VLOOKUP(Proc[[#This Row],[App]],Table2[],3,0),"open")</f>
        <v>open</v>
      </c>
      <c r="C3864" s="138" t="s">
        <v>369</v>
      </c>
      <c r="D3864" t="s">
        <v>5994</v>
      </c>
      <c r="E3864" t="s">
        <v>6070</v>
      </c>
      <c r="F3864" s="129" t="s">
        <v>6070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</v>
      </c>
      <c r="R3864" s="136" t="s">
        <v>6090</v>
      </c>
      <c r="S3864" s="129"/>
    </row>
    <row r="3865" spans="1:19" hidden="1">
      <c r="A3865" s="135" t="s">
        <v>6089</v>
      </c>
      <c r="B3865" s="138" t="str">
        <f>IFERROR(VLOOKUP(Proc[[#This Row],[App]],Table2[],3,0),"open")</f>
        <v>open</v>
      </c>
      <c r="C3865" s="138" t="s">
        <v>369</v>
      </c>
      <c r="D3865" t="s">
        <v>5995</v>
      </c>
      <c r="E3865" t="s">
        <v>6070</v>
      </c>
      <c r="F3865" s="129" t="s">
        <v>6070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</v>
      </c>
      <c r="R3865" s="136" t="s">
        <v>6090</v>
      </c>
      <c r="S3865" s="129"/>
    </row>
    <row r="3866" spans="1:19" hidden="1">
      <c r="A3866" s="135" t="s">
        <v>6089</v>
      </c>
      <c r="B3866" s="138" t="str">
        <f>IFERROR(VLOOKUP(Proc[[#This Row],[App]],Table2[],3,0),"open")</f>
        <v>open</v>
      </c>
      <c r="C3866" s="138" t="s">
        <v>369</v>
      </c>
      <c r="D3866" t="s">
        <v>5996</v>
      </c>
      <c r="E3866" t="s">
        <v>6070</v>
      </c>
      <c r="F3866" s="129" t="s">
        <v>6070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</v>
      </c>
      <c r="R3866" s="136" t="s">
        <v>6090</v>
      </c>
      <c r="S3866" s="129"/>
    </row>
    <row r="3867" spans="1:19" hidden="1">
      <c r="A3867" s="135" t="s">
        <v>6089</v>
      </c>
      <c r="B3867" s="138" t="str">
        <f>IFERROR(VLOOKUP(Proc[[#This Row],[App]],Table2[],3,0),"open")</f>
        <v>open</v>
      </c>
      <c r="C3867" s="138" t="s">
        <v>369</v>
      </c>
      <c r="D3867" t="s">
        <v>5997</v>
      </c>
      <c r="E3867" t="s">
        <v>6069</v>
      </c>
      <c r="F3867" s="129" t="s">
        <v>6069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</v>
      </c>
      <c r="R3867" s="136" t="s">
        <v>6090</v>
      </c>
      <c r="S3867" s="129"/>
    </row>
    <row r="3868" spans="1:19" hidden="1">
      <c r="A3868" s="135" t="s">
        <v>6089</v>
      </c>
      <c r="B3868" s="138" t="str">
        <f>IFERROR(VLOOKUP(Proc[[#This Row],[App]],Table2[],3,0),"open")</f>
        <v>open</v>
      </c>
      <c r="C3868" s="138" t="s">
        <v>369</v>
      </c>
      <c r="D3868" t="s">
        <v>5998</v>
      </c>
      <c r="E3868" t="s">
        <v>6069</v>
      </c>
      <c r="F3868" s="129" t="s">
        <v>6069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</v>
      </c>
      <c r="R3868" s="136" t="s">
        <v>6090</v>
      </c>
      <c r="S3868" s="129"/>
    </row>
    <row r="3869" spans="1:19" hidden="1">
      <c r="A3869" s="135" t="s">
        <v>6089</v>
      </c>
      <c r="B3869" s="138" t="str">
        <f>IFERROR(VLOOKUP(Proc[[#This Row],[App]],Table2[],3,0),"open")</f>
        <v>open</v>
      </c>
      <c r="C3869" s="138" t="s">
        <v>369</v>
      </c>
      <c r="D3869" t="s">
        <v>5999</v>
      </c>
      <c r="E3869" t="s">
        <v>6069</v>
      </c>
      <c r="F3869" s="129" t="s">
        <v>6069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</v>
      </c>
      <c r="R3869" s="136" t="s">
        <v>6090</v>
      </c>
      <c r="S3869" s="129"/>
    </row>
    <row r="3870" spans="1:19" hidden="1">
      <c r="A3870" s="135" t="s">
        <v>6089</v>
      </c>
      <c r="B3870" s="138" t="str">
        <f>IFERROR(VLOOKUP(Proc[[#This Row],[App]],Table2[],3,0),"open")</f>
        <v>open</v>
      </c>
      <c r="C3870" s="138" t="s">
        <v>369</v>
      </c>
      <c r="D3870" t="s">
        <v>6000</v>
      </c>
      <c r="E3870" t="s">
        <v>6069</v>
      </c>
      <c r="F3870" s="129" t="s">
        <v>6069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</v>
      </c>
      <c r="R3870" s="136" t="s">
        <v>6090</v>
      </c>
      <c r="S3870" s="129"/>
    </row>
    <row r="3871" spans="1:19" hidden="1">
      <c r="A3871" s="135" t="s">
        <v>6089</v>
      </c>
      <c r="B3871" s="138" t="str">
        <f>IFERROR(VLOOKUP(Proc[[#This Row],[App]],Table2[],3,0),"open")</f>
        <v>open</v>
      </c>
      <c r="C3871" s="138" t="s">
        <v>369</v>
      </c>
      <c r="D3871" t="s">
        <v>6001</v>
      </c>
      <c r="E3871" t="s">
        <v>6069</v>
      </c>
      <c r="F3871" s="129" t="s">
        <v>6069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</v>
      </c>
      <c r="R3871" s="136" t="s">
        <v>6090</v>
      </c>
      <c r="S3871" s="129"/>
    </row>
    <row r="3872" spans="1:19" hidden="1">
      <c r="A3872" s="135" t="s">
        <v>6089</v>
      </c>
      <c r="B3872" s="138" t="str">
        <f>IFERROR(VLOOKUP(Proc[[#This Row],[App]],Table2[],3,0),"open")</f>
        <v>open</v>
      </c>
      <c r="C3872" s="138" t="s">
        <v>369</v>
      </c>
      <c r="D3872" t="s">
        <v>6002</v>
      </c>
      <c r="E3872" t="s">
        <v>6075</v>
      </c>
      <c r="F3872" s="129" t="s">
        <v>6075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</v>
      </c>
      <c r="R3872" s="136" t="s">
        <v>6090</v>
      </c>
      <c r="S3872" s="129"/>
    </row>
    <row r="3873" spans="1:19" hidden="1">
      <c r="A3873" s="135" t="s">
        <v>6089</v>
      </c>
      <c r="B3873" s="138" t="str">
        <f>IFERROR(VLOOKUP(Proc[[#This Row],[App]],Table2[],3,0),"open")</f>
        <v>open</v>
      </c>
      <c r="C3873" s="138" t="s">
        <v>369</v>
      </c>
      <c r="D3873" t="s">
        <v>6003</v>
      </c>
      <c r="E3873" t="s">
        <v>6068</v>
      </c>
      <c r="F3873" s="129" t="s">
        <v>6068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</v>
      </c>
      <c r="R3873" s="136" t="s">
        <v>6090</v>
      </c>
      <c r="S3873" s="129"/>
    </row>
    <row r="3874" spans="1:19" hidden="1">
      <c r="A3874" s="135" t="s">
        <v>6089</v>
      </c>
      <c r="B3874" s="138" t="str">
        <f>IFERROR(VLOOKUP(Proc[[#This Row],[App]],Table2[],3,0),"open")</f>
        <v>open</v>
      </c>
      <c r="C3874" s="138" t="s">
        <v>369</v>
      </c>
      <c r="D3874" t="s">
        <v>6004</v>
      </c>
      <c r="E3874" t="s">
        <v>6076</v>
      </c>
      <c r="F3874" s="129" t="s">
        <v>6076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</v>
      </c>
      <c r="R3874" s="136" t="s">
        <v>6090</v>
      </c>
      <c r="S3874" s="129"/>
    </row>
    <row r="3875" spans="1:19" hidden="1">
      <c r="A3875" s="135" t="s">
        <v>6089</v>
      </c>
      <c r="B3875" s="138" t="str">
        <f>IFERROR(VLOOKUP(Proc[[#This Row],[App]],Table2[],3,0),"open")</f>
        <v>open</v>
      </c>
      <c r="C3875" s="138" t="s">
        <v>369</v>
      </c>
      <c r="D3875" t="s">
        <v>6005</v>
      </c>
      <c r="E3875" t="s">
        <v>6076</v>
      </c>
      <c r="F3875" s="129" t="s">
        <v>6076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</v>
      </c>
      <c r="R3875" s="136" t="s">
        <v>6090</v>
      </c>
      <c r="S3875" s="129"/>
    </row>
    <row r="3876" spans="1:19" hidden="1">
      <c r="A3876" s="135" t="s">
        <v>6089</v>
      </c>
      <c r="B3876" s="138" t="str">
        <f>IFERROR(VLOOKUP(Proc[[#This Row],[App]],Table2[],3,0),"open")</f>
        <v>open</v>
      </c>
      <c r="C3876" s="138" t="s">
        <v>369</v>
      </c>
      <c r="D3876" t="s">
        <v>6006</v>
      </c>
      <c r="E3876" t="s">
        <v>6076</v>
      </c>
      <c r="F3876" s="129" t="s">
        <v>6076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</v>
      </c>
      <c r="R3876" s="136" t="s">
        <v>6090</v>
      </c>
      <c r="S3876" s="129"/>
    </row>
    <row r="3877" spans="1:19" hidden="1">
      <c r="A3877" s="135" t="s">
        <v>6089</v>
      </c>
      <c r="B3877" s="138" t="str">
        <f>IFERROR(VLOOKUP(Proc[[#This Row],[App]],Table2[],3,0),"open")</f>
        <v>open</v>
      </c>
      <c r="C3877" s="138" t="s">
        <v>369</v>
      </c>
      <c r="D3877" t="s">
        <v>6007</v>
      </c>
      <c r="E3877" t="s">
        <v>6076</v>
      </c>
      <c r="F3877" s="129" t="s">
        <v>6076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</v>
      </c>
      <c r="R3877" s="136" t="s">
        <v>6090</v>
      </c>
      <c r="S3877" s="129"/>
    </row>
    <row r="3878" spans="1:19" hidden="1">
      <c r="A3878" s="135" t="s">
        <v>6089</v>
      </c>
      <c r="B3878" s="138" t="str">
        <f>IFERROR(VLOOKUP(Proc[[#This Row],[App]],Table2[],3,0),"open")</f>
        <v>open</v>
      </c>
      <c r="C3878" s="138" t="s">
        <v>369</v>
      </c>
      <c r="D3878" t="s">
        <v>6008</v>
      </c>
      <c r="E3878" t="s">
        <v>6076</v>
      </c>
      <c r="F3878" s="129" t="s">
        <v>6076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</v>
      </c>
      <c r="R3878" s="136" t="s">
        <v>6090</v>
      </c>
      <c r="S3878" s="129"/>
    </row>
    <row r="3879" spans="1:19" hidden="1">
      <c r="A3879" s="135" t="s">
        <v>6089</v>
      </c>
      <c r="B3879" s="138" t="str">
        <f>IFERROR(VLOOKUP(Proc[[#This Row],[App]],Table2[],3,0),"open")</f>
        <v>open</v>
      </c>
      <c r="C3879" s="138" t="s">
        <v>369</v>
      </c>
      <c r="D3879" t="s">
        <v>6009</v>
      </c>
      <c r="E3879" t="s">
        <v>6076</v>
      </c>
      <c r="F3879" s="129" t="s">
        <v>6076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</v>
      </c>
      <c r="R3879" s="136" t="s">
        <v>6090</v>
      </c>
      <c r="S3879" s="129"/>
    </row>
    <row r="3880" spans="1:19" hidden="1">
      <c r="A3880" s="135" t="s">
        <v>6089</v>
      </c>
      <c r="B3880" s="138" t="str">
        <f>IFERROR(VLOOKUP(Proc[[#This Row],[App]],Table2[],3,0),"open")</f>
        <v>open</v>
      </c>
      <c r="C3880" s="138" t="s">
        <v>369</v>
      </c>
      <c r="D3880" t="s">
        <v>6010</v>
      </c>
      <c r="E3880" t="s">
        <v>6076</v>
      </c>
      <c r="F3880" s="129" t="s">
        <v>6076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</v>
      </c>
      <c r="R3880" s="136" t="s">
        <v>6090</v>
      </c>
      <c r="S3880" s="129"/>
    </row>
    <row r="3881" spans="1:19" hidden="1">
      <c r="A3881" s="135" t="s">
        <v>6089</v>
      </c>
      <c r="B3881" s="138" t="str">
        <f>IFERROR(VLOOKUP(Proc[[#This Row],[App]],Table2[],3,0),"open")</f>
        <v>open</v>
      </c>
      <c r="C3881" s="138" t="s">
        <v>369</v>
      </c>
      <c r="D3881" t="s">
        <v>6011</v>
      </c>
      <c r="E3881" t="s">
        <v>6076</v>
      </c>
      <c r="F3881" s="129" t="s">
        <v>6076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</v>
      </c>
      <c r="R3881" s="136" t="s">
        <v>6090</v>
      </c>
      <c r="S3881" s="129"/>
    </row>
    <row r="3882" spans="1:19" hidden="1">
      <c r="A3882" s="135" t="s">
        <v>6089</v>
      </c>
      <c r="B3882" s="138" t="str">
        <f>IFERROR(VLOOKUP(Proc[[#This Row],[App]],Table2[],3,0),"open")</f>
        <v>open</v>
      </c>
      <c r="C3882" s="138" t="s">
        <v>369</v>
      </c>
      <c r="D3882" t="s">
        <v>6012</v>
      </c>
      <c r="E3882" t="s">
        <v>6076</v>
      </c>
      <c r="F3882" s="129" t="s">
        <v>6076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</v>
      </c>
      <c r="R3882" s="136" t="s">
        <v>6090</v>
      </c>
      <c r="S3882" s="129"/>
    </row>
    <row r="3883" spans="1:19" hidden="1">
      <c r="A3883" s="135" t="s">
        <v>6089</v>
      </c>
      <c r="B3883" s="138" t="str">
        <f>IFERROR(VLOOKUP(Proc[[#This Row],[App]],Table2[],3,0),"open")</f>
        <v>open</v>
      </c>
      <c r="C3883" s="138" t="s">
        <v>369</v>
      </c>
      <c r="D3883" t="s">
        <v>6013</v>
      </c>
      <c r="E3883" t="s">
        <v>6076</v>
      </c>
      <c r="F3883" s="129" t="s">
        <v>6076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</v>
      </c>
      <c r="R3883" s="136" t="s">
        <v>6090</v>
      </c>
      <c r="S3883" s="129"/>
    </row>
    <row r="3884" spans="1:19" hidden="1">
      <c r="A3884" s="135" t="s">
        <v>6089</v>
      </c>
      <c r="B3884" s="138" t="str">
        <f>IFERROR(VLOOKUP(Proc[[#This Row],[App]],Table2[],3,0),"open")</f>
        <v>open</v>
      </c>
      <c r="C3884" s="138" t="s">
        <v>369</v>
      </c>
      <c r="D3884" t="s">
        <v>6014</v>
      </c>
      <c r="E3884" t="s">
        <v>6076</v>
      </c>
      <c r="F3884" s="129" t="s">
        <v>6076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</v>
      </c>
      <c r="R3884" s="136" t="s">
        <v>6090</v>
      </c>
      <c r="S3884" s="129"/>
    </row>
    <row r="3885" spans="1:19" hidden="1">
      <c r="A3885" s="135" t="s">
        <v>6089</v>
      </c>
      <c r="B3885" s="138" t="str">
        <f>IFERROR(VLOOKUP(Proc[[#This Row],[App]],Table2[],3,0),"open")</f>
        <v>open</v>
      </c>
      <c r="C3885" s="138" t="s">
        <v>369</v>
      </c>
      <c r="D3885" t="s">
        <v>6015</v>
      </c>
      <c r="E3885" t="s">
        <v>6076</v>
      </c>
      <c r="F3885" s="129" t="s">
        <v>6076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</v>
      </c>
      <c r="R3885" s="136" t="s">
        <v>6090</v>
      </c>
      <c r="S3885" s="129"/>
    </row>
    <row r="3886" spans="1:19" hidden="1">
      <c r="A3886" s="135" t="s">
        <v>6089</v>
      </c>
      <c r="B3886" s="138" t="str">
        <f>IFERROR(VLOOKUP(Proc[[#This Row],[App]],Table2[],3,0),"open")</f>
        <v>open</v>
      </c>
      <c r="C3886" s="138" t="s">
        <v>369</v>
      </c>
      <c r="D3886" t="s">
        <v>6016</v>
      </c>
      <c r="E3886" t="s">
        <v>6076</v>
      </c>
      <c r="F3886" s="129" t="s">
        <v>6076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</v>
      </c>
      <c r="R3886" s="136" t="s">
        <v>6090</v>
      </c>
      <c r="S3886" s="129"/>
    </row>
    <row r="3887" spans="1:19" hidden="1">
      <c r="A3887" s="135" t="s">
        <v>6089</v>
      </c>
      <c r="B3887" s="138" t="str">
        <f>IFERROR(VLOOKUP(Proc[[#This Row],[App]],Table2[],3,0),"open")</f>
        <v>open</v>
      </c>
      <c r="C3887" s="138" t="s">
        <v>369</v>
      </c>
      <c r="D3887" t="s">
        <v>6017</v>
      </c>
      <c r="E3887" t="s">
        <v>6076</v>
      </c>
      <c r="F3887" s="129" t="s">
        <v>6076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</v>
      </c>
      <c r="R3887" s="136" t="s">
        <v>6090</v>
      </c>
      <c r="S3887" s="129"/>
    </row>
    <row r="3888" spans="1:19" hidden="1">
      <c r="A3888" s="135" t="s">
        <v>6089</v>
      </c>
      <c r="B3888" s="138" t="str">
        <f>IFERROR(VLOOKUP(Proc[[#This Row],[App]],Table2[],3,0),"open")</f>
        <v>open</v>
      </c>
      <c r="C3888" s="138" t="s">
        <v>369</v>
      </c>
      <c r="D3888" t="s">
        <v>6018</v>
      </c>
      <c r="E3888" t="s">
        <v>6076</v>
      </c>
      <c r="F3888" s="129" t="s">
        <v>6076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</v>
      </c>
      <c r="R3888" s="136" t="s">
        <v>6090</v>
      </c>
      <c r="S3888" s="129"/>
    </row>
    <row r="3889" spans="1:19" hidden="1">
      <c r="A3889" s="135" t="s">
        <v>6089</v>
      </c>
      <c r="B3889" s="138" t="str">
        <f>IFERROR(VLOOKUP(Proc[[#This Row],[App]],Table2[],3,0),"open")</f>
        <v>open</v>
      </c>
      <c r="C3889" s="138" t="s">
        <v>369</v>
      </c>
      <c r="D3889" t="s">
        <v>6019</v>
      </c>
      <c r="E3889" t="s">
        <v>6076</v>
      </c>
      <c r="F3889" s="129" t="s">
        <v>6076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</v>
      </c>
      <c r="R3889" s="136" t="s">
        <v>6090</v>
      </c>
      <c r="S3889" s="129"/>
    </row>
    <row r="3890" spans="1:19" hidden="1">
      <c r="A3890" s="135" t="s">
        <v>6089</v>
      </c>
      <c r="B3890" s="138" t="str">
        <f>IFERROR(VLOOKUP(Proc[[#This Row],[App]],Table2[],3,0),"open")</f>
        <v>open</v>
      </c>
      <c r="C3890" s="138" t="s">
        <v>369</v>
      </c>
      <c r="D3890" t="s">
        <v>6020</v>
      </c>
      <c r="E3890" t="s">
        <v>6076</v>
      </c>
      <c r="F3890" s="129" t="s">
        <v>6076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</v>
      </c>
      <c r="R3890" s="136" t="s">
        <v>6090</v>
      </c>
      <c r="S3890" s="129"/>
    </row>
    <row r="3891" spans="1:19" hidden="1">
      <c r="A3891" s="135" t="s">
        <v>6089</v>
      </c>
      <c r="B3891" s="138" t="str">
        <f>IFERROR(VLOOKUP(Proc[[#This Row],[App]],Table2[],3,0),"open")</f>
        <v>open</v>
      </c>
      <c r="C3891" s="138" t="s">
        <v>369</v>
      </c>
      <c r="D3891" t="s">
        <v>6021</v>
      </c>
      <c r="E3891" t="s">
        <v>6076</v>
      </c>
      <c r="F3891" s="129" t="s">
        <v>6076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</v>
      </c>
      <c r="R3891" s="136" t="s">
        <v>6090</v>
      </c>
      <c r="S3891" s="129"/>
    </row>
    <row r="3892" spans="1:19" hidden="1">
      <c r="A3892" s="135" t="s">
        <v>6089</v>
      </c>
      <c r="B3892" s="138" t="str">
        <f>IFERROR(VLOOKUP(Proc[[#This Row],[App]],Table2[],3,0),"open")</f>
        <v>open</v>
      </c>
      <c r="C3892" s="138" t="s">
        <v>369</v>
      </c>
      <c r="D3892" t="s">
        <v>6022</v>
      </c>
      <c r="E3892" t="s">
        <v>6076</v>
      </c>
      <c r="F3892" s="129" t="s">
        <v>6076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</v>
      </c>
      <c r="R3892" s="136" t="s">
        <v>6090</v>
      </c>
      <c r="S3892" s="129"/>
    </row>
    <row r="3893" spans="1:19" hidden="1">
      <c r="A3893" s="135" t="s">
        <v>6089</v>
      </c>
      <c r="B3893" s="138" t="str">
        <f>IFERROR(VLOOKUP(Proc[[#This Row],[App]],Table2[],3,0),"open")</f>
        <v>open</v>
      </c>
      <c r="C3893" s="138" t="s">
        <v>369</v>
      </c>
      <c r="D3893" t="s">
        <v>6023</v>
      </c>
      <c r="E3893" t="s">
        <v>6076</v>
      </c>
      <c r="F3893" s="129" t="s">
        <v>6076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</v>
      </c>
      <c r="R3893" s="136" t="s">
        <v>6090</v>
      </c>
      <c r="S3893" s="129"/>
    </row>
    <row r="3894" spans="1:19" hidden="1">
      <c r="A3894" s="135" t="s">
        <v>6089</v>
      </c>
      <c r="B3894" s="138" t="str">
        <f>IFERROR(VLOOKUP(Proc[[#This Row],[App]],Table2[],3,0),"open")</f>
        <v>open</v>
      </c>
      <c r="C3894" s="138" t="s">
        <v>369</v>
      </c>
      <c r="D3894" t="s">
        <v>6024</v>
      </c>
      <c r="E3894" t="s">
        <v>6076</v>
      </c>
      <c r="F3894" s="129" t="s">
        <v>6076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</v>
      </c>
      <c r="R3894" s="136" t="s">
        <v>6090</v>
      </c>
      <c r="S3894" s="129"/>
    </row>
    <row r="3895" spans="1:19" hidden="1">
      <c r="A3895" s="135" t="s">
        <v>6089</v>
      </c>
      <c r="B3895" s="138" t="str">
        <f>IFERROR(VLOOKUP(Proc[[#This Row],[App]],Table2[],3,0),"open")</f>
        <v>open</v>
      </c>
      <c r="C3895" s="138" t="s">
        <v>369</v>
      </c>
      <c r="D3895" t="s">
        <v>6025</v>
      </c>
      <c r="E3895" t="s">
        <v>6076</v>
      </c>
      <c r="F3895" s="129" t="s">
        <v>6076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</v>
      </c>
      <c r="R3895" s="136" t="s">
        <v>6090</v>
      </c>
      <c r="S3895" s="129"/>
    </row>
    <row r="3896" spans="1:19" hidden="1">
      <c r="A3896" s="135" t="s">
        <v>6089</v>
      </c>
      <c r="B3896" s="138" t="str">
        <f>IFERROR(VLOOKUP(Proc[[#This Row],[App]],Table2[],3,0),"open")</f>
        <v>open</v>
      </c>
      <c r="C3896" s="138" t="s">
        <v>369</v>
      </c>
      <c r="D3896" t="s">
        <v>6026</v>
      </c>
      <c r="E3896" t="s">
        <v>6076</v>
      </c>
      <c r="F3896" s="129" t="s">
        <v>6076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</v>
      </c>
      <c r="R3896" s="136" t="s">
        <v>6090</v>
      </c>
      <c r="S3896" s="129"/>
    </row>
    <row r="3897" spans="1:19" hidden="1">
      <c r="A3897" s="135" t="s">
        <v>6089</v>
      </c>
      <c r="B3897" s="138" t="str">
        <f>IFERROR(VLOOKUP(Proc[[#This Row],[App]],Table2[],3,0),"open")</f>
        <v>open</v>
      </c>
      <c r="C3897" s="138" t="s">
        <v>369</v>
      </c>
      <c r="D3897" t="s">
        <v>6027</v>
      </c>
      <c r="E3897" t="s">
        <v>6077</v>
      </c>
      <c r="F3897" s="129" t="s">
        <v>6077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</v>
      </c>
      <c r="R3897" s="136" t="s">
        <v>6090</v>
      </c>
      <c r="S3897" s="129"/>
    </row>
    <row r="3898" spans="1:19" hidden="1">
      <c r="A3898" s="135" t="s">
        <v>6089</v>
      </c>
      <c r="B3898" s="138" t="str">
        <f>IFERROR(VLOOKUP(Proc[[#This Row],[App]],Table2[],3,0),"open")</f>
        <v>open</v>
      </c>
      <c r="C3898" s="138" t="s">
        <v>369</v>
      </c>
      <c r="D3898" t="s">
        <v>6028</v>
      </c>
      <c r="E3898" t="s">
        <v>6076</v>
      </c>
      <c r="F3898" s="129" t="s">
        <v>6076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</v>
      </c>
      <c r="R3898" s="136" t="s">
        <v>6090</v>
      </c>
      <c r="S3898" s="129"/>
    </row>
    <row r="3899" spans="1:19" hidden="1">
      <c r="A3899" s="135" t="s">
        <v>6089</v>
      </c>
      <c r="B3899" s="138" t="str">
        <f>IFERROR(VLOOKUP(Proc[[#This Row],[App]],Table2[],3,0),"open")</f>
        <v>open</v>
      </c>
      <c r="C3899" s="138" t="s">
        <v>369</v>
      </c>
      <c r="D3899" t="s">
        <v>6029</v>
      </c>
      <c r="E3899" t="s">
        <v>6078</v>
      </c>
      <c r="F3899" s="129" t="s">
        <v>6078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</v>
      </c>
      <c r="R3899" s="136" t="s">
        <v>6090</v>
      </c>
      <c r="S3899" s="129"/>
    </row>
    <row r="3900" spans="1:19" hidden="1">
      <c r="A3900" s="135" t="s">
        <v>6089</v>
      </c>
      <c r="B3900" s="138" t="str">
        <f>IFERROR(VLOOKUP(Proc[[#This Row],[App]],Table2[],3,0),"open")</f>
        <v>open</v>
      </c>
      <c r="C3900" s="138" t="s">
        <v>369</v>
      </c>
      <c r="D3900" t="s">
        <v>6030</v>
      </c>
      <c r="E3900" t="s">
        <v>6079</v>
      </c>
      <c r="F3900" s="129" t="s">
        <v>6079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</v>
      </c>
      <c r="R3900" s="136" t="s">
        <v>6090</v>
      </c>
      <c r="S3900" s="129"/>
    </row>
    <row r="3901" spans="1:19" hidden="1">
      <c r="A3901" s="135" t="s">
        <v>6089</v>
      </c>
      <c r="B3901" s="138" t="str">
        <f>IFERROR(VLOOKUP(Proc[[#This Row],[App]],Table2[],3,0),"open")</f>
        <v>open</v>
      </c>
      <c r="C3901" s="138" t="s">
        <v>369</v>
      </c>
      <c r="D3901" t="s">
        <v>6031</v>
      </c>
      <c r="E3901" t="s">
        <v>6080</v>
      </c>
      <c r="F3901" s="129" t="s">
        <v>6080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</v>
      </c>
      <c r="R3901" s="136" t="s">
        <v>6090</v>
      </c>
      <c r="S3901" s="129"/>
    </row>
    <row r="3902" spans="1:19" hidden="1">
      <c r="A3902" s="135" t="s">
        <v>6089</v>
      </c>
      <c r="B3902" s="138" t="str">
        <f>IFERROR(VLOOKUP(Proc[[#This Row],[App]],Table2[],3,0),"open")</f>
        <v>open</v>
      </c>
      <c r="C3902" s="138" t="s">
        <v>369</v>
      </c>
      <c r="D3902" t="s">
        <v>6032</v>
      </c>
      <c r="E3902" t="s">
        <v>6081</v>
      </c>
      <c r="F3902" s="129" t="s">
        <v>6081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</v>
      </c>
      <c r="R3902" s="136" t="s">
        <v>6090</v>
      </c>
      <c r="S3902" s="129"/>
    </row>
    <row r="3903" spans="1:19" hidden="1">
      <c r="A3903" s="135" t="s">
        <v>6089</v>
      </c>
      <c r="B3903" s="138" t="str">
        <f>IFERROR(VLOOKUP(Proc[[#This Row],[App]],Table2[],3,0),"open")</f>
        <v>open</v>
      </c>
      <c r="C3903" s="138" t="s">
        <v>369</v>
      </c>
      <c r="D3903" t="s">
        <v>6033</v>
      </c>
      <c r="E3903" t="s">
        <v>6081</v>
      </c>
      <c r="F3903" s="129" t="s">
        <v>6081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</v>
      </c>
      <c r="R3903" s="136" t="s">
        <v>6090</v>
      </c>
      <c r="S3903" s="129"/>
    </row>
    <row r="3904" spans="1:19" hidden="1">
      <c r="A3904" s="135" t="s">
        <v>6089</v>
      </c>
      <c r="B3904" s="138" t="str">
        <f>IFERROR(VLOOKUP(Proc[[#This Row],[App]],Table2[],3,0),"open")</f>
        <v>open</v>
      </c>
      <c r="C3904" s="138" t="s">
        <v>369</v>
      </c>
      <c r="D3904" t="s">
        <v>6034</v>
      </c>
      <c r="E3904" t="s">
        <v>6081</v>
      </c>
      <c r="F3904" s="129" t="s">
        <v>6081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</v>
      </c>
      <c r="R3904" s="136" t="s">
        <v>6090</v>
      </c>
      <c r="S3904" s="129"/>
    </row>
    <row r="3905" spans="1:19" hidden="1">
      <c r="A3905" s="135" t="s">
        <v>6089</v>
      </c>
      <c r="B3905" s="138" t="str">
        <f>IFERROR(VLOOKUP(Proc[[#This Row],[App]],Table2[],3,0),"open")</f>
        <v>open</v>
      </c>
      <c r="C3905" s="138" t="s">
        <v>369</v>
      </c>
      <c r="D3905" t="s">
        <v>6035</v>
      </c>
      <c r="E3905" t="s">
        <v>6081</v>
      </c>
      <c r="F3905" s="129" t="s">
        <v>6081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</v>
      </c>
      <c r="R3905" s="136" t="s">
        <v>6090</v>
      </c>
      <c r="S3905" s="129"/>
    </row>
    <row r="3906" spans="1:19" hidden="1">
      <c r="A3906" s="135" t="s">
        <v>6089</v>
      </c>
      <c r="B3906" s="138" t="str">
        <f>IFERROR(VLOOKUP(Proc[[#This Row],[App]],Table2[],3,0),"open")</f>
        <v>open</v>
      </c>
      <c r="C3906" s="138" t="s">
        <v>369</v>
      </c>
      <c r="D3906" t="s">
        <v>6036</v>
      </c>
      <c r="E3906" t="s">
        <v>6081</v>
      </c>
      <c r="F3906" s="129" t="s">
        <v>6081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</v>
      </c>
      <c r="R3906" s="136" t="s">
        <v>6090</v>
      </c>
      <c r="S3906" s="129"/>
    </row>
    <row r="3907" spans="1:19" hidden="1">
      <c r="A3907" s="135" t="s">
        <v>6089</v>
      </c>
      <c r="B3907" s="138" t="str">
        <f>IFERROR(VLOOKUP(Proc[[#This Row],[App]],Table2[],3,0),"open")</f>
        <v>open</v>
      </c>
      <c r="C3907" s="138" t="s">
        <v>369</v>
      </c>
      <c r="D3907" t="s">
        <v>6037</v>
      </c>
      <c r="E3907" t="s">
        <v>6081</v>
      </c>
      <c r="F3907" s="129" t="s">
        <v>6081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</v>
      </c>
      <c r="R3907" s="136" t="s">
        <v>6090</v>
      </c>
      <c r="S3907" s="129"/>
    </row>
    <row r="3908" spans="1:19" hidden="1">
      <c r="A3908" s="135" t="s">
        <v>6089</v>
      </c>
      <c r="B3908" s="138" t="str">
        <f>IFERROR(VLOOKUP(Proc[[#This Row],[App]],Table2[],3,0),"open")</f>
        <v>open</v>
      </c>
      <c r="C3908" s="138" t="s">
        <v>369</v>
      </c>
      <c r="D3908" t="s">
        <v>6038</v>
      </c>
      <c r="E3908" t="s">
        <v>6082</v>
      </c>
      <c r="F3908" s="129" t="s">
        <v>6082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</v>
      </c>
      <c r="R3908" s="136" t="s">
        <v>6090</v>
      </c>
      <c r="S3908" s="129"/>
    </row>
    <row r="3909" spans="1:19" hidden="1">
      <c r="A3909" s="135" t="s">
        <v>6089</v>
      </c>
      <c r="B3909" s="138" t="str">
        <f>IFERROR(VLOOKUP(Proc[[#This Row],[App]],Table2[],3,0),"open")</f>
        <v>open</v>
      </c>
      <c r="C3909" s="138" t="s">
        <v>369</v>
      </c>
      <c r="D3909" t="s">
        <v>6039</v>
      </c>
      <c r="E3909" t="s">
        <v>6077</v>
      </c>
      <c r="F3909" s="129" t="s">
        <v>6077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</v>
      </c>
      <c r="R3909" s="136" t="s">
        <v>6090</v>
      </c>
      <c r="S3909" s="129"/>
    </row>
    <row r="3910" spans="1:19" hidden="1">
      <c r="A3910" s="135" t="s">
        <v>6089</v>
      </c>
      <c r="B3910" s="138" t="str">
        <f>IFERROR(VLOOKUP(Proc[[#This Row],[App]],Table2[],3,0),"open")</f>
        <v>open</v>
      </c>
      <c r="C3910" s="138" t="s">
        <v>369</v>
      </c>
      <c r="D3910" t="s">
        <v>6040</v>
      </c>
      <c r="E3910" t="s">
        <v>6077</v>
      </c>
      <c r="F3910" s="129" t="s">
        <v>6077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</v>
      </c>
      <c r="R3910" s="136" t="s">
        <v>6090</v>
      </c>
      <c r="S3910" s="129"/>
    </row>
    <row r="3911" spans="1:19" hidden="1">
      <c r="A3911" s="135" t="s">
        <v>6089</v>
      </c>
      <c r="B3911" s="138" t="str">
        <f>IFERROR(VLOOKUP(Proc[[#This Row],[App]],Table2[],3,0),"open")</f>
        <v>open</v>
      </c>
      <c r="C3911" s="138" t="s">
        <v>369</v>
      </c>
      <c r="D3911" t="s">
        <v>6041</v>
      </c>
      <c r="E3911" t="s">
        <v>6077</v>
      </c>
      <c r="F3911" s="129" t="s">
        <v>6077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</v>
      </c>
      <c r="R3911" s="136" t="s">
        <v>6090</v>
      </c>
      <c r="S3911" s="129"/>
    </row>
    <row r="3912" spans="1:19" hidden="1">
      <c r="A3912" s="135" t="s">
        <v>6089</v>
      </c>
      <c r="B3912" s="138" t="str">
        <f>IFERROR(VLOOKUP(Proc[[#This Row],[App]],Table2[],3,0),"open")</f>
        <v>open</v>
      </c>
      <c r="C3912" s="138" t="s">
        <v>369</v>
      </c>
      <c r="D3912" t="s">
        <v>6042</v>
      </c>
      <c r="E3912" t="s">
        <v>6083</v>
      </c>
      <c r="F3912" s="129" t="s">
        <v>6083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</v>
      </c>
      <c r="R3912" s="136" t="s">
        <v>6090</v>
      </c>
      <c r="S3912" s="129"/>
    </row>
    <row r="3913" spans="1:19" hidden="1">
      <c r="A3913" s="135" t="s">
        <v>6089</v>
      </c>
      <c r="B3913" s="138" t="str">
        <f>IFERROR(VLOOKUP(Proc[[#This Row],[App]],Table2[],3,0),"open")</f>
        <v>open</v>
      </c>
      <c r="C3913" s="138" t="s">
        <v>369</v>
      </c>
      <c r="D3913" t="s">
        <v>6043</v>
      </c>
      <c r="E3913" t="s">
        <v>6084</v>
      </c>
      <c r="F3913" s="129" t="s">
        <v>6084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</v>
      </c>
      <c r="R3913" s="136" t="s">
        <v>6090</v>
      </c>
      <c r="S3913" s="129"/>
    </row>
    <row r="3914" spans="1:19" hidden="1">
      <c r="A3914" s="135" t="s">
        <v>6089</v>
      </c>
      <c r="B3914" s="138" t="str">
        <f>IFERROR(VLOOKUP(Proc[[#This Row],[App]],Table2[],3,0),"open")</f>
        <v>open</v>
      </c>
      <c r="C3914" s="138" t="s">
        <v>369</v>
      </c>
      <c r="D3914" t="s">
        <v>6044</v>
      </c>
      <c r="E3914" t="s">
        <v>6085</v>
      </c>
      <c r="F3914" s="129" t="s">
        <v>6085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</v>
      </c>
      <c r="R3914" s="136" t="s">
        <v>6090</v>
      </c>
      <c r="S3914" s="129"/>
    </row>
    <row r="3915" spans="1:19" hidden="1">
      <c r="A3915" s="135" t="s">
        <v>6089</v>
      </c>
      <c r="B3915" s="138" t="str">
        <f>IFERROR(VLOOKUP(Proc[[#This Row],[App]],Table2[],3,0),"open")</f>
        <v>open</v>
      </c>
      <c r="C3915" s="138" t="s">
        <v>369</v>
      </c>
      <c r="D3915" t="s">
        <v>6045</v>
      </c>
      <c r="E3915" t="s">
        <v>6086</v>
      </c>
      <c r="F3915" s="129" t="s">
        <v>6086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</v>
      </c>
      <c r="R3915" s="136" t="s">
        <v>6090</v>
      </c>
      <c r="S3915" s="129"/>
    </row>
    <row r="3916" spans="1:19" hidden="1">
      <c r="A3916" s="135" t="s">
        <v>6089</v>
      </c>
      <c r="B3916" s="138" t="str">
        <f>IFERROR(VLOOKUP(Proc[[#This Row],[App]],Table2[],3,0),"open")</f>
        <v>open</v>
      </c>
      <c r="C3916" s="138" t="s">
        <v>369</v>
      </c>
      <c r="D3916" t="s">
        <v>6046</v>
      </c>
      <c r="E3916" t="s">
        <v>6087</v>
      </c>
      <c r="F3916" s="129" t="s">
        <v>6087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</v>
      </c>
      <c r="R3916" s="136" t="s">
        <v>6090</v>
      </c>
      <c r="S3916" s="129"/>
    </row>
    <row r="3917" spans="1:19" hidden="1">
      <c r="A3917" s="135" t="s">
        <v>6089</v>
      </c>
      <c r="B3917" s="138" t="str">
        <f>IFERROR(VLOOKUP(Proc[[#This Row],[App]],Table2[],3,0),"open")</f>
        <v>open</v>
      </c>
      <c r="C3917" s="138" t="s">
        <v>369</v>
      </c>
      <c r="D3917" t="s">
        <v>6047</v>
      </c>
      <c r="E3917" t="s">
        <v>6088</v>
      </c>
      <c r="F3917" s="129" t="s">
        <v>6088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</v>
      </c>
      <c r="R3917" s="136" t="s">
        <v>6090</v>
      </c>
      <c r="S3917" s="129"/>
    </row>
    <row r="3918" spans="1:19" hidden="1">
      <c r="A3918" s="135" t="s">
        <v>6089</v>
      </c>
      <c r="B3918" s="138" t="str">
        <f>IFERROR(VLOOKUP(Proc[[#This Row],[App]],Table2[],3,0),"open")</f>
        <v>open</v>
      </c>
      <c r="C3918" s="138" t="s">
        <v>369</v>
      </c>
      <c r="D3918" t="s">
        <v>6048</v>
      </c>
      <c r="E3918" t="s">
        <v>6088</v>
      </c>
      <c r="F3918" s="129" t="s">
        <v>6088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</v>
      </c>
      <c r="R3918" s="136" t="s">
        <v>6090</v>
      </c>
      <c r="S3918" s="129"/>
    </row>
    <row r="3919" spans="1:19" hidden="1">
      <c r="A3919" s="135" t="s">
        <v>6089</v>
      </c>
      <c r="B3919" s="138" t="str">
        <f>IFERROR(VLOOKUP(Proc[[#This Row],[App]],Table2[],3,0),"open")</f>
        <v>open</v>
      </c>
      <c r="C3919" s="138" t="s">
        <v>369</v>
      </c>
      <c r="D3919" t="s">
        <v>6049</v>
      </c>
      <c r="E3919" t="s">
        <v>6062</v>
      </c>
      <c r="F3919" s="129" t="s">
        <v>6062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</v>
      </c>
      <c r="R3919" s="136" t="s">
        <v>6090</v>
      </c>
      <c r="S3919" s="129"/>
    </row>
    <row r="3920" spans="1:19" hidden="1">
      <c r="A3920" s="135" t="s">
        <v>6089</v>
      </c>
      <c r="B3920" s="138" t="str">
        <f>IFERROR(VLOOKUP(Proc[[#This Row],[App]],Table2[],3,0),"open")</f>
        <v>open</v>
      </c>
      <c r="C3920" s="138" t="s">
        <v>369</v>
      </c>
      <c r="D3920" t="s">
        <v>6050</v>
      </c>
      <c r="E3920" t="s">
        <v>6062</v>
      </c>
      <c r="F3920" s="129" t="s">
        <v>6062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</v>
      </c>
      <c r="R3920" s="136" t="s">
        <v>6090</v>
      </c>
      <c r="S3920" s="129"/>
    </row>
    <row r="3921" spans="1:19" hidden="1">
      <c r="A3921" s="135" t="s">
        <v>6089</v>
      </c>
      <c r="B3921" s="138" t="str">
        <f>IFERROR(VLOOKUP(Proc[[#This Row],[App]],Table2[],3,0),"open")</f>
        <v>open</v>
      </c>
      <c r="C3921" s="138" t="s">
        <v>369</v>
      </c>
      <c r="D3921" t="s">
        <v>6051</v>
      </c>
      <c r="E3921" t="s">
        <v>6062</v>
      </c>
      <c r="F3921" s="129" t="s">
        <v>6062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</v>
      </c>
      <c r="R3921" s="136" t="s">
        <v>6090</v>
      </c>
      <c r="S3921" s="129"/>
    </row>
    <row r="3922" spans="1:19" hidden="1">
      <c r="A3922" s="135" t="s">
        <v>6089</v>
      </c>
      <c r="B3922" s="138" t="str">
        <f>IFERROR(VLOOKUP(Proc[[#This Row],[App]],Table2[],3,0),"open")</f>
        <v>open</v>
      </c>
      <c r="C3922" s="138" t="s">
        <v>369</v>
      </c>
      <c r="D3922" t="s">
        <v>6052</v>
      </c>
      <c r="E3922" t="s">
        <v>6062</v>
      </c>
      <c r="F3922" s="129" t="s">
        <v>6062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</v>
      </c>
      <c r="R3922" s="136" t="s">
        <v>6090</v>
      </c>
      <c r="S3922" s="129"/>
    </row>
    <row r="3923" spans="1:19" hidden="1">
      <c r="A3923" s="135" t="s">
        <v>6089</v>
      </c>
      <c r="B3923" s="138" t="str">
        <f>IFERROR(VLOOKUP(Proc[[#This Row],[App]],Table2[],3,0),"open")</f>
        <v>open</v>
      </c>
      <c r="C3923" s="138" t="s">
        <v>369</v>
      </c>
      <c r="D3923" t="s">
        <v>6053</v>
      </c>
      <c r="E3923" t="s">
        <v>6062</v>
      </c>
      <c r="F3923" s="129" t="s">
        <v>6062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</v>
      </c>
      <c r="R3923" s="136" t="s">
        <v>6090</v>
      </c>
      <c r="S3923" s="129"/>
    </row>
    <row r="3924" spans="1:19" hidden="1">
      <c r="A3924" s="135" t="s">
        <v>6089</v>
      </c>
      <c r="B3924" s="138" t="str">
        <f>IFERROR(VLOOKUP(Proc[[#This Row],[App]],Table2[],3,0),"open")</f>
        <v>open</v>
      </c>
      <c r="C3924" s="138" t="s">
        <v>369</v>
      </c>
      <c r="D3924" t="s">
        <v>6054</v>
      </c>
      <c r="E3924" t="s">
        <v>6062</v>
      </c>
      <c r="F3924" s="129" t="s">
        <v>6062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</v>
      </c>
      <c r="R3924" s="136" t="s">
        <v>6090</v>
      </c>
      <c r="S3924" s="129"/>
    </row>
    <row r="3925" spans="1:19" hidden="1">
      <c r="A3925" s="135" t="s">
        <v>6089</v>
      </c>
      <c r="B3925" s="138" t="str">
        <f>IFERROR(VLOOKUP(Proc[[#This Row],[App]],Table2[],3,0),"open")</f>
        <v>open</v>
      </c>
      <c r="C3925" s="138" t="s">
        <v>369</v>
      </c>
      <c r="D3925" t="s">
        <v>6055</v>
      </c>
      <c r="E3925" t="s">
        <v>6062</v>
      </c>
      <c r="F3925" s="129" t="s">
        <v>6062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</v>
      </c>
      <c r="R3925" s="136" t="s">
        <v>6090</v>
      </c>
      <c r="S3925" s="129"/>
    </row>
    <row r="3926" spans="1:19" hidden="1">
      <c r="A3926" s="135" t="s">
        <v>6089</v>
      </c>
      <c r="B3926" s="138" t="str">
        <f>IFERROR(VLOOKUP(Proc[[#This Row],[App]],Table2[],3,0),"open")</f>
        <v>open</v>
      </c>
      <c r="C3926" s="138" t="s">
        <v>369</v>
      </c>
      <c r="D3926" t="s">
        <v>6056</v>
      </c>
      <c r="E3926" t="s">
        <v>6062</v>
      </c>
      <c r="F3926" s="129" t="s">
        <v>6062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</v>
      </c>
      <c r="R3926" s="136" t="s">
        <v>6090</v>
      </c>
      <c r="S3926" s="129"/>
    </row>
    <row r="3927" spans="1:19" hidden="1">
      <c r="A3927" s="135" t="s">
        <v>6089</v>
      </c>
      <c r="B3927" s="138" t="str">
        <f>IFERROR(VLOOKUP(Proc[[#This Row],[App]],Table2[],3,0),"open")</f>
        <v>open</v>
      </c>
      <c r="C3927" s="138" t="s">
        <v>369</v>
      </c>
      <c r="D3927" t="s">
        <v>6057</v>
      </c>
      <c r="E3927" t="s">
        <v>6072</v>
      </c>
      <c r="F3927" s="129" t="s">
        <v>6072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</v>
      </c>
      <c r="R3927" s="136" t="s">
        <v>6090</v>
      </c>
      <c r="S3927" s="129"/>
    </row>
    <row r="3928" spans="1:19" hidden="1">
      <c r="A3928" s="135" t="s">
        <v>6089</v>
      </c>
      <c r="B3928" s="138" t="str">
        <f>IFERROR(VLOOKUP(Proc[[#This Row],[App]],Table2[],3,0),"open")</f>
        <v>open</v>
      </c>
      <c r="C3928" s="138" t="s">
        <v>369</v>
      </c>
      <c r="D3928" t="s">
        <v>6058</v>
      </c>
      <c r="E3928" t="s">
        <v>6062</v>
      </c>
      <c r="F3928" s="129" t="s">
        <v>6062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</v>
      </c>
      <c r="R3928" s="136" t="s">
        <v>6090</v>
      </c>
      <c r="S3928" s="129"/>
    </row>
    <row r="3929" spans="1:19" hidden="1">
      <c r="A3929" s="135" t="s">
        <v>6089</v>
      </c>
      <c r="B3929" s="138" t="str">
        <f>IFERROR(VLOOKUP(Proc[[#This Row],[App]],Table2[],3,0),"open")</f>
        <v>open</v>
      </c>
      <c r="C3929" s="138" t="s">
        <v>369</v>
      </c>
      <c r="D3929" t="s">
        <v>6059</v>
      </c>
      <c r="E3929" t="s">
        <v>6062</v>
      </c>
      <c r="F3929" s="129" t="s">
        <v>6062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</v>
      </c>
      <c r="R3929" s="136" t="s">
        <v>6090</v>
      </c>
      <c r="S3929" s="129"/>
    </row>
    <row r="3930" spans="1:19" hidden="1">
      <c r="A3930" s="135" t="s">
        <v>6089</v>
      </c>
      <c r="B3930" s="138" t="str">
        <f>IFERROR(VLOOKUP(Proc[[#This Row],[App]],Table2[],3,0),"open")</f>
        <v>open</v>
      </c>
      <c r="C3930" s="138" t="s">
        <v>369</v>
      </c>
      <c r="D3930" t="s">
        <v>6060</v>
      </c>
      <c r="E3930" t="s">
        <v>6062</v>
      </c>
      <c r="F3930" s="129" t="s">
        <v>6062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</v>
      </c>
      <c r="R3930" s="136" t="s">
        <v>6090</v>
      </c>
      <c r="S3930" s="129"/>
    </row>
    <row r="3931" spans="1:19" hidden="1">
      <c r="A3931" s="135" t="s">
        <v>6089</v>
      </c>
      <c r="B3931" s="138" t="str">
        <f>IFERROR(VLOOKUP(Proc[[#This Row],[App]],Table2[],3,0),"open")</f>
        <v>open</v>
      </c>
      <c r="C3931" s="138" t="s">
        <v>369</v>
      </c>
      <c r="D3931" t="s">
        <v>6061</v>
      </c>
      <c r="E3931" t="s">
        <v>6062</v>
      </c>
      <c r="F3931" s="129" t="s">
        <v>6062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</v>
      </c>
      <c r="R3931" s="136" t="s">
        <v>6090</v>
      </c>
      <c r="S3931" s="129"/>
    </row>
    <row r="3932" spans="1:19" hidden="1">
      <c r="A3932" t="s">
        <v>6092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6091</v>
      </c>
      <c r="F3932" s="129" t="s">
        <v>6091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</v>
      </c>
      <c r="R3932" s="136" t="s">
        <v>1459</v>
      </c>
      <c r="S3932" s="129"/>
    </row>
    <row r="3933" spans="1:19" hidden="1">
      <c r="A3933" s="135" t="s">
        <v>6092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6091</v>
      </c>
      <c r="F3933" s="129" t="s">
        <v>6091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</v>
      </c>
      <c r="R3933" s="136" t="s">
        <v>1459</v>
      </c>
      <c r="S3933" s="129"/>
    </row>
    <row r="3934" spans="1:19" hidden="1">
      <c r="A3934" s="135" t="s">
        <v>6092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6091</v>
      </c>
      <c r="F3934" s="129" t="s">
        <v>6091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</v>
      </c>
      <c r="R3934" s="136" t="s">
        <v>1459</v>
      </c>
      <c r="S3934" s="129"/>
    </row>
    <row r="3935" spans="1:19" hidden="1">
      <c r="A3935" s="135" t="s">
        <v>6092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6091</v>
      </c>
      <c r="F3935" s="129" t="s">
        <v>6091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</v>
      </c>
      <c r="R3935" s="136" t="s">
        <v>1459</v>
      </c>
      <c r="S3935" s="129"/>
    </row>
    <row r="3936" spans="1:19" hidden="1">
      <c r="A3936" s="135" t="s">
        <v>6092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6091</v>
      </c>
      <c r="F3936" s="129" t="s">
        <v>6091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</v>
      </c>
      <c r="R3936" s="136" t="s">
        <v>1459</v>
      </c>
      <c r="S3936" s="129"/>
    </row>
    <row r="3937" spans="1:19" hidden="1">
      <c r="A3937" t="s">
        <v>6101</v>
      </c>
      <c r="B3937" s="138" t="str">
        <f>IFERROR(VLOOKUP(Proc[[#This Row],[App]],Table2[],3,0),"open")</f>
        <v>ok</v>
      </c>
      <c r="C3937" s="138" t="s">
        <v>369</v>
      </c>
      <c r="D3937" t="s">
        <v>6093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</v>
      </c>
      <c r="R3937" s="136" t="s">
        <v>972</v>
      </c>
      <c r="S3937" s="129"/>
    </row>
    <row r="3938" spans="1:19" hidden="1">
      <c r="A3938" s="135" t="s">
        <v>6101</v>
      </c>
      <c r="B3938" s="138" t="str">
        <f>IFERROR(VLOOKUP(Proc[[#This Row],[App]],Table2[],3,0),"open")</f>
        <v>ok</v>
      </c>
      <c r="C3938" s="138" t="s">
        <v>369</v>
      </c>
      <c r="D3938" t="s">
        <v>6094</v>
      </c>
      <c r="E3938" t="s">
        <v>6100</v>
      </c>
      <c r="F3938" s="129" t="s">
        <v>6100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</v>
      </c>
      <c r="R3938" s="136" t="s">
        <v>972</v>
      </c>
      <c r="S3938" s="129"/>
    </row>
    <row r="3939" spans="1:19" hidden="1">
      <c r="A3939" s="135" t="s">
        <v>6101</v>
      </c>
      <c r="B3939" s="138" t="str">
        <f>IFERROR(VLOOKUP(Proc[[#This Row],[App]],Table2[],3,0),"open")</f>
        <v>ok</v>
      </c>
      <c r="C3939" s="138" t="s">
        <v>369</v>
      </c>
      <c r="D3939" t="s">
        <v>6095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</v>
      </c>
      <c r="R3939" s="136" t="s">
        <v>972</v>
      </c>
      <c r="S3939" s="129"/>
    </row>
    <row r="3940" spans="1:19" hidden="1">
      <c r="A3940" s="135" t="s">
        <v>6101</v>
      </c>
      <c r="B3940" s="138" t="str">
        <f>IFERROR(VLOOKUP(Proc[[#This Row],[App]],Table2[],3,0),"open")</f>
        <v>ok</v>
      </c>
      <c r="C3940" s="138" t="s">
        <v>369</v>
      </c>
      <c r="D3940" t="s">
        <v>6096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</v>
      </c>
      <c r="R3940" s="136" t="s">
        <v>972</v>
      </c>
      <c r="S3940" s="129"/>
    </row>
    <row r="3941" spans="1:19" hidden="1">
      <c r="A3941" s="135" t="s">
        <v>6101</v>
      </c>
      <c r="B3941" s="138" t="str">
        <f>IFERROR(VLOOKUP(Proc[[#This Row],[App]],Table2[],3,0),"open")</f>
        <v>ok</v>
      </c>
      <c r="C3941" s="138" t="s">
        <v>369</v>
      </c>
      <c r="D3941" t="s">
        <v>6097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</v>
      </c>
      <c r="R3941" s="136" t="s">
        <v>972</v>
      </c>
      <c r="S3941" s="129"/>
    </row>
    <row r="3942" spans="1:19" hidden="1">
      <c r="A3942" s="135" t="s">
        <v>6101</v>
      </c>
      <c r="B3942" s="138" t="str">
        <f>IFERROR(VLOOKUP(Proc[[#This Row],[App]],Table2[],3,0),"open")</f>
        <v>ok</v>
      </c>
      <c r="C3942" s="138" t="s">
        <v>369</v>
      </c>
      <c r="D3942" t="s">
        <v>6098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</v>
      </c>
      <c r="R3942" s="136" t="s">
        <v>972</v>
      </c>
      <c r="S3942" s="129"/>
    </row>
    <row r="3943" spans="1:19" hidden="1">
      <c r="A3943" s="135" t="s">
        <v>6101</v>
      </c>
      <c r="B3943" s="138" t="str">
        <f>IFERROR(VLOOKUP(Proc[[#This Row],[App]],Table2[],3,0),"open")</f>
        <v>ok</v>
      </c>
      <c r="C3943" s="138" t="s">
        <v>369</v>
      </c>
      <c r="D3943" t="s">
        <v>6099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</v>
      </c>
      <c r="R3943" s="136" t="s">
        <v>972</v>
      </c>
      <c r="S3943" s="129"/>
    </row>
    <row r="3944" spans="1:19" hidden="1">
      <c r="A3944" t="s">
        <v>6102</v>
      </c>
      <c r="B3944" s="138" t="str">
        <f>IFERROR(VLOOKUP(Proc[[#This Row],[App]],Table2[],3,0),"open")</f>
        <v>ok</v>
      </c>
      <c r="C3944" s="138" t="s">
        <v>369</v>
      </c>
      <c r="D3944" t="s">
        <v>6103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</v>
      </c>
      <c r="R3944" s="136" t="s">
        <v>515</v>
      </c>
      <c r="S3944" s="129"/>
    </row>
    <row r="3945" spans="1:19" hidden="1">
      <c r="A3945" s="138" t="s">
        <v>6102</v>
      </c>
      <c r="B3945" s="138" t="str">
        <f>IFERROR(VLOOKUP(Proc[[#This Row],[App]],Table2[],3,0),"open")</f>
        <v>ok</v>
      </c>
      <c r="C3945" s="138" t="s">
        <v>369</v>
      </c>
      <c r="D3945" t="s">
        <v>6104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</v>
      </c>
      <c r="R3945" s="136" t="s">
        <v>515</v>
      </c>
      <c r="S3945" s="129"/>
    </row>
    <row r="3946" spans="1:19" hidden="1">
      <c r="A3946" s="138" t="s">
        <v>6102</v>
      </c>
      <c r="B3946" s="138" t="str">
        <f>IFERROR(VLOOKUP(Proc[[#This Row],[App]],Table2[],3,0),"open")</f>
        <v>ok</v>
      </c>
      <c r="C3946" s="142" t="s">
        <v>369</v>
      </c>
      <c r="D3946" t="s">
        <v>6105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</v>
      </c>
      <c r="R3946" s="136" t="s">
        <v>515</v>
      </c>
      <c r="S3946" s="129"/>
    </row>
    <row r="3947" spans="1:19">
      <c r="A3947" t="s">
        <v>6108</v>
      </c>
      <c r="B3947" s="129" t="str">
        <f>IFERROR(VLOOKUP(Proc[[#This Row],[App]],Table2[],3,0),"open")</f>
        <v>open</v>
      </c>
      <c r="C3947" s="144" t="s">
        <v>370</v>
      </c>
      <c r="D3947" s="138" t="s">
        <v>5956</v>
      </c>
      <c r="E3947" s="138" t="s">
        <v>6066</v>
      </c>
      <c r="F3947" s="140" t="s">
        <v>6106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</v>
      </c>
      <c r="R3947" s="136" t="s">
        <v>6090</v>
      </c>
      <c r="S3947" s="129"/>
    </row>
    <row r="3948" spans="1:19" hidden="1">
      <c r="A3948" t="s">
        <v>6109</v>
      </c>
      <c r="B3948" s="129" t="str">
        <f>IFERROR(VLOOKUP(Proc[[#This Row],[App]],Table2[],3,0),"open")</f>
        <v>ok</v>
      </c>
      <c r="C3948" s="138" t="s">
        <v>369</v>
      </c>
      <c r="D3948" t="s">
        <v>6110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</v>
      </c>
      <c r="R3948" s="136" t="s">
        <v>1013</v>
      </c>
      <c r="S3948" s="129"/>
    </row>
    <row r="3949" spans="1:19" hidden="1">
      <c r="A3949" s="138" t="s">
        <v>6109</v>
      </c>
      <c r="B3949" s="129" t="str">
        <f>IFERROR(VLOOKUP(Proc[[#This Row],[App]],Table2[],3,0),"open")</f>
        <v>ok</v>
      </c>
      <c r="C3949" s="138" t="s">
        <v>369</v>
      </c>
      <c r="D3949" t="s">
        <v>6111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</v>
      </c>
      <c r="R3949" s="136" t="s">
        <v>1013</v>
      </c>
      <c r="S3949" s="129"/>
    </row>
    <row r="3950" spans="1:19" hidden="1">
      <c r="A3950" s="138" t="s">
        <v>6109</v>
      </c>
      <c r="B3950" s="129" t="str">
        <f>IFERROR(VLOOKUP(Proc[[#This Row],[App]],Table2[],3,0),"open")</f>
        <v>ok</v>
      </c>
      <c r="C3950" s="138" t="s">
        <v>369</v>
      </c>
      <c r="D3950" t="s">
        <v>6112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</v>
      </c>
      <c r="R3950" s="136" t="s">
        <v>1013</v>
      </c>
      <c r="S3950" s="129"/>
    </row>
    <row r="3951" spans="1:19" hidden="1">
      <c r="A3951" s="138" t="s">
        <v>6109</v>
      </c>
      <c r="B3951" s="129" t="str">
        <f>IFERROR(VLOOKUP(Proc[[#This Row],[App]],Table2[],3,0),"open")</f>
        <v>ok</v>
      </c>
      <c r="C3951" s="138" t="s">
        <v>369</v>
      </c>
      <c r="D3951" t="s">
        <v>6113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</v>
      </c>
      <c r="R3951" s="136" t="s">
        <v>1013</v>
      </c>
      <c r="S3951" s="129"/>
    </row>
    <row r="3952" spans="1:19" hidden="1">
      <c r="A3952" s="138" t="s">
        <v>6109</v>
      </c>
      <c r="B3952" s="129" t="str">
        <f>IFERROR(VLOOKUP(Proc[[#This Row],[App]],Table2[],3,0),"open")</f>
        <v>ok</v>
      </c>
      <c r="C3952" s="138" t="s">
        <v>369</v>
      </c>
      <c r="D3952" t="s">
        <v>6114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</v>
      </c>
      <c r="R3952" s="136" t="s">
        <v>1013</v>
      </c>
      <c r="S3952" s="129"/>
    </row>
    <row r="3953" spans="1:19" hidden="1">
      <c r="A3953" s="138" t="s">
        <v>6109</v>
      </c>
      <c r="B3953" s="129" t="str">
        <f>IFERROR(VLOOKUP(Proc[[#This Row],[App]],Table2[],3,0),"open")</f>
        <v>ok</v>
      </c>
      <c r="C3953" s="138" t="s">
        <v>369</v>
      </c>
      <c r="D3953" t="s">
        <v>6115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</v>
      </c>
      <c r="R3953" s="136" t="s">
        <v>1013</v>
      </c>
      <c r="S3953" s="129"/>
    </row>
    <row r="3954" spans="1:19" hidden="1">
      <c r="A3954" s="138" t="s">
        <v>6109</v>
      </c>
      <c r="B3954" s="129" t="str">
        <f>IFERROR(VLOOKUP(Proc[[#This Row],[App]],Table2[],3,0),"open")</f>
        <v>ok</v>
      </c>
      <c r="C3954" s="138" t="s">
        <v>369</v>
      </c>
      <c r="D3954" t="s">
        <v>6116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</v>
      </c>
      <c r="R3954" s="136" t="s">
        <v>1013</v>
      </c>
      <c r="S3954" s="129"/>
    </row>
    <row r="3955" spans="1:19" hidden="1">
      <c r="A3955" s="138" t="s">
        <v>6109</v>
      </c>
      <c r="B3955" s="129" t="str">
        <f>IFERROR(VLOOKUP(Proc[[#This Row],[App]],Table2[],3,0),"open")</f>
        <v>ok</v>
      </c>
      <c r="C3955" s="138" t="s">
        <v>369</v>
      </c>
      <c r="D3955" t="s">
        <v>6117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</v>
      </c>
      <c r="R3955" s="136" t="s">
        <v>1013</v>
      </c>
      <c r="S3955" s="129"/>
    </row>
    <row r="3956" spans="1:19" hidden="1">
      <c r="A3956" s="138" t="s">
        <v>6109</v>
      </c>
      <c r="B3956" s="129" t="str">
        <f>IFERROR(VLOOKUP(Proc[[#This Row],[App]],Table2[],3,0),"open")</f>
        <v>ok</v>
      </c>
      <c r="C3956" s="138" t="s">
        <v>369</v>
      </c>
      <c r="D3956" t="s">
        <v>6118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</v>
      </c>
      <c r="R3956" s="136" t="s">
        <v>1013</v>
      </c>
      <c r="S3956" s="129"/>
    </row>
    <row r="3957" spans="1:19" hidden="1">
      <c r="A3957" s="138" t="s">
        <v>6109</v>
      </c>
      <c r="B3957" s="129" t="str">
        <f>IFERROR(VLOOKUP(Proc[[#This Row],[App]],Table2[],3,0),"open")</f>
        <v>ok</v>
      </c>
      <c r="C3957" s="138" t="s">
        <v>369</v>
      </c>
      <c r="D3957" t="s">
        <v>6119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</v>
      </c>
      <c r="R3957" s="136" t="s">
        <v>1013</v>
      </c>
      <c r="S3957" s="129"/>
    </row>
    <row r="3958" spans="1:19" hidden="1">
      <c r="A3958" s="138" t="s">
        <v>6109</v>
      </c>
      <c r="B3958" s="129" t="str">
        <f>IFERROR(VLOOKUP(Proc[[#This Row],[App]],Table2[],3,0),"open")</f>
        <v>ok</v>
      </c>
      <c r="C3958" s="138" t="s">
        <v>369</v>
      </c>
      <c r="D3958" t="s">
        <v>6120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</v>
      </c>
      <c r="R3958" s="136" t="s">
        <v>1013</v>
      </c>
      <c r="S3958" s="129"/>
    </row>
    <row r="3959" spans="1:19" hidden="1">
      <c r="A3959" s="138" t="s">
        <v>6109</v>
      </c>
      <c r="B3959" s="129" t="str">
        <f>IFERROR(VLOOKUP(Proc[[#This Row],[App]],Table2[],3,0),"open")</f>
        <v>ok</v>
      </c>
      <c r="C3959" s="138" t="s">
        <v>369</v>
      </c>
      <c r="D3959" t="s">
        <v>6121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</v>
      </c>
      <c r="R3959" s="136" t="s">
        <v>1013</v>
      </c>
      <c r="S3959" s="129"/>
    </row>
    <row r="3960" spans="1:19" hidden="1">
      <c r="A3960" s="138" t="s">
        <v>6109</v>
      </c>
      <c r="B3960" s="129" t="str">
        <f>IFERROR(VLOOKUP(Proc[[#This Row],[App]],Table2[],3,0),"open")</f>
        <v>ok</v>
      </c>
      <c r="C3960" s="138" t="s">
        <v>369</v>
      </c>
      <c r="D3960" t="s">
        <v>6122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</v>
      </c>
      <c r="R3960" s="136" t="s">
        <v>1013</v>
      </c>
      <c r="S3960" s="129"/>
    </row>
    <row r="3961" spans="1:19" hidden="1">
      <c r="A3961" s="138" t="s">
        <v>6109</v>
      </c>
      <c r="B3961" s="129" t="str">
        <f>IFERROR(VLOOKUP(Proc[[#This Row],[App]],Table2[],3,0),"open")</f>
        <v>ok</v>
      </c>
      <c r="C3961" s="138" t="s">
        <v>369</v>
      </c>
      <c r="D3961" t="s">
        <v>6123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</v>
      </c>
      <c r="R3961" s="136" t="s">
        <v>1013</v>
      </c>
      <c r="S3961" s="129"/>
    </row>
    <row r="3962" spans="1:19" hidden="1">
      <c r="A3962" s="138" t="s">
        <v>6109</v>
      </c>
      <c r="B3962" s="129" t="str">
        <f>IFERROR(VLOOKUP(Proc[[#This Row],[App]],Table2[],3,0),"open")</f>
        <v>ok</v>
      </c>
      <c r="C3962" s="138" t="s">
        <v>369</v>
      </c>
      <c r="D3962" t="s">
        <v>6124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</v>
      </c>
      <c r="R3962" s="136" t="s">
        <v>1013</v>
      </c>
      <c r="S3962" s="129"/>
    </row>
    <row r="3963" spans="1:19" hidden="1">
      <c r="A3963" s="138" t="s">
        <v>6109</v>
      </c>
      <c r="B3963" s="129" t="str">
        <f>IFERROR(VLOOKUP(Proc[[#This Row],[App]],Table2[],3,0),"open")</f>
        <v>ok</v>
      </c>
      <c r="C3963" s="138" t="s">
        <v>369</v>
      </c>
      <c r="D3963" t="s">
        <v>6125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</v>
      </c>
      <c r="R3963" s="136" t="s">
        <v>1013</v>
      </c>
      <c r="S3963" s="129"/>
    </row>
    <row r="3964" spans="1:19" hidden="1">
      <c r="A3964" s="138" t="s">
        <v>6109</v>
      </c>
      <c r="B3964" s="129" t="str">
        <f>IFERROR(VLOOKUP(Proc[[#This Row],[App]],Table2[],3,0),"open")</f>
        <v>ok</v>
      </c>
      <c r="C3964" s="138" t="s">
        <v>369</v>
      </c>
      <c r="D3964" t="s">
        <v>6126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</v>
      </c>
      <c r="R3964" s="136" t="s">
        <v>1013</v>
      </c>
      <c r="S3964" s="129"/>
    </row>
    <row r="3965" spans="1:19" hidden="1">
      <c r="A3965" s="138" t="s">
        <v>6109</v>
      </c>
      <c r="B3965" s="129" t="str">
        <f>IFERROR(VLOOKUP(Proc[[#This Row],[App]],Table2[],3,0),"open")</f>
        <v>ok</v>
      </c>
      <c r="C3965" s="138" t="s">
        <v>369</v>
      </c>
      <c r="D3965" t="s">
        <v>6127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</v>
      </c>
      <c r="R3965" s="136" t="s">
        <v>1013</v>
      </c>
      <c r="S3965" s="129"/>
    </row>
    <row r="3966" spans="1:19" hidden="1">
      <c r="A3966" s="138" t="s">
        <v>6109</v>
      </c>
      <c r="B3966" s="129" t="str">
        <f>IFERROR(VLOOKUP(Proc[[#This Row],[App]],Table2[],3,0),"open")</f>
        <v>ok</v>
      </c>
      <c r="C3966" s="138" t="s">
        <v>369</v>
      </c>
      <c r="D3966" t="s">
        <v>6128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</v>
      </c>
      <c r="R3966" s="136" t="s">
        <v>1013</v>
      </c>
      <c r="S3966" s="129"/>
    </row>
    <row r="3967" spans="1:19" hidden="1">
      <c r="A3967" s="138" t="s">
        <v>6109</v>
      </c>
      <c r="B3967" s="129" t="str">
        <f>IFERROR(VLOOKUP(Proc[[#This Row],[App]],Table2[],3,0),"open")</f>
        <v>ok</v>
      </c>
      <c r="C3967" s="138" t="s">
        <v>369</v>
      </c>
      <c r="D3967" t="s">
        <v>6129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</v>
      </c>
      <c r="R3967" s="136" t="s">
        <v>1013</v>
      </c>
      <c r="S3967" s="129"/>
    </row>
    <row r="3968" spans="1:19" hidden="1">
      <c r="A3968" s="138" t="s">
        <v>6109</v>
      </c>
      <c r="B3968" s="129" t="str">
        <f>IFERROR(VLOOKUP(Proc[[#This Row],[App]],Table2[],3,0),"open")</f>
        <v>ok</v>
      </c>
      <c r="C3968" s="138" t="s">
        <v>369</v>
      </c>
      <c r="D3968" t="s">
        <v>6130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</v>
      </c>
      <c r="R3968" s="136" t="s">
        <v>1013</v>
      </c>
      <c r="S3968" s="129"/>
    </row>
    <row r="3969" spans="1:19" hidden="1">
      <c r="A3969" s="138" t="s">
        <v>6109</v>
      </c>
      <c r="B3969" s="129" t="str">
        <f>IFERROR(VLOOKUP(Proc[[#This Row],[App]],Table2[],3,0),"open")</f>
        <v>ok</v>
      </c>
      <c r="C3969" s="138" t="s">
        <v>369</v>
      </c>
      <c r="D3969" t="s">
        <v>6131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</v>
      </c>
      <c r="R3969" s="136" t="s">
        <v>1013</v>
      </c>
      <c r="S3969" s="129"/>
    </row>
    <row r="3970" spans="1:19" hidden="1">
      <c r="A3970" s="138" t="s">
        <v>6109</v>
      </c>
      <c r="B3970" s="129" t="str">
        <f>IFERROR(VLOOKUP(Proc[[#This Row],[App]],Table2[],3,0),"open")</f>
        <v>ok</v>
      </c>
      <c r="C3970" s="138" t="s">
        <v>369</v>
      </c>
      <c r="D3970" t="s">
        <v>6132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</v>
      </c>
      <c r="R3970" s="136" t="s">
        <v>1013</v>
      </c>
      <c r="S3970" s="129"/>
    </row>
    <row r="3971" spans="1:19" hidden="1">
      <c r="A3971" s="138" t="s">
        <v>6109</v>
      </c>
      <c r="B3971" s="129" t="str">
        <f>IFERROR(VLOOKUP(Proc[[#This Row],[App]],Table2[],3,0),"open")</f>
        <v>ok</v>
      </c>
      <c r="C3971" s="138" t="s">
        <v>369</v>
      </c>
      <c r="D3971" t="s">
        <v>6133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</v>
      </c>
      <c r="R3971" s="136" t="s">
        <v>1013</v>
      </c>
      <c r="S3971" s="129"/>
    </row>
    <row r="3972" spans="1:19" hidden="1">
      <c r="A3972" s="138" t="s">
        <v>6109</v>
      </c>
      <c r="B3972" s="129" t="str">
        <f>IFERROR(VLOOKUP(Proc[[#This Row],[App]],Table2[],3,0),"open")</f>
        <v>ok</v>
      </c>
      <c r="C3972" s="138" t="s">
        <v>369</v>
      </c>
      <c r="D3972" t="s">
        <v>6134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</v>
      </c>
      <c r="R3972" s="136" t="s">
        <v>1013</v>
      </c>
      <c r="S3972" s="129"/>
    </row>
    <row r="3973" spans="1:19" hidden="1">
      <c r="A3973" s="138" t="s">
        <v>6109</v>
      </c>
      <c r="B3973" s="129" t="str">
        <f>IFERROR(VLOOKUP(Proc[[#This Row],[App]],Table2[],3,0),"open")</f>
        <v>ok</v>
      </c>
      <c r="C3973" s="138" t="s">
        <v>369</v>
      </c>
      <c r="D3973" t="s">
        <v>6135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</v>
      </c>
      <c r="R3973" s="136" t="s">
        <v>1013</v>
      </c>
      <c r="S3973" s="129"/>
    </row>
    <row r="3974" spans="1:19" hidden="1">
      <c r="A3974" s="138" t="s">
        <v>6109</v>
      </c>
      <c r="B3974" s="129" t="str">
        <f>IFERROR(VLOOKUP(Proc[[#This Row],[App]],Table2[],3,0),"open")</f>
        <v>ok</v>
      </c>
      <c r="C3974" s="138" t="s">
        <v>369</v>
      </c>
      <c r="D3974" t="s">
        <v>6136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</v>
      </c>
      <c r="R3974" s="136" t="s">
        <v>1013</v>
      </c>
      <c r="S3974" s="129"/>
    </row>
    <row r="3975" spans="1:19" hidden="1">
      <c r="A3975" s="138" t="s">
        <v>6109</v>
      </c>
      <c r="B3975" s="129" t="str">
        <f>IFERROR(VLOOKUP(Proc[[#This Row],[App]],Table2[],3,0),"open")</f>
        <v>ok</v>
      </c>
      <c r="C3975" s="138" t="s">
        <v>369</v>
      </c>
      <c r="D3975" t="s">
        <v>6137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</v>
      </c>
      <c r="R3975" s="136" t="s">
        <v>1013</v>
      </c>
      <c r="S3975" s="129"/>
    </row>
    <row r="3976" spans="1:19" hidden="1">
      <c r="A3976" s="138" t="s">
        <v>6109</v>
      </c>
      <c r="B3976" s="129" t="str">
        <f>IFERROR(VLOOKUP(Proc[[#This Row],[App]],Table2[],3,0),"open")</f>
        <v>ok</v>
      </c>
      <c r="C3976" s="138" t="s">
        <v>369</v>
      </c>
      <c r="D3976" t="s">
        <v>6138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</v>
      </c>
      <c r="R3976" s="136" t="s">
        <v>1013</v>
      </c>
      <c r="S3976" s="129"/>
    </row>
    <row r="3977" spans="1:19" hidden="1">
      <c r="A3977" s="138" t="s">
        <v>6109</v>
      </c>
      <c r="B3977" s="129" t="str">
        <f>IFERROR(VLOOKUP(Proc[[#This Row],[App]],Table2[],3,0),"open")</f>
        <v>ok</v>
      </c>
      <c r="C3977" s="138" t="s">
        <v>369</v>
      </c>
      <c r="D3977" t="s">
        <v>6139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</v>
      </c>
      <c r="R3977" s="136" t="s">
        <v>1013</v>
      </c>
      <c r="S3977" s="129"/>
    </row>
    <row r="3978" spans="1:19" hidden="1">
      <c r="A3978" s="138" t="s">
        <v>6109</v>
      </c>
      <c r="B3978" s="129" t="str">
        <f>IFERROR(VLOOKUP(Proc[[#This Row],[App]],Table2[],3,0),"open")</f>
        <v>ok</v>
      </c>
      <c r="C3978" s="138" t="s">
        <v>369</v>
      </c>
      <c r="D3978" t="s">
        <v>6140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</v>
      </c>
      <c r="R3978" s="136" t="s">
        <v>1013</v>
      </c>
      <c r="S3978" s="129"/>
    </row>
    <row r="3979" spans="1:19" hidden="1">
      <c r="A3979" s="138" t="s">
        <v>6109</v>
      </c>
      <c r="B3979" s="129" t="str">
        <f>IFERROR(VLOOKUP(Proc[[#This Row],[App]],Table2[],3,0),"open")</f>
        <v>ok</v>
      </c>
      <c r="C3979" s="138" t="s">
        <v>369</v>
      </c>
      <c r="D3979" t="s">
        <v>6141</v>
      </c>
      <c r="E3979" t="s">
        <v>6149</v>
      </c>
      <c r="F3979" s="129" t="s">
        <v>6149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</v>
      </c>
      <c r="R3979" s="136" t="s">
        <v>1013</v>
      </c>
      <c r="S3979" s="129"/>
    </row>
    <row r="3980" spans="1:19" hidden="1">
      <c r="A3980" s="138" t="s">
        <v>6109</v>
      </c>
      <c r="B3980" s="129" t="str">
        <f>IFERROR(VLOOKUP(Proc[[#This Row],[App]],Table2[],3,0),"open")</f>
        <v>ok</v>
      </c>
      <c r="C3980" s="138" t="s">
        <v>369</v>
      </c>
      <c r="D3980" t="s">
        <v>6142</v>
      </c>
      <c r="E3980" t="s">
        <v>6149</v>
      </c>
      <c r="F3980" s="129" t="s">
        <v>6149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</v>
      </c>
      <c r="R3980" s="136" t="s">
        <v>1013</v>
      </c>
      <c r="S3980" s="129"/>
    </row>
    <row r="3981" spans="1:19" hidden="1">
      <c r="A3981" s="138" t="s">
        <v>6109</v>
      </c>
      <c r="B3981" s="129" t="str">
        <f>IFERROR(VLOOKUP(Proc[[#This Row],[App]],Table2[],3,0),"open")</f>
        <v>ok</v>
      </c>
      <c r="C3981" s="138" t="s">
        <v>369</v>
      </c>
      <c r="D3981" t="s">
        <v>6143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</v>
      </c>
      <c r="R3981" s="136" t="s">
        <v>1013</v>
      </c>
      <c r="S3981" s="129"/>
    </row>
    <row r="3982" spans="1:19" hidden="1">
      <c r="A3982" s="138" t="s">
        <v>6109</v>
      </c>
      <c r="B3982" s="129" t="str">
        <f>IFERROR(VLOOKUP(Proc[[#This Row],[App]],Table2[],3,0),"open")</f>
        <v>ok</v>
      </c>
      <c r="C3982" s="138" t="s">
        <v>369</v>
      </c>
      <c r="D3982" t="s">
        <v>6144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</v>
      </c>
      <c r="R3982" s="136" t="s">
        <v>1013</v>
      </c>
      <c r="S3982" s="129"/>
    </row>
    <row r="3983" spans="1:19" hidden="1">
      <c r="A3983" s="138" t="s">
        <v>6109</v>
      </c>
      <c r="B3983" s="129" t="str">
        <f>IFERROR(VLOOKUP(Proc[[#This Row],[App]],Table2[],3,0),"open")</f>
        <v>ok</v>
      </c>
      <c r="C3983" s="138" t="s">
        <v>369</v>
      </c>
      <c r="D3983" t="s">
        <v>6145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</v>
      </c>
      <c r="R3983" s="136" t="s">
        <v>1013</v>
      </c>
      <c r="S3983" s="129"/>
    </row>
    <row r="3984" spans="1:19" hidden="1">
      <c r="A3984" s="138" t="s">
        <v>6109</v>
      </c>
      <c r="B3984" s="129" t="str">
        <f>IFERROR(VLOOKUP(Proc[[#This Row],[App]],Table2[],3,0),"open")</f>
        <v>ok</v>
      </c>
      <c r="C3984" s="138" t="s">
        <v>369</v>
      </c>
      <c r="D3984" t="s">
        <v>6146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</v>
      </c>
      <c r="R3984" s="136" t="s">
        <v>1013</v>
      </c>
      <c r="S3984" s="129"/>
    </row>
    <row r="3985" spans="1:19" hidden="1">
      <c r="A3985" s="138" t="s">
        <v>6109</v>
      </c>
      <c r="B3985" s="129" t="str">
        <f>IFERROR(VLOOKUP(Proc[[#This Row],[App]],Table2[],3,0),"open")</f>
        <v>ok</v>
      </c>
      <c r="C3985" s="138" t="s">
        <v>369</v>
      </c>
      <c r="D3985" t="s">
        <v>6147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</v>
      </c>
      <c r="R3985" s="136" t="s">
        <v>1013</v>
      </c>
      <c r="S3985" s="129"/>
    </row>
    <row r="3986" spans="1:19" hidden="1">
      <c r="A3986" s="138" t="s">
        <v>6109</v>
      </c>
      <c r="B3986" s="129" t="str">
        <f>IFERROR(VLOOKUP(Proc[[#This Row],[App]],Table2[],3,0),"open")</f>
        <v>ok</v>
      </c>
      <c r="C3986" s="138" t="s">
        <v>369</v>
      </c>
      <c r="D3986" t="s">
        <v>6148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</v>
      </c>
      <c r="R3986" s="136" t="s">
        <v>1013</v>
      </c>
      <c r="S3986" s="129"/>
    </row>
    <row r="3987" spans="1:19" hidden="1">
      <c r="A3987" t="s">
        <v>6150</v>
      </c>
      <c r="B3987" s="129" t="str">
        <f>IFERROR(VLOOKUP(Proc[[#This Row],[App]],Table2[],3,0),"open")</f>
        <v>ok</v>
      </c>
      <c r="C3987" s="139" t="s">
        <v>369</v>
      </c>
      <c r="D3987" t="s">
        <v>6151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29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on track</v>
      </c>
      <c r="Q3987" s="3">
        <f ca="1">IF(Proc[[#This Row],[DateClosed]]="",ABS(NETWORKDAYS(Proc[[#This Row],[DateOpened]],TODAY()))-1,ABS(NETWORKDAYS(Proc[[#This Row],[DateOpened]],Proc[[#This Row],[DateClosed]]))-1)</f>
        <v>5</v>
      </c>
      <c r="R3987" s="136" t="s">
        <v>1262</v>
      </c>
      <c r="S3987" s="129"/>
    </row>
    <row r="3988" spans="1:19" hidden="1">
      <c r="A3988" t="s">
        <v>6163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6161</v>
      </c>
      <c r="F3988" s="140" t="s">
        <v>6161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0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on track</v>
      </c>
      <c r="Q3988" s="3">
        <f ca="1">IF(Proc[[#This Row],[DateClosed]]="",ABS(NETWORKDAYS(Proc[[#This Row],[DateOpened]],TODAY()))-1,ABS(NETWORKDAYS(Proc[[#This Row],[DateOpened]],Proc[[#This Row],[DateClosed]]))-1)</f>
        <v>5</v>
      </c>
      <c r="R3988" s="136" t="s">
        <v>1459</v>
      </c>
      <c r="S3988" s="140"/>
    </row>
    <row r="3989" spans="1:19" hidden="1">
      <c r="A3989" s="139" t="s">
        <v>6163</v>
      </c>
      <c r="B3989" s="140" t="str">
        <f>IFERROR(VLOOKUP(Proc[[#This Row],[App]],Table2[],3,0),"open")</f>
        <v>open</v>
      </c>
      <c r="C3989" s="142" t="s">
        <v>369</v>
      </c>
      <c r="D3989" t="s">
        <v>6153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0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on track</v>
      </c>
      <c r="Q3989" s="3">
        <f ca="1">IF(Proc[[#This Row],[DateClosed]]="",ABS(NETWORKDAYS(Proc[[#This Row],[DateOpened]],TODAY()))-1,ABS(NETWORKDAYS(Proc[[#This Row],[DateOpened]],Proc[[#This Row],[DateClosed]]))-1)</f>
        <v>5</v>
      </c>
      <c r="R3989" s="136" t="s">
        <v>1459</v>
      </c>
      <c r="S3989" s="140"/>
    </row>
    <row r="3990" spans="1:19" hidden="1">
      <c r="A3990" s="139" t="s">
        <v>6163</v>
      </c>
      <c r="B3990" s="140" t="str">
        <f>IFERROR(VLOOKUP(Proc[[#This Row],[App]],Table2[],3,0),"open")</f>
        <v>open</v>
      </c>
      <c r="C3990" s="142" t="s">
        <v>369</v>
      </c>
      <c r="D3990" t="s">
        <v>6154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0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on track</v>
      </c>
      <c r="Q3990" s="3">
        <f ca="1">IF(Proc[[#This Row],[DateClosed]]="",ABS(NETWORKDAYS(Proc[[#This Row],[DateOpened]],TODAY()))-1,ABS(NETWORKDAYS(Proc[[#This Row],[DateOpened]],Proc[[#This Row],[DateClosed]]))-1)</f>
        <v>5</v>
      </c>
      <c r="R3990" s="136" t="s">
        <v>1459</v>
      </c>
      <c r="S3990" s="140"/>
    </row>
    <row r="3991" spans="1:19">
      <c r="A3991" s="139" t="s">
        <v>6163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0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on track</v>
      </c>
      <c r="Q3991" s="3">
        <f ca="1">IF(Proc[[#This Row],[DateClosed]]="",ABS(NETWORKDAYS(Proc[[#This Row],[DateOpened]],TODAY()))-1,ABS(NETWORKDAYS(Proc[[#This Row],[DateOpened]],Proc[[#This Row],[DateClosed]]))-1)</f>
        <v>5</v>
      </c>
      <c r="R3991" s="136" t="s">
        <v>1459</v>
      </c>
      <c r="S3991" s="140"/>
    </row>
    <row r="3992" spans="1:19">
      <c r="A3992" s="139" t="s">
        <v>6163</v>
      </c>
      <c r="B3992" s="140" t="str">
        <f>IFERROR(VLOOKUP(Proc[[#This Row],[App]],Table2[],3,0),"open")</f>
        <v>open</v>
      </c>
      <c r="C3992" s="144" t="s">
        <v>370</v>
      </c>
      <c r="D3992" t="s">
        <v>6155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0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on track</v>
      </c>
      <c r="Q3992" s="3">
        <f ca="1">IF(Proc[[#This Row],[DateClosed]]="",ABS(NETWORKDAYS(Proc[[#This Row],[DateOpened]],TODAY()))-1,ABS(NETWORKDAYS(Proc[[#This Row],[DateOpened]],Proc[[#This Row],[DateClosed]]))-1)</f>
        <v>5</v>
      </c>
      <c r="R3992" s="136" t="s">
        <v>1459</v>
      </c>
      <c r="S3992" s="140"/>
    </row>
    <row r="3993" spans="1:19" hidden="1">
      <c r="A3993" s="139" t="s">
        <v>6163</v>
      </c>
      <c r="B3993" s="140" t="str">
        <f>IFERROR(VLOOKUP(Proc[[#This Row],[App]],Table2[],3,0),"open")</f>
        <v>open</v>
      </c>
      <c r="C3993" s="142" t="s">
        <v>369</v>
      </c>
      <c r="D3993" t="s">
        <v>5970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0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on track</v>
      </c>
      <c r="Q3993" s="3">
        <f ca="1">IF(Proc[[#This Row],[DateClosed]]="",ABS(NETWORKDAYS(Proc[[#This Row],[DateOpened]],TODAY()))-1,ABS(NETWORKDAYS(Proc[[#This Row],[DateOpened]],Proc[[#This Row],[DateClosed]]))-1)</f>
        <v>5</v>
      </c>
      <c r="R3993" s="136" t="s">
        <v>1459</v>
      </c>
      <c r="S3993" s="140"/>
    </row>
    <row r="3994" spans="1:19" hidden="1">
      <c r="A3994" s="139" t="s">
        <v>6163</v>
      </c>
      <c r="B3994" s="140" t="str">
        <f>IFERROR(VLOOKUP(Proc[[#This Row],[App]],Table2[],3,0),"open")</f>
        <v>open</v>
      </c>
      <c r="C3994" s="142" t="s">
        <v>369</v>
      </c>
      <c r="D3994" t="s">
        <v>6156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0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on track</v>
      </c>
      <c r="Q3994" s="3">
        <f ca="1">IF(Proc[[#This Row],[DateClosed]]="",ABS(NETWORKDAYS(Proc[[#This Row],[DateOpened]],TODAY()))-1,ABS(NETWORKDAYS(Proc[[#This Row],[DateOpened]],Proc[[#This Row],[DateClosed]]))-1)</f>
        <v>5</v>
      </c>
      <c r="R3994" s="136" t="s">
        <v>1459</v>
      </c>
      <c r="S3994" s="140"/>
    </row>
    <row r="3995" spans="1:19" hidden="1">
      <c r="A3995" s="139" t="s">
        <v>6163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0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on track</v>
      </c>
      <c r="Q3995" s="3">
        <f ca="1">IF(Proc[[#This Row],[DateClosed]]="",ABS(NETWORKDAYS(Proc[[#This Row],[DateOpened]],TODAY()))-1,ABS(NETWORKDAYS(Proc[[#This Row],[DateOpened]],Proc[[#This Row],[DateClosed]]))-1)</f>
        <v>5</v>
      </c>
      <c r="R3995" s="136" t="s">
        <v>1459</v>
      </c>
      <c r="S3995" s="140"/>
    </row>
    <row r="3996" spans="1:19" hidden="1">
      <c r="A3996" s="139" t="s">
        <v>6163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0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on track</v>
      </c>
      <c r="Q3996" s="3">
        <f ca="1">IF(Proc[[#This Row],[DateClosed]]="",ABS(NETWORKDAYS(Proc[[#This Row],[DateOpened]],TODAY()))-1,ABS(NETWORKDAYS(Proc[[#This Row],[DateOpened]],Proc[[#This Row],[DateClosed]]))-1)</f>
        <v>5</v>
      </c>
      <c r="R3996" s="136" t="s">
        <v>1459</v>
      </c>
      <c r="S3996" s="140"/>
    </row>
    <row r="3997" spans="1:19" hidden="1">
      <c r="A3997" s="139" t="s">
        <v>6163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6161</v>
      </c>
      <c r="F3997" s="140" t="s">
        <v>6161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0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on track</v>
      </c>
      <c r="Q3997" s="3">
        <f ca="1">IF(Proc[[#This Row],[DateClosed]]="",ABS(NETWORKDAYS(Proc[[#This Row],[DateOpened]],TODAY()))-1,ABS(NETWORKDAYS(Proc[[#This Row],[DateOpened]],Proc[[#This Row],[DateClosed]]))-1)</f>
        <v>5</v>
      </c>
      <c r="R3997" s="136" t="s">
        <v>1459</v>
      </c>
      <c r="S3997" s="140"/>
    </row>
    <row r="3998" spans="1:19" hidden="1">
      <c r="A3998" s="139" t="s">
        <v>6163</v>
      </c>
      <c r="B3998" s="140" t="str">
        <f>IFERROR(VLOOKUP(Proc[[#This Row],[App]],Table2[],3,0),"open")</f>
        <v>open</v>
      </c>
      <c r="C3998" s="142" t="s">
        <v>369</v>
      </c>
      <c r="D3998" t="s">
        <v>6157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0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on track</v>
      </c>
      <c r="Q3998" s="3">
        <f ca="1">IF(Proc[[#This Row],[DateClosed]]="",ABS(NETWORKDAYS(Proc[[#This Row],[DateOpened]],TODAY()))-1,ABS(NETWORKDAYS(Proc[[#This Row],[DateOpened]],Proc[[#This Row],[DateClosed]]))-1)</f>
        <v>5</v>
      </c>
      <c r="R3998" s="136" t="s">
        <v>1459</v>
      </c>
      <c r="S3998" s="140"/>
    </row>
    <row r="3999" spans="1:19" hidden="1">
      <c r="A3999" s="139" t="s">
        <v>6163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6161</v>
      </c>
      <c r="F3999" s="140" t="s">
        <v>6161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0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on track</v>
      </c>
      <c r="Q3999" s="3">
        <f ca="1">IF(Proc[[#This Row],[DateClosed]]="",ABS(NETWORKDAYS(Proc[[#This Row],[DateOpened]],TODAY()))-1,ABS(NETWORKDAYS(Proc[[#This Row],[DateOpened]],Proc[[#This Row],[DateClosed]]))-1)</f>
        <v>5</v>
      </c>
      <c r="R3999" s="136" t="s">
        <v>1459</v>
      </c>
      <c r="S3999" s="140"/>
    </row>
    <row r="4000" spans="1:19" hidden="1">
      <c r="A4000" s="139" t="s">
        <v>6163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6161</v>
      </c>
      <c r="F4000" s="140" t="s">
        <v>6161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0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on track</v>
      </c>
      <c r="Q4000" s="3">
        <f ca="1">IF(Proc[[#This Row],[DateClosed]]="",ABS(NETWORKDAYS(Proc[[#This Row],[DateOpened]],TODAY()))-1,ABS(NETWORKDAYS(Proc[[#This Row],[DateOpened]],Proc[[#This Row],[DateClosed]]))-1)</f>
        <v>5</v>
      </c>
      <c r="R4000" s="136" t="s">
        <v>1459</v>
      </c>
      <c r="S4000" s="140"/>
    </row>
    <row r="4001" spans="1:19">
      <c r="A4001" s="139" t="s">
        <v>6163</v>
      </c>
      <c r="B4001" s="140" t="str">
        <f>IFERROR(VLOOKUP(Proc[[#This Row],[App]],Table2[],3,0),"open")</f>
        <v>open</v>
      </c>
      <c r="C4001" s="144" t="s">
        <v>370</v>
      </c>
      <c r="D4001" t="s">
        <v>6158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0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on track</v>
      </c>
      <c r="Q4001" s="3">
        <f ca="1">IF(Proc[[#This Row],[DateClosed]]="",ABS(NETWORKDAYS(Proc[[#This Row],[DateOpened]],TODAY()))-1,ABS(NETWORKDAYS(Proc[[#This Row],[DateOpened]],Proc[[#This Row],[DateClosed]]))-1)</f>
        <v>5</v>
      </c>
      <c r="R4001" s="136" t="s">
        <v>1459</v>
      </c>
      <c r="S4001" s="140"/>
    </row>
    <row r="4002" spans="1:19" hidden="1">
      <c r="A4002" s="139" t="s">
        <v>6163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0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on track</v>
      </c>
      <c r="Q4002" s="3">
        <f ca="1">IF(Proc[[#This Row],[DateClosed]]="",ABS(NETWORKDAYS(Proc[[#This Row],[DateOpened]],TODAY()))-1,ABS(NETWORKDAYS(Proc[[#This Row],[DateOpened]],Proc[[#This Row],[DateClosed]]))-1)</f>
        <v>5</v>
      </c>
      <c r="R4002" s="136" t="s">
        <v>1459</v>
      </c>
      <c r="S4002" s="140"/>
    </row>
    <row r="4003" spans="1:19" hidden="1">
      <c r="A4003" s="139" t="s">
        <v>6163</v>
      </c>
      <c r="B4003" s="140" t="str">
        <f>IFERROR(VLOOKUP(Proc[[#This Row],[App]],Table2[],3,0),"open")</f>
        <v>open</v>
      </c>
      <c r="C4003" s="142" t="s">
        <v>369</v>
      </c>
      <c r="D4003" t="s">
        <v>6159</v>
      </c>
      <c r="E4003" t="s">
        <v>6162</v>
      </c>
      <c r="F4003" s="140" t="s">
        <v>6162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0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on track</v>
      </c>
      <c r="Q4003" s="3">
        <f ca="1">IF(Proc[[#This Row],[DateClosed]]="",ABS(NETWORKDAYS(Proc[[#This Row],[DateOpened]],TODAY()))-1,ABS(NETWORKDAYS(Proc[[#This Row],[DateOpened]],Proc[[#This Row],[DateClosed]]))-1)</f>
        <v>5</v>
      </c>
      <c r="R4003" s="136" t="s">
        <v>1459</v>
      </c>
      <c r="S4003" s="140"/>
    </row>
    <row r="4004" spans="1:19" hidden="1">
      <c r="A4004" s="139" t="s">
        <v>6163</v>
      </c>
      <c r="B4004" s="140" t="str">
        <f>IFERROR(VLOOKUP(Proc[[#This Row],[App]],Table2[],3,0),"open")</f>
        <v>open</v>
      </c>
      <c r="C4004" s="142" t="s">
        <v>369</v>
      </c>
      <c r="D4004" t="s">
        <v>6160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0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on track</v>
      </c>
      <c r="Q4004" s="3">
        <f ca="1">IF(Proc[[#This Row],[DateClosed]]="",ABS(NETWORKDAYS(Proc[[#This Row],[DateOpened]],TODAY()))-1,ABS(NETWORKDAYS(Proc[[#This Row],[DateOpened]],Proc[[#This Row],[DateClosed]]))-1)</f>
        <v>5</v>
      </c>
      <c r="R4004" s="136" t="s">
        <v>1459</v>
      </c>
      <c r="S4004" s="140"/>
    </row>
    <row r="4005" spans="1:19" hidden="1">
      <c r="A4005" t="s">
        <v>6164</v>
      </c>
      <c r="B4005" s="140" t="str">
        <f>IFERROR(VLOOKUP(Proc[[#This Row],[App]],Table2[],3,0),"open")</f>
        <v>ok</v>
      </c>
      <c r="C4005" s="142" t="s">
        <v>369</v>
      </c>
      <c r="D4005" s="141" t="s">
        <v>6093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0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4</v>
      </c>
      <c r="R4005" s="136" t="s">
        <v>972</v>
      </c>
      <c r="S4005" s="140"/>
    </row>
    <row r="4006" spans="1:19" hidden="1">
      <c r="A4006" t="s">
        <v>6204</v>
      </c>
      <c r="B4006" s="140" t="str">
        <f>IFERROR(VLOOKUP(Proc[[#This Row],[App]],Table2[],3,0),"open")</f>
        <v>open</v>
      </c>
      <c r="C4006" s="142" t="s">
        <v>369</v>
      </c>
      <c r="D4006" t="s">
        <v>5951</v>
      </c>
      <c r="E4006" t="s">
        <v>6165</v>
      </c>
      <c r="F4006" s="140" t="s">
        <v>6165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0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4</v>
      </c>
      <c r="R4006" s="136" t="s">
        <v>6090</v>
      </c>
      <c r="S4006" s="140"/>
    </row>
    <row r="4007" spans="1:19" hidden="1">
      <c r="A4007" s="142" t="s">
        <v>6204</v>
      </c>
      <c r="B4007" s="140" t="str">
        <f>IFERROR(VLOOKUP(Proc[[#This Row],[App]],Table2[],3,0),"open")</f>
        <v>open</v>
      </c>
      <c r="C4007" s="142" t="s">
        <v>369</v>
      </c>
      <c r="D4007" t="s">
        <v>6048</v>
      </c>
      <c r="E4007" t="s">
        <v>6166</v>
      </c>
      <c r="F4007" s="140" t="s">
        <v>6166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0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4</v>
      </c>
      <c r="R4007" s="136" t="s">
        <v>6090</v>
      </c>
      <c r="S4007" s="140"/>
    </row>
    <row r="4008" spans="1:19" hidden="1">
      <c r="A4008" s="142" t="s">
        <v>6204</v>
      </c>
      <c r="B4008" s="140" t="str">
        <f>IFERROR(VLOOKUP(Proc[[#This Row],[App]],Table2[],3,0),"open")</f>
        <v>open</v>
      </c>
      <c r="C4008" s="142" t="s">
        <v>369</v>
      </c>
      <c r="D4008" t="s">
        <v>5958</v>
      </c>
      <c r="E4008" t="s">
        <v>6167</v>
      </c>
      <c r="F4008" s="140" t="s">
        <v>6167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0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4</v>
      </c>
      <c r="R4008" s="136" t="s">
        <v>6090</v>
      </c>
      <c r="S4008" s="140"/>
    </row>
    <row r="4009" spans="1:19" hidden="1">
      <c r="A4009" s="142" t="s">
        <v>6204</v>
      </c>
      <c r="B4009" s="140" t="str">
        <f>IFERROR(VLOOKUP(Proc[[#This Row],[App]],Table2[],3,0),"open")</f>
        <v>open</v>
      </c>
      <c r="C4009" s="142" t="s">
        <v>369</v>
      </c>
      <c r="D4009" t="s">
        <v>6003</v>
      </c>
      <c r="E4009" t="s">
        <v>6167</v>
      </c>
      <c r="F4009" s="140" t="s">
        <v>6167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0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4</v>
      </c>
      <c r="R4009" s="136" t="s">
        <v>6090</v>
      </c>
      <c r="S4009" s="140"/>
    </row>
    <row r="4010" spans="1:19" hidden="1">
      <c r="A4010" s="142" t="s">
        <v>6204</v>
      </c>
      <c r="B4010" s="140" t="str">
        <f>IFERROR(VLOOKUP(Proc[[#This Row],[App]],Table2[],3,0),"open")</f>
        <v>open</v>
      </c>
      <c r="C4010" s="142" t="s">
        <v>369</v>
      </c>
      <c r="D4010" t="s">
        <v>5953</v>
      </c>
      <c r="E4010" t="s">
        <v>6168</v>
      </c>
      <c r="F4010" s="140" t="s">
        <v>6168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0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4</v>
      </c>
      <c r="R4010" s="136" t="s">
        <v>6090</v>
      </c>
      <c r="S4010" s="140"/>
    </row>
    <row r="4011" spans="1:19" hidden="1">
      <c r="A4011" s="142" t="s">
        <v>6204</v>
      </c>
      <c r="B4011" s="140" t="str">
        <f>IFERROR(VLOOKUP(Proc[[#This Row],[App]],Table2[],3,0),"open")</f>
        <v>open</v>
      </c>
      <c r="C4011" s="142" t="s">
        <v>369</v>
      </c>
      <c r="D4011" t="s">
        <v>5952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0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4</v>
      </c>
      <c r="R4011" s="136" t="s">
        <v>6090</v>
      </c>
      <c r="S4011" s="140"/>
    </row>
    <row r="4012" spans="1:19">
      <c r="A4012" s="142" t="s">
        <v>6204</v>
      </c>
      <c r="B4012" s="140" t="str">
        <f>IFERROR(VLOOKUP(Proc[[#This Row],[App]],Table2[],3,0),"open")</f>
        <v>open</v>
      </c>
      <c r="C4012" s="144" t="s">
        <v>370</v>
      </c>
      <c r="D4012" t="s">
        <v>5977</v>
      </c>
      <c r="E4012" t="s">
        <v>474</v>
      </c>
      <c r="F4012" s="140" t="s">
        <v>6062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0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4</v>
      </c>
      <c r="R4012" s="136" t="s">
        <v>6090</v>
      </c>
      <c r="S4012" s="140"/>
    </row>
    <row r="4013" spans="1:19" hidden="1">
      <c r="A4013" s="142" t="s">
        <v>6204</v>
      </c>
      <c r="B4013" s="140" t="str">
        <f>IFERROR(VLOOKUP(Proc[[#This Row],[App]],Table2[],3,0),"open")</f>
        <v>open</v>
      </c>
      <c r="C4013" s="142" t="s">
        <v>369</v>
      </c>
      <c r="D4013" t="s">
        <v>5967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0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4</v>
      </c>
      <c r="R4013" s="136" t="s">
        <v>6090</v>
      </c>
      <c r="S4013" s="140"/>
    </row>
    <row r="4014" spans="1:19" hidden="1">
      <c r="A4014" s="142" t="s">
        <v>6204</v>
      </c>
      <c r="B4014" s="140" t="str">
        <f>IFERROR(VLOOKUP(Proc[[#This Row],[App]],Table2[],3,0),"open")</f>
        <v>open</v>
      </c>
      <c r="C4014" s="142" t="s">
        <v>369</v>
      </c>
      <c r="D4014" t="s">
        <v>5971</v>
      </c>
      <c r="E4014" t="s">
        <v>6169</v>
      </c>
      <c r="F4014" s="140" t="s">
        <v>6169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0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4</v>
      </c>
      <c r="R4014" s="136" t="s">
        <v>6090</v>
      </c>
      <c r="S4014" s="140"/>
    </row>
    <row r="4015" spans="1:19" hidden="1">
      <c r="A4015" s="142" t="s">
        <v>6204</v>
      </c>
      <c r="B4015" s="140" t="str">
        <f>IFERROR(VLOOKUP(Proc[[#This Row],[App]],Table2[],3,0),"open")</f>
        <v>open</v>
      </c>
      <c r="C4015" s="142" t="s">
        <v>369</v>
      </c>
      <c r="D4015" t="s">
        <v>5964</v>
      </c>
      <c r="E4015" t="s">
        <v>6170</v>
      </c>
      <c r="F4015" s="140" t="s">
        <v>6170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0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4</v>
      </c>
      <c r="R4015" s="136" t="s">
        <v>6090</v>
      </c>
      <c r="S4015" s="140"/>
    </row>
    <row r="4016" spans="1:19" hidden="1">
      <c r="A4016" s="142" t="s">
        <v>6204</v>
      </c>
      <c r="B4016" s="140" t="str">
        <f>IFERROR(VLOOKUP(Proc[[#This Row],[App]],Table2[],3,0),"open")</f>
        <v>open</v>
      </c>
      <c r="C4016" s="142" t="s">
        <v>369</v>
      </c>
      <c r="D4016" t="s">
        <v>5965</v>
      </c>
      <c r="E4016" t="s">
        <v>6171</v>
      </c>
      <c r="F4016" s="140" t="s">
        <v>6171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0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4</v>
      </c>
      <c r="R4016" s="136" t="s">
        <v>6090</v>
      </c>
      <c r="S4016" s="140"/>
    </row>
    <row r="4017" spans="1:19" hidden="1">
      <c r="A4017" s="142" t="s">
        <v>6204</v>
      </c>
      <c r="B4017" s="140" t="str">
        <f>IFERROR(VLOOKUP(Proc[[#This Row],[App]],Table2[],3,0),"open")</f>
        <v>open</v>
      </c>
      <c r="C4017" s="142" t="s">
        <v>369</v>
      </c>
      <c r="D4017" t="s">
        <v>5993</v>
      </c>
      <c r="E4017" t="s">
        <v>6172</v>
      </c>
      <c r="F4017" s="140" t="s">
        <v>6172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0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4</v>
      </c>
      <c r="R4017" s="136" t="s">
        <v>6090</v>
      </c>
      <c r="S4017" s="140"/>
    </row>
    <row r="4018" spans="1:19" hidden="1">
      <c r="A4018" s="142" t="s">
        <v>6204</v>
      </c>
      <c r="B4018" s="140" t="str">
        <f>IFERROR(VLOOKUP(Proc[[#This Row],[App]],Table2[],3,0),"open")</f>
        <v>open</v>
      </c>
      <c r="C4018" s="142" t="s">
        <v>369</v>
      </c>
      <c r="D4018" t="s">
        <v>5974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0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4</v>
      </c>
      <c r="R4018" s="136" t="s">
        <v>6090</v>
      </c>
      <c r="S4018" s="140"/>
    </row>
    <row r="4019" spans="1:19">
      <c r="A4019" s="142" t="s">
        <v>6204</v>
      </c>
      <c r="B4019" s="140" t="str">
        <f>IFERROR(VLOOKUP(Proc[[#This Row],[App]],Table2[],3,0),"open")</f>
        <v>open</v>
      </c>
      <c r="C4019" s="144" t="s">
        <v>370</v>
      </c>
      <c r="D4019" t="s">
        <v>5975</v>
      </c>
      <c r="E4019" t="s">
        <v>473</v>
      </c>
      <c r="F4019" s="140" t="s">
        <v>6062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0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4</v>
      </c>
      <c r="R4019" s="136" t="s">
        <v>6090</v>
      </c>
      <c r="S4019" s="140"/>
    </row>
    <row r="4020" spans="1:19" hidden="1">
      <c r="A4020" s="142" t="s">
        <v>6204</v>
      </c>
      <c r="B4020" s="140" t="str">
        <f>IFERROR(VLOOKUP(Proc[[#This Row],[App]],Table2[],3,0),"open")</f>
        <v>open</v>
      </c>
      <c r="C4020" s="142" t="s">
        <v>369</v>
      </c>
      <c r="D4020" t="s">
        <v>5991</v>
      </c>
      <c r="E4020" t="s">
        <v>6173</v>
      </c>
      <c r="F4020" s="140" t="s">
        <v>6173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0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4</v>
      </c>
      <c r="R4020" s="136" t="s">
        <v>6090</v>
      </c>
      <c r="S4020" s="140"/>
    </row>
    <row r="4021" spans="1:19" hidden="1">
      <c r="A4021" s="142" t="s">
        <v>6204</v>
      </c>
      <c r="B4021" s="140" t="str">
        <f>IFERROR(VLOOKUP(Proc[[#This Row],[App]],Table2[],3,0),"open")</f>
        <v>open</v>
      </c>
      <c r="C4021" s="142" t="s">
        <v>369</v>
      </c>
      <c r="D4021" t="s">
        <v>5998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0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4</v>
      </c>
      <c r="R4021" s="136" t="s">
        <v>6090</v>
      </c>
      <c r="S4021" s="140"/>
    </row>
    <row r="4022" spans="1:19" hidden="1">
      <c r="A4022" s="142" t="s">
        <v>6204</v>
      </c>
      <c r="B4022" s="140" t="str">
        <f>IFERROR(VLOOKUP(Proc[[#This Row],[App]],Table2[],3,0),"open")</f>
        <v>open</v>
      </c>
      <c r="C4022" s="142" t="s">
        <v>369</v>
      </c>
      <c r="D4022" t="s">
        <v>5996</v>
      </c>
      <c r="E4022" t="s">
        <v>6174</v>
      </c>
      <c r="F4022" s="140" t="s">
        <v>6174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0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4</v>
      </c>
      <c r="R4022" s="136" t="s">
        <v>6090</v>
      </c>
      <c r="S4022" s="140"/>
    </row>
    <row r="4023" spans="1:19" hidden="1">
      <c r="A4023" s="142" t="s">
        <v>6204</v>
      </c>
      <c r="B4023" s="140" t="str">
        <f>IFERROR(VLOOKUP(Proc[[#This Row],[App]],Table2[],3,0),"open")</f>
        <v>open</v>
      </c>
      <c r="C4023" s="142" t="s">
        <v>369</v>
      </c>
      <c r="D4023" t="s">
        <v>6045</v>
      </c>
      <c r="E4023" t="s">
        <v>6166</v>
      </c>
      <c r="F4023" s="140" t="s">
        <v>6166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0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4</v>
      </c>
      <c r="R4023" s="136" t="s">
        <v>6090</v>
      </c>
      <c r="S4023" s="140"/>
    </row>
    <row r="4024" spans="1:19" hidden="1">
      <c r="A4024" s="142" t="s">
        <v>6204</v>
      </c>
      <c r="B4024" s="140" t="str">
        <f>IFERROR(VLOOKUP(Proc[[#This Row],[App]],Table2[],3,0),"open")</f>
        <v>open</v>
      </c>
      <c r="C4024" s="142" t="s">
        <v>369</v>
      </c>
      <c r="D4024" t="s">
        <v>6047</v>
      </c>
      <c r="E4024" t="s">
        <v>6166</v>
      </c>
      <c r="F4024" s="140" t="s">
        <v>6166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0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4</v>
      </c>
      <c r="R4024" s="136" t="s">
        <v>6090</v>
      </c>
      <c r="S4024" s="140"/>
    </row>
    <row r="4025" spans="1:19" hidden="1">
      <c r="A4025" s="142" t="s">
        <v>6204</v>
      </c>
      <c r="B4025" s="140" t="str">
        <f>IFERROR(VLOOKUP(Proc[[#This Row],[App]],Table2[],3,0),"open")</f>
        <v>open</v>
      </c>
      <c r="C4025" s="142" t="s">
        <v>369</v>
      </c>
      <c r="D4025" t="s">
        <v>5956</v>
      </c>
      <c r="E4025" t="s">
        <v>6106</v>
      </c>
      <c r="F4025" s="140" t="s">
        <v>6106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0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4</v>
      </c>
      <c r="R4025" s="136" t="s">
        <v>6090</v>
      </c>
      <c r="S4025" s="140"/>
    </row>
    <row r="4026" spans="1:19" hidden="1">
      <c r="A4026" s="142" t="s">
        <v>6204</v>
      </c>
      <c r="B4026" s="140" t="str">
        <f>IFERROR(VLOOKUP(Proc[[#This Row],[App]],Table2[],3,0),"open")</f>
        <v>open</v>
      </c>
      <c r="C4026" s="142" t="s">
        <v>369</v>
      </c>
      <c r="D4026" t="s">
        <v>6039</v>
      </c>
      <c r="E4026" t="s">
        <v>6175</v>
      </c>
      <c r="F4026" s="140" t="s">
        <v>6175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0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4</v>
      </c>
      <c r="R4026" s="136" t="s">
        <v>6090</v>
      </c>
      <c r="S4026" s="140"/>
    </row>
    <row r="4027" spans="1:19" hidden="1">
      <c r="A4027" s="142" t="s">
        <v>6204</v>
      </c>
      <c r="B4027" s="140" t="str">
        <f>IFERROR(VLOOKUP(Proc[[#This Row],[App]],Table2[],3,0),"open")</f>
        <v>open</v>
      </c>
      <c r="C4027" s="142" t="s">
        <v>369</v>
      </c>
      <c r="D4027" t="s">
        <v>6040</v>
      </c>
      <c r="E4027" t="s">
        <v>6175</v>
      </c>
      <c r="F4027" s="140" t="s">
        <v>6175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0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4</v>
      </c>
      <c r="R4027" s="136" t="s">
        <v>6090</v>
      </c>
      <c r="S4027" s="140"/>
    </row>
    <row r="4028" spans="1:19" hidden="1">
      <c r="A4028" s="142" t="s">
        <v>6204</v>
      </c>
      <c r="B4028" s="140" t="str">
        <f>IFERROR(VLOOKUP(Proc[[#This Row],[App]],Table2[],3,0),"open")</f>
        <v>open</v>
      </c>
      <c r="C4028" s="142" t="s">
        <v>369</v>
      </c>
      <c r="D4028" t="s">
        <v>6041</v>
      </c>
      <c r="E4028" t="s">
        <v>6175</v>
      </c>
      <c r="F4028" s="140" t="s">
        <v>6175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0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4</v>
      </c>
      <c r="R4028" s="136" t="s">
        <v>6090</v>
      </c>
      <c r="S4028" s="140"/>
    </row>
    <row r="4029" spans="1:19" hidden="1">
      <c r="A4029" s="142" t="s">
        <v>6204</v>
      </c>
      <c r="B4029" s="140" t="str">
        <f>IFERROR(VLOOKUP(Proc[[#This Row],[App]],Table2[],3,0),"open")</f>
        <v>open</v>
      </c>
      <c r="C4029" s="142" t="s">
        <v>369</v>
      </c>
      <c r="D4029" t="s">
        <v>6061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0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4</v>
      </c>
      <c r="R4029" s="136" t="s">
        <v>6090</v>
      </c>
      <c r="S4029" s="140"/>
    </row>
    <row r="4030" spans="1:19" hidden="1">
      <c r="A4030" s="142" t="s">
        <v>6204</v>
      </c>
      <c r="B4030" s="140" t="str">
        <f>IFERROR(VLOOKUP(Proc[[#This Row],[App]],Table2[],3,0),"open")</f>
        <v>open</v>
      </c>
      <c r="C4030" s="142" t="s">
        <v>369</v>
      </c>
      <c r="D4030" t="s">
        <v>6058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0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4</v>
      </c>
      <c r="R4030" s="136" t="s">
        <v>6090</v>
      </c>
      <c r="S4030" s="140"/>
    </row>
    <row r="4031" spans="1:19" hidden="1">
      <c r="A4031" s="142" t="s">
        <v>6204</v>
      </c>
      <c r="B4031" s="140" t="str">
        <f>IFERROR(VLOOKUP(Proc[[#This Row],[App]],Table2[],3,0),"open")</f>
        <v>open</v>
      </c>
      <c r="C4031" s="142" t="s">
        <v>369</v>
      </c>
      <c r="D4031" t="s">
        <v>6059</v>
      </c>
      <c r="E4031" t="s">
        <v>6176</v>
      </c>
      <c r="F4031" s="140" t="s">
        <v>6176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0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4</v>
      </c>
      <c r="R4031" s="136" t="s">
        <v>6090</v>
      </c>
      <c r="S4031" s="140"/>
    </row>
    <row r="4032" spans="1:19" hidden="1">
      <c r="A4032" s="142" t="s">
        <v>6204</v>
      </c>
      <c r="B4032" s="140" t="str">
        <f>IFERROR(VLOOKUP(Proc[[#This Row],[App]],Table2[],3,0),"open")</f>
        <v>open</v>
      </c>
      <c r="C4032" s="142" t="s">
        <v>369</v>
      </c>
      <c r="D4032" t="s">
        <v>5948</v>
      </c>
      <c r="E4032" t="s">
        <v>6177</v>
      </c>
      <c r="F4032" s="140" t="s">
        <v>6177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0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4</v>
      </c>
      <c r="R4032" s="136" t="s">
        <v>6090</v>
      </c>
      <c r="S4032" s="140"/>
    </row>
    <row r="4033" spans="1:19" hidden="1">
      <c r="A4033" s="142" t="s">
        <v>6204</v>
      </c>
      <c r="B4033" s="140" t="str">
        <f>IFERROR(VLOOKUP(Proc[[#This Row],[App]],Table2[],3,0),"open")</f>
        <v>open</v>
      </c>
      <c r="C4033" s="142" t="s">
        <v>369</v>
      </c>
      <c r="D4033" t="s">
        <v>5949</v>
      </c>
      <c r="E4033" t="s">
        <v>6178</v>
      </c>
      <c r="F4033" s="140" t="s">
        <v>6178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0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4</v>
      </c>
      <c r="R4033" s="136" t="s">
        <v>6090</v>
      </c>
      <c r="S4033" s="140"/>
    </row>
    <row r="4034" spans="1:19" hidden="1">
      <c r="A4034" s="142" t="s">
        <v>6204</v>
      </c>
      <c r="B4034" s="140" t="str">
        <f>IFERROR(VLOOKUP(Proc[[#This Row],[App]],Table2[],3,0),"open")</f>
        <v>open</v>
      </c>
      <c r="C4034" s="142" t="s">
        <v>369</v>
      </c>
      <c r="D4034" t="s">
        <v>5950</v>
      </c>
      <c r="E4034" t="s">
        <v>6178</v>
      </c>
      <c r="F4034" s="140" t="s">
        <v>6178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0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4</v>
      </c>
      <c r="R4034" s="136" t="s">
        <v>6090</v>
      </c>
      <c r="S4034" s="140"/>
    </row>
    <row r="4035" spans="1:19" hidden="1">
      <c r="A4035" s="142" t="s">
        <v>6204</v>
      </c>
      <c r="B4035" s="140" t="str">
        <f>IFERROR(VLOOKUP(Proc[[#This Row],[App]],Table2[],3,0),"open")</f>
        <v>open</v>
      </c>
      <c r="C4035" s="142" t="s">
        <v>369</v>
      </c>
      <c r="D4035" t="s">
        <v>5979</v>
      </c>
      <c r="E4035" t="s">
        <v>6179</v>
      </c>
      <c r="F4035" s="140" t="s">
        <v>6179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0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4</v>
      </c>
      <c r="R4035" s="136" t="s">
        <v>6090</v>
      </c>
      <c r="S4035" s="140"/>
    </row>
    <row r="4036" spans="1:19" hidden="1">
      <c r="A4036" s="142" t="s">
        <v>6204</v>
      </c>
      <c r="B4036" s="140" t="str">
        <f>IFERROR(VLOOKUP(Proc[[#This Row],[App]],Table2[],3,0),"open")</f>
        <v>open</v>
      </c>
      <c r="C4036" s="142" t="s">
        <v>369</v>
      </c>
      <c r="D4036" t="s">
        <v>5997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0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4</v>
      </c>
      <c r="R4036" s="136" t="s">
        <v>6090</v>
      </c>
      <c r="S4036" s="140"/>
    </row>
    <row r="4037" spans="1:19" hidden="1">
      <c r="A4037" s="142" t="s">
        <v>6204</v>
      </c>
      <c r="B4037" s="140" t="str">
        <f>IFERROR(VLOOKUP(Proc[[#This Row],[App]],Table2[],3,0),"open")</f>
        <v>open</v>
      </c>
      <c r="C4037" s="142" t="s">
        <v>369</v>
      </c>
      <c r="D4037" t="s">
        <v>5999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0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4</v>
      </c>
      <c r="R4037" s="136" t="s">
        <v>6090</v>
      </c>
      <c r="S4037" s="140"/>
    </row>
    <row r="4038" spans="1:19" hidden="1">
      <c r="A4038" s="142" t="s">
        <v>6204</v>
      </c>
      <c r="B4038" s="140" t="str">
        <f>IFERROR(VLOOKUP(Proc[[#This Row],[App]],Table2[],3,0),"open")</f>
        <v>open</v>
      </c>
      <c r="C4038" s="142" t="s">
        <v>369</v>
      </c>
      <c r="D4038" t="s">
        <v>6000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0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4</v>
      </c>
      <c r="R4038" s="136" t="s">
        <v>6090</v>
      </c>
      <c r="S4038" s="140"/>
    </row>
    <row r="4039" spans="1:19" hidden="1">
      <c r="A4039" s="142" t="s">
        <v>6204</v>
      </c>
      <c r="B4039" s="140" t="str">
        <f>IFERROR(VLOOKUP(Proc[[#This Row],[App]],Table2[],3,0),"open")</f>
        <v>open</v>
      </c>
      <c r="C4039" s="142" t="s">
        <v>369</v>
      </c>
      <c r="D4039" t="s">
        <v>6001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0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4</v>
      </c>
      <c r="R4039" s="136" t="s">
        <v>6090</v>
      </c>
      <c r="S4039" s="140"/>
    </row>
    <row r="4040" spans="1:19">
      <c r="A4040" s="142" t="s">
        <v>6204</v>
      </c>
      <c r="B4040" s="140" t="str">
        <f>IFERROR(VLOOKUP(Proc[[#This Row],[App]],Table2[],3,0),"open")</f>
        <v>open</v>
      </c>
      <c r="C4040" s="144" t="s">
        <v>370</v>
      </c>
      <c r="D4040" t="s">
        <v>6049</v>
      </c>
      <c r="E4040" t="s">
        <v>735</v>
      </c>
      <c r="F4040" s="140" t="s">
        <v>6062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0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4</v>
      </c>
      <c r="R4040" s="136" t="s">
        <v>6090</v>
      </c>
      <c r="S4040" s="140"/>
    </row>
    <row r="4041" spans="1:19" hidden="1">
      <c r="A4041" s="142" t="s">
        <v>6204</v>
      </c>
      <c r="B4041" s="140" t="str">
        <f>IFERROR(VLOOKUP(Proc[[#This Row],[App]],Table2[],3,0),"open")</f>
        <v>open</v>
      </c>
      <c r="C4041" s="142" t="s">
        <v>369</v>
      </c>
      <c r="D4041" t="s">
        <v>6050</v>
      </c>
      <c r="E4041" t="s">
        <v>6180</v>
      </c>
      <c r="F4041" s="140" t="s">
        <v>6180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0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4</v>
      </c>
      <c r="R4041" s="136" t="s">
        <v>6090</v>
      </c>
      <c r="S4041" s="140"/>
    </row>
    <row r="4042" spans="1:19" hidden="1">
      <c r="A4042" s="142" t="s">
        <v>6204</v>
      </c>
      <c r="B4042" s="140" t="str">
        <f>IFERROR(VLOOKUP(Proc[[#This Row],[App]],Table2[],3,0),"open")</f>
        <v>open</v>
      </c>
      <c r="C4042" s="142" t="s">
        <v>369</v>
      </c>
      <c r="D4042" t="s">
        <v>6051</v>
      </c>
      <c r="E4042" t="s">
        <v>6181</v>
      </c>
      <c r="F4042" s="140" t="s">
        <v>6181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0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4</v>
      </c>
      <c r="R4042" s="136" t="s">
        <v>6090</v>
      </c>
      <c r="S4042" s="140"/>
    </row>
    <row r="4043" spans="1:19" hidden="1">
      <c r="A4043" s="142" t="s">
        <v>6204</v>
      </c>
      <c r="B4043" s="140" t="str">
        <f>IFERROR(VLOOKUP(Proc[[#This Row],[App]],Table2[],3,0),"open")</f>
        <v>open</v>
      </c>
      <c r="C4043" s="142" t="s">
        <v>369</v>
      </c>
      <c r="D4043" t="s">
        <v>6052</v>
      </c>
      <c r="E4043" t="s">
        <v>6182</v>
      </c>
      <c r="F4043" s="140" t="s">
        <v>6182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0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4</v>
      </c>
      <c r="R4043" s="136" t="s">
        <v>6090</v>
      </c>
      <c r="S4043" s="140"/>
    </row>
    <row r="4044" spans="1:19" hidden="1">
      <c r="A4044" s="142" t="s">
        <v>6204</v>
      </c>
      <c r="B4044" s="140" t="str">
        <f>IFERROR(VLOOKUP(Proc[[#This Row],[App]],Table2[],3,0),"open")</f>
        <v>open</v>
      </c>
      <c r="C4044" s="142" t="s">
        <v>369</v>
      </c>
      <c r="D4044" t="s">
        <v>6053</v>
      </c>
      <c r="E4044" t="s">
        <v>6182</v>
      </c>
      <c r="F4044" s="140" t="s">
        <v>6182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0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4</v>
      </c>
      <c r="R4044" s="136" t="s">
        <v>6090</v>
      </c>
      <c r="S4044" s="140"/>
    </row>
    <row r="4045" spans="1:19" hidden="1">
      <c r="A4045" s="142" t="s">
        <v>6204</v>
      </c>
      <c r="B4045" s="140" t="str">
        <f>IFERROR(VLOOKUP(Proc[[#This Row],[App]],Table2[],3,0),"open")</f>
        <v>open</v>
      </c>
      <c r="C4045" s="142" t="s">
        <v>369</v>
      </c>
      <c r="D4045" t="s">
        <v>6054</v>
      </c>
      <c r="E4045" t="s">
        <v>6182</v>
      </c>
      <c r="F4045" s="140" t="s">
        <v>6182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0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4</v>
      </c>
      <c r="R4045" s="136" t="s">
        <v>6090</v>
      </c>
      <c r="S4045" s="140"/>
    </row>
    <row r="4046" spans="1:19" hidden="1">
      <c r="A4046" s="142" t="s">
        <v>6204</v>
      </c>
      <c r="B4046" s="140" t="str">
        <f>IFERROR(VLOOKUP(Proc[[#This Row],[App]],Table2[],3,0),"open")</f>
        <v>open</v>
      </c>
      <c r="C4046" s="142" t="s">
        <v>369</v>
      </c>
      <c r="D4046" t="s">
        <v>6055</v>
      </c>
      <c r="E4046" t="s">
        <v>6182</v>
      </c>
      <c r="F4046" s="140" t="s">
        <v>6182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0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4</v>
      </c>
      <c r="R4046" s="136" t="s">
        <v>6090</v>
      </c>
      <c r="S4046" s="140"/>
    </row>
    <row r="4047" spans="1:19" hidden="1">
      <c r="A4047" s="142" t="s">
        <v>6204</v>
      </c>
      <c r="B4047" s="140" t="str">
        <f>IFERROR(VLOOKUP(Proc[[#This Row],[App]],Table2[],3,0),"open")</f>
        <v>open</v>
      </c>
      <c r="C4047" s="142" t="s">
        <v>369</v>
      </c>
      <c r="D4047" t="s">
        <v>6056</v>
      </c>
      <c r="E4047" t="s">
        <v>6183</v>
      </c>
      <c r="F4047" s="140" t="s">
        <v>6183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0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4</v>
      </c>
      <c r="R4047" s="136" t="s">
        <v>6090</v>
      </c>
      <c r="S4047" s="140"/>
    </row>
    <row r="4048" spans="1:19" hidden="1">
      <c r="A4048" s="142" t="s">
        <v>6204</v>
      </c>
      <c r="B4048" s="140" t="str">
        <f>IFERROR(VLOOKUP(Proc[[#This Row],[App]],Table2[],3,0),"open")</f>
        <v>open</v>
      </c>
      <c r="C4048" s="142" t="s">
        <v>369</v>
      </c>
      <c r="D4048" t="s">
        <v>6060</v>
      </c>
      <c r="E4048" t="s">
        <v>6184</v>
      </c>
      <c r="F4048" s="140" t="s">
        <v>6184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0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4</v>
      </c>
      <c r="R4048" s="136" t="s">
        <v>6090</v>
      </c>
      <c r="S4048" s="140"/>
    </row>
    <row r="4049" spans="1:19" hidden="1">
      <c r="A4049" s="142" t="s">
        <v>6204</v>
      </c>
      <c r="B4049" s="140" t="str">
        <f>IFERROR(VLOOKUP(Proc[[#This Row],[App]],Table2[],3,0),"open")</f>
        <v>open</v>
      </c>
      <c r="C4049" s="142" t="s">
        <v>369</v>
      </c>
      <c r="D4049" t="s">
        <v>5983</v>
      </c>
      <c r="E4049" t="s">
        <v>6185</v>
      </c>
      <c r="F4049" s="140" t="s">
        <v>6185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0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4</v>
      </c>
      <c r="R4049" s="136" t="s">
        <v>6090</v>
      </c>
      <c r="S4049" s="140"/>
    </row>
    <row r="4050" spans="1:19" hidden="1">
      <c r="A4050" s="142" t="s">
        <v>6204</v>
      </c>
      <c r="B4050" s="140" t="str">
        <f>IFERROR(VLOOKUP(Proc[[#This Row],[App]],Table2[],3,0),"open")</f>
        <v>open</v>
      </c>
      <c r="C4050" s="142" t="s">
        <v>369</v>
      </c>
      <c r="D4050" t="s">
        <v>5980</v>
      </c>
      <c r="E4050" t="s">
        <v>6186</v>
      </c>
      <c r="F4050" s="140" t="s">
        <v>6186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0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4</v>
      </c>
      <c r="R4050" s="136" t="s">
        <v>6090</v>
      </c>
      <c r="S4050" s="140"/>
    </row>
    <row r="4051" spans="1:19" hidden="1">
      <c r="A4051" s="142" t="s">
        <v>6204</v>
      </c>
      <c r="B4051" s="140" t="str">
        <f>IFERROR(VLOOKUP(Proc[[#This Row],[App]],Table2[],3,0),"open")</f>
        <v>open</v>
      </c>
      <c r="C4051" s="142" t="s">
        <v>369</v>
      </c>
      <c r="D4051" t="s">
        <v>5981</v>
      </c>
      <c r="E4051" t="s">
        <v>6107</v>
      </c>
      <c r="F4051" s="140" t="s">
        <v>6107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0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4</v>
      </c>
      <c r="R4051" s="136" t="s">
        <v>6090</v>
      </c>
      <c r="S4051" s="140"/>
    </row>
    <row r="4052" spans="1:19" hidden="1">
      <c r="A4052" s="142" t="s">
        <v>6204</v>
      </c>
      <c r="B4052" s="140" t="str">
        <f>IFERROR(VLOOKUP(Proc[[#This Row],[App]],Table2[],3,0),"open")</f>
        <v>open</v>
      </c>
      <c r="C4052" s="142" t="s">
        <v>369</v>
      </c>
      <c r="D4052" t="s">
        <v>5970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0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4</v>
      </c>
      <c r="R4052" s="136" t="s">
        <v>6090</v>
      </c>
      <c r="S4052" s="140"/>
    </row>
    <row r="4053" spans="1:19" hidden="1">
      <c r="A4053" s="142" t="s">
        <v>6204</v>
      </c>
      <c r="B4053" s="140" t="str">
        <f>IFERROR(VLOOKUP(Proc[[#This Row],[App]],Table2[],3,0),"open")</f>
        <v>open</v>
      </c>
      <c r="C4053" s="142" t="s">
        <v>369</v>
      </c>
      <c r="D4053" t="s">
        <v>6024</v>
      </c>
      <c r="E4053" t="s">
        <v>6187</v>
      </c>
      <c r="F4053" s="140" t="s">
        <v>6187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0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4</v>
      </c>
      <c r="R4053" s="136" t="s">
        <v>6090</v>
      </c>
      <c r="S4053" s="140"/>
    </row>
    <row r="4054" spans="1:19" hidden="1">
      <c r="A4054" s="142" t="s">
        <v>6204</v>
      </c>
      <c r="B4054" s="140" t="str">
        <f>IFERROR(VLOOKUP(Proc[[#This Row],[App]],Table2[],3,0),"open")</f>
        <v>open</v>
      </c>
      <c r="C4054" s="142" t="s">
        <v>369</v>
      </c>
      <c r="D4054" t="s">
        <v>6027</v>
      </c>
      <c r="E4054" t="s">
        <v>6187</v>
      </c>
      <c r="F4054" s="140" t="s">
        <v>6187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0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4</v>
      </c>
      <c r="R4054" s="136" t="s">
        <v>6090</v>
      </c>
      <c r="S4054" s="140"/>
    </row>
    <row r="4055" spans="1:19" hidden="1">
      <c r="A4055" s="142" t="s">
        <v>6204</v>
      </c>
      <c r="B4055" s="140" t="str">
        <f>IFERROR(VLOOKUP(Proc[[#This Row],[App]],Table2[],3,0),"open")</f>
        <v>open</v>
      </c>
      <c r="C4055" s="142" t="s">
        <v>369</v>
      </c>
      <c r="D4055" t="s">
        <v>5969</v>
      </c>
      <c r="E4055" t="s">
        <v>6188</v>
      </c>
      <c r="F4055" s="140" t="s">
        <v>6188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0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4</v>
      </c>
      <c r="R4055" s="136" t="s">
        <v>6090</v>
      </c>
      <c r="S4055" s="140"/>
    </row>
    <row r="4056" spans="1:19" hidden="1">
      <c r="A4056" s="142" t="s">
        <v>6204</v>
      </c>
      <c r="B4056" s="140" t="str">
        <f>IFERROR(VLOOKUP(Proc[[#This Row],[App]],Table2[],3,0),"open")</f>
        <v>open</v>
      </c>
      <c r="C4056" s="142" t="s">
        <v>369</v>
      </c>
      <c r="D4056" t="s">
        <v>6057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0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4</v>
      </c>
      <c r="R4056" s="136" t="s">
        <v>6090</v>
      </c>
      <c r="S4056" s="140"/>
    </row>
    <row r="4057" spans="1:19" hidden="1">
      <c r="A4057" s="142" t="s">
        <v>6204</v>
      </c>
      <c r="B4057" s="140" t="str">
        <f>IFERROR(VLOOKUP(Proc[[#This Row],[App]],Table2[],3,0),"open")</f>
        <v>open</v>
      </c>
      <c r="C4057" s="142" t="s">
        <v>369</v>
      </c>
      <c r="D4057" t="s">
        <v>6011</v>
      </c>
      <c r="E4057" t="s">
        <v>6187</v>
      </c>
      <c r="F4057" s="140" t="s">
        <v>6187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0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4</v>
      </c>
      <c r="R4057" s="136" t="s">
        <v>6090</v>
      </c>
      <c r="S4057" s="140"/>
    </row>
    <row r="4058" spans="1:19" hidden="1">
      <c r="A4058" s="142" t="s">
        <v>6204</v>
      </c>
      <c r="B4058" s="140" t="str">
        <f>IFERROR(VLOOKUP(Proc[[#This Row],[App]],Table2[],3,0),"open")</f>
        <v>open</v>
      </c>
      <c r="C4058" s="142" t="s">
        <v>369</v>
      </c>
      <c r="D4058" t="s">
        <v>6012</v>
      </c>
      <c r="E4058" t="s">
        <v>6187</v>
      </c>
      <c r="F4058" s="140" t="s">
        <v>6187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0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4</v>
      </c>
      <c r="R4058" s="136" t="s">
        <v>6090</v>
      </c>
      <c r="S4058" s="140"/>
    </row>
    <row r="4059" spans="1:19" hidden="1">
      <c r="A4059" s="142" t="s">
        <v>6204</v>
      </c>
      <c r="B4059" s="140" t="str">
        <f>IFERROR(VLOOKUP(Proc[[#This Row],[App]],Table2[],3,0),"open")</f>
        <v>open</v>
      </c>
      <c r="C4059" s="142" t="s">
        <v>369</v>
      </c>
      <c r="D4059" t="s">
        <v>6014</v>
      </c>
      <c r="E4059" t="s">
        <v>6187</v>
      </c>
      <c r="F4059" s="140" t="s">
        <v>6187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0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4</v>
      </c>
      <c r="R4059" s="136" t="s">
        <v>6090</v>
      </c>
      <c r="S4059" s="140"/>
    </row>
    <row r="4060" spans="1:19" hidden="1">
      <c r="A4060" s="142" t="s">
        <v>6204</v>
      </c>
      <c r="B4060" s="140" t="str">
        <f>IFERROR(VLOOKUP(Proc[[#This Row],[App]],Table2[],3,0),"open")</f>
        <v>open</v>
      </c>
      <c r="C4060" s="142" t="s">
        <v>369</v>
      </c>
      <c r="D4060" t="s">
        <v>6015</v>
      </c>
      <c r="E4060" t="s">
        <v>6187</v>
      </c>
      <c r="F4060" s="140" t="s">
        <v>6187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0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4</v>
      </c>
      <c r="R4060" s="136" t="s">
        <v>6090</v>
      </c>
      <c r="S4060" s="140"/>
    </row>
    <row r="4061" spans="1:19" hidden="1">
      <c r="A4061" s="142" t="s">
        <v>6204</v>
      </c>
      <c r="B4061" s="140" t="str">
        <f>IFERROR(VLOOKUP(Proc[[#This Row],[App]],Table2[],3,0),"open")</f>
        <v>open</v>
      </c>
      <c r="C4061" s="142" t="s">
        <v>369</v>
      </c>
      <c r="D4061" t="s">
        <v>6016</v>
      </c>
      <c r="E4061" t="s">
        <v>6187</v>
      </c>
      <c r="F4061" s="140" t="s">
        <v>6187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0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4</v>
      </c>
      <c r="R4061" s="136" t="s">
        <v>6090</v>
      </c>
      <c r="S4061" s="140"/>
    </row>
    <row r="4062" spans="1:19" hidden="1">
      <c r="A4062" s="142" t="s">
        <v>6204</v>
      </c>
      <c r="B4062" s="140" t="str">
        <f>IFERROR(VLOOKUP(Proc[[#This Row],[App]],Table2[],3,0),"open")</f>
        <v>open</v>
      </c>
      <c r="C4062" s="142" t="s">
        <v>369</v>
      </c>
      <c r="D4062" t="s">
        <v>6017</v>
      </c>
      <c r="E4062" t="s">
        <v>6187</v>
      </c>
      <c r="F4062" s="140" t="s">
        <v>6187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0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4</v>
      </c>
      <c r="R4062" s="136" t="s">
        <v>6090</v>
      </c>
      <c r="S4062" s="140"/>
    </row>
    <row r="4063" spans="1:19" hidden="1">
      <c r="A4063" s="142" t="s">
        <v>6204</v>
      </c>
      <c r="B4063" s="140" t="str">
        <f>IFERROR(VLOOKUP(Proc[[#This Row],[App]],Table2[],3,0),"open")</f>
        <v>open</v>
      </c>
      <c r="C4063" s="142" t="s">
        <v>369</v>
      </c>
      <c r="D4063" t="s">
        <v>6019</v>
      </c>
      <c r="E4063" t="s">
        <v>6187</v>
      </c>
      <c r="F4063" s="140" t="s">
        <v>6187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0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4</v>
      </c>
      <c r="R4063" s="136" t="s">
        <v>6090</v>
      </c>
      <c r="S4063" s="140"/>
    </row>
    <row r="4064" spans="1:19" hidden="1">
      <c r="A4064" s="142" t="s">
        <v>6204</v>
      </c>
      <c r="B4064" s="140" t="str">
        <f>IFERROR(VLOOKUP(Proc[[#This Row],[App]],Table2[],3,0),"open")</f>
        <v>open</v>
      </c>
      <c r="C4064" s="142" t="s">
        <v>369</v>
      </c>
      <c r="D4064" t="s">
        <v>6025</v>
      </c>
      <c r="E4064" t="s">
        <v>6187</v>
      </c>
      <c r="F4064" s="140" t="s">
        <v>6187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0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4</v>
      </c>
      <c r="R4064" s="136" t="s">
        <v>6090</v>
      </c>
      <c r="S4064" s="140"/>
    </row>
    <row r="4065" spans="1:19" hidden="1">
      <c r="A4065" s="142" t="s">
        <v>6204</v>
      </c>
      <c r="B4065" s="140" t="str">
        <f>IFERROR(VLOOKUP(Proc[[#This Row],[App]],Table2[],3,0),"open")</f>
        <v>open</v>
      </c>
      <c r="C4065" s="142" t="s">
        <v>369</v>
      </c>
      <c r="D4065" t="s">
        <v>6032</v>
      </c>
      <c r="E4065" t="s">
        <v>6189</v>
      </c>
      <c r="F4065" s="140" t="s">
        <v>6189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0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4</v>
      </c>
      <c r="R4065" s="136" t="s">
        <v>6090</v>
      </c>
      <c r="S4065" s="140"/>
    </row>
    <row r="4066" spans="1:19" hidden="1">
      <c r="A4066" s="142" t="s">
        <v>6204</v>
      </c>
      <c r="B4066" s="140" t="str">
        <f>IFERROR(VLOOKUP(Proc[[#This Row],[App]],Table2[],3,0),"open")</f>
        <v>open</v>
      </c>
      <c r="C4066" s="142" t="s">
        <v>369</v>
      </c>
      <c r="D4066" t="s">
        <v>6033</v>
      </c>
      <c r="E4066" t="s">
        <v>6189</v>
      </c>
      <c r="F4066" s="140" t="s">
        <v>6189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0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4</v>
      </c>
      <c r="R4066" s="136" t="s">
        <v>6090</v>
      </c>
      <c r="S4066" s="140"/>
    </row>
    <row r="4067" spans="1:19" hidden="1">
      <c r="A4067" s="142" t="s">
        <v>6204</v>
      </c>
      <c r="B4067" s="140" t="str">
        <f>IFERROR(VLOOKUP(Proc[[#This Row],[App]],Table2[],3,0),"open")</f>
        <v>open</v>
      </c>
      <c r="C4067" s="142" t="s">
        <v>369</v>
      </c>
      <c r="D4067" t="s">
        <v>6034</v>
      </c>
      <c r="E4067" t="s">
        <v>6189</v>
      </c>
      <c r="F4067" s="140" t="s">
        <v>6189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0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4</v>
      </c>
      <c r="R4067" s="136" t="s">
        <v>6090</v>
      </c>
      <c r="S4067" s="140"/>
    </row>
    <row r="4068" spans="1:19" hidden="1">
      <c r="A4068" s="142" t="s">
        <v>6204</v>
      </c>
      <c r="B4068" s="140" t="str">
        <f>IFERROR(VLOOKUP(Proc[[#This Row],[App]],Table2[],3,0),"open")</f>
        <v>open</v>
      </c>
      <c r="C4068" s="142" t="s">
        <v>369</v>
      </c>
      <c r="D4068" t="s">
        <v>6035</v>
      </c>
      <c r="E4068" t="s">
        <v>6189</v>
      </c>
      <c r="F4068" s="140" t="s">
        <v>6189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0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4</v>
      </c>
      <c r="R4068" s="136" t="s">
        <v>6090</v>
      </c>
      <c r="S4068" s="140"/>
    </row>
    <row r="4069" spans="1:19" hidden="1">
      <c r="A4069" s="142" t="s">
        <v>6204</v>
      </c>
      <c r="B4069" s="140" t="str">
        <f>IFERROR(VLOOKUP(Proc[[#This Row],[App]],Table2[],3,0),"open")</f>
        <v>open</v>
      </c>
      <c r="C4069" s="142" t="s">
        <v>369</v>
      </c>
      <c r="D4069" t="s">
        <v>6036</v>
      </c>
      <c r="E4069" t="s">
        <v>6189</v>
      </c>
      <c r="F4069" s="140" t="s">
        <v>6189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0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4</v>
      </c>
      <c r="R4069" s="136" t="s">
        <v>6090</v>
      </c>
      <c r="S4069" s="140"/>
    </row>
    <row r="4070" spans="1:19" hidden="1">
      <c r="A4070" s="142" t="s">
        <v>6204</v>
      </c>
      <c r="B4070" s="140" t="str">
        <f>IFERROR(VLOOKUP(Proc[[#This Row],[App]],Table2[],3,0),"open")</f>
        <v>open</v>
      </c>
      <c r="C4070" s="142" t="s">
        <v>369</v>
      </c>
      <c r="D4070" t="s">
        <v>6037</v>
      </c>
      <c r="E4070" t="s">
        <v>6189</v>
      </c>
      <c r="F4070" s="140" t="s">
        <v>6189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0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4</v>
      </c>
      <c r="R4070" s="136" t="s">
        <v>6090</v>
      </c>
      <c r="S4070" s="140"/>
    </row>
    <row r="4071" spans="1:19" hidden="1">
      <c r="A4071" s="142" t="s">
        <v>6204</v>
      </c>
      <c r="B4071" s="140" t="str">
        <f>IFERROR(VLOOKUP(Proc[[#This Row],[App]],Table2[],3,0),"open")</f>
        <v>open</v>
      </c>
      <c r="C4071" s="142" t="s">
        <v>369</v>
      </c>
      <c r="D4071" t="s">
        <v>6038</v>
      </c>
      <c r="E4071" t="s">
        <v>6190</v>
      </c>
      <c r="F4071" s="140" t="s">
        <v>6190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0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4</v>
      </c>
      <c r="R4071" s="136" t="s">
        <v>6090</v>
      </c>
      <c r="S4071" s="140"/>
    </row>
    <row r="4072" spans="1:19" hidden="1">
      <c r="A4072" s="142" t="s">
        <v>6204</v>
      </c>
      <c r="B4072" s="140" t="str">
        <f>IFERROR(VLOOKUP(Proc[[#This Row],[App]],Table2[],3,0),"open")</f>
        <v>open</v>
      </c>
      <c r="C4072" s="142" t="s">
        <v>369</v>
      </c>
      <c r="D4072" t="s">
        <v>6007</v>
      </c>
      <c r="E4072" t="s">
        <v>6187</v>
      </c>
      <c r="F4072" s="140" t="s">
        <v>6187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0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4</v>
      </c>
      <c r="R4072" s="136" t="s">
        <v>6090</v>
      </c>
      <c r="S4072" s="140"/>
    </row>
    <row r="4073" spans="1:19" hidden="1">
      <c r="A4073" s="142" t="s">
        <v>6204</v>
      </c>
      <c r="B4073" s="140" t="str">
        <f>IFERROR(VLOOKUP(Proc[[#This Row],[App]],Table2[],3,0),"open")</f>
        <v>open</v>
      </c>
      <c r="C4073" s="142" t="s">
        <v>369</v>
      </c>
      <c r="D4073" t="s">
        <v>6008</v>
      </c>
      <c r="E4073" t="s">
        <v>6187</v>
      </c>
      <c r="F4073" s="140" t="s">
        <v>6187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0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4</v>
      </c>
      <c r="R4073" s="136" t="s">
        <v>6090</v>
      </c>
      <c r="S4073" s="140"/>
    </row>
    <row r="4074" spans="1:19" hidden="1">
      <c r="A4074" s="142" t="s">
        <v>6204</v>
      </c>
      <c r="B4074" s="140" t="str">
        <f>IFERROR(VLOOKUP(Proc[[#This Row],[App]],Table2[],3,0),"open")</f>
        <v>open</v>
      </c>
      <c r="C4074" s="142" t="s">
        <v>369</v>
      </c>
      <c r="D4074" t="s">
        <v>6009</v>
      </c>
      <c r="E4074" t="s">
        <v>6187</v>
      </c>
      <c r="F4074" s="140" t="s">
        <v>6187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0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4</v>
      </c>
      <c r="R4074" s="136" t="s">
        <v>6090</v>
      </c>
      <c r="S4074" s="140"/>
    </row>
    <row r="4075" spans="1:19" hidden="1">
      <c r="A4075" s="142" t="s">
        <v>6204</v>
      </c>
      <c r="B4075" s="140" t="str">
        <f>IFERROR(VLOOKUP(Proc[[#This Row],[App]],Table2[],3,0),"open")</f>
        <v>open</v>
      </c>
      <c r="C4075" s="142" t="s">
        <v>369</v>
      </c>
      <c r="D4075" t="s">
        <v>6010</v>
      </c>
      <c r="E4075" t="s">
        <v>6187</v>
      </c>
      <c r="F4075" s="140" t="s">
        <v>6187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0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4</v>
      </c>
      <c r="R4075" s="136" t="s">
        <v>6090</v>
      </c>
      <c r="S4075" s="140"/>
    </row>
    <row r="4076" spans="1:19" hidden="1">
      <c r="A4076" s="142" t="s">
        <v>6204</v>
      </c>
      <c r="B4076" s="140" t="str">
        <f>IFERROR(VLOOKUP(Proc[[#This Row],[App]],Table2[],3,0),"open")</f>
        <v>open</v>
      </c>
      <c r="C4076" s="142" t="s">
        <v>369</v>
      </c>
      <c r="D4076" t="s">
        <v>6013</v>
      </c>
      <c r="E4076" t="s">
        <v>6187</v>
      </c>
      <c r="F4076" s="140" t="s">
        <v>6187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0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4</v>
      </c>
      <c r="R4076" s="136" t="s">
        <v>6090</v>
      </c>
      <c r="S4076" s="140"/>
    </row>
    <row r="4077" spans="1:19" hidden="1">
      <c r="A4077" s="142" t="s">
        <v>6204</v>
      </c>
      <c r="B4077" s="140" t="str">
        <f>IFERROR(VLOOKUP(Proc[[#This Row],[App]],Table2[],3,0),"open")</f>
        <v>open</v>
      </c>
      <c r="C4077" s="142" t="s">
        <v>369</v>
      </c>
      <c r="D4077" t="s">
        <v>6020</v>
      </c>
      <c r="E4077" t="s">
        <v>6187</v>
      </c>
      <c r="F4077" s="140" t="s">
        <v>6187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0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4</v>
      </c>
      <c r="R4077" s="136" t="s">
        <v>6090</v>
      </c>
      <c r="S4077" s="140"/>
    </row>
    <row r="4078" spans="1:19" hidden="1">
      <c r="A4078" s="142" t="s">
        <v>6204</v>
      </c>
      <c r="B4078" s="140" t="str">
        <f>IFERROR(VLOOKUP(Proc[[#This Row],[App]],Table2[],3,0),"open")</f>
        <v>open</v>
      </c>
      <c r="C4078" s="142" t="s">
        <v>369</v>
      </c>
      <c r="D4078" t="s">
        <v>6021</v>
      </c>
      <c r="E4078" t="s">
        <v>6187</v>
      </c>
      <c r="F4078" s="140" t="s">
        <v>6187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0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4</v>
      </c>
      <c r="R4078" s="136" t="s">
        <v>6090</v>
      </c>
      <c r="S4078" s="140"/>
    </row>
    <row r="4079" spans="1:19" hidden="1">
      <c r="A4079" s="142" t="s">
        <v>6204</v>
      </c>
      <c r="B4079" s="140" t="str">
        <f>IFERROR(VLOOKUP(Proc[[#This Row],[App]],Table2[],3,0),"open")</f>
        <v>open</v>
      </c>
      <c r="C4079" s="142" t="s">
        <v>369</v>
      </c>
      <c r="D4079" t="s">
        <v>6022</v>
      </c>
      <c r="E4079" t="s">
        <v>6187</v>
      </c>
      <c r="F4079" s="140" t="s">
        <v>6187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0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4</v>
      </c>
      <c r="R4079" s="136" t="s">
        <v>6090</v>
      </c>
      <c r="S4079" s="140"/>
    </row>
    <row r="4080" spans="1:19" hidden="1">
      <c r="A4080" s="142" t="s">
        <v>6204</v>
      </c>
      <c r="B4080" s="140" t="str">
        <f>IFERROR(VLOOKUP(Proc[[#This Row],[App]],Table2[],3,0),"open")</f>
        <v>open</v>
      </c>
      <c r="C4080" s="142" t="s">
        <v>369</v>
      </c>
      <c r="D4080" t="s">
        <v>6004</v>
      </c>
      <c r="E4080" t="s">
        <v>6187</v>
      </c>
      <c r="F4080" s="140" t="s">
        <v>6187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0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4</v>
      </c>
      <c r="R4080" s="136" t="s">
        <v>6090</v>
      </c>
      <c r="S4080" s="140"/>
    </row>
    <row r="4081" spans="1:19" hidden="1">
      <c r="A4081" s="142" t="s">
        <v>6204</v>
      </c>
      <c r="B4081" s="140" t="str">
        <f>IFERROR(VLOOKUP(Proc[[#This Row],[App]],Table2[],3,0),"open")</f>
        <v>open</v>
      </c>
      <c r="C4081" s="142" t="s">
        <v>369</v>
      </c>
      <c r="D4081" t="s">
        <v>6005</v>
      </c>
      <c r="E4081" t="s">
        <v>6187</v>
      </c>
      <c r="F4081" s="140" t="s">
        <v>6187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0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4</v>
      </c>
      <c r="R4081" s="136" t="s">
        <v>6090</v>
      </c>
      <c r="S4081" s="140"/>
    </row>
    <row r="4082" spans="1:19" hidden="1">
      <c r="A4082" s="142" t="s">
        <v>6204</v>
      </c>
      <c r="B4082" s="140" t="str">
        <f>IFERROR(VLOOKUP(Proc[[#This Row],[App]],Table2[],3,0),"open")</f>
        <v>open</v>
      </c>
      <c r="C4082" s="142" t="s">
        <v>369</v>
      </c>
      <c r="D4082" t="s">
        <v>6006</v>
      </c>
      <c r="E4082" t="s">
        <v>6187</v>
      </c>
      <c r="F4082" s="140" t="s">
        <v>6187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0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4</v>
      </c>
      <c r="R4082" s="136" t="s">
        <v>6090</v>
      </c>
      <c r="S4082" s="140"/>
    </row>
    <row r="4083" spans="1:19" hidden="1">
      <c r="A4083" s="142" t="s">
        <v>6204</v>
      </c>
      <c r="B4083" s="140" t="str">
        <f>IFERROR(VLOOKUP(Proc[[#This Row],[App]],Table2[],3,0),"open")</f>
        <v>open</v>
      </c>
      <c r="C4083" s="142" t="s">
        <v>369</v>
      </c>
      <c r="D4083" t="s">
        <v>6018</v>
      </c>
      <c r="E4083" t="s">
        <v>6187</v>
      </c>
      <c r="F4083" s="140" t="s">
        <v>6187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0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4</v>
      </c>
      <c r="R4083" s="136" t="s">
        <v>6090</v>
      </c>
      <c r="S4083" s="140"/>
    </row>
    <row r="4084" spans="1:19" hidden="1">
      <c r="A4084" s="142" t="s">
        <v>6204</v>
      </c>
      <c r="B4084" s="140" t="str">
        <f>IFERROR(VLOOKUP(Proc[[#This Row],[App]],Table2[],3,0),"open")</f>
        <v>open</v>
      </c>
      <c r="C4084" s="142" t="s">
        <v>369</v>
      </c>
      <c r="D4084" t="s">
        <v>6028</v>
      </c>
      <c r="E4084" t="s">
        <v>6187</v>
      </c>
      <c r="F4084" s="140" t="s">
        <v>6187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0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4</v>
      </c>
      <c r="R4084" s="136" t="s">
        <v>6090</v>
      </c>
      <c r="S4084" s="140"/>
    </row>
    <row r="4085" spans="1:19" hidden="1">
      <c r="A4085" s="142" t="s">
        <v>6204</v>
      </c>
      <c r="B4085" s="140" t="str">
        <f>IFERROR(VLOOKUP(Proc[[#This Row],[App]],Table2[],3,0),"open")</f>
        <v>open</v>
      </c>
      <c r="C4085" s="142" t="s">
        <v>369</v>
      </c>
      <c r="D4085" t="s">
        <v>5984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0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4</v>
      </c>
      <c r="R4085" s="136" t="s">
        <v>6090</v>
      </c>
      <c r="S4085" s="140"/>
    </row>
    <row r="4086" spans="1:19" hidden="1">
      <c r="A4086" s="142" t="s">
        <v>6204</v>
      </c>
      <c r="B4086" s="140" t="str">
        <f>IFERROR(VLOOKUP(Proc[[#This Row],[App]],Table2[],3,0),"open")</f>
        <v>open</v>
      </c>
      <c r="C4086" s="142" t="s">
        <v>369</v>
      </c>
      <c r="D4086" t="s">
        <v>6023</v>
      </c>
      <c r="E4086" t="s">
        <v>6187</v>
      </c>
      <c r="F4086" s="140" t="s">
        <v>6187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0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4</v>
      </c>
      <c r="R4086" s="136" t="s">
        <v>6090</v>
      </c>
      <c r="S4086" s="140"/>
    </row>
    <row r="4087" spans="1:19" hidden="1">
      <c r="A4087" s="142" t="s">
        <v>6204</v>
      </c>
      <c r="B4087" s="140" t="str">
        <f>IFERROR(VLOOKUP(Proc[[#This Row],[App]],Table2[],3,0),"open")</f>
        <v>open</v>
      </c>
      <c r="C4087" s="142" t="s">
        <v>369</v>
      </c>
      <c r="D4087" t="s">
        <v>6043</v>
      </c>
      <c r="E4087" t="s">
        <v>6191</v>
      </c>
      <c r="F4087" s="140" t="s">
        <v>6191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0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4</v>
      </c>
      <c r="R4087" s="136" t="s">
        <v>6090</v>
      </c>
      <c r="S4087" s="140"/>
    </row>
    <row r="4088" spans="1:19" hidden="1">
      <c r="A4088" s="142" t="s">
        <v>6204</v>
      </c>
      <c r="B4088" s="140" t="str">
        <f>IFERROR(VLOOKUP(Proc[[#This Row],[App]],Table2[],3,0),"open")</f>
        <v>open</v>
      </c>
      <c r="C4088" s="142" t="s">
        <v>369</v>
      </c>
      <c r="D4088" t="s">
        <v>6044</v>
      </c>
      <c r="E4088" t="s">
        <v>6192</v>
      </c>
      <c r="F4088" s="140" t="s">
        <v>6192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0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4</v>
      </c>
      <c r="R4088" s="136" t="s">
        <v>6090</v>
      </c>
      <c r="S4088" s="140"/>
    </row>
    <row r="4089" spans="1:19" hidden="1">
      <c r="A4089" s="142" t="s">
        <v>6204</v>
      </c>
      <c r="B4089" s="140" t="str">
        <f>IFERROR(VLOOKUP(Proc[[#This Row],[App]],Table2[],3,0),"open")</f>
        <v>open</v>
      </c>
      <c r="C4089" s="142" t="s">
        <v>369</v>
      </c>
      <c r="D4089" t="s">
        <v>6026</v>
      </c>
      <c r="E4089" t="s">
        <v>6187</v>
      </c>
      <c r="F4089" s="140" t="s">
        <v>6187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0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4</v>
      </c>
      <c r="R4089" s="136" t="s">
        <v>6090</v>
      </c>
      <c r="S4089" s="140"/>
    </row>
    <row r="4090" spans="1:19" hidden="1">
      <c r="A4090" s="142" t="s">
        <v>6204</v>
      </c>
      <c r="B4090" s="140" t="str">
        <f>IFERROR(VLOOKUP(Proc[[#This Row],[App]],Table2[],3,0),"open")</f>
        <v>open</v>
      </c>
      <c r="C4090" s="142" t="s">
        <v>369</v>
      </c>
      <c r="D4090" t="s">
        <v>6042</v>
      </c>
      <c r="E4090" t="s">
        <v>6193</v>
      </c>
      <c r="F4090" s="140" t="s">
        <v>6193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0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4</v>
      </c>
      <c r="R4090" s="136" t="s">
        <v>6090</v>
      </c>
      <c r="S4090" s="140"/>
    </row>
    <row r="4091" spans="1:19" hidden="1">
      <c r="A4091" s="142" t="s">
        <v>6204</v>
      </c>
      <c r="B4091" s="140" t="str">
        <f>IFERROR(VLOOKUP(Proc[[#This Row],[App]],Table2[],3,0),"open")</f>
        <v>open</v>
      </c>
      <c r="C4091" s="142" t="s">
        <v>369</v>
      </c>
      <c r="D4091" t="s">
        <v>6029</v>
      </c>
      <c r="E4091" t="s">
        <v>6194</v>
      </c>
      <c r="F4091" s="140" t="s">
        <v>6194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0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4</v>
      </c>
      <c r="R4091" s="136" t="s">
        <v>6090</v>
      </c>
      <c r="S4091" s="140"/>
    </row>
    <row r="4092" spans="1:19" hidden="1">
      <c r="A4092" s="142" t="s">
        <v>6204</v>
      </c>
      <c r="B4092" s="140" t="str">
        <f>IFERROR(VLOOKUP(Proc[[#This Row],[App]],Table2[],3,0),"open")</f>
        <v>open</v>
      </c>
      <c r="C4092" s="142" t="s">
        <v>369</v>
      </c>
      <c r="D4092" t="s">
        <v>6046</v>
      </c>
      <c r="E4092" t="s">
        <v>6166</v>
      </c>
      <c r="F4092" s="140" t="s">
        <v>6166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0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4</v>
      </c>
      <c r="R4092" s="136" t="s">
        <v>6090</v>
      </c>
      <c r="S4092" s="140"/>
    </row>
    <row r="4093" spans="1:19" hidden="1">
      <c r="A4093" s="142" t="s">
        <v>6204</v>
      </c>
      <c r="B4093" s="140" t="str">
        <f>IFERROR(VLOOKUP(Proc[[#This Row],[App]],Table2[],3,0),"open")</f>
        <v>open</v>
      </c>
      <c r="C4093" s="142" t="s">
        <v>369</v>
      </c>
      <c r="D4093" t="s">
        <v>6030</v>
      </c>
      <c r="E4093" t="s">
        <v>6195</v>
      </c>
      <c r="F4093" s="140" t="s">
        <v>6195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0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4</v>
      </c>
      <c r="R4093" s="136" t="s">
        <v>6090</v>
      </c>
      <c r="S4093" s="140"/>
    </row>
    <row r="4094" spans="1:19" hidden="1">
      <c r="A4094" s="142" t="s">
        <v>6204</v>
      </c>
      <c r="B4094" s="140" t="str">
        <f>IFERROR(VLOOKUP(Proc[[#This Row],[App]],Table2[],3,0),"open")</f>
        <v>open</v>
      </c>
      <c r="C4094" s="142" t="s">
        <v>369</v>
      </c>
      <c r="D4094" t="s">
        <v>6031</v>
      </c>
      <c r="E4094" t="s">
        <v>6196</v>
      </c>
      <c r="F4094" s="140" t="s">
        <v>6196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0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4</v>
      </c>
      <c r="R4094" s="136" t="s">
        <v>6090</v>
      </c>
      <c r="S4094" s="140"/>
    </row>
    <row r="4095" spans="1:19" hidden="1">
      <c r="A4095" s="142" t="s">
        <v>6204</v>
      </c>
      <c r="B4095" s="140" t="str">
        <f>IFERROR(VLOOKUP(Proc[[#This Row],[App]],Table2[],3,0),"open")</f>
        <v>open</v>
      </c>
      <c r="C4095" s="142" t="s">
        <v>369</v>
      </c>
      <c r="D4095" t="s">
        <v>5954</v>
      </c>
      <c r="E4095" t="s">
        <v>6197</v>
      </c>
      <c r="F4095" s="140" t="s">
        <v>6197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0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4</v>
      </c>
      <c r="R4095" s="136" t="s">
        <v>6090</v>
      </c>
      <c r="S4095" s="140"/>
    </row>
    <row r="4096" spans="1:19" hidden="1">
      <c r="A4096" s="142" t="s">
        <v>6204</v>
      </c>
      <c r="B4096" s="140" t="str">
        <f>IFERROR(VLOOKUP(Proc[[#This Row],[App]],Table2[],3,0),"open")</f>
        <v>open</v>
      </c>
      <c r="C4096" s="144" t="s">
        <v>369</v>
      </c>
      <c r="D4096" t="s">
        <v>5957</v>
      </c>
      <c r="E4096" t="s">
        <v>6198</v>
      </c>
      <c r="F4096" s="140" t="s">
        <v>6198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0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4</v>
      </c>
      <c r="R4096" s="136" t="s">
        <v>6090</v>
      </c>
      <c r="S4096" s="140"/>
    </row>
    <row r="4097" spans="1:19" hidden="1">
      <c r="A4097" s="142" t="s">
        <v>6204</v>
      </c>
      <c r="B4097" s="140" t="str">
        <f>IFERROR(VLOOKUP(Proc[[#This Row],[App]],Table2[],3,0),"open")</f>
        <v>open</v>
      </c>
      <c r="C4097" s="142" t="s">
        <v>369</v>
      </c>
      <c r="D4097" t="s">
        <v>5955</v>
      </c>
      <c r="E4097" t="s">
        <v>6199</v>
      </c>
      <c r="F4097" s="140" t="s">
        <v>6199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0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4</v>
      </c>
      <c r="R4097" s="136" t="s">
        <v>6090</v>
      </c>
      <c r="S4097" s="140"/>
    </row>
    <row r="4098" spans="1:19" hidden="1">
      <c r="A4098" s="142" t="s">
        <v>6204</v>
      </c>
      <c r="B4098" s="140" t="str">
        <f>IFERROR(VLOOKUP(Proc[[#This Row],[App]],Table2[],3,0),"open")</f>
        <v>open</v>
      </c>
      <c r="C4098" s="142" t="s">
        <v>369</v>
      </c>
      <c r="D4098" t="s">
        <v>5959</v>
      </c>
      <c r="E4098" t="s">
        <v>6200</v>
      </c>
      <c r="F4098" s="140" t="s">
        <v>6200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0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4</v>
      </c>
      <c r="R4098" s="136" t="s">
        <v>6090</v>
      </c>
      <c r="S4098" s="140"/>
    </row>
    <row r="4099" spans="1:19" hidden="1">
      <c r="A4099" s="142" t="s">
        <v>6204</v>
      </c>
      <c r="B4099" s="140" t="str">
        <f>IFERROR(VLOOKUP(Proc[[#This Row],[App]],Table2[],3,0),"open")</f>
        <v>open</v>
      </c>
      <c r="C4099" s="142" t="s">
        <v>369</v>
      </c>
      <c r="D4099" t="s">
        <v>5985</v>
      </c>
      <c r="E4099" t="s">
        <v>6201</v>
      </c>
      <c r="F4099" s="140" t="s">
        <v>6201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0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4</v>
      </c>
      <c r="R4099" s="136" t="s">
        <v>6090</v>
      </c>
      <c r="S4099" s="140"/>
    </row>
    <row r="4100" spans="1:19" hidden="1">
      <c r="A4100" s="142" t="s">
        <v>6204</v>
      </c>
      <c r="B4100" s="140" t="str">
        <f>IFERROR(VLOOKUP(Proc[[#This Row],[App]],Table2[],3,0),"open")</f>
        <v>open</v>
      </c>
      <c r="C4100" s="142" t="s">
        <v>369</v>
      </c>
      <c r="D4100" t="s">
        <v>5982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0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4</v>
      </c>
      <c r="R4100" s="136" t="s">
        <v>6090</v>
      </c>
      <c r="S4100" s="140"/>
    </row>
    <row r="4101" spans="1:19" hidden="1">
      <c r="A4101" s="142" t="s">
        <v>6204</v>
      </c>
      <c r="B4101" s="140" t="str">
        <f>IFERROR(VLOOKUP(Proc[[#This Row],[App]],Table2[],3,0),"open")</f>
        <v>open</v>
      </c>
      <c r="C4101" s="142" t="s">
        <v>369</v>
      </c>
      <c r="D4101" t="s">
        <v>5986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0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4</v>
      </c>
      <c r="R4101" s="136" t="s">
        <v>6090</v>
      </c>
      <c r="S4101" s="140"/>
    </row>
    <row r="4102" spans="1:19" hidden="1">
      <c r="A4102" s="142" t="s">
        <v>6204</v>
      </c>
      <c r="B4102" s="140" t="str">
        <f>IFERROR(VLOOKUP(Proc[[#This Row],[App]],Table2[],3,0),"open")</f>
        <v>open</v>
      </c>
      <c r="C4102" s="142" t="s">
        <v>369</v>
      </c>
      <c r="D4102" t="s">
        <v>5987</v>
      </c>
      <c r="E4102" t="s">
        <v>6174</v>
      </c>
      <c r="F4102" s="140" t="s">
        <v>6174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0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4</v>
      </c>
      <c r="R4102" s="136" t="s">
        <v>6090</v>
      </c>
      <c r="S4102" s="140"/>
    </row>
    <row r="4103" spans="1:19" hidden="1">
      <c r="A4103" s="142" t="s">
        <v>6204</v>
      </c>
      <c r="B4103" s="140" t="str">
        <f>IFERROR(VLOOKUP(Proc[[#This Row],[App]],Table2[],3,0),"open")</f>
        <v>open</v>
      </c>
      <c r="C4103" s="142" t="s">
        <v>369</v>
      </c>
      <c r="D4103" t="s">
        <v>5988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0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4</v>
      </c>
      <c r="R4103" s="136" t="s">
        <v>6090</v>
      </c>
      <c r="S4103" s="140"/>
    </row>
    <row r="4104" spans="1:19" hidden="1">
      <c r="A4104" s="142" t="s">
        <v>6204</v>
      </c>
      <c r="B4104" s="140" t="str">
        <f>IFERROR(VLOOKUP(Proc[[#This Row],[App]],Table2[],3,0),"open")</f>
        <v>open</v>
      </c>
      <c r="C4104" s="142" t="s">
        <v>369</v>
      </c>
      <c r="D4104" t="s">
        <v>5989</v>
      </c>
      <c r="E4104" t="s">
        <v>6174</v>
      </c>
      <c r="F4104" s="140" t="s">
        <v>6174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0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4</v>
      </c>
      <c r="R4104" s="136" t="s">
        <v>6090</v>
      </c>
      <c r="S4104" s="140"/>
    </row>
    <row r="4105" spans="1:19" hidden="1">
      <c r="A4105" s="142" t="s">
        <v>6204</v>
      </c>
      <c r="B4105" s="140" t="str">
        <f>IFERROR(VLOOKUP(Proc[[#This Row],[App]],Table2[],3,0),"open")</f>
        <v>open</v>
      </c>
      <c r="C4105" s="142" t="s">
        <v>369</v>
      </c>
      <c r="D4105" t="s">
        <v>5990</v>
      </c>
      <c r="E4105" t="s">
        <v>6174</v>
      </c>
      <c r="F4105" s="140" t="s">
        <v>6174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0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4</v>
      </c>
      <c r="R4105" s="136" t="s">
        <v>6090</v>
      </c>
      <c r="S4105" s="140"/>
    </row>
    <row r="4106" spans="1:19" hidden="1">
      <c r="A4106" s="142" t="s">
        <v>6204</v>
      </c>
      <c r="B4106" s="140" t="str">
        <f>IFERROR(VLOOKUP(Proc[[#This Row],[App]],Table2[],3,0),"open")</f>
        <v>open</v>
      </c>
      <c r="C4106" s="142" t="s">
        <v>369</v>
      </c>
      <c r="D4106" t="s">
        <v>5992</v>
      </c>
      <c r="E4106" t="s">
        <v>6172</v>
      </c>
      <c r="F4106" s="140" t="s">
        <v>6172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0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4</v>
      </c>
      <c r="R4106" s="136" t="s">
        <v>6090</v>
      </c>
      <c r="S4106" s="140"/>
    </row>
    <row r="4107" spans="1:19" hidden="1">
      <c r="A4107" s="142" t="s">
        <v>6204</v>
      </c>
      <c r="B4107" s="140" t="str">
        <f>IFERROR(VLOOKUP(Proc[[#This Row],[App]],Table2[],3,0),"open")</f>
        <v>open</v>
      </c>
      <c r="C4107" s="142" t="s">
        <v>369</v>
      </c>
      <c r="D4107" t="s">
        <v>5994</v>
      </c>
      <c r="E4107" t="s">
        <v>6174</v>
      </c>
      <c r="F4107" s="140" t="s">
        <v>6174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0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4</v>
      </c>
      <c r="R4107" s="136" t="s">
        <v>6090</v>
      </c>
      <c r="S4107" s="140"/>
    </row>
    <row r="4108" spans="1:19" hidden="1">
      <c r="A4108" s="142" t="s">
        <v>6204</v>
      </c>
      <c r="B4108" s="140" t="str">
        <f>IFERROR(VLOOKUP(Proc[[#This Row],[App]],Table2[],3,0),"open")</f>
        <v>open</v>
      </c>
      <c r="C4108" s="142" t="s">
        <v>369</v>
      </c>
      <c r="D4108" t="s">
        <v>5960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0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4</v>
      </c>
      <c r="R4108" s="136" t="s">
        <v>6090</v>
      </c>
      <c r="S4108" s="140"/>
    </row>
    <row r="4109" spans="1:19" hidden="1">
      <c r="A4109" s="142" t="s">
        <v>6204</v>
      </c>
      <c r="B4109" s="140" t="str">
        <f>IFERROR(VLOOKUP(Proc[[#This Row],[App]],Table2[],3,0),"open")</f>
        <v>open</v>
      </c>
      <c r="C4109" s="142" t="s">
        <v>369</v>
      </c>
      <c r="D4109" t="s">
        <v>5961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0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4</v>
      </c>
      <c r="R4109" s="136" t="s">
        <v>6090</v>
      </c>
      <c r="S4109" s="140"/>
    </row>
    <row r="4110" spans="1:19" hidden="1">
      <c r="A4110" s="142" t="s">
        <v>6204</v>
      </c>
      <c r="B4110" s="140" t="str">
        <f>IFERROR(VLOOKUP(Proc[[#This Row],[App]],Table2[],3,0),"open")</f>
        <v>open</v>
      </c>
      <c r="C4110" s="142" t="s">
        <v>369</v>
      </c>
      <c r="D4110" t="s">
        <v>5962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0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4</v>
      </c>
      <c r="R4110" s="136" t="s">
        <v>6090</v>
      </c>
      <c r="S4110" s="140"/>
    </row>
    <row r="4111" spans="1:19" hidden="1">
      <c r="A4111" s="142" t="s">
        <v>6204</v>
      </c>
      <c r="B4111" s="140" t="str">
        <f>IFERROR(VLOOKUP(Proc[[#This Row],[App]],Table2[],3,0),"open")</f>
        <v>open</v>
      </c>
      <c r="C4111" s="142" t="s">
        <v>369</v>
      </c>
      <c r="D4111" t="s">
        <v>5966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0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4</v>
      </c>
      <c r="R4111" s="136" t="s">
        <v>6090</v>
      </c>
      <c r="S4111" s="140"/>
    </row>
    <row r="4112" spans="1:19" hidden="1">
      <c r="A4112" s="142" t="s">
        <v>6204</v>
      </c>
      <c r="B4112" s="140" t="str">
        <f>IFERROR(VLOOKUP(Proc[[#This Row],[App]],Table2[],3,0),"open")</f>
        <v>open</v>
      </c>
      <c r="C4112" s="142" t="s">
        <v>369</v>
      </c>
      <c r="D4112" t="s">
        <v>5972</v>
      </c>
      <c r="E4112" t="s">
        <v>6202</v>
      </c>
      <c r="F4112" s="140" t="s">
        <v>6202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0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4</v>
      </c>
      <c r="R4112" s="136" t="s">
        <v>6090</v>
      </c>
      <c r="S4112" s="140"/>
    </row>
    <row r="4113" spans="1:19">
      <c r="A4113" s="142" t="s">
        <v>6204</v>
      </c>
      <c r="B4113" s="140" t="str">
        <f>IFERROR(VLOOKUP(Proc[[#This Row],[App]],Table2[],3,0),"open")</f>
        <v>open</v>
      </c>
      <c r="C4113" s="144" t="s">
        <v>370</v>
      </c>
      <c r="D4113" t="s">
        <v>5973</v>
      </c>
      <c r="E4113" t="s">
        <v>2505</v>
      </c>
      <c r="F4113" s="140" t="s">
        <v>6062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0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4</v>
      </c>
      <c r="R4113" s="136" t="s">
        <v>6090</v>
      </c>
      <c r="S4113" s="140"/>
    </row>
    <row r="4114" spans="1:19" hidden="1">
      <c r="A4114" s="142" t="s">
        <v>6204</v>
      </c>
      <c r="B4114" s="140" t="str">
        <f>IFERROR(VLOOKUP(Proc[[#This Row],[App]],Table2[],3,0),"open")</f>
        <v>open</v>
      </c>
      <c r="C4114" s="142" t="s">
        <v>369</v>
      </c>
      <c r="D4114" t="s">
        <v>5976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0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4</v>
      </c>
      <c r="R4114" s="136" t="s">
        <v>6090</v>
      </c>
      <c r="S4114" s="140"/>
    </row>
    <row r="4115" spans="1:19" hidden="1">
      <c r="A4115" s="142" t="s">
        <v>6204</v>
      </c>
      <c r="B4115" s="140" t="str">
        <f>IFERROR(VLOOKUP(Proc[[#This Row],[App]],Table2[],3,0),"open")</f>
        <v>open</v>
      </c>
      <c r="C4115" s="142" t="s">
        <v>369</v>
      </c>
      <c r="D4115" t="s">
        <v>5978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0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4</v>
      </c>
      <c r="R4115" s="136" t="s">
        <v>6090</v>
      </c>
      <c r="S4115" s="140"/>
    </row>
    <row r="4116" spans="1:19" hidden="1">
      <c r="A4116" s="142" t="s">
        <v>6204</v>
      </c>
      <c r="B4116" s="140" t="str">
        <f>IFERROR(VLOOKUP(Proc[[#This Row],[App]],Table2[],3,0),"open")</f>
        <v>open</v>
      </c>
      <c r="C4116" s="142" t="s">
        <v>369</v>
      </c>
      <c r="D4116" t="s">
        <v>5995</v>
      </c>
      <c r="E4116" t="s">
        <v>6174</v>
      </c>
      <c r="F4116" s="140" t="s">
        <v>6174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0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4</v>
      </c>
      <c r="R4116" s="136" t="s">
        <v>6090</v>
      </c>
      <c r="S4116" s="140"/>
    </row>
    <row r="4117" spans="1:19" hidden="1">
      <c r="A4117" s="142" t="s">
        <v>6204</v>
      </c>
      <c r="B4117" s="140" t="str">
        <f>IFERROR(VLOOKUP(Proc[[#This Row],[App]],Table2[],3,0),"open")</f>
        <v>open</v>
      </c>
      <c r="C4117" s="142" t="s">
        <v>369</v>
      </c>
      <c r="D4117" t="s">
        <v>6002</v>
      </c>
      <c r="E4117" t="s">
        <v>6203</v>
      </c>
      <c r="F4117" s="140" t="s">
        <v>6203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0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4</v>
      </c>
      <c r="R4117" s="136" t="s">
        <v>6090</v>
      </c>
      <c r="S4117" s="140"/>
    </row>
    <row r="4118" spans="1:19" hidden="1">
      <c r="A4118" s="142" t="s">
        <v>6204</v>
      </c>
      <c r="B4118" s="140" t="str">
        <f>IFERROR(VLOOKUP(Proc[[#This Row],[App]],Table2[],3,0),"open")</f>
        <v>open</v>
      </c>
      <c r="C4118" s="142" t="s">
        <v>369</v>
      </c>
      <c r="D4118" t="s">
        <v>6206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0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4</v>
      </c>
      <c r="R4118" s="136" t="s">
        <v>6090</v>
      </c>
      <c r="S4118" s="140"/>
    </row>
    <row r="4119" spans="1:19">
      <c r="A4119" t="s">
        <v>6205</v>
      </c>
      <c r="B4119" s="140" t="str">
        <f>IFERROR(VLOOKUP(Proc[[#This Row],[App]],Table2[],3,0),"open")</f>
        <v>open</v>
      </c>
      <c r="C4119" s="144" t="s">
        <v>370</v>
      </c>
      <c r="D4119" t="s">
        <v>6207</v>
      </c>
      <c r="E4119" t="s">
        <v>3523</v>
      </c>
      <c r="F4119" s="140"/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0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4</v>
      </c>
      <c r="R4119" s="136" t="s">
        <v>1262</v>
      </c>
      <c r="S4119" s="140"/>
    </row>
    <row r="4120" spans="1:19" hidden="1">
      <c r="A4120" t="s">
        <v>6220</v>
      </c>
      <c r="B4120" s="140" t="str">
        <f>IFERROR(VLOOKUP(Proc[[#This Row],[App]],Table2[],3,0),"open")</f>
        <v>open</v>
      </c>
      <c r="C4120" s="142" t="s">
        <v>369</v>
      </c>
      <c r="D4120" t="s">
        <v>6209</v>
      </c>
      <c r="E4120" t="s">
        <v>6208</v>
      </c>
      <c r="F4120" s="140" t="s">
        <v>6208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0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0</v>
      </c>
      <c r="R4120" s="136" t="s">
        <v>6090</v>
      </c>
      <c r="S4120" s="140"/>
    </row>
    <row r="4121" spans="1:19">
      <c r="A4121" s="142" t="s">
        <v>6220</v>
      </c>
      <c r="B4121" s="140" t="str">
        <f>IFERROR(VLOOKUP(Proc[[#This Row],[App]],Table2[],3,0),"open")</f>
        <v>open</v>
      </c>
      <c r="C4121" s="144" t="s">
        <v>370</v>
      </c>
      <c r="D4121" t="s">
        <v>6210</v>
      </c>
      <c r="E4121" t="s">
        <v>6072</v>
      </c>
      <c r="F4121" s="140" t="s">
        <v>6221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0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0</v>
      </c>
      <c r="R4121" s="136" t="s">
        <v>6090</v>
      </c>
      <c r="S4121" s="140"/>
    </row>
    <row r="4122" spans="1:19">
      <c r="A4122" s="142" t="s">
        <v>6220</v>
      </c>
      <c r="B4122" s="140" t="str">
        <f>IFERROR(VLOOKUP(Proc[[#This Row],[App]],Table2[],3,0),"open")</f>
        <v>open</v>
      </c>
      <c r="C4122" s="144" t="s">
        <v>370</v>
      </c>
      <c r="D4122" t="s">
        <v>6211</v>
      </c>
      <c r="E4122" t="s">
        <v>6072</v>
      </c>
      <c r="F4122" s="140" t="s">
        <v>6221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0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0</v>
      </c>
      <c r="R4122" s="136" t="s">
        <v>6090</v>
      </c>
      <c r="S4122" s="140"/>
    </row>
    <row r="4123" spans="1:19">
      <c r="A4123" s="142" t="s">
        <v>6220</v>
      </c>
      <c r="B4123" s="140" t="str">
        <f>IFERROR(VLOOKUP(Proc[[#This Row],[App]],Table2[],3,0),"open")</f>
        <v>open</v>
      </c>
      <c r="C4123" s="144" t="s">
        <v>370</v>
      </c>
      <c r="D4123" t="s">
        <v>6212</v>
      </c>
      <c r="E4123" t="s">
        <v>6062</v>
      </c>
      <c r="F4123" s="140" t="s">
        <v>735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0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0</v>
      </c>
      <c r="R4123" s="136" t="s">
        <v>6090</v>
      </c>
      <c r="S4123" s="140"/>
    </row>
    <row r="4124" spans="1:19">
      <c r="A4124" s="142" t="s">
        <v>6220</v>
      </c>
      <c r="B4124" s="140" t="str">
        <f>IFERROR(VLOOKUP(Proc[[#This Row],[App]],Table2[],3,0),"open")</f>
        <v>open</v>
      </c>
      <c r="C4124" s="144" t="s">
        <v>370</v>
      </c>
      <c r="D4124" t="s">
        <v>6213</v>
      </c>
      <c r="E4124" t="s">
        <v>6062</v>
      </c>
      <c r="F4124" s="140" t="s">
        <v>735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0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0</v>
      </c>
      <c r="R4124" s="136" t="s">
        <v>6090</v>
      </c>
      <c r="S4124" s="140"/>
    </row>
    <row r="4125" spans="1:19" hidden="1">
      <c r="A4125" s="142" t="s">
        <v>6220</v>
      </c>
      <c r="B4125" s="140" t="str">
        <f>IFERROR(VLOOKUP(Proc[[#This Row],[App]],Table2[],3,0),"open")</f>
        <v>open</v>
      </c>
      <c r="C4125" s="142" t="s">
        <v>369</v>
      </c>
      <c r="D4125" t="s">
        <v>6214</v>
      </c>
      <c r="E4125" t="s">
        <v>6208</v>
      </c>
      <c r="F4125" s="140" t="s">
        <v>6208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0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0</v>
      </c>
      <c r="R4125" s="136" t="s">
        <v>6090</v>
      </c>
      <c r="S4125" s="140"/>
    </row>
    <row r="4126" spans="1:19">
      <c r="A4126" s="142" t="s">
        <v>6220</v>
      </c>
      <c r="B4126" s="140" t="str">
        <f>IFERROR(VLOOKUP(Proc[[#This Row],[App]],Table2[],3,0),"open")</f>
        <v>open</v>
      </c>
      <c r="C4126" s="144" t="s">
        <v>370</v>
      </c>
      <c r="D4126" t="s">
        <v>6215</v>
      </c>
      <c r="E4126" t="s">
        <v>6062</v>
      </c>
      <c r="F4126" s="140" t="s">
        <v>735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0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0</v>
      </c>
      <c r="R4126" s="136" t="s">
        <v>6090</v>
      </c>
      <c r="S4126" s="140"/>
    </row>
    <row r="4127" spans="1:19" hidden="1">
      <c r="A4127" s="142" t="s">
        <v>6220</v>
      </c>
      <c r="B4127" s="140" t="str">
        <f>IFERROR(VLOOKUP(Proc[[#This Row],[App]],Table2[],3,0),"open")</f>
        <v>open</v>
      </c>
      <c r="C4127" s="142" t="s">
        <v>369</v>
      </c>
      <c r="D4127" t="s">
        <v>6216</v>
      </c>
      <c r="E4127" t="s">
        <v>6208</v>
      </c>
      <c r="F4127" s="140" t="s">
        <v>6208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0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0</v>
      </c>
      <c r="R4127" s="136" t="s">
        <v>6090</v>
      </c>
      <c r="S4127" s="140"/>
    </row>
    <row r="4128" spans="1:19">
      <c r="A4128" s="142" t="s">
        <v>6220</v>
      </c>
      <c r="B4128" s="140" t="str">
        <f>IFERROR(VLOOKUP(Proc[[#This Row],[App]],Table2[],3,0),"open")</f>
        <v>open</v>
      </c>
      <c r="C4128" s="144" t="s">
        <v>370</v>
      </c>
      <c r="D4128" t="s">
        <v>6217</v>
      </c>
      <c r="E4128" t="s">
        <v>6062</v>
      </c>
      <c r="F4128" s="140" t="s">
        <v>735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0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0</v>
      </c>
      <c r="R4128" s="136" t="s">
        <v>6090</v>
      </c>
      <c r="S4128" s="140"/>
    </row>
    <row r="4129" spans="1:19">
      <c r="A4129" s="142" t="s">
        <v>6220</v>
      </c>
      <c r="B4129" s="140" t="str">
        <f>IFERROR(VLOOKUP(Proc[[#This Row],[App]],Table2[],3,0),"open")</f>
        <v>open</v>
      </c>
      <c r="C4129" s="144" t="s">
        <v>370</v>
      </c>
      <c r="D4129" t="s">
        <v>6218</v>
      </c>
      <c r="E4129" t="s">
        <v>6062</v>
      </c>
      <c r="F4129" s="140" t="s">
        <v>735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0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0</v>
      </c>
      <c r="R4129" s="136" t="s">
        <v>6090</v>
      </c>
      <c r="S4129" s="140"/>
    </row>
    <row r="4130" spans="1:19">
      <c r="A4130" s="142" t="s">
        <v>6220</v>
      </c>
      <c r="B4130" s="140" t="str">
        <f>IFERROR(VLOOKUP(Proc[[#This Row],[App]],Table2[],3,0),"open")</f>
        <v>open</v>
      </c>
      <c r="C4130" s="144" t="s">
        <v>370</v>
      </c>
      <c r="D4130" t="s">
        <v>6219</v>
      </c>
      <c r="E4130" t="s">
        <v>6062</v>
      </c>
      <c r="F4130" s="140" t="s">
        <v>735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0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0</v>
      </c>
      <c r="R4130" s="136" t="s">
        <v>6090</v>
      </c>
      <c r="S4130" s="140"/>
    </row>
    <row r="4131" spans="1:19">
      <c r="A4131" t="s">
        <v>6222</v>
      </c>
      <c r="B4131" s="140" t="str">
        <f>IFERROR(VLOOKUP(Proc[[#This Row],[App]],Table2[],3,0),"open")</f>
        <v>open</v>
      </c>
      <c r="C4131" t="s">
        <v>370</v>
      </c>
      <c r="D4131" s="143" t="s">
        <v>6223</v>
      </c>
      <c r="E4131" s="144" t="s">
        <v>3250</v>
      </c>
      <c r="F4131" s="140"/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0</v>
      </c>
      <c r="K4131" s="140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0</v>
      </c>
      <c r="R4131" s="136" t="s">
        <v>515</v>
      </c>
      <c r="S4131" s="140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6090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2025-09-08T12:37:04Z</dcterms:modified>
  <cp:category/>
  <cp:contentStatus/>
</cp:coreProperties>
</file>