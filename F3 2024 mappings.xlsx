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3A0674F-9930-4DC6-8DBB-DF763A71B82E}" xr6:coauthVersionLast="47" xr6:coauthVersionMax="47" xr10:uidLastSave="{00000000-0000-0000-0000-000000000000}"/>
  <bookViews>
    <workbookView xWindow="18240" yWindow="2265" windowWidth="19215" windowHeight="13875" firstSheet="3" activeTab="8" xr2:uid="{9EF57C3D-F6AB-450C-9EC3-AF89A75F272D}"/>
  </bookViews>
  <sheets>
    <sheet name="KPI" sheetId="5" r:id="rId1"/>
    <sheet name="Sheet6" sheetId="33" r:id="rId2"/>
    <sheet name="Sheet7" sheetId="34" r:id="rId3"/>
    <sheet name="Sheet9" sheetId="36" r:id="rId4"/>
    <sheet name="Sheet10" sheetId="37" r:id="rId5"/>
    <sheet name="Report" sheetId="4" r:id="rId6"/>
    <sheet name="OK" sheetId="2" r:id="rId7"/>
    <sheet name="Cognos_Office_Connection_Cache" sheetId="27" state="veryHidden" r:id="rId8"/>
    <sheet name="PROC" sheetId="1" r:id="rId9"/>
    <sheet name="Sheet11" sheetId="38" r:id="rId10"/>
    <sheet name="Sheet8" sheetId="35" r:id="rId11"/>
    <sheet name="Sheet5" sheetId="32" r:id="rId12"/>
    <sheet name="Sheet4" sheetId="31" r:id="rId13"/>
    <sheet name="Sheet3" sheetId="30" r:id="rId14"/>
    <sheet name="Sheet2" sheetId="29" r:id="rId15"/>
    <sheet name="Sheet1" sheetId="28" r:id="rId16"/>
    <sheet name="For Commentary" sheetId="20" r:id="rId17"/>
    <sheet name="Authors" sheetId="18" r:id="rId18"/>
    <sheet name="STAT" sheetId="10" r:id="rId19"/>
    <sheet name="Sector" sheetId="3" r:id="rId20"/>
    <sheet name="YelTable" sheetId="24" r:id="rId21"/>
  </sheets>
  <definedNames>
    <definedName name="_xlnm._FilterDatabase" localSheetId="6" hidden="1">OK!$A$67:$C$67</definedName>
    <definedName name="_xlnm._FilterDatabase" localSheetId="5" hidden="1">Report!$A$2:$F$1358</definedName>
    <definedName name="_xlnm._FilterDatabase" localSheetId="13" hidden="1">Sheet3!$A$1:$E$259</definedName>
    <definedName name="ExternalData_1" localSheetId="20" hidden="1">YelTable!$A$1:$E$5</definedName>
    <definedName name="ID" localSheetId="17" hidden="1">"f29e49f0-c842-4a01-8df8-c72694a7b15c"</definedName>
    <definedName name="ID" localSheetId="7" hidden="1">"3fb6490e-8bae-4ce5-b09c-5121e79bff69"</definedName>
    <definedName name="ID" localSheetId="16" hidden="1">"ff81118e-5307-4064-951c-4c49859b2689"</definedName>
    <definedName name="ID" localSheetId="0" hidden="1">"a20d8229-a695-49c0-85d3-e16e82c6d3c2"</definedName>
    <definedName name="ID" localSheetId="6" hidden="1">"51d88d8a-ccba-4754-95f4-c889dc3e16f2"</definedName>
    <definedName name="ID" localSheetId="8" hidden="1">"fed2efda-7c81-4abf-a07f-fe42f3463dcb"</definedName>
    <definedName name="ID" localSheetId="5" hidden="1">"40226f24-7bf9-4676-aeb0-6e976018d2e2"</definedName>
    <definedName name="ID" localSheetId="19" hidden="1">"fa560984-7bbe-4a11-88aa-39d6eb27c9e2"</definedName>
    <definedName name="ID" localSheetId="18" hidden="1">"e95ef0c9-3382-426f-86db-9e8ceaf6f6b4"</definedName>
    <definedName name="ID" localSheetId="20" hidden="1">"d87903fe-00ef-4d5e-81e3-634aa74e62c2"</definedName>
    <definedName name="ID_1" localSheetId="8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2" r:id="rId2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478" i="1" l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300" i="1"/>
  <c r="F3283" i="1"/>
  <c r="F2489" i="1"/>
  <c r="B3478" i="1"/>
  <c r="H3478" i="1"/>
  <c r="J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<sst xmlns="http://schemas.openxmlformats.org/spreadsheetml/2006/main" count="36141" uniqueCount="5785">
  <si>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</si>
  <si>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</si>
  <si>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</si>
  <si>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</si>
  <si>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</si>
  <si>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</si>
  <si>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</si>
  <si>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</si>
  <si>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</si>
  <si>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</si>
  <si>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</si>
  <si>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</si>
  <si>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</si>
  <si>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</si>
  <si>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</si>
  <si>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</si>
  <si>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</si>
  <si>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</si>
  <si>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</si>
  <si>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</si>
  <si>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</si>
  <si>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</si>
  <si>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</si>
  <si>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</si>
  <si>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</si>
  <si>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</si>
  <si>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</si>
  <si>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</si>
  <si>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</si>
  <si>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</si>
  <si>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</si>
  <si>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</si>
  <si>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</si>
  <si>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</si>
  <si>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</si>
  <si>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</si>
  <si>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</si>
  <si>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</si>
  <si>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</si>
  <si>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</si>
  <si>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</si>
  <si>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</si>
  <si>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</si>
  <si>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</si>
  <si>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</si>
  <si>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</si>
  <si>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</si>
  <si>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</si>
  <si>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</si>
  <si>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</si>
  <si>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</si>
  <si>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</si>
  <si>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</si>
  <si>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</si>
  <si>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</si>
  <si>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</si>
  <si>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</si>
  <si>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</si>
  <si>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</si>
  <si>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</si>
  <si>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</si>
  <si>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</si>
  <si>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</si>
  <si>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</si>
  <si>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</si>
  <si>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</si>
  <si>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</si>
  <si>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</si>
  <si>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</si>
  <si>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</si>
  <si>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</si>
  <si>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</si>
  <si>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</si>
  <si>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</si>
  <si>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</si>
  <si>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</si>
  <si>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</si>
  <si>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</si>
  <si>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</si>
  <si>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</si>
  <si>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</si>
  <si>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</si>
  <si>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</si>
  <si>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</si>
  <si>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</si>
  <si>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</si>
  <si>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</si>
  <si>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</si>
  <si>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</si>
  <si>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</si>
  <si>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</si>
  <si>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</si>
  <si>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</si>
  <si>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</si>
  <si>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</si>
  <si>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</si>
  <si>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</si>
  <si>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</si>
  <si>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</si>
  <si>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</si>
  <si>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</si>
  <si>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</si>
  <si>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</si>
  <si>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</si>
  <si>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</si>
  <si>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</si>
  <si>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</si>
  <si>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</si>
  <si>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</si>
  <si>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</si>
  <si>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</si>
  <si>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</si>
  <si>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</si>
  <si>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</si>
  <si>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</si>
  <si>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</si>
  <si>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</si>
  <si>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</si>
  <si>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</si>
  <si>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</si>
  <si>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</si>
  <si>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</si>
  <si>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</si>
  <si>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</si>
  <si>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</si>
  <si>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</si>
  <si>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</si>
  <si>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</si>
  <si>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</si>
  <si>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</si>
  <si>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</si>
  <si>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</si>
  <si>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</si>
  <si>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</si>
  <si>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</si>
  <si>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</si>
  <si>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</si>
  <si>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</si>
  <si>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</si>
  <si>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</si>
  <si>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</si>
  <si>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</si>
  <si>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</si>
  <si>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</si>
  <si>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</si>
  <si>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</si>
  <si>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</si>
  <si>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</si>
  <si>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</si>
  <si>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</si>
  <si>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</si>
  <si>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</si>
  <si>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</si>
  <si>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</si>
  <si>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</si>
  <si>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</si>
  <si>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</si>
  <si>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</si>
  <si>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</si>
  <si>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</si>
  <si>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</si>
  <si>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</si>
  <si>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</si>
  <si>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</si>
  <si>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</si>
  <si>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</si>
  <si>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</si>
  <si>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</si>
  <si>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</si>
  <si>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</si>
  <si>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</si>
  <si>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</si>
  <si>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</si>
  <si>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</si>
  <si>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</si>
  <si>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</si>
  <si>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</si>
  <si>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</si>
  <si>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</si>
  <si>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</si>
  <si>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</si>
  <si>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</si>
  <si>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</si>
  <si>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</si>
  <si>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</si>
  <si>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</si>
  <si>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</si>
  <si>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</si>
  <si>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</si>
  <si>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</si>
  <si>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</si>
  <si>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</si>
  <si>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</si>
  <si>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</si>
  <si>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</si>
  <si>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</si>
  <si>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</si>
  <si>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</si>
  <si>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</si>
  <si>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</si>
  <si>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</si>
  <si>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</si>
  <si>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</si>
  <si>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</si>
  <si>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</si>
  <si>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</si>
  <si>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</si>
  <si>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</si>
  <si>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</si>
  <si>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</si>
  <si>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</si>
  <si>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</si>
  <si>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</si>
  <si>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</si>
  <si>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</si>
  <si>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</si>
  <si>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</si>
  <si>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</si>
  <si>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</si>
  <si>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</si>
  <si>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</si>
  <si>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</si>
  <si>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</si>
  <si>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</si>
  <si>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</si>
  <si>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</si>
  <si>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</si>
  <si>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</si>
  <si>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</si>
  <si>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</si>
  <si>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</si>
  <si>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</si>
  <si>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</si>
  <si>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</si>
  <si>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</si>
  <si>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</si>
  <si>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</si>
  <si>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</si>
  <si>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</si>
  <si>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</si>
  <si>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</si>
  <si>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</si>
  <si>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</si>
  <si>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</si>
  <si>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</si>
  <si>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</si>
  <si>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</si>
  <si>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</si>
  <si>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</si>
  <si>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</si>
  <si>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</si>
  <si>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</si>
  <si>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</si>
  <si>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</si>
  <si>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</si>
  <si>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</si>
  <si>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</si>
  <si>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</si>
  <si>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</si>
  <si>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</si>
  <si>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</si>
  <si>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</si>
  <si>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</si>
  <si>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</si>
  <si>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</si>
  <si>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</si>
  <si>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</si>
  <si>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</si>
  <si>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</si>
  <si>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</si>
  <si>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</si>
  <si>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</si>
  <si>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</si>
  <si>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</si>
  <si>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</si>
  <si>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</si>
  <si>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</si>
  <si>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</si>
  <si>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</si>
  <si>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</si>
  <si>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</si>
  <si>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</si>
  <si>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</si>
  <si>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</si>
  <si>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</si>
  <si>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</si>
  <si>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</si>
  <si>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</si>
  <si>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</si>
  <si>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</si>
  <si>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</si>
  <si>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</si>
  <si>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</si>
  <si>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</si>
  <si>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</si>
  <si>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</si>
  <si>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</si>
  <si>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</si>
  <si>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</si>
  <si>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</si>
  <si>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</si>
  <si>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</si>
  <si>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</si>
  <si>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</si>
  <si>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</si>
  <si>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</si>
  <si>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</si>
  <si>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</si>
  <si>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</si>
  <si>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</si>
  <si>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</si>
  <si>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</si>
  <si>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</si>
  <si>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</si>
  <si>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</si>
  <si>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</si>
  <si>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</si>
  <si>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</si>
  <si>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</si>
  <si>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</si>
  <si>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</si>
  <si>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</si>
  <si>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</si>
  <si>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</si>
  <si>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</si>
  <si>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</si>
  <si>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</si>
  <si>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</si>
  <si>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</si>
  <si>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</si>
  <si>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</si>
  <si>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</si>
  <si>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</si>
  <si>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</si>
  <si>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</si>
  <si>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</si>
  <si>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</si>
  <si>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</si>
  <si>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</si>
  <si>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</si>
  <si>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</si>
  <si>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</si>
  <si>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</si>
  <si>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</si>
  <si>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</si>
  <si>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</si>
  <si>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</si>
  <si>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</si>
  <si>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</si>
  <si>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</si>
  <si>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</si>
  <si>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</si>
  <si>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</si>
  <si>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</si>
  <si>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</si>
  <si>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</si>
  <si>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</si>
  <si>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</si>
  <si>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</si>
  <si>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</si>
  <si>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</si>
  <si>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</si>
  <si>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</si>
  <si>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</si>
  <si>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</si>
  <si>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</si>
  <si>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</si>
  <si>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</si>
  <si>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</si>
  <si>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</si>
  <si>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</si>
  <si>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</si>
  <si>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</si>
  <si>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</si>
  <si>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</si>
  <si>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</si>
  <si>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</si>
  <si>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</si>
  <si>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</si>
  <si>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</si>
  <si>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</si>
  <si>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</si>
  <si>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</si>
  <si>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</si>
  <si>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</si>
  <si>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</si>
  <si>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</si>
  <si>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</si>
  <si>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</si>
  <si>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</si>
  <si>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</si>
  <si>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</si>
  <si>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</si>
  <si>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</si>
  <si>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</si>
  <si>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</si>
  <si>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</si>
  <si>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</si>
  <si>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</si>
  <si>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</si>
  <si>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</si>
  <si>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</si>
  <si>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</si>
  <si>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</si>
  <si>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</si>
  <si>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</si>
  <si>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</si>
  <si>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</si>
  <si>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</si>
  <si>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</si>
  <si>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</si>
  <si>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</si>
  <si>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</si>
  <si>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</si>
  <si>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</si>
  <si>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</si>
  <si>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</si>
  <si>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</si>
  <si>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</si>
  <si>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</si>
  <si>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</si>
  <si>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</si>
  <si>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</si>
  <si>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</si>
  <si>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</si>
  <si>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</si>
  <si>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</si>
  <si>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</si>
  <si>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</si>
  <si>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</si>
  <si>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</si>
  <si>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</si>
  <si>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</si>
  <si>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</si>
  <si>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</si>
  <si>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</si>
  <si>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</si>
  <si>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</si>
  <si>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</si>
  <si>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</si>
  <si>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</si>
  <si>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</si>
  <si>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</si>
  <si>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</si>
  <si>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</si>
  <si>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</si>
  <si>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</si>
  <si>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</si>
  <si>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</si>
  <si>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</si>
  <si>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</si>
  <si>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</si>
  <si>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</si>
  <si>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</si>
  <si>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</si>
  <si>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</si>
  <si>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</si>
  <si>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</si>
  <si>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</si>
  <si>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</si>
  <si>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</si>
  <si>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</si>
  <si>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</si>
  <si>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</si>
  <si>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</si>
  <si>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</si>
  <si>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</si>
  <si>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</si>
  <si>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</si>
  <si>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</si>
  <si>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</si>
  <si>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</si>
  <si>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</si>
  <si>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</si>
  <si>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</si>
  <si>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</si>
  <si>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</si>
  <si>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</si>
  <si>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</si>
  <si>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</si>
  <si>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</si>
  <si>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</si>
  <si>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</si>
  <si>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</si>
  <si>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</si>
  <si>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</si>
  <si>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</si>
  <si>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</si>
  <si>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</si>
  <si>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</si>
  <si>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</si>
  <si>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</si>
  <si>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</si>
  <si>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</si>
  <si>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</si>
  <si>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</si>
  <si>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</si>
  <si>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</si>
  <si>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</si>
  <si>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</si>
  <si>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</si>
  <si>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</si>
  <si>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</si>
  <si>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</si>
  <si>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</si>
  <si>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</si>
  <si>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</si>
  <si>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</si>
  <si>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</si>
  <si>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</si>
  <si>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</si>
  <si>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</si>
  <si>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</si>
  <si>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</si>
  <si>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</si>
  <si>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</si>
  <si>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</si>
  <si>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</si>
  <si>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</si>
  <si>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</si>
  <si>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</si>
  <si>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</si>
  <si>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</si>
  <si>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</si>
  <si>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</si>
  <si>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</si>
  <si>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</si>
  <si>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</si>
  <si>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</si>
  <si>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</si>
  <si>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</si>
  <si>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</si>
  <si>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</si>
  <si>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</si>
  <si>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</si>
  <si>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</si>
  <si>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</si>
  <si>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</si>
  <si>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</si>
  <si>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</si>
  <si>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</si>
  <si>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</si>
  <si>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</si>
  <si>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</si>
  <si>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</si>
  <si>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</si>
  <si>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</si>
  <si>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</si>
  <si>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</si>
  <si>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</si>
  <si>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</si>
  <si>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</si>
  <si>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</si>
  <si>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</si>
  <si>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</si>
  <si>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</si>
  <si>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</si>
  <si>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</si>
  <si>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</si>
  <si>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</si>
  <si>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</si>
  <si>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</si>
  <si>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</si>
  <si>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</si>
  <si>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</si>
  <si>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</si>
  <si>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</si>
  <si>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</si>
  <si>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</si>
  <si>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</si>
  <si>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</si>
  <si>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</si>
  <si>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</si>
  <si>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</si>
  <si>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</si>
  <si>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</si>
  <si>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</si>
  <si>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</si>
  <si>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</si>
  <si>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</si>
  <si>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</si>
  <si>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</si>
  <si>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</si>
  <si>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</si>
  <si>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</si>
  <si>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</si>
  <si>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</si>
  <si>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</si>
  <si>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</si>
  <si>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</si>
  <si>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</si>
  <si>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</si>
  <si>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</si>
  <si>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</si>
  <si>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</si>
  <si>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</si>
  <si>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</si>
  <si>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</si>
  <si>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</si>
  <si>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</si>
  <si>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</si>
  <si>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</si>
  <si>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</si>
  <si>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</si>
  <si>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</si>
  <si>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</si>
  <si>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</si>
  <si>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</si>
  <si>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</si>
  <si>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</si>
  <si>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</si>
  <si>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</si>
  <si>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</si>
  <si>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</si>
  <si>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</si>
  <si>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</si>
  <si>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</si>
  <si>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</si>
  <si>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</si>
  <si>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</si>
  <si>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</si>
  <si>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</si>
  <si>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</si>
  <si>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</si>
  <si>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</si>
  <si>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</si>
  <si>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</si>
  <si>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</si>
  <si>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</si>
  <si>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</si>
  <si>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</si>
  <si>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</si>
  <si>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</si>
  <si>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</si>
  <si>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</si>
  <si>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</si>
  <si>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</si>
  <si>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</si>
  <si>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</si>
  <si>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</si>
  <si>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</si>
  <si>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</si>
  <si>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</si>
  <si>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</si>
  <si>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</si>
  <si>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</si>
  <si>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</si>
  <si>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</si>
  <si>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</si>
  <si>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</si>
  <si>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</si>
  <si>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</si>
  <si>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</si>
  <si>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</si>
  <si>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</si>
  <si>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</si>
  <si>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</si>
  <si>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</si>
  <si>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</si>
  <si>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</si>
  <si>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</si>
  <si>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</si>
  <si>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</si>
  <si>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</si>
  <si>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</si>
  <si>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</si>
  <si>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</si>
  <si>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</si>
  <si>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</si>
  <si>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</si>
  <si>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</si>
  <si>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</si>
  <si>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</si>
  <si>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</si>
  <si>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</si>
  <si>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</si>
  <si>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</si>
  <si>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</si>
  <si>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</si>
  <si>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</si>
  <si>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</si>
  <si>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</si>
  <si>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</si>
  <si>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</si>
  <si>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</si>
  <si>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</si>
  <si>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</si>
  <si>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</si>
  <si>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</si>
  <si>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</si>
  <si>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</si>
  <si>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</si>
  <si>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</si>
  <si>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</si>
  <si>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</si>
  <si>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</si>
  <si>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</si>
  <si>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</si>
  <si>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</si>
  <si>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</si>
  <si>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</si>
  <si>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</si>
  <si>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</si>
  <si>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</si>
  <si>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</si>
  <si>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</si>
  <si>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</si>
  <si>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</si>
  <si>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</si>
  <si>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</si>
  <si>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</si>
  <si>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</si>
  <si>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</si>
  <si>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</si>
  <si>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</si>
  <si>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</si>
  <si>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</si>
  <si>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</si>
  <si>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</si>
  <si>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</si>
  <si>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</si>
  <si>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</si>
  <si>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</si>
  <si>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</si>
  <si>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</si>
  <si>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</si>
  <si>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</si>
  <si>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</si>
  <si>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</si>
  <si>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</si>
  <si>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</si>
  <si>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</si>
  <si>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</si>
  <si>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</si>
  <si>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</si>
  <si>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</si>
  <si>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</si>
  <si>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</si>
  <si>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</si>
  <si>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</si>
  <si>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</si>
  <si>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</si>
  <si>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</si>
  <si>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</si>
  <si>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</si>
  <si>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</si>
  <si>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</si>
  <si>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</si>
  <si>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</si>
  <si>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</si>
  <si>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</si>
  <si>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</si>
  <si>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</si>
  <si>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</si>
  <si>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</si>
  <si>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</si>
  <si>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</si>
  <si>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</si>
  <si>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</si>
  <si>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</si>
  <si>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</si>
  <si>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</si>
  <si>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</si>
  <si>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</si>
  <si>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</si>
  <si>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</si>
  <si>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</si>
  <si>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</si>
  <si>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</si>
  <si>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</si>
  <si>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</si>
  <si>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</si>
  <si>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</si>
  <si>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</si>
  <si>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</si>
  <si>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</si>
  <si>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</si>
  <si>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</si>
  <si>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</si>
  <si>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</si>
  <si>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</si>
  <si>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</si>
  <si>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</si>
  <si>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</si>
  <si>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</si>
  <si>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</si>
  <si>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</si>
  <si>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</si>
  <si>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</si>
  <si>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</si>
  <si>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</si>
  <si>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</si>
  <si>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</si>
  <si>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</si>
  <si>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</si>
  <si>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</si>
  <si>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</si>
  <si>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</si>
  <si>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</si>
  <si>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</si>
  <si>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</si>
  <si>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</si>
  <si>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</si>
  <si>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</si>
  <si>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</si>
  <si>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</si>
  <si>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</si>
  <si>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</si>
  <si>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</si>
  <si>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</si>
  <si>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</si>
  <si>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</si>
  <si>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</si>
  <si>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</si>
  <si>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</si>
  <si>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</si>
  <si>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</si>
  <si>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</si>
  <si>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</si>
  <si>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</si>
  <si>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</si>
  <si>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</si>
  <si>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</si>
  <si>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</si>
  <si>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</si>
  <si>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</si>
  <si>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</si>
  <si>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</si>
  <si>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</si>
  <si>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</si>
  <si>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</si>
  <si>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</si>
  <si>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</si>
  <si>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</si>
  <si>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</si>
  <si>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</si>
  <si>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</si>
  <si>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</si>
  <si>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</si>
  <si>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</si>
  <si>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</si>
  <si>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</si>
  <si>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</si>
  <si>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</si>
  <si>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</si>
  <si>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</si>
  <si>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</si>
  <si>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</si>
  <si>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</si>
  <si>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</si>
  <si>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</si>
  <si>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</si>
  <si>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</si>
  <si>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</si>
  <si>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</si>
  <si>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</si>
  <si>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</si>
  <si>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</si>
  <si>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</si>
  <si>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</si>
  <si>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</si>
  <si>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</si>
  <si>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</si>
  <si>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</si>
  <si>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</si>
  <si>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</si>
  <si>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</si>
  <si>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</si>
  <si>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</si>
  <si>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</si>
  <si>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</si>
  <si>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</si>
  <si>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</si>
  <si>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</si>
  <si>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</si>
  <si>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</si>
  <si>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</si>
  <si>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</si>
  <si>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</si>
  <si>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</si>
  <si>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</si>
  <si>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</si>
  <si>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</si>
  <si>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</si>
  <si>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</si>
  <si>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</si>
  <si>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</si>
  <si>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</si>
  <si>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</si>
  <si>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</si>
  <si>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</si>
  <si>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</si>
  <si>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</si>
  <si>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</si>
  <si>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</si>
  <si>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</si>
  <si>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</si>
  <si>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</si>
  <si>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</si>
  <si>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</si>
  <si>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</si>
  <si>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</si>
  <si>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</si>
  <si>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</si>
  <si>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</si>
  <si>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</si>
  <si>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</si>
  <si>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</si>
  <si>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</si>
  <si>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</si>
  <si>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</si>
  <si>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</si>
  <si>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</si>
  <si>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</si>
  <si>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</si>
  <si>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</si>
  <si>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</si>
  <si>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</si>
  <si>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</si>
  <si>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</si>
  <si>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</si>
  <si>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</si>
  <si>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</si>
  <si>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</si>
  <si>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</si>
  <si>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</si>
  <si>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</si>
  <si>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</si>
  <si>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</si>
  <si>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</si>
  <si>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</si>
  <si>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</si>
  <si>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</si>
  <si>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</si>
  <si>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</si>
  <si>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</si>
  <si>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</si>
  <si>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</si>
  <si>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</si>
  <si>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</si>
  <si>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</si>
  <si>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</si>
  <si>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</si>
  <si>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</si>
  <si>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</si>
  <si>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</si>
  <si>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</si>
  <si>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</si>
  <si>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</si>
  <si>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</si>
  <si>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</si>
  <si>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</si>
  <si>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</si>
  <si>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</si>
  <si>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</si>
  <si>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</si>
  <si>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</si>
  <si>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</si>
  <si>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</si>
  <si>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</si>
  <si>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</si>
  <si>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</si>
  <si>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</si>
  <si>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</si>
  <si>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</si>
  <si>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</si>
  <si>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</si>
  <si>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</si>
  <si>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</si>
  <si>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</si>
  <si>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</si>
  <si>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</si>
  <si>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</si>
  <si>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</si>
  <si>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</si>
  <si>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</si>
  <si>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</si>
  <si>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</si>
  <si>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</si>
  <si>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</si>
  <si>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</si>
  <si>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</si>
  <si>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</si>
  <si>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</si>
  <si>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</si>
  <si>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</si>
  <si>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</si>
  <si>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</si>
  <si>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</si>
  <si>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</si>
  <si>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</si>
  <si>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</si>
  <si>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</si>
  <si>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</si>
  <si>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</si>
  <si>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</si>
  <si>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</si>
  <si>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</si>
  <si>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</si>
  <si>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</si>
  <si>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</si>
  <si>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</si>
  <si>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</si>
  <si>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</si>
  <si>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</si>
  <si>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</si>
  <si>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</si>
  <si>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</si>
  <si>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</si>
  <si>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</si>
  <si>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</si>
  <si>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</si>
  <si>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</si>
  <si>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</si>
  <si>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</si>
  <si>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</si>
  <si>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</si>
  <si>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</si>
  <si>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</si>
  <si>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</si>
  <si>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</si>
  <si>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</si>
  <si>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</si>
  <si>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</si>
  <si>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</si>
  <si>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</si>
  <si>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</si>
  <si>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</si>
  <si>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</si>
  <si>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</si>
  <si>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</si>
  <si>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</si>
  <si>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</si>
  <si>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</si>
  <si>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</si>
  <si>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</si>
  <si>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</si>
  <si>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</si>
  <si>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</si>
  <si>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</si>
  <si>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</si>
  <si>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</si>
  <si>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</si>
  <si>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</si>
  <si>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</si>
  <si>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</si>
  <si>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</si>
  <si>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</si>
  <si>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</si>
  <si>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</si>
  <si>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</si>
  <si>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</si>
  <si>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</si>
  <si>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</si>
  <si>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</si>
  <si>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</si>
  <si>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</si>
  <si>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</si>
  <si>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</si>
  <si>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</si>
  <si>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</si>
  <si>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</si>
  <si>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</si>
  <si>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</si>
  <si>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</si>
  <si>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</si>
  <si>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</si>
  <si>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</si>
  <si>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</si>
  <si>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</si>
  <si>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</si>
  <si>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</si>
  <si>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</si>
  <si>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</si>
  <si>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</si>
  <si>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</si>
  <si>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</si>
  <si>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</si>
  <si>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</si>
  <si>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</si>
  <si>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</si>
  <si>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</si>
  <si>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</si>
  <si>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</si>
  <si>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</si>
  <si>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</si>
  <si>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</si>
  <si>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</si>
  <si>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</si>
  <si>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</si>
  <si>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</si>
  <si>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</si>
  <si>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</si>
  <si>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</si>
  <si>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</si>
  <si>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</si>
  <si>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</si>
  <si>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</si>
  <si>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</si>
  <si>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</si>
  <si>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</si>
  <si>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</si>
  <si>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</si>
  <si>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</si>
  <si>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</si>
  <si>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</si>
  <si>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</si>
  <si>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</si>
  <si>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</si>
  <si>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</si>
  <si>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</si>
  <si>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</si>
  <si>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</si>
  <si>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</si>
  <si>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</si>
  <si>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</si>
  <si>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</si>
  <si>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</si>
  <si>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</si>
  <si>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</si>
  <si>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</si>
  <si>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</si>
  <si>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</si>
  <si>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</si>
  <si>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</si>
  <si>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</si>
  <si>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</si>
  <si>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</si>
  <si>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</si>
  <si>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</si>
  <si>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</si>
  <si>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</si>
  <si>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</si>
  <si>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</si>
  <si>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</si>
  <si>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</si>
  <si>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</si>
  <si>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</si>
  <si>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</si>
  <si>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</si>
  <si>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</si>
  <si>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</si>
  <si>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</si>
  <si>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</si>
  <si>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</si>
  <si>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</si>
  <si>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</si>
  <si>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</si>
  <si>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</si>
  <si>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</si>
  <si>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</si>
  <si>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</si>
  <si>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</si>
  <si>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</si>
  <si>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</si>
  <si>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</si>
  <si>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</si>
  <si>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</si>
  <si>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</si>
  <si>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</si>
  <si>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</si>
  <si>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</si>
  <si>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</si>
  <si>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</si>
  <si>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</si>
  <si>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</si>
  <si>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</si>
  <si>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</si>
  <si>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</si>
  <si>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</si>
  <si>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</si>
  <si>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</si>
  <si>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</si>
  <si>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</si>
  <si>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</si>
  <si>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</si>
  <si>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</si>
  <si>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</si>
  <si>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</si>
  <si>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</si>
  <si>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</si>
  <si>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</si>
  <si>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</si>
  <si>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</si>
  <si>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</si>
  <si>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</si>
  <si>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</si>
  <si>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</si>
  <si>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</si>
  <si>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</si>
  <si>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</si>
  <si>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</si>
  <si>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</si>
  <si>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</si>
  <si>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</si>
  <si>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</si>
  <si>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</si>
  <si>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</si>
  <si>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</si>
  <si>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</si>
  <si>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</si>
  <si>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</si>
  <si>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</si>
  <si>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</si>
  <si>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</si>
  <si>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</si>
  <si>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</si>
  <si>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</si>
  <si>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</si>
  <si>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</si>
  <si>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</si>
  <si>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</si>
  <si>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</si>
  <si>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</si>
  <si>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</si>
  <si>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</si>
  <si>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</si>
  <si>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</si>
  <si>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</si>
  <si>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</si>
  <si>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</si>
  <si>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</si>
  <si>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</si>
  <si>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</si>
  <si>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</si>
  <si>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</si>
  <si>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</si>
  <si>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</si>
  <si>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</si>
  <si>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</si>
  <si>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</si>
  <si>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</si>
  <si>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</si>
  <si>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</si>
  <si>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</si>
  <si>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</si>
  <si>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</si>
  <si>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</si>
  <si>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</si>
  <si>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</si>
  <si>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</si>
  <si>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</si>
  <si>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</si>
  <si>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</si>
  <si>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</si>
  <si>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</si>
  <si>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</si>
  <si>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</si>
  <si>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</si>
  <si>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</si>
  <si>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</si>
  <si>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</si>
  <si>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</si>
  <si>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</si>
  <si>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</si>
  <si>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</si>
  <si>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</si>
  <si>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</si>
  <si>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</si>
  <si>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</si>
  <si>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</si>
  <si>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</si>
  <si>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</si>
  <si>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</si>
  <si>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</si>
  <si>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</si>
  <si>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</si>
  <si>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</si>
  <si>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</si>
  <si>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</si>
  <si>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</si>
  <si>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</si>
  <si>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</si>
  <si>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</si>
  <si>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</si>
  <si>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</si>
  <si>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</si>
  <si>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</si>
  <si>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</si>
  <si>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</si>
  <si>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</si>
  <si>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</si>
  <si>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</si>
  <si>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</si>
  <si>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</si>
  <si>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</si>
  <si>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</si>
  <si>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</si>
  <si>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</si>
  <si>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</si>
  <si>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</si>
  <si>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</si>
  <si>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</si>
  <si>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</si>
  <si>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</si>
  <si>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</si>
  <si>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</si>
  <si>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</si>
  <si>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</si>
  <si>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</si>
  <si>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</si>
  <si>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</si>
  <si>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</si>
  <si>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</si>
  <si>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</si>
  <si>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</si>
  <si>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</si>
  <si>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</si>
  <si>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</si>
  <si>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</si>
  <si>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</si>
  <si>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</si>
  <si>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</si>
  <si>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</si>
  <si>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</si>
  <si>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</si>
  <si>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</si>
  <si>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</si>
  <si>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</si>
  <si>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</si>
  <si>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</si>
  <si>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</si>
  <si>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</si>
  <si>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</si>
  <si>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</si>
  <si>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</si>
  <si>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</si>
  <si>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</si>
  <si>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</si>
  <si>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</si>
  <si>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</si>
  <si>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</si>
  <si>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</si>
  <si>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</si>
  <si>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</si>
  <si>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</si>
  <si>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</si>
  <si>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</si>
  <si>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</si>
  <si>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</si>
  <si>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</si>
  <si>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</si>
  <si>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</si>
  <si>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</si>
  <si>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</si>
  <si>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</si>
  <si>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</si>
  <si>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</si>
  <si>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</si>
  <si>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</si>
  <si>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</si>
  <si>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</si>
  <si>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</si>
  <si>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</si>
  <si>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</si>
  <si>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</si>
  <si>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</si>
  <si>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</si>
  <si>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</si>
  <si>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</si>
  <si>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</si>
  <si>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</si>
  <si>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</si>
  <si>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</si>
  <si>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</si>
  <si>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</si>
  <si>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</si>
  <si>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</si>
  <si>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</si>
  <si>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</si>
  <si>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</si>
  <si>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</si>
  <si>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</si>
  <si>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</si>
  <si>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</si>
  <si>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</si>
  <si>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</si>
  <si>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</si>
  <si>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</si>
  <si>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</si>
  <si>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</si>
  <si>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</si>
  <si>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</si>
  <si>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</si>
  <si>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</si>
  <si>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</si>
  <si>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</si>
  <si>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</si>
  <si>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</si>
  <si>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</si>
  <si>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</si>
  <si>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</si>
  <si>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</si>
  <si>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</si>
  <si>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</si>
  <si>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</si>
  <si>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</si>
  <si>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</si>
  <si>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</si>
  <si>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</si>
  <si>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</si>
  <si>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</si>
  <si>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</si>
  <si>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</si>
  <si>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</si>
  <si>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</si>
  <si>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</si>
  <si>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</si>
  <si>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</si>
  <si>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</si>
  <si>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</si>
  <si>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</si>
  <si>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</si>
  <si>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</si>
  <si>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</si>
  <si>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</si>
  <si>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</si>
  <si>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</si>
  <si>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</si>
  <si>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</si>
  <si>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</si>
  <si>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</si>
  <si>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</si>
  <si>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</si>
  <si>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</si>
  <si>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</si>
  <si>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</si>
  <si>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</si>
  <si>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</si>
  <si>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</si>
  <si>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</si>
  <si>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</si>
  <si>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</si>
  <si>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</si>
  <si>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</si>
  <si>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</si>
  <si>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</si>
  <si>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</si>
  <si>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</si>
  <si>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</si>
  <si>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</si>
  <si>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</si>
  <si>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</si>
  <si>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</si>
  <si>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</si>
  <si>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</si>
  <si>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</si>
  <si>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</si>
  <si>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</si>
  <si>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</si>
  <si>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</si>
  <si>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</si>
  <si>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</si>
  <si>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</si>
  <si>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</si>
  <si>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</si>
  <si>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</si>
  <si>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</si>
  <si>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</si>
  <si>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</si>
  <si>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</si>
  <si>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</si>
  <si>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</si>
  <si>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</si>
  <si>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</si>
  <si>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</si>
  <si>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</si>
  <si>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</si>
  <si>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</si>
  <si>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</si>
  <si>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</si>
  <si>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</si>
  <si>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</si>
  <si>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</si>
  <si>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</si>
  <si>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</si>
  <si>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</si>
  <si>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</si>
  <si>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</si>
  <si>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</si>
  <si>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</si>
  <si>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</si>
  <si>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</si>
  <si>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</si>
  <si>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</si>
  <si>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</si>
  <si>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</si>
  <si>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</si>
  <si>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</si>
  <si>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</si>
  <si>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</si>
  <si>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</si>
  <si>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</si>
  <si>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</si>
  <si>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</si>
  <si>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</si>
  <si>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</si>
  <si>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</si>
  <si>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</si>
  <si>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</si>
  <si>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</si>
  <si>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</si>
  <si>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</si>
  <si>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</si>
  <si>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</si>
  <si>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</si>
  <si>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</si>
  <si>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</si>
  <si>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</si>
  <si>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</si>
  <si>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</si>
  <si>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</si>
  <si>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</si>
  <si>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</si>
  <si>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</si>
  <si>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</si>
  <si>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</si>
  <si>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</si>
  <si>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</si>
  <si>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</si>
  <si>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</si>
  <si>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</si>
  <si>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</si>
  <si>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</si>
  <si>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</si>
  <si>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</si>
  <si>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</si>
  <si>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</si>
  <si>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</si>
  <si>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</si>
  <si>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</si>
  <si>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</si>
  <si>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</si>
  <si>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</si>
  <si>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</si>
  <si>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</si>
  <si>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</si>
  <si>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</si>
  <si>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</si>
  <si>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</si>
  <si>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</si>
  <si>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</si>
  <si>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</si>
  <si>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</si>
  <si>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</si>
  <si>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</si>
  <si>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</si>
  <si>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</si>
  <si>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</si>
  <si>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</si>
  <si>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</si>
  <si>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</si>
  <si>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</si>
  <si>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</si>
  <si>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</si>
  <si>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</si>
  <si>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</si>
  <si>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</si>
  <si>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</si>
  <si>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</si>
  <si>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</si>
  <si>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</si>
  <si>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</si>
  <si>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</si>
  <si>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</si>
  <si>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</si>
  <si>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</si>
  <si>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</si>
  <si>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</si>
  <si>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</si>
  <si>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</si>
  <si>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</si>
  <si>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</si>
  <si>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</si>
  <si>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</si>
  <si>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</si>
  <si>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</si>
  <si>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</si>
  <si>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</si>
  <si>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</si>
  <si>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</si>
  <si>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</si>
  <si>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</si>
  <si>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</si>
  <si>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</si>
  <si>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</si>
  <si>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</si>
  <si>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</si>
  <si>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</si>
  <si>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</si>
  <si>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</si>
  <si>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</si>
  <si>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</si>
  <si>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</si>
  <si>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</si>
  <si>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</si>
  <si>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</si>
  <si>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</si>
  <si>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</si>
  <si>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</si>
  <si>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</si>
  <si>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</si>
  <si>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</si>
  <si>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</si>
  <si>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</si>
  <si>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</si>
  <si>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</si>
  <si>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</si>
  <si>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</si>
  <si>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</si>
  <si>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</si>
  <si>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</si>
  <si>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</si>
  <si>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</si>
  <si>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</si>
  <si>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</si>
  <si>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</si>
  <si>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</si>
  <si>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</si>
  <si>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</si>
  <si>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</si>
  <si>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</si>
  <si>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</si>
  <si>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</si>
  <si>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</si>
  <si>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</si>
  <si>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</si>
  <si>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</si>
  <si>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</si>
  <si>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</si>
  <si>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</si>
  <si>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</si>
  <si>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</si>
  <si>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</si>
  <si>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</si>
  <si>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</si>
  <si>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</si>
  <si>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</si>
  <si>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</si>
  <si>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</si>
  <si>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</si>
  <si>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</si>
  <si>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</si>
  <si>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</si>
  <si>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</si>
  <si>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</si>
  <si>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</si>
  <si>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</si>
  <si>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</si>
  <si>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</si>
  <si>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</si>
  <si>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</si>
  <si>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</si>
  <si>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</si>
  <si>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</si>
  <si>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</si>
  <si>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</si>
  <si>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</si>
  <si>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</si>
  <si>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</si>
  <si>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</si>
  <si>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</si>
  <si>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</si>
  <si>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</si>
  <si>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</si>
  <si>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</si>
  <si>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</si>
  <si>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</si>
  <si>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</si>
  <si>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</si>
  <si>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</si>
  <si>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</si>
  <si>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</si>
  <si>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</si>
  <si>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</si>
  <si>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</si>
  <si>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</si>
  <si>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</si>
  <si>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</si>
  <si>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</si>
  <si>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</si>
  <si>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</si>
  <si>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</si>
  <si>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</si>
  <si>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</si>
  <si>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</si>
  <si>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</si>
  <si>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</si>
  <si>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</si>
  <si>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</si>
  <si>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</si>
  <si>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</si>
  <si>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</si>
  <si>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</si>
  <si>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</si>
  <si>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</si>
  <si>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</si>
  <si>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</si>
  <si>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</si>
  <si>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</si>
  <si>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</si>
  <si>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</si>
  <si>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</si>
  <si>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</si>
  <si>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</si>
  <si>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</si>
  <si>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</si>
  <si>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</si>
  <si>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</si>
  <si>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</si>
  <si>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</si>
  <si>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</si>
  <si>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</si>
  <si>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</si>
  <si>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</si>
  <si>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</si>
  <si>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</si>
  <si>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</si>
  <si>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</si>
  <si>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</si>
  <si>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</si>
  <si>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</si>
  <si>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</si>
  <si>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</si>
  <si>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</si>
  <si>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</si>
  <si>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</si>
  <si>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</si>
  <si>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</si>
  <si>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</si>
  <si>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</si>
  <si>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</si>
  <si>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</si>
  <si>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</si>
  <si>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</si>
  <si>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</si>
  <si>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</si>
  <si>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</si>
  <si>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</si>
  <si>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</si>
  <si>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</si>
  <si>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</si>
  <si>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</si>
  <si>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</si>
  <si>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</si>
  <si>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</si>
  <si>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</si>
  <si>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</si>
  <si>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</si>
  <si>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</si>
  <si>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</si>
  <si>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</si>
  <si>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</si>
  <si>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</si>
  <si>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</si>
  <si>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</si>
  <si>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</si>
  <si>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</si>
  <si>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</si>
  <si>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</si>
  <si>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</si>
  <si>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</si>
  <si>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</si>
  <si>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</si>
  <si>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</si>
  <si>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</si>
  <si>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</si>
  <si>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</si>
  <si>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</si>
  <si>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</si>
  <si>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</si>
  <si>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</si>
  <si>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</si>
  <si>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</si>
  <si>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</si>
  <si>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</si>
  <si>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</si>
  <si>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</si>
  <si>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</si>
  <si>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</si>
  <si>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</si>
  <si>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</si>
  <si>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</si>
  <si>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</si>
  <si>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</si>
  <si>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</si>
  <si>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</si>
  <si>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</si>
  <si>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</si>
  <si>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</si>
  <si>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</si>
  <si>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</si>
  <si>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</si>
  <si>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</si>
  <si>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</si>
  <si>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</si>
  <si>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</si>
  <si>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</si>
  <si>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</si>
  <si>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</si>
  <si>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</si>
  <si>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</si>
  <si>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</si>
  <si>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</si>
  <si>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</si>
  <si>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</si>
  <si>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</si>
  <si>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</si>
  <si>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</si>
  <si>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</si>
  <si>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</si>
  <si>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</si>
  <si>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</si>
  <si>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</si>
  <si>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</si>
  <si>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</si>
  <si>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</si>
  <si>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</si>
  <si>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</si>
  <si>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</si>
  <si>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</si>
  <si>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</si>
  <si>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</si>
  <si>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</si>
  <si>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</si>
  <si>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</si>
  <si>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</si>
  <si>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</si>
  <si>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</si>
  <si>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</si>
  <si>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</si>
  <si>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</si>
  <si>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</si>
  <si>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</si>
  <si>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</si>
  <si>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</si>
  <si>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</si>
  <si>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</si>
  <si>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</si>
  <si>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</si>
  <si>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</si>
  <si>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</si>
  <si>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</si>
  <si>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</si>
  <si>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</si>
  <si>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</si>
  <si>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</si>
  <si>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</si>
  <si>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</si>
  <si>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</si>
  <si>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</si>
  <si>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</si>
  <si>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</si>
  <si>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</si>
  <si>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</si>
  <si>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</si>
  <si>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</si>
  <si>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</si>
  <si>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</si>
  <si>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</si>
  <si>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</si>
  <si>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</si>
  <si>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</si>
  <si>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</si>
  <si>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</si>
  <si>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</si>
  <si>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</si>
  <si>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</si>
  <si>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</si>
  <si>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</si>
  <si>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</si>
  <si>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</si>
  <si>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</si>
  <si>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</si>
  <si>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</si>
  <si>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</si>
  <si>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</si>
  <si>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</si>
  <si>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</si>
  <si>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</si>
  <si>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</si>
  <si>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</si>
  <si>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</si>
  <si>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</si>
  <si>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</si>
  <si>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</si>
  <si>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</si>
  <si>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</si>
  <si>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</si>
  <si>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</si>
  <si>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</si>
  <si>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</si>
  <si>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</si>
  <si>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</si>
  <si>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</si>
  <si>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</si>
  <si>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</si>
  <si>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</si>
  <si>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</si>
  <si>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</si>
  <si>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</si>
  <si>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</si>
  <si>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</si>
  <si>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</si>
  <si>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</si>
  <si>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</si>
  <si>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</si>
  <si>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</si>
  <si>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</si>
  <si>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</si>
  <si>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</si>
  <si>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</si>
  <si>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</si>
  <si>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</si>
  <si>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</si>
  <si>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</si>
  <si>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</si>
  <si>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</si>
  <si>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</si>
  <si>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</si>
  <si>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</si>
  <si>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</si>
  <si>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</si>
  <si>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</si>
  <si>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</si>
  <si>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</si>
  <si>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</si>
  <si>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</si>
  <si>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</si>
  <si>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</si>
  <si>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</si>
  <si>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</si>
  <si>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</si>
  <si>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</si>
  <si>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</si>
  <si>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</si>
  <si>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</si>
  <si>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</si>
  <si>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</si>
  <si>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</si>
  <si>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</si>
  <si>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</si>
  <si>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</si>
  <si>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</si>
  <si>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</si>
  <si>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</si>
  <si>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</si>
  <si>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</si>
  <si>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</si>
  <si>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</si>
  <si>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</si>
  <si>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</si>
  <si>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</si>
  <si>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</si>
  <si>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</si>
  <si>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</si>
  <si>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</si>
  <si>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</si>
  <si>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</si>
  <si>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</si>
  <si>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</si>
  <si>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</si>
  <si>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</si>
  <si>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</si>
  <si>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</si>
  <si>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</si>
  <si>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</si>
  <si>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</si>
  <si>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</si>
  <si>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</si>
  <si>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</si>
  <si>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</si>
  <si>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</si>
  <si>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</si>
  <si>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</si>
  <si>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</si>
  <si>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</si>
  <si>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</si>
  <si>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</si>
  <si>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</si>
  <si>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</si>
  <si>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</si>
  <si>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</si>
  <si>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</si>
  <si>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</si>
  <si>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</si>
  <si>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</si>
  <si>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</si>
  <si>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</si>
  <si>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</si>
  <si>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</si>
  <si>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</si>
  <si>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</si>
  <si>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</si>
  <si>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</si>
  <si>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</si>
  <si>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</si>
  <si>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</si>
  <si>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</si>
  <si>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</si>
  <si>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</si>
  <si>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</si>
  <si>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</si>
  <si>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</si>
  <si>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</si>
  <si>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</si>
  <si>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</si>
  <si>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</si>
  <si>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</si>
  <si>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</si>
  <si>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</si>
  <si>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</si>
  <si>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</si>
  <si>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</si>
  <si>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</si>
  <si>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</si>
  <si>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</si>
  <si>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</si>
  <si>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</si>
  <si>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</si>
  <si>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</si>
  <si>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</si>
  <si>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</si>
  <si>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</si>
  <si>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</si>
  <si>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</si>
  <si>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</si>
  <si>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</si>
  <si>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</si>
  <si>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</si>
  <si>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</si>
  <si>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</si>
  <si>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</si>
  <si>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</si>
  <si>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</si>
  <si>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</si>
  <si>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</si>
  <si>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</si>
  <si>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</si>
  <si>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</si>
  <si>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</si>
  <si>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</si>
  <si>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</si>
  <si>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</si>
  <si>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</si>
  <si>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</si>
  <si>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</si>
  <si>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</si>
  <si>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</si>
  <si>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</si>
  <si>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</si>
  <si>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</si>
  <si>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</si>
  <si>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</si>
  <si>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</si>
  <si>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</si>
  <si>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</si>
  <si>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</si>
  <si>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</si>
  <si>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</si>
  <si>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</si>
  <si>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</si>
  <si>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</si>
  <si>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</si>
  <si>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</si>
  <si>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</si>
  <si>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</si>
  <si>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</si>
  <si>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</si>
  <si>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</si>
  <si>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</si>
  <si>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</si>
  <si>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</si>
  <si>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</si>
  <si>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</si>
  <si>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</si>
  <si>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</si>
  <si>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</si>
  <si>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</si>
  <si>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</si>
  <si>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</si>
  <si>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</si>
  <si>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</si>
  <si>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</si>
  <si>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</si>
  <si>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</si>
  <si>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</si>
  <si>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</si>
  <si>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</si>
  <si>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</si>
  <si>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</si>
  <si>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</si>
  <si>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</si>
  <si>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</si>
  <si>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</si>
  <si>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</si>
  <si>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</si>
  <si>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</si>
  <si>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</si>
  <si>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</si>
  <si>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</si>
  <si>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</si>
  <si>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</si>
  <si>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</si>
  <si>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</si>
  <si>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</si>
  <si>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</si>
  <si>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</si>
  <si>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</si>
  <si>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</si>
  <si>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</si>
  <si>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</si>
  <si>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</si>
  <si>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</si>
  <si>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</si>
  <si>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</si>
  <si>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</si>
  <si>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</si>
  <si>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</si>
  <si>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</si>
  <si>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</si>
  <si>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</si>
  <si>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</si>
  <si>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</si>
  <si>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</si>
  <si>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</si>
  <si>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</si>
  <si>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</si>
  <si>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</si>
  <si>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</si>
  <si>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</si>
  <si>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</si>
  <si>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</si>
  <si>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</si>
  <si>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</si>
  <si>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</si>
  <si>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</si>
  <si>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</si>
  <si>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</si>
  <si>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</si>
  <si>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</si>
  <si>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</si>
  <si>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</si>
  <si>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</si>
  <si>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</si>
  <si>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</si>
  <si>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</si>
  <si>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</si>
  <si>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</si>
  <si>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</si>
  <si>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</si>
  <si>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</si>
  <si>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</si>
  <si>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</si>
  <si>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</si>
  <si>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</si>
  <si>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</si>
  <si>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</si>
  <si>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</si>
  <si>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</si>
  <si>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</si>
  <si>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</si>
  <si>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</si>
  <si>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</si>
  <si>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</si>
  <si>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</si>
  <si>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</si>
  <si>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</si>
  <si>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</si>
  <si>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</si>
  <si>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</si>
  <si>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</si>
  <si>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</si>
  <si>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</si>
  <si>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</si>
  <si>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</si>
  <si>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</si>
  <si>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</si>
  <si>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</si>
  <si>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</si>
  <si>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</si>
  <si>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</si>
  <si>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</si>
  <si>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</si>
  <si>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</si>
  <si>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</si>
  <si>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</si>
  <si>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</si>
  <si>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</si>
  <si>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</si>
  <si>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</si>
  <si>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</si>
  <si>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</si>
  <si>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</si>
  <si>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</si>
  <si>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</si>
  <si>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</si>
  <si>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</si>
  <si>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</si>
  <si>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</si>
  <si>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</si>
  <si>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</si>
  <si>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</si>
  <si>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</si>
  <si>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</si>
  <si>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</si>
  <si>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</si>
  <si>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</si>
  <si>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</si>
  <si>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</si>
  <si>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</si>
  <si>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</si>
  <si>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</si>
  <si>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</si>
  <si>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</si>
  <si>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</si>
  <si>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</si>
  <si>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</si>
  <si>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</si>
  <si>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</si>
  <si>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</si>
  <si>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</si>
  <si>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</si>
  <si>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</si>
  <si>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</si>
  <si>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</si>
  <si>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</si>
  <si>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</si>
  <si>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</si>
  <si>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</si>
  <si>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</si>
  <si>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</si>
  <si>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</si>
  <si>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</si>
  <si>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</si>
  <si>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</si>
  <si>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</si>
  <si>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</si>
  <si>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</si>
  <si>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</si>
  <si>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</si>
  <si>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</si>
  <si>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</si>
  <si>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</si>
  <si>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</si>
  <si>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</si>
  <si>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</si>
  <si>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</si>
  <si>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</si>
  <si>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</si>
  <si>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</si>
  <si>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</si>
  <si>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</si>
  <si>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</si>
  <si>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</si>
  <si>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</si>
  <si>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</si>
  <si>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</si>
  <si>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</si>
  <si>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</si>
  <si>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</si>
  <si>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</si>
  <si>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</si>
  <si>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</si>
  <si>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</si>
  <si>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</si>
  <si>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</si>
  <si>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</si>
  <si>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</si>
  <si>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</si>
  <si>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</si>
  <si>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</si>
  <si>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</si>
  <si>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</si>
  <si>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</si>
  <si>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</si>
  <si>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</si>
  <si>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</si>
  <si>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</si>
  <si>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</si>
  <si>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</si>
  <si>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</si>
  <si>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</si>
  <si>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</si>
  <si>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</si>
  <si>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</si>
  <si>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</si>
  <si>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</si>
  <si>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</si>
  <si>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</si>
  <si>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</si>
  <si>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</si>
  <si>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</si>
  <si>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</si>
  <si>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</si>
  <si>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</si>
  <si>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</si>
  <si>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</si>
  <si>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</si>
  <si>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</si>
  <si>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</si>
  <si>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</si>
  <si>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</si>
  <si>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</si>
  <si>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</si>
  <si>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</si>
  <si>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</si>
  <si>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</si>
  <si>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</si>
  <si>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</si>
  <si>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</si>
  <si>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</si>
  <si>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</si>
  <si>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</si>
  <si>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</si>
  <si>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</si>
  <si>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</si>
  <si>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</si>
  <si>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</si>
  <si>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</si>
  <si>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</si>
  <si>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</si>
  <si>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</si>
  <si>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</si>
  <si>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</si>
  <si>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</si>
  <si>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</si>
  <si>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</si>
  <si>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</si>
  <si>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</si>
  <si>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</si>
  <si>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</si>
  <si>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</si>
  <si>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</si>
  <si>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</si>
  <si>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</si>
  <si>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</si>
  <si>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</si>
  <si>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</si>
  <si>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</si>
  <si>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</si>
  <si>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</si>
  <si>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</si>
  <si>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</si>
  <si>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</si>
  <si>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</si>
  <si>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</si>
  <si>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</si>
  <si>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</si>
  <si>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</si>
  <si>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</si>
  <si>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</si>
  <si>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</si>
  <si>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</si>
  <si>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</si>
  <si>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</si>
  <si>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</si>
  <si>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</si>
  <si>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</si>
  <si>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</si>
  <si>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</si>
  <si>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</si>
  <si>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</si>
  <si>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</si>
  <si>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</si>
  <si>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</si>
  <si>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</si>
  <si>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</si>
  <si>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</si>
  <si>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</si>
  <si>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</si>
  <si>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</si>
  <si>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</si>
  <si>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</si>
  <si>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</si>
  <si>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</si>
  <si>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</si>
  <si>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</si>
  <si>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</si>
  <si>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</si>
  <si>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</si>
  <si>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</si>
  <si>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</si>
  <si>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</si>
  <si>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</si>
  <si>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</si>
  <si>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</si>
  <si>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</si>
  <si>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</si>
  <si>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</si>
  <si>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</si>
  <si>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</si>
  <si>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</si>
  <si>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</si>
  <si>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</si>
  <si>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</si>
  <si>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</si>
  <si>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</si>
  <si>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</si>
  <si>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</si>
  <si>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</si>
  <si>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</si>
  <si>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</si>
  <si>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</si>
  <si>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</si>
  <si>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</si>
  <si>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</si>
  <si>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</si>
  <si>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</si>
  <si>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</si>
  <si>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</si>
  <si>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</si>
  <si>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</si>
  <si>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</si>
  <si>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</si>
  <si>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</si>
  <si>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</si>
  <si>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</si>
  <si>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</si>
  <si>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</si>
  <si>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</si>
  <si>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</si>
  <si>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</si>
  <si>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</si>
  <si>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</si>
  <si>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</si>
  <si>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</si>
  <si>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</si>
  <si>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</si>
  <si>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</si>
  <si>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</si>
  <si>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</si>
  <si>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</si>
  <si>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</si>
  <si>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</si>
  <si>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</si>
  <si>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</si>
  <si>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</si>
  <si>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</si>
  <si>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</si>
  <si>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</si>
  <si>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</si>
  <si>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</si>
  <si>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</si>
  <si>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</si>
  <si>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</si>
  <si>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</si>
  <si>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</si>
  <si>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</si>
  <si>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</si>
  <si>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</si>
  <si>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</si>
  <si>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</si>
  <si>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</si>
  <si>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</si>
  <si>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</si>
  <si>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</si>
  <si>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</si>
  <si>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</si>
  <si>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</si>
  <si>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</si>
  <si>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</si>
  <si>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</si>
  <si>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</si>
  <si>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</si>
  <si>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</si>
  <si>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</si>
  <si>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</si>
  <si>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</si>
  <si>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</si>
  <si>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</si>
  <si>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</si>
  <si>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</si>
  <si>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</si>
  <si>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</si>
  <si>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</si>
  <si>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</si>
  <si>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</si>
  <si>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</si>
  <si>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</si>
  <si>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</si>
  <si>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</si>
  <si>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</si>
  <si>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</si>
  <si>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</si>
  <si>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</si>
  <si>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</si>
  <si>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</si>
  <si>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</si>
  <si>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</si>
  <si>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</si>
  <si>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</si>
  <si>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</si>
  <si>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</si>
  <si>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</si>
  <si>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</si>
  <si>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</si>
  <si>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</si>
  <si>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</si>
  <si>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</si>
  <si>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</si>
  <si>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</si>
  <si>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</si>
  <si>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</si>
  <si>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</si>
  <si>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</si>
  <si>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</si>
  <si>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</si>
  <si>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</si>
  <si>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</si>
  <si>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</si>
  <si>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</si>
  <si>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</si>
  <si>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</si>
  <si>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</si>
  <si>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</si>
  <si>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</si>
  <si>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</si>
  <si>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</si>
  <si>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</si>
  <si>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</si>
  <si>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</si>
  <si>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</si>
  <si>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</si>
  <si>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</si>
  <si>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</si>
  <si>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</si>
  <si>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</si>
  <si>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</si>
  <si>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</si>
  <si>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</si>
  <si>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</si>
  <si>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</si>
  <si>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</si>
  <si>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</si>
  <si>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</si>
  <si>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</si>
  <si>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</si>
  <si>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</si>
  <si>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</si>
  <si>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</si>
  <si>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</si>
  <si>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</si>
  <si>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</si>
  <si>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</si>
  <si>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</si>
  <si>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</si>
  <si>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</si>
  <si>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</si>
  <si>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</si>
  <si>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</si>
  <si>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</si>
  <si>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</si>
  <si>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</si>
  <si>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</si>
  <si>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</si>
  <si>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</si>
  <si>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</si>
  <si>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</si>
  <si>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</si>
  <si>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</si>
  <si>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</si>
  <si>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</si>
  <si>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</si>
  <si>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</si>
  <si>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</si>
  <si>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</si>
  <si>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</si>
  <si>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</si>
  <si>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</si>
  <si>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</si>
  <si>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</si>
  <si>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</si>
  <si>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</si>
  <si>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</si>
  <si>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</si>
  <si>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</si>
  <si>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</si>
  <si>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</si>
  <si>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</si>
  <si>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</si>
  <si>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</si>
  <si>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</si>
  <si>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</si>
  <si>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</si>
  <si>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</si>
  <si>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</si>
  <si>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</si>
  <si>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</si>
  <si>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</si>
  <si>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</si>
  <si>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</si>
  <si>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</si>
  <si>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</si>
  <si>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</si>
  <si>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</si>
  <si>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</si>
  <si>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</si>
  <si>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</si>
  <si>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</si>
  <si>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</si>
  <si>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</si>
  <si>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</si>
  <si>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</si>
  <si>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</si>
  <si>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</si>
  <si>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</si>
  <si>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</si>
  <si>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</si>
  <si>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</si>
  <si>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</si>
  <si>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</si>
  <si>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</si>
  <si>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</si>
  <si>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</si>
  <si>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</si>
  <si>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</si>
  <si>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</si>
  <si>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</si>
  <si>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</si>
  <si>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</si>
  <si>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</si>
  <si>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</si>
  <si>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</si>
  <si>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</si>
  <si>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</si>
  <si>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</si>
  <si>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</si>
  <si>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</si>
  <si>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</si>
  <si>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</si>
  <si>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</si>
  <si>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</si>
  <si>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</si>
  <si>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</si>
  <si>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</si>
  <si>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</si>
  <si>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</si>
  <si>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</si>
  <si>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</si>
  <si>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</si>
  <si>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</si>
  <si>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</si>
  <si>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</si>
  <si>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</si>
  <si>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</si>
  <si>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</si>
  <si>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</si>
  <si>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</si>
  <si>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</si>
  <si>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</si>
  <si>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</si>
  <si>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</si>
  <si>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</si>
  <si>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</si>
  <si>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</si>
  <si>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</si>
  <si>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</si>
  <si>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</si>
  <si>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</si>
  <si>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</si>
  <si>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</si>
  <si>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</si>
  <si>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</si>
  <si>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</si>
  <si>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</si>
  <si>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</si>
  <si>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</si>
  <si>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</si>
  <si>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</si>
  <si>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</si>
  <si>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</si>
  <si>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</si>
  <si>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</si>
  <si>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</si>
  <si>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</si>
  <si>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</si>
  <si>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</si>
  <si>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</si>
  <si>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</si>
  <si>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</si>
  <si>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</si>
  <si>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</si>
  <si>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</si>
  <si>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</si>
  <si>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</si>
  <si>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</si>
  <si>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</si>
  <si>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</si>
  <si>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</si>
  <si>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</si>
  <si>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</si>
  <si>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</si>
  <si>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</si>
  <si>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</si>
  <si>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</si>
  <si>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</si>
  <si>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</si>
  <si>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</si>
  <si>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</si>
  <si>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</si>
  <si>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</si>
  <si>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</si>
  <si>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</si>
  <si>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</si>
  <si>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</si>
  <si>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</si>
  <si>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</si>
  <si>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</si>
  <si>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</si>
  <si>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</si>
  <si>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</si>
  <si>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</si>
  <si>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</si>
  <si>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</si>
  <si>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</si>
  <si>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</si>
  <si>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</si>
  <si>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</si>
  <si>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</si>
  <si>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</si>
  <si>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</si>
  <si>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</si>
  <si>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</si>
  <si>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</si>
  <si>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</si>
  <si>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</si>
  <si>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</si>
  <si>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</si>
  <si>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</si>
  <si>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</si>
  <si>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</si>
  <si>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</si>
  <si>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</si>
  <si>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</si>
  <si>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</si>
  <si>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</si>
  <si>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</si>
  <si>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</si>
  <si>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</si>
  <si>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</si>
  <si>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</si>
  <si>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</si>
  <si>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</si>
  <si>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</si>
  <si>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</si>
  <si>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</si>
  <si>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</si>
  <si>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</si>
  <si>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</si>
  <si>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</si>
  <si>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</si>
  <si>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</si>
  <si>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</si>
  <si>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</si>
  <si>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</si>
  <si>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</si>
  <si>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</si>
  <si>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</si>
  <si>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</si>
  <si>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</si>
  <si>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</si>
  <si>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</si>
  <si>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</si>
  <si>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</si>
  <si>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</si>
  <si>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</si>
  <si>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</si>
  <si>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</si>
  <si>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</si>
  <si>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</si>
  <si>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</si>
  <si>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</si>
  <si>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</si>
  <si>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</si>
  <si>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</si>
  <si>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</si>
  <si>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</si>
  <si>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</si>
  <si>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</si>
  <si>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</si>
  <si>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</si>
  <si>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</si>
  <si>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</si>
  <si>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</si>
  <si>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</si>
  <si>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</si>
  <si>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</si>
  <si>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</si>
  <si>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</si>
  <si>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</si>
  <si>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</si>
  <si>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</si>
  <si>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</si>
  <si>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</si>
  <si>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</si>
  <si>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</si>
  <si>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</si>
  <si>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</si>
  <si>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</si>
  <si>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</si>
  <si>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</si>
  <si>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</si>
  <si>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</si>
  <si>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</si>
  <si>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</si>
  <si>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</si>
  <si>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</si>
  <si>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</si>
  <si>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</si>
  <si>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</si>
  <si>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</si>
  <si>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</si>
  <si>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</si>
  <si>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</si>
  <si>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</si>
  <si>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</si>
  <si>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</si>
  <si>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</si>
  <si>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</si>
  <si>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</si>
  <si>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</si>
  <si>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</si>
  <si>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</si>
  <si>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</si>
  <si>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</si>
  <si>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</si>
  <si>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</si>
  <si>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</si>
  <si>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</si>
  <si>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</si>
  <si>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</si>
  <si>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</si>
  <si>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</si>
  <si>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</si>
  <si>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</si>
  <si>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</si>
  <si>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</si>
  <si>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</si>
  <si>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</si>
  <si>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</si>
  <si>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</si>
  <si>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</si>
  <si>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</si>
  <si>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</si>
  <si>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</si>
  <si>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</si>
  <si>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</si>
  <si>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</si>
  <si>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</si>
  <si>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</si>
  <si>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</si>
  <si>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</si>
  <si>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</si>
  <si>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</si>
  <si>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</si>
  <si>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</si>
  <si>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</si>
  <si>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</si>
  <si>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</si>
  <si>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</si>
  <si>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</si>
  <si>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</si>
  <si>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</si>
  <si>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</si>
  <si>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</si>
  <si>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</si>
  <si>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</si>
  <si>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</si>
  <si>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</si>
  <si>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</si>
  <si>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</si>
  <si>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</si>
  <si>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</si>
  <si>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</si>
  <si>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</si>
  <si>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</si>
  <si>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</si>
  <si>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</si>
  <si>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</si>
  <si>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</si>
  <si>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</si>
  <si>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</si>
  <si>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</si>
  <si>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</si>
  <si>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</si>
  <si>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</si>
  <si>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</si>
  <si>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</si>
  <si>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</si>
  <si>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</si>
  <si>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</si>
  <si>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</si>
  <si>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</si>
  <si>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</si>
  <si>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</si>
  <si>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</si>
  <si>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</si>
  <si>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</si>
  <si>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</si>
  <si>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</si>
  <si>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</si>
  <si>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</si>
  <si>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</si>
  <si>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</si>
  <si>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</si>
  <si>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</si>
  <si>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</si>
  <si>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</si>
  <si>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</si>
  <si>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</si>
  <si>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</si>
  <si>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</si>
  <si>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</si>
  <si>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</si>
  <si>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</si>
  <si>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</si>
  <si>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</si>
  <si>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</si>
  <si>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</si>
  <si>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</si>
  <si>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</si>
  <si>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</si>
  <si>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</si>
  <si>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</si>
  <si>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</si>
  <si>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</si>
  <si>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</si>
  <si>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</si>
  <si>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</si>
  <si>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</si>
  <si>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</si>
  <si>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</si>
  <si>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</si>
  <si>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</si>
  <si>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</si>
  <si>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</si>
  <si>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</si>
  <si>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</si>
  <si>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</si>
  <si>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</si>
  <si>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</si>
  <si>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</si>
  <si>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</si>
  <si>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</si>
  <si>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</si>
  <si>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</si>
  <si>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</si>
  <si>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</si>
  <si>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</si>
  <si>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</si>
  <si>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</si>
  <si>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</si>
  <si>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</si>
  <si>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</si>
  <si>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</si>
  <si>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</si>
  <si>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</si>
  <si>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</si>
  <si>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</si>
  <si>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</si>
  <si>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</si>
  <si>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</si>
  <si>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</si>
  <si>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</si>
  <si>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</si>
  <si>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</si>
  <si>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</si>
  <si>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</si>
  <si>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</si>
  <si>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</si>
  <si>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</si>
  <si>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</si>
  <si>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</si>
  <si>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</si>
  <si>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</si>
  <si>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</si>
  <si>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</si>
  <si>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</si>
  <si>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</si>
  <si>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</si>
  <si>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</si>
  <si>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</si>
  <si>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</si>
  <si>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</si>
  <si>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</si>
  <si>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</si>
  <si>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</si>
  <si>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</si>
  <si>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</si>
  <si>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</si>
  <si>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</si>
  <si>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</si>
  <si>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</si>
  <si>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</si>
  <si>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</si>
  <si>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</si>
  <si>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</si>
  <si>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</si>
  <si>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</si>
  <si>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</si>
  <si>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</si>
  <si>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</si>
  <si>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</si>
  <si>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</si>
  <si>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</si>
  <si>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</si>
  <si>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</si>
  <si>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</si>
  <si>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</si>
  <si>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</si>
  <si>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</si>
  <si>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</si>
  <si>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</si>
  <si>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</si>
  <si>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</si>
  <si>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</si>
  <si>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</si>
  <si>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</si>
  <si>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</si>
  <si>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</si>
  <si>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</si>
  <si>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</si>
  <si>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</si>
  <si>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</si>
  <si>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</si>
  <si>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</si>
  <si>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</si>
  <si>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</si>
  <si>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</si>
  <si>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</si>
  <si>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</si>
  <si>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</si>
  <si>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</si>
  <si>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</si>
  <si>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</si>
  <si>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</si>
  <si>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</si>
  <si>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</si>
  <si>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</si>
  <si>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</si>
  <si>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</si>
  <si>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</si>
  <si>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</si>
  <si>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</si>
  <si>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</si>
  <si>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</si>
  <si>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</si>
  <si>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</si>
  <si>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</si>
  <si>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</si>
  <si>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</si>
  <si>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</si>
  <si>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</si>
  <si>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</si>
  <si>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</si>
  <si>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</si>
  <si>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</si>
  <si>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</si>
  <si>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</si>
  <si>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</si>
  <si>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</si>
  <si>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</si>
  <si>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</si>
  <si>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</si>
  <si>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</si>
  <si>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</si>
  <si>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</si>
  <si>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</si>
  <si>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</si>
  <si>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</si>
  <si>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</si>
  <si>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</si>
  <si>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</si>
  <si>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</si>
  <si>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</si>
  <si>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</si>
  <si>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</si>
  <si>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</si>
  <si>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</si>
  <si>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</si>
  <si>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</si>
  <si>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</si>
  <si>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</si>
  <si>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</si>
  <si>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</si>
  <si>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</si>
  <si>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</si>
  <si>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</si>
  <si>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</si>
  <si>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</si>
  <si>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</si>
  <si>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</si>
  <si>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</si>
  <si>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</si>
  <si>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</si>
  <si>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</si>
  <si>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</si>
  <si>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</si>
  <si>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</si>
  <si>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</si>
  <si>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</si>
  <si>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</si>
  <si>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</si>
  <si>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</si>
  <si>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</si>
  <si>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</si>
  <si>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</si>
  <si>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</si>
  <si>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</si>
  <si>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</si>
  <si>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</si>
  <si>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</si>
  <si>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</si>
  <si>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</si>
  <si>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</si>
  <si>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</si>
  <si>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</si>
  <si>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</si>
  <si>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</si>
  <si>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</si>
  <si>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</si>
  <si>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</si>
  <si>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</si>
  <si>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</si>
  <si>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</si>
  <si>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</si>
  <si>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</si>
  <si>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</si>
  <si>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</si>
  <si>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</si>
  <si>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</si>
  <si>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</si>
  <si>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</si>
  <si>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</si>
  <si>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</si>
  <si>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</si>
  <si>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</si>
  <si>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</si>
  <si>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</si>
  <si>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</si>
  <si>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</si>
  <si>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</si>
  <si>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</si>
  <si>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</si>
  <si>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</si>
  <si>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</si>
  <si>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</si>
  <si>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</si>
  <si>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</si>
  <si>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</si>
  <si>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</si>
  <si>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</si>
  <si>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</si>
  <si>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</si>
  <si>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</si>
  <si>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</si>
  <si>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</si>
  <si>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</si>
  <si>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</si>
  <si>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</si>
  <si>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</si>
  <si>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</si>
  <si>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</si>
  <si>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</si>
  <si>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</si>
  <si>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</si>
  <si>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</si>
  <si>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</si>
  <si>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</si>
  <si>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</si>
  <si>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</si>
  <si>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</si>
  <si>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</si>
  <si>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</si>
  <si>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</si>
  <si>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</si>
  <si>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</si>
  <si>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</si>
  <si>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</si>
  <si>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</si>
  <si>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</si>
  <si>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</si>
  <si>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</si>
  <si>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</si>
  <si>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</si>
  <si>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</si>
  <si>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</si>
  <si>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</si>
  <si>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</si>
  <si>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</si>
  <si>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</si>
  <si>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</si>
  <si>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</si>
  <si>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</si>
  <si>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</si>
  <si>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</si>
  <si>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</si>
  <si>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</si>
  <si>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</si>
  <si>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</si>
  <si>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</si>
  <si>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</si>
  <si>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</si>
  <si>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</si>
  <si>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</si>
  <si>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</si>
  <si>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</si>
  <si>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</si>
  <si>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</si>
  <si>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</si>
  <si>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</si>
  <si>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</si>
  <si>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</si>
  <si>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</si>
  <si>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</si>
  <si>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</si>
  <si>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</si>
  <si>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</si>
  <si>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</si>
  <si>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</si>
  <si>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</si>
  <si>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</si>
  <si>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</si>
  <si>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</si>
  <si>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</si>
  <si>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</si>
  <si>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</si>
  <si>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</si>
  <si>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</si>
  <si>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</si>
  <si>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</si>
  <si>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</si>
  <si>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</si>
  <si>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</si>
  <si>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</si>
  <si>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</si>
  <si>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</si>
  <si>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</si>
  <si>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</si>
  <si>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</si>
  <si>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</si>
  <si>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</si>
  <si>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</si>
  <si>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</si>
  <si>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</si>
  <si>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</si>
  <si>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</si>
  <si>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</si>
  <si>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</si>
  <si>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</si>
  <si>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</si>
  <si>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</si>
  <si>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</si>
  <si>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</si>
  <si>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</si>
  <si>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</si>
  <si>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</si>
  <si>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</si>
  <si>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</si>
  <si>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</si>
  <si>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</si>
  <si>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</si>
  <si>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</si>
  <si>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</si>
  <si>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</si>
  <si>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</si>
  <si>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</si>
  <si>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</si>
  <si>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</si>
  <si>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</si>
  <si>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</si>
  <si>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</si>
  <si>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</si>
  <si>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</si>
  <si>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</si>
  <si>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</si>
  <si>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</si>
  <si>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</si>
  <si>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</si>
  <si>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</si>
  <si>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</si>
  <si>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</si>
  <si>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</si>
  <si>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</si>
  <si>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</si>
  <si>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</si>
  <si>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</si>
  <si>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</si>
  <si>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</si>
  <si>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</si>
  <si>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</si>
  <si>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</si>
  <si>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</si>
  <si>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</si>
  <si>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</si>
  <si>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</si>
  <si>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</si>
  <si>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</si>
  <si>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</si>
  <si>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</si>
  <si>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</si>
  <si>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</si>
  <si>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</si>
  <si>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</si>
  <si>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</si>
  <si>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</si>
  <si>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</si>
  <si>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</si>
  <si>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</si>
  <si>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</si>
  <si>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</si>
  <si>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</si>
  <si>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</si>
  <si>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</si>
  <si>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</si>
  <si>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</si>
  <si>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</si>
  <si>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</si>
  <si>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</si>
  <si>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</si>
  <si>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</si>
  <si>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</si>
  <si>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</si>
  <si>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</si>
  <si>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</si>
  <si>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</si>
  <si>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</si>
  <si>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</si>
  <si>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</si>
  <si>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</si>
  <si>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</si>
  <si>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</si>
  <si>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</si>
  <si>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</si>
  <si>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</si>
  <si>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</si>
  <si>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</si>
  <si>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</si>
  <si>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</si>
  <si>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</si>
  <si>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</si>
  <si>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</si>
  <si>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</si>
  <si>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</si>
  <si>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</si>
  <si>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</si>
  <si>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</si>
  <si>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</si>
  <si>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</si>
  <si>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</si>
  <si>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</si>
  <si>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</si>
  <si>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</si>
  <si>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</si>
  <si>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</si>
  <si>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</si>
  <si>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</si>
  <si>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</si>
  <si>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</si>
  <si>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</si>
  <si>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</si>
  <si>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</si>
  <si>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</si>
  <si>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</si>
  <si>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</si>
  <si>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</si>
  <si>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</si>
  <si>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</si>
  <si>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</si>
  <si>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</si>
  <si>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</si>
  <si>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</si>
  <si>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</si>
  <si>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</si>
  <si>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</si>
  <si>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</si>
  <si>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</si>
  <si>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</si>
  <si>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</si>
  <si>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</si>
  <si>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</si>
  <si>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</si>
  <si>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</si>
  <si>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</si>
  <si>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</si>
  <si>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</si>
  <si>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</si>
  <si>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</si>
  <si>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</si>
  <si>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</si>
  <si>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</si>
  <si>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</si>
  <si>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</si>
  <si>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</si>
  <si>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</si>
  <si>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</si>
  <si>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</si>
  <si>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</si>
  <si>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</si>
  <si>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</si>
  <si>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</si>
  <si>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</si>
  <si>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</si>
  <si>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</si>
  <si>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</si>
  <si>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</si>
  <si>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</si>
  <si>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</si>
  <si>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</si>
  <si>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</si>
  <si>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</si>
  <si>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</si>
  <si>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</si>
  <si>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</si>
  <si>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</si>
  <si>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</si>
  <si>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</si>
  <si>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</si>
  <si>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</si>
  <si>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</si>
  <si>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</si>
  <si>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</si>
  <si>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</si>
  <si>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</si>
  <si>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</si>
  <si>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</si>
  <si>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</si>
  <si>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</si>
  <si>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</si>
  <si>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</si>
  <si>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</si>
  <si>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</si>
  <si>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</si>
  <si>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</si>
  <si>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</si>
  <si>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</si>
  <si>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</si>
  <si>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</si>
  <si>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</si>
  <si>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</si>
  <si>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</si>
  <si>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</si>
  <si>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</si>
  <si>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</si>
  <si>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</si>
  <si>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</si>
  <si>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</si>
  <si>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</si>
  <si>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</si>
  <si>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</si>
  <si>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</si>
  <si>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</si>
  <si>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</si>
  <si>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</si>
  <si>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</si>
  <si>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</si>
  <si>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</si>
  <si>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</si>
  <si>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</si>
  <si>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</si>
  <si>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</si>
  <si>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</si>
  <si>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</si>
  <si>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</si>
  <si>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</si>
  <si>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</si>
  <si>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</si>
  <si>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</si>
  <si>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</si>
  <si>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</si>
  <si>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</si>
  <si>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</si>
  <si>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</si>
  <si>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</si>
  <si>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</si>
  <si>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</si>
  <si>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</si>
  <si>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</si>
  <si>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</si>
  <si>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</si>
  <si>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</si>
  <si>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</si>
  <si>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</si>
  <si>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</si>
  <si>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</si>
  <si>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</si>
  <si>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</si>
  <si>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</si>
  <si>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</si>
  <si>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</si>
  <si>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</si>
  <si>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</si>
  <si>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</si>
  <si>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</si>
  <si>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</si>
  <si>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</si>
  <si>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</si>
  <si>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</si>
  <si>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</si>
  <si>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</si>
  <si>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</si>
  <si>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</si>
  <si>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</si>
  <si>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</si>
  <si>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</si>
  <si>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</si>
  <si>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</si>
  <si>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</si>
  <si>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</si>
  <si>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</si>
  <si>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</si>
  <si>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</si>
  <si>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</si>
  <si>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</si>
  <si>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</si>
  <si>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</si>
  <si>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</si>
  <si>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</si>
  <si>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</si>
  <si>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</si>
  <si>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</si>
  <si>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</si>
  <si>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</si>
  <si>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</si>
  <si>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</si>
  <si>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</si>
  <si>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</si>
  <si>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</si>
  <si>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</si>
  <si>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</si>
  <si>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</si>
  <si>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</si>
  <si>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</si>
  <si>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</si>
  <si>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</si>
  <si>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</si>
  <si>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</si>
  <si>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</si>
  <si>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</si>
  <si>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</si>
  <si>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</si>
  <si>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</si>
  <si>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</si>
  <si>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</si>
  <si>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</si>
  <si>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</si>
  <si>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</si>
  <si>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</si>
  <si>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</si>
  <si>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</si>
  <si>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</si>
  <si>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</si>
  <si>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</si>
  <si>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</si>
  <si>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</si>
  <si>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</si>
  <si>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</si>
  <si>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</si>
  <si>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</si>
  <si>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</si>
  <si>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</si>
  <si>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</si>
  <si>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</si>
  <si>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</si>
  <si>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</si>
  <si>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</si>
  <si>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</si>
  <si>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</si>
  <si>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</si>
  <si>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</si>
  <si>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</si>
  <si>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</si>
  <si>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</si>
  <si>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</si>
  <si>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</si>
  <si>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</si>
  <si>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</si>
  <si>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</si>
  <si>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</si>
  <si>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</si>
  <si>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</si>
  <si>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</si>
  <si>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</si>
  <si>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</si>
  <si>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</si>
  <si>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</si>
  <si>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</si>
  <si>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</si>
  <si>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</si>
  <si>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</si>
  <si>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</si>
  <si>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</si>
  <si>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</si>
  <si>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</si>
  <si>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</si>
  <si>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</si>
  <si>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</si>
  <si>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</si>
  <si>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</si>
  <si>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</si>
  <si>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</si>
  <si>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</si>
  <si>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</si>
  <si>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</si>
  <si>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</si>
  <si>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</si>
  <si>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</si>
  <si>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</si>
  <si>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</si>
  <si>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</si>
  <si>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</si>
  <si>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</si>
  <si>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</si>
  <si>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</si>
  <si>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</si>
  <si>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</si>
  <si>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</si>
  <si>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</si>
  <si>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</si>
  <si>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</si>
  <si>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</si>
  <si>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</si>
  <si>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</si>
  <si>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</si>
  <si>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</si>
  <si>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</si>
  <si>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</si>
  <si>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</si>
  <si>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</si>
  <si>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</si>
  <si>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</si>
  <si>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</si>
  <si>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</si>
  <si>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</si>
  <si>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</si>
  <si>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</si>
  <si>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</si>
  <si>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</si>
  <si>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</si>
  <si>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</si>
  <si>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</si>
  <si>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</si>
  <si>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</si>
  <si>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</si>
  <si>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</si>
  <si>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</si>
  <si>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</si>
  <si>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</si>
  <si>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</si>
  <si>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</si>
  <si>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</si>
  <si>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</si>
  <si>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</si>
  <si>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</si>
  <si>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</si>
  <si>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</si>
  <si>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</si>
  <si>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</si>
  <si>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</si>
  <si>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</si>
  <si>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</si>
  <si>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</si>
  <si>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</si>
  <si>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</si>
  <si>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</si>
  <si>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</si>
  <si>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</si>
  <si>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</si>
  <si>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</si>
  <si>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</si>
  <si>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</si>
  <si>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</si>
  <si>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</si>
  <si>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</si>
  <si>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</si>
  <si>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</si>
  <si>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</si>
  <si>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</si>
  <si>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</si>
  <si>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</si>
  <si>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</si>
  <si>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</si>
  <si>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</si>
  <si>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</si>
  <si>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</si>
  <si>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</si>
  <si>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</si>
  <si>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</si>
  <si>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</si>
  <si>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</si>
  <si>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</si>
  <si>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</si>
  <si>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</si>
  <si>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</si>
  <si>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</si>
  <si>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</si>
  <si>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</si>
  <si>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</si>
  <si>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</si>
  <si>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</si>
  <si>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</si>
  <si>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</si>
  <si>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</si>
  <si>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</si>
  <si>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</si>
  <si>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</si>
  <si>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</si>
  <si>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</si>
  <si>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</si>
  <si>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</si>
  <si>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</si>
  <si>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</si>
  <si>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</si>
  <si>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</si>
  <si>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</si>
  <si>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</si>
  <si>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</si>
  <si>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</si>
  <si>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</si>
  <si>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</si>
  <si>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</si>
  <si>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</si>
  <si>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</si>
  <si>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</si>
  <si>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</si>
  <si>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</si>
  <si>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</si>
  <si>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</si>
  <si>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</si>
  <si>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</si>
  <si>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</si>
  <si>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</si>
  <si>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</si>
  <si>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</si>
  <si>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</si>
  <si>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</si>
  <si>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</si>
  <si>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</si>
  <si>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</si>
  <si>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</si>
  <si>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</si>
  <si>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</si>
  <si>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</si>
  <si>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</si>
  <si>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</si>
  <si>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</si>
  <si>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</si>
  <si>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</si>
  <si>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</si>
  <si>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</si>
  <si>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</si>
  <si>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</si>
  <si>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</si>
  <si>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</si>
  <si>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</si>
  <si>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</si>
  <si>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</si>
  <si>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</si>
  <si>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</si>
  <si>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</si>
  <si>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</si>
  <si>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</si>
  <si>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</si>
  <si>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</si>
  <si>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</si>
  <si>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</si>
  <si>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</si>
  <si>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</si>
  <si>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</si>
  <si>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</si>
  <si>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</si>
  <si>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</si>
  <si>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</si>
  <si>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</si>
  <si>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</si>
  <si>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</si>
  <si>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</si>
  <si>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</si>
  <si>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</si>
  <si>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</si>
  <si>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</si>
  <si>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</si>
  <si>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</si>
  <si>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</si>
  <si>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</si>
  <si>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</si>
  <si>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</si>
  <si>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</si>
  <si>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</si>
  <si>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</si>
  <si>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</si>
  <si>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</si>
  <si>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</si>
  <si>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</si>
  <si>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</si>
  <si>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</si>
  <si>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</si>
  <si>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</si>
  <si>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</si>
  <si>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</si>
  <si>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</si>
  <si>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</si>
  <si>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</si>
  <si>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</si>
  <si>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</si>
  <si>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</si>
  <si>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</si>
  <si>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</si>
  <si>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</si>
  <si>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</si>
  <si>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</si>
  <si>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</si>
  <si>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</si>
  <si>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</si>
  <si>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</si>
  <si>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</si>
  <si>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</si>
  <si>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</si>
  <si>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</si>
  <si>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</si>
  <si>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</si>
  <si>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</si>
  <si>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</si>
  <si>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</si>
  <si>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</si>
  <si>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</si>
  <si>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</si>
  <si>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</si>
  <si>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</si>
  <si>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</si>
  <si>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</si>
  <si>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</si>
  <si>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</si>
  <si>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</si>
  <si>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</si>
  <si>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</si>
  <si>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</si>
  <si>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</si>
  <si>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</si>
  <si>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</si>
  <si>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</si>
  <si>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</si>
  <si>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</si>
  <si>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</si>
  <si>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</si>
  <si>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</si>
  <si>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</si>
  <si>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</si>
  <si>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</si>
  <si>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</si>
  <si>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</si>
  <si>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</si>
  <si>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</si>
  <si>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</si>
  <si>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</si>
  <si>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</si>
  <si>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</si>
  <si>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</si>
  <si>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</si>
  <si>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</si>
  <si>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</si>
  <si>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</si>
  <si>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</si>
  <si>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</si>
  <si>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</si>
  <si>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</si>
  <si>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</si>
  <si>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</si>
  <si>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</si>
  <si>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</si>
  <si>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</si>
  <si>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</si>
  <si>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</si>
  <si>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</si>
  <si>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</si>
  <si>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</si>
  <si>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</si>
  <si>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</si>
  <si>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</si>
  <si>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</si>
  <si>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</si>
  <si>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</si>
  <si>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</si>
  <si>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</si>
  <si>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</si>
  <si>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</si>
  <si>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</si>
  <si>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</si>
  <si>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</si>
  <si>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</si>
  <si>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</si>
  <si>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</si>
  <si>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</si>
  <si>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</si>
  <si>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</si>
  <si>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</si>
  <si>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</si>
  <si>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</si>
  <si>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</si>
  <si>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</si>
  <si>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</si>
  <si>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</si>
  <si>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</si>
  <si>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</si>
  <si>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</si>
  <si>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</si>
  <si>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</si>
  <si>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</si>
  <si>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</si>
  <si>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</si>
  <si>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</si>
  <si>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</si>
  <si>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</si>
  <si>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</si>
  <si>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</si>
  <si>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</si>
  <si>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</si>
  <si>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</si>
  <si>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</si>
  <si>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</si>
  <si>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</si>
  <si>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</si>
  <si>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</si>
  <si>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</si>
  <si>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</si>
  <si>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</si>
  <si>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</si>
  <si>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</si>
  <si>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</si>
  <si>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</si>
  <si>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</si>
  <si>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</si>
  <si>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</si>
  <si>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</si>
  <si>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</si>
  <si>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</si>
  <si>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</si>
  <si>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</si>
  <si>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</si>
  <si>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</si>
  <si>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</si>
  <si>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</si>
  <si>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</si>
  <si>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</si>
  <si>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</si>
  <si>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</si>
  <si>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</si>
  <si>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</si>
  <si>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</si>
  <si>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</si>
  <si>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</si>
  <si>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</si>
  <si>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</si>
  <si>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</si>
  <si>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</si>
  <si>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</si>
  <si>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</si>
  <si>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</si>
  <si>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</si>
  <si>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</si>
  <si>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</si>
  <si>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</si>
  <si>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</si>
  <si>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</si>
  <si>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</si>
  <si>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</si>
  <si>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</si>
  <si>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</si>
  <si>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</si>
  <si>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</si>
  <si>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</si>
  <si>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</si>
  <si>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</si>
  <si>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</si>
  <si>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</si>
  <si>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</si>
  <si>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</si>
  <si>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</si>
  <si>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</si>
  <si>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</si>
  <si>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</si>
  <si>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</si>
  <si>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</si>
  <si>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</si>
  <si>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</si>
  <si>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</si>
  <si>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</si>
  <si>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</si>
  <si>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</si>
  <si>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</si>
  <si>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</si>
  <si>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</si>
  <si>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</si>
  <si>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</si>
  <si>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</si>
  <si>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</si>
  <si>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</si>
  <si>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</si>
  <si>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</si>
  <si>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</si>
  <si>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</si>
  <si>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</si>
  <si>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</si>
  <si>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</si>
  <si>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</si>
  <si>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</si>
  <si>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</si>
  <si>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</si>
  <si>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</si>
  <si>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</si>
  <si>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</si>
  <si>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</si>
  <si>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</si>
  <si>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</si>
  <si>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</si>
  <si>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</si>
  <si>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</si>
  <si>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</si>
  <si>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</si>
  <si>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</si>
  <si>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</si>
  <si>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</si>
  <si>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</si>
  <si>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</si>
  <si>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</si>
  <si>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</si>
  <si>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</si>
  <si>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</si>
  <si>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</si>
  <si>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</si>
  <si>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</si>
  <si>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</si>
  <si>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</si>
  <si>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</si>
  <si>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</si>
  <si>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</si>
  <si>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</si>
  <si>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</si>
  <si>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</si>
  <si>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</si>
  <si>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</si>
  <si>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</si>
  <si>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</si>
  <si>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</si>
  <si>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</si>
  <si>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</si>
  <si>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</si>
  <si>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</si>
  <si>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</si>
  <si>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</si>
  <si>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</si>
  <si>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</si>
  <si>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</si>
  <si>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</si>
  <si>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</si>
  <si>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</si>
  <si>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</si>
  <si>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</si>
  <si>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</si>
  <si>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</si>
  <si>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</si>
  <si>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</si>
  <si>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</si>
  <si>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</si>
  <si>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</si>
  <si>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</si>
  <si>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</si>
  <si>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</si>
  <si>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</si>
  <si>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</si>
  <si>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</si>
  <si>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</si>
  <si>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</si>
  <si>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</si>
  <si>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</si>
  <si>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</si>
  <si>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</si>
  <si>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</si>
  <si>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</si>
  <si>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</si>
  <si>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</si>
  <si>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</si>
  <si>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</si>
  <si>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</si>
  <si>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</si>
  <si>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</si>
  <si>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</si>
  <si>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</si>
  <si>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</si>
  <si>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</si>
  <si>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</si>
  <si>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</si>
  <si>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</si>
  <si>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</si>
  <si>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</si>
  <si>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</si>
  <si>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</si>
  <si>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</si>
  <si>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</si>
  <si>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</si>
  <si>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</si>
  <si>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</si>
  <si>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</si>
  <si>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</si>
  <si>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</si>
  <si>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</si>
  <si>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</si>
  <si>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</si>
  <si>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</si>
  <si>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</si>
  <si>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</si>
  <si>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</si>
  <si>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</si>
  <si>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</si>
  <si>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</si>
  <si>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</si>
  <si>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</si>
  <si>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</si>
  <si>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</si>
  <si>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</si>
  <si>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</si>
  <si>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</si>
  <si>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</si>
  <si>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</si>
  <si>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</si>
  <si>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</si>
  <si>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</si>
  <si>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</si>
  <si>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</si>
  <si>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</si>
  <si>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</si>
  <si>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</si>
  <si>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</si>
  <si>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</si>
  <si>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</si>
  <si>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</si>
  <si>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</si>
  <si>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</si>
  <si>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</si>
  <si>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</si>
  <si>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</si>
  <si>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</si>
  <si>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</si>
  <si>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</si>
  <si>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</si>
  <si>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</si>
  <si>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</si>
  <si>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</si>
  <si>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</si>
  <si>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</si>
  <si>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</si>
  <si>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</si>
  <si>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</si>
  <si>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</si>
  <si>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</si>
  <si>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</si>
  <si>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</si>
  <si>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</si>
  <si>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</si>
  <si>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</si>
  <si>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</si>
  <si>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</si>
  <si>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</si>
  <si>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</si>
  <si>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</si>
  <si>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</si>
  <si>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</si>
  <si>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</si>
  <si>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</si>
  <si>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</si>
  <si>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</si>
  <si>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</si>
  <si>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</si>
  <si>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</si>
  <si>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</si>
  <si>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</si>
  <si>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</si>
  <si>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</si>
  <si>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</si>
  <si>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</si>
  <si>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</si>
  <si>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</si>
  <si>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</si>
  <si>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</si>
  <si>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</si>
  <si>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</si>
  <si>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</si>
  <si>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</si>
  <si>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</si>
  <si>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</si>
  <si>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</si>
  <si>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</si>
  <si>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</si>
  <si>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</si>
  <si>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</si>
  <si>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</si>
  <si>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</si>
  <si>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</si>
  <si>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</si>
  <si>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</si>
  <si>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</si>
  <si>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</si>
  <si>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</si>
  <si>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</si>
  <si>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</si>
  <si>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</si>
  <si>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</si>
  <si>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</si>
  <si>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</si>
  <si>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</si>
  <si>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</si>
  <si>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</si>
  <si>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</si>
  <si>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</si>
  <si>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</si>
  <si>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</si>
  <si>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</si>
  <si>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</si>
  <si>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</si>
  <si>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</si>
  <si>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</si>
  <si>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</si>
  <si>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</si>
  <si>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</si>
  <si>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</si>
  <si>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</si>
  <si>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</si>
  <si>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</si>
  <si>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</si>
  <si>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</si>
  <si>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</si>
  <si>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</si>
  <si>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</si>
  <si>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</si>
  <si>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</si>
  <si>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</si>
  <si>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</si>
  <si>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</si>
  <si>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</si>
  <si>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</si>
  <si>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</si>
  <si>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</si>
  <si>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</si>
  <si>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</si>
  <si>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</si>
  <si>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</si>
  <si>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</si>
  <si>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</si>
  <si>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</si>
  <si>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</si>
  <si>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</si>
  <si>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</si>
  <si>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</si>
  <si>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</si>
  <si>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</si>
  <si>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</si>
  <si>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</si>
  <si>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</si>
  <si>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</si>
  <si>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</si>
  <si>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</si>
  <si>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</si>
  <si>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</si>
  <si>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</si>
  <si>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</si>
  <si>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</si>
  <si>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</si>
  <si>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</si>
  <si>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</si>
  <si>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</si>
  <si>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</si>
  <si>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</si>
  <si>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</si>
  <si>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</si>
  <si>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</si>
  <si>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</si>
  <si>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</si>
  <si>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</si>
  <si>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</si>
  <si>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</si>
  <si>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</si>
  <si>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</si>
  <si>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</si>
  <si>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</si>
  <si>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</si>
  <si>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</si>
  <si>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</si>
  <si>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</si>
  <si>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</si>
  <si>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</si>
  <si>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</si>
  <si>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</si>
  <si>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</si>
  <si>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</si>
  <si>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</si>
  <si>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</si>
  <si>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</si>
  <si>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</si>
  <si>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</si>
  <si>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</si>
  <si>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</si>
  <si>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</si>
  <si>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</si>
  <si>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</si>
  <si>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</si>
  <si>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</si>
  <si>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</si>
  <si>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</si>
  <si>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</si>
  <si>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</si>
  <si>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</si>
  <si>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</si>
  <si>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</si>
  <si>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</si>
  <si>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</si>
  <si>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</si>
  <si>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</si>
  <si>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</si>
  <si>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</si>
  <si>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</si>
  <si>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</si>
  <si>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</si>
  <si>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</si>
  <si>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</si>
  <si>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</si>
  <si>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</si>
  <si>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</si>
  <si>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</si>
  <si>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</si>
  <si>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</si>
  <si>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</si>
  <si>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</si>
  <si>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</si>
  <si>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</si>
  <si>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</si>
  <si>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</si>
  <si>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</si>
  <si>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</si>
  <si>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</si>
  <si>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</si>
  <si>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</si>
  <si>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</si>
  <si>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</si>
  <si>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</si>
  <si>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</si>
  <si>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</si>
  <si>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</si>
  <si>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</si>
  <si>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</si>
  <si>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</si>
  <si>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</si>
  <si>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</si>
  <si>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</si>
  <si>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</si>
  <si>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</si>
  <si>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</si>
  <si>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</si>
  <si>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</si>
  <si>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</si>
  <si>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</si>
  <si>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</si>
  <si>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</si>
  <si>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</si>
  <si>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</si>
  <si>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</si>
  <si>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</si>
  <si>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</si>
  <si>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</si>
  <si>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</si>
  <si>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</si>
  <si>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</si>
  <si>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</si>
  <si>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</si>
  <si>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</si>
  <si>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</si>
  <si>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</si>
  <si>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</si>
  <si>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</si>
  <si>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</si>
  <si>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</si>
  <si>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</si>
  <si>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</si>
  <si>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</si>
  <si>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</si>
  <si>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</si>
  <si>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</si>
  <si>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</si>
  <si>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</si>
  <si>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</si>
  <si>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</si>
  <si>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</si>
  <si>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</si>
  <si>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</si>
  <si>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</si>
  <si>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</si>
  <si>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</si>
  <si>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</si>
  <si>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</si>
  <si>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</si>
  <si>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</si>
  <si>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</si>
  <si>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</si>
  <si>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</si>
  <si>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</si>
  <si>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</si>
  <si>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</si>
  <si>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</si>
  <si>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</si>
  <si>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</si>
  <si>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</si>
  <si>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</si>
  <si>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</si>
  <si>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</si>
  <si>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</si>
  <si>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</si>
  <si>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</si>
  <si>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</si>
  <si>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</si>
  <si>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</si>
  <si>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</si>
  <si>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</si>
  <si>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</si>
  <si>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</si>
  <si>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</si>
  <si>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</si>
  <si>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</si>
  <si>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</si>
  <si>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</si>
  <si>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</si>
  <si>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</si>
  <si>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</si>
  <si>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</si>
  <si>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</si>
  <si>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</si>
  <si>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</si>
  <si>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</si>
  <si>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</si>
  <si>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</si>
  <si>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</si>
  <si>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</si>
  <si>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</si>
  <si>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</si>
  <si>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</si>
  <si>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</si>
  <si>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</si>
  <si>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</si>
  <si>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</si>
  <si>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</si>
  <si>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</si>
  <si>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</si>
  <si>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</si>
  <si>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</si>
  <si>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</si>
  <si>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</si>
  <si>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</si>
  <si>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</si>
  <si>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</si>
  <si>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</si>
  <si>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</si>
  <si>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</si>
  <si>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</si>
  <si>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</si>
  <si>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</si>
  <si>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</si>
  <si>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</si>
  <si>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</si>
  <si>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</si>
  <si>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</si>
  <si>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</si>
  <si>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</si>
  <si>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</si>
  <si>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</si>
  <si>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</si>
  <si>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</si>
  <si>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</si>
  <si>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</si>
  <si>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</si>
  <si>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</si>
  <si>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</si>
  <si>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</si>
  <si>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</si>
  <si>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</si>
  <si>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</si>
  <si>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</si>
  <si>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</si>
  <si>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</si>
  <si>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</si>
  <si>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</si>
  <si>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</si>
  <si>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</si>
  <si>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</si>
  <si>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</si>
  <si>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</si>
  <si>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</si>
  <si>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</si>
  <si>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</si>
  <si>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</si>
  <si>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</si>
  <si>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</si>
  <si>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</si>
  <si>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</si>
  <si>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</si>
  <si>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</si>
  <si>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</si>
  <si>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</si>
  <si>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</si>
  <si>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</si>
  <si>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</si>
  <si>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</si>
  <si>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</si>
  <si>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</si>
  <si>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</si>
  <si>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</si>
  <si>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</si>
  <si>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</si>
  <si>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</si>
  <si>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</si>
  <si>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</si>
  <si>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</si>
  <si>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</si>
  <si>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</si>
  <si>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</si>
  <si>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</si>
  <si>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</si>
  <si>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</si>
  <si>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</si>
  <si>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</si>
  <si>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</si>
  <si>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</si>
  <si>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</si>
  <si>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</si>
  <si>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</si>
  <si>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</si>
  <si>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</si>
  <si>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</si>
  <si>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</si>
  <si>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</si>
  <si>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</si>
  <si>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</si>
  <si>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</si>
  <si>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</si>
  <si>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</si>
  <si>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</si>
  <si>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</si>
  <si>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</si>
  <si>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</si>
  <si>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</si>
  <si>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</si>
  <si>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</si>
  <si>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</si>
  <si>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</si>
  <si>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</si>
  <si>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</si>
  <si>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</si>
  <si>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</si>
  <si>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</si>
  <si>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</si>
  <si>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</si>
  <si>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</si>
  <si>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</si>
  <si>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</si>
  <si>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</si>
  <si>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</si>
  <si>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</si>
  <si>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</si>
  <si>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</si>
  <si>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</si>
  <si>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</si>
  <si>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</si>
  <si>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</si>
  <si>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</si>
  <si>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</si>
  <si>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</si>
  <si>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</si>
  <si>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</si>
  <si>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</si>
  <si>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</si>
  <si>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</si>
  <si>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</si>
  <si>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</si>
  <si>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</si>
  <si>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</si>
  <si>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</si>
  <si>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</si>
  <si>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</si>
  <si>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</si>
  <si>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</si>
  <si>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</si>
  <si>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</si>
  <si>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</si>
  <si>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</si>
  <si>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</si>
  <si>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</si>
  <si>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</si>
  <si>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</si>
  <si>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</si>
  <si>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</si>
  <si>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</si>
  <si>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</si>
  <si>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</si>
  <si>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</si>
  <si>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</si>
  <si>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</si>
  <si>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</si>
  <si>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</si>
  <si>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</si>
  <si>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</si>
  <si>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</si>
  <si>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</si>
  <si>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</si>
  <si>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</si>
  <si>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</si>
  <si>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</si>
  <si>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</si>
  <si>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</si>
  <si>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</si>
  <si>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</si>
  <si>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</si>
  <si>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</si>
  <si>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</si>
  <si>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</si>
  <si>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</si>
  <si>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</si>
  <si>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</si>
  <si>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</si>
  <si>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</si>
  <si>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</si>
  <si>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</si>
  <si>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</si>
  <si>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</si>
  <si>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</si>
  <si>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</si>
  <si>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</si>
  <si>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</si>
  <si>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</si>
  <si>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</si>
  <si>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</si>
  <si>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</si>
  <si>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</si>
  <si>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</si>
  <si>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</si>
  <si>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</si>
  <si>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</si>
  <si>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</si>
  <si>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</si>
  <si>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</si>
  <si>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</si>
  <si>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</si>
  <si>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</si>
  <si>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</si>
  <si>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</si>
  <si>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</si>
  <si>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</si>
  <si>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</si>
  <si>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</si>
  <si>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</si>
  <si>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</si>
  <si>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</si>
  <si>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</si>
  <si>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</si>
  <si>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</si>
  <si>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</si>
  <si>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</si>
  <si>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</si>
  <si>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</si>
  <si>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</si>
  <si>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</si>
  <si>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</si>
  <si>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</si>
  <si>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</si>
  <si>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</si>
  <si>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</si>
  <si>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</si>
  <si>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</si>
  <si>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</si>
  <si>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</si>
  <si>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</si>
  <si>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</si>
  <si>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</si>
  <si>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</si>
  <si>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</si>
  <si>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</si>
  <si>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</si>
  <si>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</si>
  <si>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</si>
  <si>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</si>
  <si>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</si>
  <si>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</si>
  <si>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</si>
  <si>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</si>
  <si>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</si>
  <si>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</si>
  <si>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</si>
  <si>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</si>
  <si>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</si>
  <si>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</si>
  <si>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</si>
  <si>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</si>
  <si>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</si>
  <si>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</si>
  <si>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</si>
  <si>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</si>
  <si>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</si>
  <si>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</si>
  <si>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</si>
  <si>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</si>
  <si>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</si>
  <si>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</si>
  <si>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</si>
  <si>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</si>
  <si>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</si>
  <si>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</si>
  <si>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</si>
  <si>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</si>
  <si>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</si>
  <si>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</si>
  <si>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</si>
  <si>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</si>
  <si>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</si>
  <si>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</si>
  <si>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</si>
  <si>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</si>
  <si>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</si>
  <si>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</si>
  <si>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</si>
  <si>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</si>
  <si>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</si>
  <si>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</si>
  <si>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</si>
  <si>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</si>
  <si>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</si>
  <si>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</si>
  <si>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</si>
  <si>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</si>
  <si>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</si>
  <si>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</si>
  <si>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</si>
  <si>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</si>
  <si>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</si>
  <si>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</si>
  <si>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</si>
  <si>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</si>
  <si>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</si>
  <si>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</si>
  <si>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</si>
  <si>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</si>
  <si>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</si>
  <si>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</si>
  <si>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</si>
  <si>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</si>
  <si>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</si>
  <si>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</si>
  <si>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</si>
  <si>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</si>
  <si>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</si>
  <si>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</si>
  <si>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</si>
  <si>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</si>
  <si>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</si>
  <si>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</si>
  <si>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</si>
  <si>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</si>
  <si>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</si>
  <si>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</si>
  <si>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</si>
  <si>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</si>
  <si>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</si>
  <si>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</si>
  <si>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</si>
  <si>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</si>
  <si>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</si>
  <si>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</si>
  <si>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</si>
  <si>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</si>
  <si>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</si>
  <si>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</si>
  <si>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</si>
  <si>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</si>
  <si>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</si>
  <si>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</si>
  <si>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</si>
  <si>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</si>
  <si>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</si>
  <si>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</si>
  <si>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</si>
  <si>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</si>
  <si>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</si>
  <si>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</si>
  <si>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</si>
  <si>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</si>
  <si>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</si>
  <si>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</si>
  <si>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</si>
  <si>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</si>
  <si>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</si>
  <si>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</si>
  <si>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</si>
  <si>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</si>
  <si>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</si>
  <si>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</si>
  <si>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</si>
  <si>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</si>
  <si>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</si>
  <si>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</si>
  <si>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</si>
  <si>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</si>
  <si>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</si>
  <si>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</si>
  <si>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</si>
  <si>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</si>
  <si>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</si>
  <si>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</si>
  <si>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</si>
  <si>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</si>
  <si>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</si>
  <si>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</si>
  <si>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</si>
  <si>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</si>
  <si>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</si>
  <si>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</si>
  <si>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</si>
  <si>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</si>
  <si>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</si>
  <si>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</si>
  <si>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</si>
  <si>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</si>
  <si>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</si>
  <si>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</si>
  <si>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</si>
  <si>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</si>
  <si>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</si>
  <si>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</si>
  <si>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</si>
  <si>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</si>
  <si>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</si>
  <si>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</si>
  <si>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</si>
  <si>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</si>
  <si>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</si>
  <si>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</si>
  <si>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</si>
  <si>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</si>
  <si>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</si>
  <si>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</si>
  <si>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</si>
  <si>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</si>
  <si>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</si>
  <si>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</si>
  <si>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</si>
  <si>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</si>
  <si>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</si>
  <si>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</si>
  <si>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</si>
  <si>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</si>
  <si>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</si>
  <si>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</si>
  <si>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</si>
  <si>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</si>
  <si>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</si>
  <si>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</si>
  <si>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</si>
  <si>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</si>
  <si>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</si>
  <si>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</si>
  <si>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</si>
  <si>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</si>
  <si>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</si>
  <si>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</si>
  <si>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</si>
  <si>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</si>
  <si>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</si>
  <si>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</si>
  <si>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</si>
  <si>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</si>
  <si>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</si>
  <si>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</si>
  <si>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</si>
  <si>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</si>
  <si>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</si>
  <si>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</si>
  <si>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</si>
  <si>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</si>
  <si>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</si>
  <si>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</si>
  <si>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</si>
  <si>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</si>
  <si>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</si>
  <si>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</si>
  <si>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</si>
  <si>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</si>
  <si>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</si>
  <si>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</si>
  <si>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</si>
  <si>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</si>
  <si>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</si>
  <si>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</si>
  <si>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</si>
  <si>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</si>
  <si>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</si>
  <si>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</si>
  <si>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</si>
  <si>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</si>
  <si>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</si>
  <si>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</si>
  <si>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</si>
  <si>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</si>
  <si>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</si>
  <si>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</si>
  <si>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</si>
  <si>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</si>
  <si>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</si>
  <si>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</si>
  <si>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</si>
  <si>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</si>
  <si>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</si>
  <si>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</si>
  <si>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</si>
  <si>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</si>
  <si>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</si>
  <si>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</si>
  <si>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</si>
  <si>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</si>
  <si>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</si>
  <si>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</si>
  <si>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</si>
  <si>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</si>
  <si>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</si>
  <si>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</si>
  <si>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</si>
  <si>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</si>
  <si>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</si>
  <si>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</si>
  <si>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</si>
  <si>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</si>
  <si>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</si>
  <si>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</si>
  <si>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</si>
  <si>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</si>
  <si>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</si>
  <si>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</si>
  <si>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</si>
  <si>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</si>
  <si>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</si>
  <si>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</si>
  <si>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</si>
  <si>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</si>
  <si>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</si>
  <si>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</si>
  <si>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</si>
  <si>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</si>
  <si>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</si>
  <si>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</si>
  <si>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</si>
  <si>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</si>
  <si>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</si>
  <si>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</si>
  <si>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</si>
  <si>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</si>
  <si>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</si>
  <si>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</si>
  <si>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</si>
  <si>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</si>
  <si>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</si>
  <si>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</si>
  <si>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</si>
  <si>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</si>
  <si>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</si>
  <si>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</si>
  <si>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</si>
  <si>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</si>
  <si>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</si>
  <si>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</si>
  <si>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</si>
  <si>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</si>
  <si>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</si>
  <si>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</si>
  <si>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</si>
  <si>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</si>
  <si>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</si>
  <si>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</si>
  <si>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</si>
  <si>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</si>
  <si>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</si>
  <si>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</si>
  <si>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</si>
  <si>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</si>
  <si>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</si>
  <si>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</si>
  <si>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</si>
  <si>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</si>
  <si>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</si>
  <si>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</si>
  <si>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</si>
  <si>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</si>
  <si>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</si>
  <si>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</si>
  <si>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</si>
  <si>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</si>
  <si>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</si>
  <si>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</si>
  <si>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</si>
  <si>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</si>
  <si>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</si>
  <si>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</si>
  <si>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</si>
  <si>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</si>
  <si>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</si>
  <si>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</si>
  <si>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</si>
  <si>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</si>
  <si>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</si>
  <si>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</si>
  <si>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</si>
  <si>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</si>
  <si>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</si>
  <si>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</si>
  <si>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</si>
  <si>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</si>
  <si>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</si>
  <si>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</si>
  <si>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</si>
  <si>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</si>
  <si>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</si>
  <si>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</si>
  <si>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</si>
  <si>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</si>
  <si>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</si>
  <si>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</si>
  <si>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</si>
  <si>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</si>
  <si>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</si>
  <si>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</si>
  <si>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</si>
  <si>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</si>
  <si>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</si>
  <si>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</si>
  <si>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</si>
  <si>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</si>
  <si>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</si>
  <si>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</si>
  <si>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</si>
  <si>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</si>
  <si>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</si>
  <si>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</si>
  <si>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</si>
  <si>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</si>
  <si>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</si>
  <si>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</si>
  <si>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</si>
  <si>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</si>
  <si>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</si>
  <si>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</si>
  <si>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</si>
  <si>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</si>
  <si>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</si>
  <si>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</si>
  <si>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</si>
  <si>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</si>
  <si>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</si>
  <si>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</si>
  <si>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</si>
  <si>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</si>
  <si>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</si>
  <si>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</si>
  <si>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</si>
  <si>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</si>
  <si>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</si>
  <si>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</si>
  <si>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</si>
  <si>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</si>
  <si>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</si>
  <si>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</si>
  <si>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</si>
  <si>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</si>
  <si>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</si>
  <si>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</si>
  <si>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</si>
  <si>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</si>
  <si>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</si>
  <si>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</si>
  <si>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</si>
  <si>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</si>
  <si>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</si>
  <si>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</si>
  <si>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</si>
  <si>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</si>
  <si>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</si>
  <si>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</si>
  <si>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</si>
  <si>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</si>
  <si>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</si>
  <si>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</si>
  <si>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</si>
  <si>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</si>
  <si>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</si>
  <si>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</si>
  <si>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</si>
  <si>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</si>
  <si>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</si>
  <si>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</si>
  <si>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</si>
  <si>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</si>
  <si>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</si>
  <si>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</si>
  <si>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</si>
  <si>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</si>
  <si>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</si>
  <si>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</si>
  <si>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</si>
  <si>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</si>
  <si>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</si>
  <si>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</si>
  <si>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</si>
  <si>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</si>
  <si>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</si>
  <si>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</si>
  <si>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</si>
  <si>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</si>
  <si>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</si>
  <si>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</si>
  <si>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</si>
  <si>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</si>
  <si>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</si>
  <si>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</si>
  <si>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</si>
  <si>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</si>
  <si>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</si>
  <si>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</si>
  <si>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</si>
  <si>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</si>
  <si>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</si>
  <si>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</si>
  <si>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</si>
  <si>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</si>
  <si>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</si>
  <si>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</si>
  <si>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</si>
  <si>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</si>
  <si>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</si>
  <si>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</si>
  <si>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</si>
  <si>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</si>
  <si>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</si>
  <si>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</si>
  <si>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</si>
  <si>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</si>
  <si>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</si>
  <si>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</si>
  <si>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</si>
  <si>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</si>
  <si>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</si>
  <si>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</si>
  <si>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</si>
  <si>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</si>
  <si>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</si>
  <si>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</si>
  <si>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</si>
  <si>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</si>
  <si>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</si>
  <si>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</si>
  <si>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</si>
  <si>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</si>
  <si>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</si>
  <si>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</si>
  <si>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</si>
  <si>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</si>
  <si>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</si>
  <si>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</si>
  <si>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</si>
  <si>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</si>
  <si>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</si>
  <si>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</si>
  <si>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</si>
  <si>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</si>
  <si>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</si>
  <si>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</si>
  <si>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</si>
  <si>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</si>
  <si>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</si>
  <si>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</si>
  <si>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</si>
  <si>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</si>
  <si>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</si>
  <si>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</si>
  <si>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</si>
  <si>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</si>
  <si>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</si>
  <si>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</si>
  <si>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</si>
  <si>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</si>
  <si>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</si>
  <si>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</si>
  <si>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</si>
  <si>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</si>
  <si>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</si>
  <si>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</si>
  <si>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</si>
  <si>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</si>
  <si>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</si>
  <si>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</si>
  <si>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</si>
  <si>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</si>
  <si>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</si>
  <si>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</si>
  <si>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</si>
  <si>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</si>
  <si>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</si>
  <si>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</si>
  <si>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</si>
  <si>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</si>
  <si>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</si>
  <si>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</si>
  <si>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</si>
  <si>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</si>
  <si>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</si>
  <si>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</si>
  <si>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</si>
  <si>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</si>
  <si>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</si>
  <si>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</si>
  <si>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</si>
  <si>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</si>
  <si>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</si>
  <si>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</si>
  <si>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</si>
  <si>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</si>
  <si>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</si>
  <si>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</si>
  <si>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</si>
  <si>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</si>
  <si>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</si>
  <si>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</si>
  <si>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</si>
  <si>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</si>
  <si>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</si>
  <si>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</si>
  <si>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</si>
  <si>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</si>
  <si>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</si>
  <si>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</si>
  <si>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</si>
  <si>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</si>
  <si>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</si>
  <si>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</si>
  <si>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</si>
  <si>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</si>
  <si>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</si>
  <si>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</si>
  <si>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</si>
  <si>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</si>
  <si>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</si>
  <si>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</si>
  <si>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</si>
  <si>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</si>
  <si>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</si>
  <si>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</si>
  <si>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</si>
  <si>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</si>
  <si>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</si>
  <si>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</si>
  <si>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</si>
  <si>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</si>
  <si>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</si>
  <si>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</si>
  <si>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</si>
  <si>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</si>
  <si>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</si>
  <si>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</si>
  <si>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</si>
  <si>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</si>
  <si>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</si>
  <si>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</si>
  <si>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</si>
  <si>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</si>
  <si>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</si>
  <si>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</si>
  <si>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</si>
  <si>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</si>
  <si>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</si>
  <si>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</si>
  <si>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</si>
  <si>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</si>
  <si>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</si>
  <si>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</si>
  <si>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</si>
  <si>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</si>
  <si>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</si>
  <si>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</si>
  <si>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</si>
  <si>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</si>
  <si>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</si>
  <si>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</si>
  <si>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</si>
  <si>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</si>
  <si>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</si>
  <si>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</si>
  <si>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</si>
  <si>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</si>
  <si>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</si>
  <si>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</si>
  <si>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</si>
  <si>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</si>
  <si>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</si>
  <si>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</si>
  <si>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</si>
  <si>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</si>
  <si>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</si>
  <si>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</si>
  <si>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</si>
  <si>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</si>
  <si>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</si>
  <si>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</si>
  <si>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</si>
  <si>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</si>
  <si>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</si>
  <si>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</si>
  <si>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</si>
  <si>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</si>
  <si>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</si>
  <si>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</si>
  <si>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</si>
  <si>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</si>
  <si>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</si>
  <si>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</si>
  <si>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</si>
  <si>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</si>
  <si>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</si>
  <si>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</si>
  <si>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</si>
  <si>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</si>
  <si>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</si>
  <si>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</si>
  <si>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</si>
  <si>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</si>
  <si>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</si>
  <si>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</si>
  <si>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</si>
  <si>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</si>
  <si>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</si>
  <si>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</si>
  <si>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</si>
  <si>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</si>
  <si>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</si>
  <si>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</si>
  <si>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</si>
  <si>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</si>
  <si>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</si>
  <si>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</si>
  <si>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</si>
  <si>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</si>
  <si>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</si>
  <si>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</si>
  <si>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</si>
  <si>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</si>
  <si>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</si>
  <si>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</si>
  <si>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</si>
  <si>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</si>
  <si>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</si>
  <si>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</si>
  <si>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</si>
  <si>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</si>
  <si>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</si>
  <si>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</si>
  <si>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</si>
  <si>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</si>
  <si>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</si>
  <si>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</si>
  <si>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</si>
  <si>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</si>
  <si>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</si>
  <si>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</si>
  <si>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</si>
  <si>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</si>
  <si>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</si>
  <si>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</si>
  <si>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</si>
  <si>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</si>
  <si>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</si>
  <si>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</si>
  <si>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</si>
  <si>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</si>
  <si>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</si>
  <si>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</si>
  <si>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</si>
  <si>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</si>
  <si>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</si>
  <si>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</si>
  <si>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</si>
  <si>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</si>
  <si>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</si>
  <si>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</si>
  <si>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</si>
  <si>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</si>
  <si>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</si>
  <si>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</si>
  <si>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</si>
  <si>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</si>
  <si>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</si>
  <si>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</si>
  <si>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</si>
  <si>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</si>
  <si>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</si>
  <si>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</si>
  <si>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</si>
  <si>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</si>
  <si>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</si>
  <si>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</si>
  <si>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</si>
  <si>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</si>
  <si>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</si>
  <si>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</si>
  <si>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</si>
  <si>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</si>
  <si>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</si>
  <si>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</si>
  <si>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</si>
  <si>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</si>
  <si>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</si>
  <si>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</si>
  <si>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</si>
  <si>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</si>
  <si>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</si>
  <si>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</si>
  <si>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</si>
  <si>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</si>
  <si>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</si>
  <si>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</si>
  <si>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</si>
  <si>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</si>
  <si>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</si>
  <si>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</si>
  <si>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</si>
  <si>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</si>
  <si>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</si>
  <si>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</si>
  <si>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</si>
  <si>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</si>
  <si>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</si>
  <si>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</si>
  <si>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</si>
  <si>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</si>
  <si>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</si>
  <si>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</si>
  <si>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</si>
  <si>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</si>
  <si>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</si>
  <si>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</si>
  <si>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</si>
  <si>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</si>
  <si>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</si>
  <si>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</si>
  <si>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</si>
  <si>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</si>
  <si>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</si>
  <si>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</si>
  <si>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</si>
  <si>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</si>
  <si>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</si>
  <si>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</si>
  <si>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</si>
  <si>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</si>
  <si>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</si>
  <si>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</si>
  <si>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</si>
  <si>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</si>
  <si>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</si>
  <si>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</si>
  <si>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</si>
  <si>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</si>
  <si>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</si>
  <si>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</si>
  <si>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</si>
  <si>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</si>
  <si>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</si>
  <si>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</si>
  <si>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</si>
  <si>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</si>
  <si>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</si>
  <si>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</si>
  <si>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</si>
  <si>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</si>
  <si>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</si>
  <si>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</si>
  <si>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</si>
  <si>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</si>
  <si>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</si>
  <si>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</si>
  <si>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</si>
  <si>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</si>
  <si>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</si>
  <si>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</si>
  <si>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</si>
  <si>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</si>
  <si>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</si>
  <si>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</si>
  <si>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</si>
  <si>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</si>
  <si>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</si>
  <si>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</si>
  <si>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</si>
  <si>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</si>
  <si>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</si>
  <si>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</si>
  <si>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</si>
  <si>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</si>
  <si>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</si>
  <si>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</si>
  <si>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</si>
  <si>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</si>
  <si>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</si>
  <si>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</si>
  <si>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</si>
  <si>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</si>
  <si>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</si>
  <si>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</si>
  <si>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</si>
  <si>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</si>
  <si>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</si>
  <si>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</si>
  <si>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</si>
  <si>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</si>
  <si>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</si>
  <si>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</si>
  <si>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</si>
  <si>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</si>
  <si>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</si>
  <si>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</si>
  <si>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</si>
  <si>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</si>
  <si>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</si>
  <si>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</si>
  <si>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</si>
  <si>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</si>
  <si>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</si>
  <si>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</si>
  <si>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</si>
  <si>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</si>
  <si>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</si>
  <si>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</si>
  <si>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</si>
  <si>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</si>
  <si>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</si>
  <si>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</si>
  <si>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</si>
  <si>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</si>
  <si>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</si>
  <si>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</si>
  <si>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</si>
  <si>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</si>
  <si>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</si>
  <si>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</si>
  <si>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</si>
  <si>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</si>
  <si>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</si>
  <si>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</si>
  <si>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</si>
  <si>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</si>
  <si>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</si>
  <si>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</si>
  <si>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</si>
  <si>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</si>
  <si>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</si>
  <si>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</si>
  <si>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</si>
  <si>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</si>
  <si>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</si>
  <si>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</si>
  <si>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</si>
  <si>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</si>
  <si>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</si>
  <si>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</si>
  <si>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</si>
  <si>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</si>
  <si>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</si>
  <si>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</si>
  <si>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</si>
  <si>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</si>
  <si>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</si>
  <si>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</si>
  <si>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</si>
  <si>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</si>
  <si>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</si>
  <si>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</si>
  <si>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</si>
  <si>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</si>
  <si>
    <t>asdfasdf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</si>
  <si>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</si>
  <si>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</si>
  <si>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</si>
  <si>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</si>
  <si>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</si>
  <si>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</si>
  <si>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</si>
  <si>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</si>
  <si>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</si>
  <si>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</si>
  <si>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</si>
  <si>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</si>
  <si>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</si>
  <si>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</si>
  <si>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</si>
  <si>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</si>
  <si>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</si>
  <si>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</si>
  <si>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</si>
  <si>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</si>
  <si>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</si>
  <si>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</si>
  <si>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</si>
  <si>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</si>
  <si>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</si>
  <si>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</si>
  <si>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</si>
  <si>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</si>
  <si>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</si>
  <si>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</si>
  <si>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</si>
  <si>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</si>
  <si>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CLFF_7210$$$2148TFCZ62 IVDR Costs Allocated Out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</si>
  <si>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</si>
  <si>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</si>
  <si>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</si>
  <si>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</si>
  <si>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</si>
  <si>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</si>
  <si>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</si>
  <si>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</si>
  <si>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</si>
  <si>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</si>
  <si>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</si>
  <si>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</si>
  <si>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</si>
  <si>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</si>
  <si>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</si>
  <si>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2123GMS080</t>
  </si>
  <si>
    <t>2123GMS050</t>
  </si>
  <si>
    <t/>
  </si>
  <si>
    <t>DE10GMS070</t>
  </si>
  <si>
    <t>DE10YIT014</t>
  </si>
  <si>
    <t>DE10669638</t>
  </si>
  <si>
    <t>2123GIT313</t>
  </si>
  <si>
    <t>2123GIT312</t>
  </si>
  <si>
    <t>2123GIT311</t>
  </si>
  <si>
    <t>2123GIT025</t>
  </si>
  <si>
    <t>2123GIT097</t>
  </si>
  <si>
    <t>2123GIT085</t>
  </si>
  <si>
    <t>2123GIT135</t>
  </si>
  <si>
    <t>2123C00079</t>
  </si>
  <si>
    <t>2123GIT096</t>
  </si>
  <si>
    <t>2123GIT098</t>
  </si>
  <si>
    <t>2123GST008</t>
  </si>
  <si>
    <t>2123GIT520</t>
  </si>
  <si>
    <t>2123GIT448</t>
  </si>
  <si>
    <t>2123GIT212</t>
  </si>
  <si>
    <t>2123GIT027</t>
  </si>
  <si>
    <t>2123GIT129</t>
  </si>
  <si>
    <t>2123C00103</t>
  </si>
  <si>
    <t>2123TPSZ93</t>
  </si>
  <si>
    <t>2123C00028</t>
  </si>
  <si>
    <t>2123YIT004</t>
  </si>
  <si>
    <t>2123YIT005</t>
  </si>
  <si>
    <t>2123L50005</t>
  </si>
  <si>
    <t>2123GMI021</t>
  </si>
  <si>
    <t>2123GM1110</t>
  </si>
  <si>
    <t>2123OF0010</t>
  </si>
  <si>
    <t>2123GMB010</t>
  </si>
  <si>
    <t>2123GIT127</t>
  </si>
  <si>
    <t>2123C00009</t>
  </si>
  <si>
    <t>2123GMS030</t>
  </si>
  <si>
    <t>2123GMS040</t>
  </si>
  <si>
    <t>2123OF0027</t>
  </si>
  <si>
    <t>2123OF0033</t>
  </si>
  <si>
    <t>2123GMI020</t>
  </si>
  <si>
    <t>2123GIT126</t>
  </si>
  <si>
    <t>2123TQJZ94</t>
  </si>
  <si>
    <t>2034GIT120</t>
  </si>
  <si>
    <t>2029GIT120</t>
  </si>
  <si>
    <t>KR03GIT01B</t>
  </si>
  <si>
    <t>CH50GIT032</t>
  </si>
  <si>
    <t>CH65GIT011</t>
  </si>
  <si>
    <t>CH65YIT001</t>
  </si>
  <si>
    <t>EG50GIT030</t>
  </si>
  <si>
    <t>EG50GIT051</t>
  </si>
  <si>
    <t>CN70GIT301</t>
  </si>
  <si>
    <t>DE10Y00008</t>
  </si>
  <si>
    <t>DE10669642</t>
  </si>
  <si>
    <t>DE10669630</t>
  </si>
  <si>
    <t>DE10698300</t>
  </si>
  <si>
    <t>DE10GMS041</t>
  </si>
  <si>
    <t>DE10GMS020</t>
  </si>
  <si>
    <t>DE10638450</t>
  </si>
  <si>
    <t>DE10512501</t>
  </si>
  <si>
    <t>DE10512502</t>
  </si>
  <si>
    <t>DE10638460</t>
  </si>
  <si>
    <t>DE10512503</t>
  </si>
  <si>
    <t>DE10638470</t>
  </si>
  <si>
    <t>DE10638480</t>
  </si>
  <si>
    <t>DE10YIT013</t>
  </si>
  <si>
    <t>DE10669656</t>
  </si>
  <si>
    <t>DE10669646</t>
  </si>
  <si>
    <t>DE10669632</t>
  </si>
  <si>
    <t>DE10YIT011</t>
  </si>
  <si>
    <t>DE10YIT012</t>
  </si>
  <si>
    <t>DE10YIT008</t>
  </si>
  <si>
    <t>DE10YIT009</t>
  </si>
  <si>
    <t>DE10GIT05A</t>
  </si>
  <si>
    <t>DE10GIT06A</t>
  </si>
  <si>
    <t>DE10669635</t>
  </si>
  <si>
    <t>DE10GIT706</t>
  </si>
  <si>
    <t>DE10561800</t>
  </si>
  <si>
    <t>DE10635800</t>
  </si>
  <si>
    <t>DE10669636</t>
  </si>
  <si>
    <t>DE10643100</t>
  </si>
  <si>
    <t>DE10677200</t>
  </si>
  <si>
    <t>DE10656400</t>
  </si>
  <si>
    <t>DE10512500</t>
  </si>
  <si>
    <t>DE10679600</t>
  </si>
  <si>
    <t>DE10574000</t>
  </si>
  <si>
    <t>DE10517000</t>
  </si>
  <si>
    <t>DE10677003</t>
  </si>
  <si>
    <t>DE10643112</t>
  </si>
  <si>
    <t>DE10519000</t>
  </si>
  <si>
    <t>DE10518000</t>
  </si>
  <si>
    <t>US01GIT01B</t>
  </si>
  <si>
    <t>IT50GM9100</t>
  </si>
  <si>
    <t>IT50GIT01C</t>
  </si>
  <si>
    <t>DE65GIT033</t>
  </si>
  <si>
    <t>NL50GMS010</t>
  </si>
  <si>
    <t>ES50GIT60L</t>
  </si>
  <si>
    <t>ES50GIT220</t>
  </si>
  <si>
    <t>ES50GIT208</t>
  </si>
  <si>
    <t>DE04GIT01B</t>
  </si>
  <si>
    <t>CN01GIT01B</t>
  </si>
  <si>
    <t>CN90GM4004</t>
  </si>
  <si>
    <t>CN90GIT120</t>
  </si>
  <si>
    <t>CN90GIT306</t>
  </si>
  <si>
    <t>CN90GIT301</t>
  </si>
  <si>
    <t>ZA50GIT10E</t>
  </si>
  <si>
    <t>DE65GIT032</t>
  </si>
  <si>
    <t>Current Parent</t>
  </si>
  <si>
    <t>FR7580945</t>
  </si>
  <si>
    <t>CTEMPEU_1000CH70T1SX01</t>
  </si>
  <si>
    <t>L000013337</t>
  </si>
  <si>
    <t>FR7581232</t>
  </si>
  <si>
    <t>CFLTFLE_22450000002746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</si>
  <si>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</si>
  <si>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</si>
  <si>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</si>
  <si>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</si>
  <si>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</si>
  <si>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</si>
  <si>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</si>
  <si>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</si>
  <si>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</si>
  <si>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</si>
  <si>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</si>
  <si>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</si>
  <si>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</si>
  <si>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</si>
  <si>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</si>
  <si>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</si>
  <si>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</si>
  <si>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</si>
  <si>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</si>
  <si>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</si>
  <si>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</si>
  <si>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</si>
  <si>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</si>
  <si>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</si>
  <si>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</si>
  <si>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</si>
  <si>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</si>
  <si>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</si>
  <si>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</si>
  <si>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L000013877</t>
  </si>
  <si>
    <t>L000008448_IO</t>
  </si>
  <si>
    <t>L000012313_IO</t>
  </si>
  <si>
    <t>LFF_7210$$$2068TAUA01</t>
  </si>
  <si>
    <t>L000009723</t>
  </si>
  <si>
    <t>H000000971</t>
  </si>
  <si>
    <t>DFLTPGCOH_002245</t>
  </si>
  <si>
    <t>L000013875</t>
  </si>
  <si>
    <t>G000000123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</si>
</sst>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8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0.942673263889" createdVersion="7" refreshedVersion="7" minRefreshableVersion="3" recordCount="3477" xr:uid="{11839AE3-6158-4318-87AD-2C711D0BF451}">
  <cacheSource type="worksheet">
    <worksheetSource name="Proc"/>
  </cacheSource>
  <cacheFields count="19">
    <cacheField name="App" numFmtId="0">
      <sharedItems containsBlank="1" count="150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2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20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9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9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8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8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0"/>
    <n v="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0"/>
    <n v="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0"/>
    <n v="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0"/>
    <n v="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0"/>
    <n v="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0"/>
    <n v="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0"/>
    <n v="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0"/>
    <n v="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0"/>
    <n v="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0"/>
    <n v="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0"/>
    <n v="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0"/>
    <n v="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0"/>
    <n v="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0"/>
    <n v="4"/>
    <s v="Jay-R Lizardo"/>
    <m/>
  </r>
  <r>
    <x v="315"/>
    <x v="1"/>
    <x v="8"/>
    <s v="CLFF_1000$$$DE65GIT032"/>
    <s v="G000000256"/>
    <s v="DFLTPGCOH_BF-C2_001242"/>
    <s v="LFF (MDG-F)"/>
    <s v="DE65GIT032"/>
    <m/>
    <b v="0"/>
    <x v="0"/>
    <x v="3"/>
    <d v="2025-08-05T00:00:00"/>
    <m/>
    <m/>
    <x v="0"/>
    <n v="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0"/>
    <n v="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0"/>
    <n v="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0"/>
    <n v="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0"/>
    <n v="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0"/>
    <n v="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0"/>
    <n v="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0"/>
    <n v="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0"/>
    <n v="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0"/>
    <n v="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0"/>
    <n v="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0"/>
    <n v="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0"/>
    <n v="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0"/>
    <n v="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0"/>
    <n v="4"/>
    <s v="Jay-R Lizardo"/>
    <m/>
  </r>
  <r>
    <x v="315"/>
    <x v="1"/>
    <x v="5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0"/>
    <n v="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0"/>
    <n v="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0"/>
    <n v="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0"/>
    <n v="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0"/>
    <n v="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0"/>
    <n v="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0"/>
    <n v="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0"/>
    <n v="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0"/>
    <n v="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0"/>
    <n v="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0"/>
    <n v="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0"/>
    <n v="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0"/>
    <n v="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0"/>
    <n v="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0"/>
    <n v="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0"/>
    <n v="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0"/>
    <n v="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0"/>
    <n v="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0"/>
    <n v="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0"/>
    <n v="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0"/>
    <n v="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0"/>
    <n v="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0"/>
    <n v="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0"/>
    <n v="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0"/>
    <n v="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0"/>
    <n v="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0"/>
    <n v="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0"/>
    <n v="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0"/>
    <n v="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0"/>
    <n v="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0"/>
    <n v="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0"/>
    <n v="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0"/>
    <n v="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0"/>
    <n v="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0"/>
    <n v="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0"/>
    <n v="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0"/>
    <n v="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0"/>
    <n v="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0"/>
    <n v="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0"/>
    <n v="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0"/>
    <n v="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0"/>
    <n v="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0"/>
    <n v="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0"/>
    <n v="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0"/>
    <n v="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0"/>
    <n v="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0"/>
    <n v="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0"/>
    <n v="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0"/>
    <n v="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0"/>
    <n v="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0"/>
    <n v="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0"/>
    <n v="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0"/>
    <n v="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0"/>
    <n v="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0"/>
    <n v="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0"/>
    <n v="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0"/>
    <n v="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0"/>
    <n v="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0"/>
    <n v="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0"/>
    <n v="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0"/>
    <n v="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0"/>
    <n v="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0"/>
    <n v="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0"/>
    <n v="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0"/>
    <n v="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0"/>
    <n v="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0"/>
    <n v="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0"/>
    <n v="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0"/>
    <n v="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0"/>
    <n v="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0"/>
    <n v="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0"/>
    <n v="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0"/>
    <n v="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0"/>
    <n v="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0"/>
    <n v="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0"/>
    <n v="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0"/>
    <n v="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0"/>
    <n v="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0"/>
    <n v="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0"/>
    <n v="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0"/>
    <n v="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0"/>
    <n v="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0"/>
    <n v="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0"/>
    <n v="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0"/>
    <n v="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1"/>
    <s v="Ruby Grace Garcia"/>
    <m/>
  </r>
  <r>
    <x v="319"/>
    <x v="1"/>
    <x v="5"/>
    <s v="CLFF_1000$$$DE10Z03112"/>
    <s v="P000001206"/>
    <s v="G000000243"/>
    <s v="LFF (MDG-F)"/>
    <s v="DE10Z03112"/>
    <m/>
    <b v="0"/>
    <x v="0"/>
    <x v="3"/>
    <d v="2025-08-08T00:00:00"/>
    <m/>
    <m/>
    <x v="0"/>
    <n v="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1"/>
    <s v="Ruby Grace Garcia"/>
    <m/>
  </r>
  <r>
    <x v="321"/>
    <x v="1"/>
    <x v="5"/>
    <s v="CLFF_7210$$$2068TAUA01 Urbana Equipment CC"/>
    <s v="L000013875"/>
    <s v="LFF_7210$$$2068TAUA01"/>
    <s v="LFF (MDG-F)"/>
    <s v="2068TAUA01"/>
    <m/>
    <b v="0"/>
    <x v="2"/>
    <x v="3"/>
    <d v="2025-08-08T00:00:00"/>
    <m/>
    <m/>
    <x v="0"/>
    <n v="1"/>
    <s v="Ruby Grace Garcia"/>
    <m/>
  </r>
  <r>
    <x v="322"/>
    <x v="1"/>
    <x v="5"/>
    <s v="CLFF_7210$$$2068TAUA00 Urbana Operations Main CC"/>
    <s v="L000013875"/>
    <s v="L000013447"/>
    <s v="LFF (MDG-F)"/>
    <s v="2068TAUA00"/>
    <m/>
    <b v="0"/>
    <x v="2"/>
    <x v="3"/>
    <d v="2025-08-08T00:00:00"/>
    <m/>
    <m/>
    <x v="0"/>
    <n v="1"/>
    <s v="Ruby Grace Garcia"/>
    <m/>
  </r>
  <r>
    <x v="322"/>
    <x v="1"/>
    <x v="5"/>
    <s v="CLFF_7210$$$2068TAUA99 Urbana Labor"/>
    <s v="L000013875"/>
    <s v="L000013447"/>
    <s v="LFF (MDG-F)"/>
    <s v="2068TAUA99"/>
    <m/>
    <b v="0"/>
    <x v="2"/>
    <x v="3"/>
    <d v="2025-08-08T00:00:00"/>
    <m/>
    <m/>
    <x v="0"/>
    <n v="1"/>
    <s v="Ruby Grace Garcia"/>
    <m/>
  </r>
  <r>
    <x v="322"/>
    <x v="1"/>
    <x v="5"/>
    <s v="CLFF_7210$$$2068TBUZ21 Urbana QC"/>
    <s v="L000013875"/>
    <s v="L000013447"/>
    <s v="LFF (MDG-F)"/>
    <s v="2068TBUZ21"/>
    <m/>
    <b v="0"/>
    <x v="2"/>
    <x v="3"/>
    <d v="2025-08-08T00:00:00"/>
    <m/>
    <m/>
    <x v="0"/>
    <n v="1"/>
    <s v="Ruby Grace Garcia"/>
    <m/>
  </r>
  <r>
    <x v="322"/>
    <x v="1"/>
    <x v="5"/>
    <s v="CLFF_7210$$$2068TFUZ61 Urbana Management"/>
    <s v="L000013875"/>
    <s v="L000013447"/>
    <s v="LFF (MDG-F)"/>
    <s v="2068TFUZ61"/>
    <m/>
    <b v="0"/>
    <x v="2"/>
    <x v="3"/>
    <d v="2025-08-08T00:00:00"/>
    <m/>
    <m/>
    <x v="0"/>
    <n v="1"/>
    <s v="Ruby Grace Garcia"/>
    <m/>
  </r>
  <r>
    <x v="322"/>
    <x v="1"/>
    <x v="5"/>
    <s v="CLFF_7210$$$2068TKUZ70 Urbana MAOH"/>
    <s v="L000013875"/>
    <s v="L000013447"/>
    <s v="LFF (MDG-F)"/>
    <s v="2068TKUZ70"/>
    <m/>
    <b v="0"/>
    <x v="2"/>
    <x v="3"/>
    <d v="2025-08-08T00:00:00"/>
    <m/>
    <m/>
    <x v="0"/>
    <n v="1"/>
    <s v="Ruby Grace Garcia"/>
    <m/>
  </r>
  <r>
    <x v="322"/>
    <x v="1"/>
    <x v="5"/>
    <s v="CLFF_7210$$$2068TQUZ90 Urbana Warehouse"/>
    <s v="L000013875"/>
    <s v="L000013447"/>
    <s v="LFF (MDG-F)"/>
    <s v="2068TQUZ90"/>
    <m/>
    <b v="0"/>
    <x v="2"/>
    <x v="3"/>
    <d v="2025-08-08T00:00:00"/>
    <m/>
    <m/>
    <x v="0"/>
    <n v="1"/>
    <s v="Ruby Grace Garcia"/>
    <m/>
  </r>
  <r>
    <x v="322"/>
    <x v="1"/>
    <x v="5"/>
    <s v="CLFF_7210$$$2148TFCZ62 IVDR Costs Allocated Out"/>
    <s v="L000013876"/>
    <s v="L000009723"/>
    <s v="LFF (MDG-F)"/>
    <s v="2148TFCZ62"/>
    <m/>
    <b v="0"/>
    <x v="2"/>
    <x v="3"/>
    <d v="2025-08-08T00:00:00"/>
    <m/>
    <m/>
    <x v="0"/>
    <n v="1"/>
    <s v="Ruby Grace Garcia"/>
    <m/>
  </r>
  <r>
    <x v="322"/>
    <x v="1"/>
    <x v="5"/>
    <s v="CLFF_7210$$$2148TFSZ62 IVDR Costs Allocated Out"/>
    <s v="L000013876"/>
    <s v="L000013816"/>
    <s v="LFF (MDG-F)"/>
    <s v="2148TFSZ62"/>
    <m/>
    <b v="0"/>
    <x v="2"/>
    <x v="3"/>
    <d v="2025-08-08T00:00:00"/>
    <m/>
    <m/>
    <x v="0"/>
    <n v="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1"/>
    <s v="Erjo Miguel Tagle"/>
    <m/>
  </r>
  <r>
    <x v="324"/>
    <x v="1"/>
    <x v="5"/>
    <s v="CTEMPEU_1000CH70T1SX01"/>
    <s v="L000013337"/>
    <s v="H000000971"/>
    <s v="Non-LFF"/>
    <s v=""/>
    <m/>
    <b v="0"/>
    <x v="1"/>
    <x v="3"/>
    <d v="2025-08-11T00:00:00"/>
    <m/>
    <m/>
    <x v="0"/>
    <n v="0"/>
    <s v="Henry Ifurung Jr."/>
    <m/>
  </r>
  <r>
    <x v="325"/>
    <x v="1"/>
    <x v="5"/>
    <s v="CFLTFLE_22450000002746"/>
    <s v="G000000123"/>
    <s v="DFLTPGCOH_002245"/>
    <s v="Non-LFF"/>
    <s v=""/>
    <m/>
    <b v="0"/>
    <x v="0"/>
    <x v="3"/>
    <d v="2025-08-11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4" firstHeaderRow="1" firstDataRow="1" firstDataCol="1" rowPageCount="1" colPageCount="1"/>
  <pivotFields count="19">
    <pivotField axis="axisRow" showAll="0" sortType="ascending">
      <items count="1508">
        <item m="1" x="892"/>
        <item x="0"/>
        <item m="1" x="962"/>
        <item m="1" x="1383"/>
        <item m="1" x="545"/>
        <item m="1" x="1400"/>
        <item m="1" x="922"/>
        <item m="1" x="1012"/>
        <item m="1" x="1433"/>
        <item m="1" x="1227"/>
        <item m="1" x="915"/>
        <item m="1" x="1499"/>
        <item m="1" x="1245"/>
        <item m="1" x="1489"/>
        <item m="1" x="863"/>
        <item m="1" x="764"/>
        <item m="1" x="468"/>
        <item m="1" x="729"/>
        <item m="1" x="1453"/>
        <item m="1" x="521"/>
        <item m="1" x="829"/>
        <item m="1" x="1197"/>
        <item m="1" x="912"/>
        <item m="1" x="1005"/>
        <item m="1" x="1301"/>
        <item m="1" x="1486"/>
        <item m="1" x="947"/>
        <item m="1" x="969"/>
        <item m="1" x="734"/>
        <item m="1" x="1135"/>
        <item m="1" x="894"/>
        <item m="1" x="1440"/>
        <item m="1" x="1097"/>
        <item m="1" x="530"/>
        <item m="1" x="638"/>
        <item m="1" x="1425"/>
        <item m="1" x="1189"/>
        <item m="1" x="443"/>
        <item m="1" x="1275"/>
        <item m="1" x="941"/>
        <item m="1" x="1236"/>
        <item m="1" x="822"/>
        <item m="1" x="1174"/>
        <item m="1" x="433"/>
        <item m="1" x="463"/>
        <item m="1" x="1502"/>
        <item m="1" x="1181"/>
        <item m="1" x="1249"/>
        <item m="1" x="1356"/>
        <item m="1" x="1125"/>
        <item m="1" x="1223"/>
        <item m="1" x="1062"/>
        <item m="1" x="517"/>
        <item m="1" x="708"/>
        <item m="1" x="1484"/>
        <item m="1" x="1052"/>
        <item m="1" x="1192"/>
        <item m="1" x="720"/>
        <item m="1" x="681"/>
        <item m="1" x="973"/>
        <item m="1" x="865"/>
        <item m="1" x="898"/>
        <item m="1" x="457"/>
        <item m="1" x="596"/>
        <item m="1" x="1258"/>
        <item m="1" x="1475"/>
        <item m="1" x="661"/>
        <item m="1" x="1066"/>
        <item m="1" x="1076"/>
        <item m="1" x="1253"/>
        <item m="1" x="1363"/>
        <item m="1" x="1241"/>
        <item m="1" x="536"/>
        <item m="1" x="1384"/>
        <item m="1" x="1114"/>
        <item m="1" x="1101"/>
        <item m="1" x="636"/>
        <item m="1" x="989"/>
        <item m="1" x="1336"/>
        <item m="1" x="454"/>
        <item m="1" x="1033"/>
        <item m="1" x="1386"/>
        <item m="1" x="1224"/>
        <item m="1" x="959"/>
        <item m="1" x="1001"/>
        <item m="1" x="882"/>
        <item m="1" x="1117"/>
        <item m="1" x="929"/>
        <item m="1" x="1161"/>
        <item m="1" x="645"/>
        <item m="1" x="1474"/>
        <item m="1" x="999"/>
        <item m="1" x="1285"/>
        <item m="1" x="362"/>
        <item m="1" x="1490"/>
        <item m="1" x="1026"/>
        <item m="1" x="1315"/>
        <item m="1" x="1228"/>
        <item m="1" x="1006"/>
        <item m="1" x="516"/>
        <item m="1" x="523"/>
        <item m="1" x="563"/>
        <item m="1" x="745"/>
        <item m="1" x="1169"/>
        <item m="1" x="930"/>
        <item m="1" x="1046"/>
        <item m="1" x="1109"/>
        <item m="1" x="1256"/>
        <item m="1" x="1339"/>
        <item m="1" x="901"/>
        <item m="1" x="622"/>
        <item m="1" x="465"/>
        <item m="1" x="608"/>
        <item m="1" x="1483"/>
        <item m="1" x="640"/>
        <item m="1" x="1321"/>
        <item m="1" x="1250"/>
        <item m="1" x="868"/>
        <item m="1" x="940"/>
        <item m="1" x="806"/>
        <item m="1" x="1063"/>
        <item m="1" x="1438"/>
        <item m="1" x="614"/>
        <item m="1" x="562"/>
        <item m="1" x="497"/>
        <item m="1" x="1163"/>
        <item m="1" x="1423"/>
        <item m="1" x="1351"/>
        <item m="1" x="1008"/>
        <item m="1" x="532"/>
        <item m="1" x="1257"/>
        <item m="1" x="709"/>
        <item m="1" x="963"/>
        <item m="1" x="1138"/>
        <item m="1" x="1246"/>
        <item m="1" x="366"/>
        <item m="1" x="1195"/>
        <item m="1" x="1158"/>
        <item m="1" x="599"/>
        <item m="1" x="1047"/>
        <item m="1" x="935"/>
        <item m="1" x="888"/>
        <item m="1" x="621"/>
        <item m="1" x="557"/>
        <item m="1" x="797"/>
        <item m="1" x="984"/>
        <item m="1" x="391"/>
        <item m="1" x="730"/>
        <item m="1" x="589"/>
        <item m="1" x="331"/>
        <item m="1" x="841"/>
        <item m="1" x="1042"/>
        <item m="1" x="924"/>
        <item m="1" x="970"/>
        <item m="1" x="1289"/>
        <item m="1" x="871"/>
        <item m="1" x="1397"/>
        <item m="1" x="1121"/>
        <item m="1" x="1060"/>
        <item m="1" x="574"/>
        <item m="1" x="1207"/>
        <item m="1" x="1485"/>
        <item m="1" x="1173"/>
        <item m="1" x="1157"/>
        <item m="1" x="444"/>
        <item m="1" x="492"/>
        <item m="1" x="1027"/>
        <item m="1" x="533"/>
        <item m="1" x="1470"/>
        <item m="1" x="1136"/>
        <item m="1" x="1061"/>
        <item m="1" x="1013"/>
        <item m="1" x="814"/>
        <item m="1" x="442"/>
        <item m="1" x="542"/>
        <item m="1" x="648"/>
        <item m="1" x="1381"/>
        <item m="1" x="1413"/>
        <item m="1" x="1112"/>
        <item m="1" x="839"/>
        <item m="1" x="927"/>
        <item m="1" x="437"/>
        <item m="1" x="477"/>
        <item m="1" x="816"/>
        <item m="1" x="1041"/>
        <item m="1" x="954"/>
        <item m="1" x="612"/>
        <item m="1" x="845"/>
        <item m="1" x="559"/>
        <item m="1" x="754"/>
        <item m="1" x="676"/>
        <item m="1" x="511"/>
        <item m="1" x="647"/>
        <item m="1" x="1017"/>
        <item m="1" x="427"/>
        <item m="1" x="666"/>
        <item m="1" x="458"/>
        <item m="1" x="1151"/>
        <item m="1" x="1340"/>
        <item m="1" x="950"/>
        <item m="1" x="594"/>
        <item m="1" x="1244"/>
        <item m="1" x="1089"/>
        <item m="1" x="606"/>
        <item m="1" x="607"/>
        <item m="1" x="792"/>
        <item m="1" x="482"/>
        <item m="1" x="671"/>
        <item m="1" x="466"/>
        <item m="1" x="652"/>
        <item m="1" x="1220"/>
        <item m="1" x="731"/>
        <item m="1" x="1098"/>
        <item m="1" x="1148"/>
        <item m="1" x="1282"/>
        <item m="1" x="1286"/>
        <item m="1" x="1003"/>
        <item m="1" x="844"/>
        <item m="1" x="883"/>
        <item m="1" x="1450"/>
        <item m="1" x="743"/>
        <item m="1" x="555"/>
        <item m="1" x="933"/>
        <item m="1" x="390"/>
        <item m="1" x="1454"/>
        <item m="1" x="917"/>
        <item m="1" x="351"/>
        <item m="1" x="1372"/>
        <item m="1" x="1415"/>
        <item m="1" x="1252"/>
        <item m="1" x="629"/>
        <item m="1" x="368"/>
        <item m="1" x="1302"/>
        <item m="1" x="693"/>
        <item m="1" x="329"/>
        <item m="1" x="1473"/>
        <item m="1" x="717"/>
        <item m="1" x="872"/>
        <item m="1" x="1317"/>
        <item m="1" x="404"/>
        <item m="1" x="1229"/>
        <item m="1" x="1037"/>
        <item m="1" x="902"/>
        <item m="1" x="772"/>
        <item m="1" x="519"/>
        <item m="1" x="1020"/>
        <item m="1" x="722"/>
        <item m="1" x="1260"/>
        <item m="1" x="582"/>
        <item m="1" x="1330"/>
        <item m="1" x="1337"/>
        <item m="1" x="1021"/>
        <item m="1" x="1211"/>
        <item m="1" x="628"/>
        <item m="1" x="925"/>
        <item m="1" x="1214"/>
        <item m="1" x="798"/>
        <item m="1" x="1088"/>
        <item m="1" x="727"/>
        <item m="1" x="512"/>
        <item m="1" x="716"/>
        <item m="1" x="1482"/>
        <item m="1" x="1424"/>
        <item m="1" x="569"/>
        <item m="1" x="1370"/>
        <item m="1" x="376"/>
        <item m="1" x="1392"/>
        <item m="1" x="411"/>
        <item m="1" x="713"/>
        <item m="1" x="811"/>
        <item m="1" x="758"/>
        <item m="1" x="1365"/>
        <item m="1" x="1268"/>
        <item m="1" x="509"/>
        <item m="1" x="1079"/>
        <item m="1" x="1287"/>
        <item m="1" x="1421"/>
        <item m="1" x="1328"/>
        <item m="1" x="414"/>
        <item m="1" x="1494"/>
        <item m="1" x="565"/>
        <item m="1" x="846"/>
        <item m="1" x="1290"/>
        <item m="1" x="413"/>
        <item m="1" x="1349"/>
        <item m="1" x="578"/>
        <item m="1" x="1222"/>
        <item m="1" x="1086"/>
        <item m="1" x="1064"/>
        <item m="1" x="643"/>
        <item m="1" x="605"/>
        <item m="1" x="1417"/>
        <item m="1" x="358"/>
        <item m="1" x="540"/>
        <item m="1" x="1199"/>
        <item m="1" x="1310"/>
        <item m="1" x="1237"/>
        <item m="1" x="1441"/>
        <item m="1" x="945"/>
        <item m="1" x="572"/>
        <item m="1" x="692"/>
        <item m="1" x="1011"/>
        <item m="1" x="753"/>
        <item m="1" x="1081"/>
        <item m="1" x="694"/>
        <item m="1" x="496"/>
        <item m="1" x="1149"/>
        <item m="1" x="551"/>
        <item m="1" x="431"/>
        <item m="1" x="1283"/>
        <item m="1" x="1430"/>
        <item m="1" x="1131"/>
        <item m="1" x="396"/>
        <item m="1" x="1322"/>
        <item m="1" x="1120"/>
        <item m="1" x="1230"/>
        <item m="1" x="1369"/>
        <item m="1" x="597"/>
        <item m="1" x="789"/>
        <item m="1" x="627"/>
        <item m="1" x="895"/>
        <item m="1" x="819"/>
        <item m="1" x="849"/>
        <item m="1" x="1385"/>
        <item m="1" x="831"/>
        <item m="1" x="1034"/>
        <item m="1" x="566"/>
        <item m="1" x="765"/>
        <item m="1" x="739"/>
        <item m="1" x="1082"/>
        <item m="1" x="985"/>
        <item m="1" x="1213"/>
        <item m="1" x="735"/>
        <item m="1" x="1371"/>
        <item m="1" x="573"/>
        <item m="1" x="499"/>
        <item m="1" x="755"/>
        <item m="1" x="1296"/>
        <item m="1" x="406"/>
        <item m="1" x="407"/>
        <item m="1" x="703"/>
        <item m="1" x="1376"/>
        <item m="1" x="770"/>
        <item m="1" x="415"/>
        <item m="1" x="575"/>
        <item m="1" x="817"/>
        <item m="1" x="1128"/>
        <item m="1" x="1100"/>
        <item m="1" x="771"/>
        <item m="1" x="352"/>
        <item m="1" x="490"/>
        <item m="1" x="702"/>
        <item m="1" x="590"/>
        <item m="1" x="347"/>
        <item m="1" x="1300"/>
        <item m="1" x="1429"/>
        <item m="1" x="899"/>
        <item m="1" x="1329"/>
        <item m="1" x="1389"/>
        <item m="1" x="412"/>
        <item m="1" x="1427"/>
        <item m="1" x="1165"/>
        <item m="1" x="588"/>
        <item m="1" x="774"/>
        <item m="1" x="678"/>
        <item m="1" x="1040"/>
        <item m="1" x="611"/>
        <item m="1" x="827"/>
        <item m="1" x="1122"/>
        <item m="1" x="1247"/>
        <item m="1" x="750"/>
        <item m="1" x="878"/>
        <item m="1" x="690"/>
        <item m="1" x="616"/>
        <item m="1" x="1127"/>
        <item m="1" x="1242"/>
        <item m="1" x="1404"/>
        <item m="1" x="446"/>
        <item m="1" x="650"/>
        <item m="1" x="1090"/>
        <item m="1" x="491"/>
        <item m="1" x="778"/>
        <item m="1" x="1159"/>
        <item m="1" x="424"/>
        <item m="1" x="634"/>
        <item m="1" x="744"/>
        <item m="1" x="1350"/>
        <item m="1" x="583"/>
        <item m="1" x="853"/>
        <item m="1" x="1406"/>
        <item m="1" x="534"/>
        <item m="1" x="723"/>
        <item m="1" x="911"/>
        <item m="1" x="1248"/>
        <item m="1" x="546"/>
        <item m="1" x="802"/>
        <item m="1" x="644"/>
        <item m="1" x="1140"/>
        <item m="1" x="1326"/>
        <item m="1" x="452"/>
        <item m="1" x="672"/>
        <item m="1" x="1408"/>
        <item m="1" x="1373"/>
        <item m="1" x="473"/>
        <item m="1" x="790"/>
        <item m="1" x="1314"/>
        <item m="1" x="1445"/>
        <item m="1" x="1316"/>
        <item m="1" x="1291"/>
        <item m="1" x="422"/>
        <item m="1" x="598"/>
        <item m="1" x="680"/>
        <item m="1" x="669"/>
        <item m="1" x="896"/>
        <item m="1" x="384"/>
        <item m="1" x="1083"/>
        <item m="1" x="1154"/>
        <item m="1" x="336"/>
        <item m="1" x="1414"/>
        <item m="1" x="1276"/>
        <item m="1" x="1405"/>
        <item m="1" x="1435"/>
        <item m="1" x="1471"/>
        <item m="1" x="1409"/>
        <item m="1" x="773"/>
        <item m="1" x="1133"/>
        <item m="1" x="740"/>
        <item m="1" x="1146"/>
        <item m="1" x="1111"/>
        <item m="1" x="549"/>
        <item m="1" x="587"/>
        <item m="1" x="725"/>
        <item m="1" x="1190"/>
        <item m="1" x="710"/>
        <item m="1" x="456"/>
        <item m="1" x="1455"/>
        <item m="1" x="1205"/>
        <item m="1" x="1038"/>
        <item m="1" x="1070"/>
        <item m="1" x="1119"/>
        <item m="1" x="544"/>
        <item m="1" x="886"/>
        <item m="1" x="1231"/>
        <item m="1" x="382"/>
        <item m="1" x="625"/>
        <item m="1" x="525"/>
        <item m="1" x="522"/>
        <item m="1" x="526"/>
        <item m="1" x="327"/>
        <item m="1" x="548"/>
        <item m="1" x="1345"/>
        <item m="1" x="349"/>
        <item m="1" x="995"/>
        <item m="1" x="1432"/>
        <item m="1" x="1243"/>
        <item m="1" x="503"/>
        <item m="1" x="1503"/>
        <item m="1" x="432"/>
        <item m="1" x="799"/>
        <item m="1" x="1022"/>
        <item m="1" x="478"/>
        <item m="1" x="931"/>
        <item m="1" x="1091"/>
        <item m="1" x="1359"/>
        <item m="1" x="1261"/>
        <item m="1" x="340"/>
        <item m="1" x="1023"/>
        <item m="1" x="423"/>
        <item m="1" x="659"/>
        <item m="1" x="631"/>
        <item m="1" x="393"/>
        <item m="1" x="986"/>
        <item m="1" x="993"/>
        <item m="1" x="1093"/>
        <item m="1" x="842"/>
        <item m="1" x="1342"/>
        <item m="1" x="751"/>
        <item m="1" x="1461"/>
        <item m="1" x="1096"/>
        <item m="1" x="987"/>
        <item m="1" x="651"/>
        <item m="1" x="1059"/>
        <item m="1" x="1357"/>
        <item m="1" x="1422"/>
        <item m="1" x="1401"/>
        <item m="1" x="1331"/>
        <item m="1" x="1080"/>
        <item m="1" x="1193"/>
        <item m="1" x="706"/>
        <item m="1" x="1155"/>
        <item m="1" x="980"/>
        <item m="1" x="939"/>
        <item m="1" x="937"/>
        <item m="1" x="938"/>
        <item m="1" x="635"/>
        <item m="1" x="679"/>
        <item m="1" x="1292"/>
        <item m="1" x="857"/>
        <item m="1" x="699"/>
        <item m="1" x="741"/>
        <item m="1" x="787"/>
        <item m="1" x="1039"/>
        <item m="1" x="1377"/>
        <item m="1" x="1466"/>
        <item m="1" x="584"/>
        <item m="1" x="535"/>
        <item m="1" x="372"/>
        <item m="1" x="394"/>
        <item m="1" x="691"/>
        <item m="1" x="479"/>
        <item m="1" x="807"/>
        <item m="1" x="1343"/>
        <item m="1" x="684"/>
        <item m="1" x="476"/>
        <item m="1" x="1235"/>
        <item m="1" x="353"/>
        <item m="1" x="1361"/>
        <item m="1" x="1436"/>
        <item m="1" x="1500"/>
        <item m="1" x="1375"/>
        <item m="1" x="618"/>
        <item m="1" x="395"/>
        <item m="1" x="859"/>
        <item m="1" x="943"/>
        <item m="1" x="1139"/>
        <item m="1" x="1107"/>
        <item m="1" x="1143"/>
        <item m="1" x="920"/>
        <item m="1" x="958"/>
        <item m="1" x="1399"/>
        <item m="1" x="1162"/>
        <item m="1" x="1132"/>
        <item m="1" x="1071"/>
        <item m="1" x="1144"/>
        <item m="1" x="345"/>
        <item m="1" x="350"/>
        <item m="1" x="953"/>
        <item m="1" x="1338"/>
        <item m="1" x="908"/>
        <item m="1" x="1478"/>
        <item m="1" x="877"/>
        <item m="1" x="1053"/>
        <item m="1" x="1124"/>
        <item m="1" x="738"/>
        <item m="1" x="570"/>
        <item m="1" x="946"/>
        <item m="1" x="632"/>
        <item m="1" x="1487"/>
        <item m="1" x="1402"/>
        <item m="1" x="1215"/>
        <item m="1" x="472"/>
        <item m="1" x="399"/>
        <item m="1" x="972"/>
        <item m="1" x="1216"/>
        <item m="1" x="1505"/>
        <item m="1" x="851"/>
        <item m="1" x="1452"/>
        <item m="1" x="386"/>
        <item m="1" x="500"/>
        <item m="1" x="812"/>
        <item m="1" x="903"/>
        <item m="1" x="1332"/>
        <item m="1" x="656"/>
        <item m="1" x="1335"/>
        <item m="1" x="752"/>
        <item m="1" x="1324"/>
        <item m="1" x="1488"/>
        <item m="1" x="416"/>
        <item m="1" x="1472"/>
        <item m="1" x="363"/>
        <item m="1" x="1225"/>
        <item m="1" x="843"/>
        <item m="1" x="674"/>
        <item m="1" x="637"/>
        <item m="1" x="781"/>
        <item m="1" x="380"/>
        <item m="1" x="1465"/>
        <item m="1" x="464"/>
        <item m="1" x="485"/>
        <item m="1" x="1358"/>
        <item m="1" x="1437"/>
        <item m="1" x="951"/>
        <item m="1" x="1092"/>
        <item m="1" x="793"/>
        <item m="1" x="906"/>
        <item m="1" x="1055"/>
        <item m="1" x="1172"/>
        <item m="1" x="759"/>
        <item m="1" x="1035"/>
        <item m="1" x="854"/>
        <item m="1" x="1491"/>
        <item m="1" x="344"/>
        <item m="1" x="783"/>
        <item m="1" x="724"/>
        <item m="1" x="685"/>
        <item m="1" x="1479"/>
        <item m="1" x="1297"/>
        <item m="1" x="1428"/>
        <item m="1" x="441"/>
        <item m="1" x="1439"/>
        <item m="1" x="1426"/>
        <item m="1" x="1303"/>
        <item m="1" x="538"/>
        <item m="1" x="907"/>
        <item m="1" x="1000"/>
        <item m="1" x="746"/>
        <item m="1" x="1344"/>
        <item m="1" x="1130"/>
        <item m="1" x="1150"/>
        <item m="1" x="1044"/>
        <item m="1" x="387"/>
        <item m="1" x="1217"/>
        <item m="1" x="1379"/>
        <item m="1" x="784"/>
        <item m="1" x="1498"/>
        <item m="1" x="992"/>
        <item m="1" x="579"/>
        <item m="1" x="712"/>
        <item m="1" x="748"/>
        <item m="1" x="1407"/>
        <item m="1" x="1391"/>
        <item m="1" x="451"/>
        <item m="1" x="453"/>
        <item m="1" x="367"/>
        <item m="1" x="1327"/>
        <item m="1" x="369"/>
        <item m="1" x="786"/>
        <item m="1" x="686"/>
        <item m="1" x="1142"/>
        <item m="1" x="1085"/>
        <item m="1" x="1434"/>
        <item m="1" x="1366"/>
        <item m="1" x="858"/>
        <item m="1" x="1072"/>
        <item m="1" x="1307"/>
        <item m="1" x="420"/>
        <item m="1" x="852"/>
        <item m="1" x="782"/>
        <item m="1" x="1476"/>
        <item m="1" x="1443"/>
        <item m="1" x="874"/>
        <item m="1" x="480"/>
        <item m="1" x="775"/>
        <item m="1" x="948"/>
        <item m="1" x="402"/>
        <item m="1" x="1238"/>
        <item m="1" x="832"/>
        <item m="1" x="642"/>
        <item m="1" x="736"/>
        <item m="1" x="1182"/>
        <item m="1" x="1481"/>
        <item m="1" x="560"/>
        <item m="1" x="1333"/>
        <item m="1" x="554"/>
        <item m="1" x="1118"/>
        <item m="1" x="890"/>
        <item m="1" x="821"/>
        <item m="1" x="543"/>
        <item m="1" x="610"/>
        <item m="1" x="398"/>
        <item m="1" x="1198"/>
        <item m="1" x="711"/>
        <item m="1" x="435"/>
        <item m="1" x="1049"/>
        <item m="1" x="1364"/>
        <item m="1" x="904"/>
        <item m="1" x="862"/>
        <item m="1" x="333"/>
        <item m="1" x="1469"/>
        <item m="1" x="719"/>
        <item m="1" x="779"/>
        <item m="1" x="1186"/>
        <item m="1" x="1463"/>
        <item m="1" x="1388"/>
        <item m="1" x="1239"/>
        <item m="1" x="1354"/>
        <item m="1" x="515"/>
        <item m="1" x="714"/>
        <item m="1" x="547"/>
        <item m="1" x="339"/>
        <item m="1" x="952"/>
        <item m="1" x="401"/>
        <item m="1" x="623"/>
        <item m="1" x="567"/>
        <item m="1" x="513"/>
        <item m="1" x="1468"/>
        <item m="1" x="564"/>
        <item m="1" x="1166"/>
        <item m="1" x="1378"/>
        <item m="1" x="504"/>
        <item m="1" x="408"/>
        <item m="1" x="1201"/>
        <item m="1" x="1177"/>
        <item m="1" x="1218"/>
        <item m="1" x="1137"/>
        <item m="1" x="481"/>
        <item m="1" x="837"/>
        <item m="1" x="1105"/>
        <item m="1" x="1355"/>
        <item m="1" x="949"/>
        <item m="1" x="1067"/>
        <item m="1" x="1411"/>
        <item m="1" x="823"/>
        <item m="1" x="667"/>
        <item m="1" x="900"/>
        <item m="1" x="847"/>
        <item m="1" x="777"/>
        <item m="1" x="1294"/>
        <item m="1" x="981"/>
        <item m="1" x="1077"/>
        <item m="1" x="328"/>
        <item m="1" x="873"/>
        <item m="1" x="475"/>
        <item m="1" x="742"/>
        <item m="1" x="880"/>
        <item m="1" x="410"/>
        <item m="1" x="527"/>
        <item m="1" x="982"/>
        <item m="1" x="1179"/>
        <item m="1" x="1449"/>
        <item m="1" x="1492"/>
        <item m="1" x="1102"/>
        <item m="1" x="450"/>
        <item m="1" x="378"/>
        <item m="1" x="964"/>
        <item m="1" x="586"/>
        <item m="1" x="860"/>
        <item m="1" x="488"/>
        <item m="1" x="591"/>
        <item m="1" x="1018"/>
        <item m="1" x="1374"/>
        <item m="1" x="1305"/>
        <item m="1" x="721"/>
        <item m="1" x="756"/>
        <item m="1" x="1032"/>
        <item m="1" x="1462"/>
        <item m="1" x="1188"/>
        <item m="1" x="354"/>
        <item m="1" x="1416"/>
        <item m="1" x="462"/>
        <item m="1" x="1108"/>
        <item m="1" x="1153"/>
        <item m="1" x="1156"/>
        <item m="1" x="1496"/>
        <item m="1" x="389"/>
        <item m="1" x="1167"/>
        <item m="1" x="1264"/>
        <item m="1" x="1036"/>
        <item m="1" x="1206"/>
        <item m="1" x="448"/>
        <item m="1" x="840"/>
        <item m="1" x="687"/>
        <item m="1" x="1299"/>
        <item m="1" x="1394"/>
        <item m="1" x="923"/>
        <item m="1" x="1362"/>
        <item m="1" x="1410"/>
        <item m="1" x="763"/>
        <item m="1" x="1266"/>
        <item m="1" x="1129"/>
        <item m="1" x="1412"/>
        <item m="1" x="1456"/>
        <item m="1" x="1194"/>
        <item m="1" x="804"/>
        <item m="1" x="609"/>
        <item m="1" x="1444"/>
        <item m="1" x="991"/>
        <item m="1" x="965"/>
        <item m="1" x="974"/>
        <item m="1" x="1495"/>
        <item m="1" x="1219"/>
        <item m="1" x="914"/>
        <item m="1" x="1183"/>
        <item m="1" x="1160"/>
        <item m="1" x="776"/>
        <item m="1" x="677"/>
        <item m="1" x="1176"/>
        <item m="1" x="571"/>
        <item m="1" x="528"/>
        <item m="1" x="470"/>
        <item m="1" x="1457"/>
        <item m="1" x="1073"/>
        <item m="1" x="808"/>
        <item m="1" x="889"/>
        <item m="1" x="370"/>
        <item m="1" x="1446"/>
        <item m="1" x="997"/>
        <item m="1" x="1145"/>
        <item m="1" x="593"/>
        <item m="1" x="1277"/>
        <item m="1" x="780"/>
        <item m="1" x="673"/>
        <item m="1" x="1501"/>
        <item m="1" x="803"/>
        <item m="1" x="1442"/>
        <item m="1" x="1028"/>
        <item m="1" x="704"/>
        <item m="1" x="495"/>
        <item m="1" x="438"/>
        <item m="1" x="732"/>
        <item m="1" x="429"/>
        <item m="1" x="400"/>
        <item m="1" x="417"/>
        <item m="1" x="696"/>
        <item m="1" x="541"/>
        <item m="1" x="848"/>
        <item m="1" x="905"/>
        <item m="1" x="1004"/>
        <item m="1" x="875"/>
        <item m="1" x="1208"/>
        <item m="1" x="1272"/>
        <item m="1" x="484"/>
        <item m="1" x="494"/>
        <item m="1" x="683"/>
        <item m="1" x="825"/>
        <item m="1" x="615"/>
        <item m="1" x="1168"/>
        <item m="1" x="918"/>
        <item m="1" x="835"/>
        <item m="1" x="968"/>
        <item m="1" x="1274"/>
        <item m="1" x="1212"/>
        <item m="1" x="1298"/>
        <item m="1" x="1054"/>
        <item m="1" x="474"/>
        <item m="1" x="1480"/>
        <item m="1" x="893"/>
        <item m="1" x="508"/>
        <item m="1" x="332"/>
        <item m="1" x="1477"/>
        <item m="1" x="961"/>
        <item m="1" x="928"/>
        <item m="1" x="700"/>
        <item m="1" x="580"/>
        <item m="1" x="664"/>
        <item m="1" x="818"/>
        <item m="1" x="1393"/>
        <item m="1" x="1312"/>
        <item m="1" x="688"/>
        <item m="1" x="761"/>
        <item m="1" x="768"/>
        <item m="1" x="1306"/>
        <item m="1" x="909"/>
        <item m="1" x="381"/>
        <item m="1" x="942"/>
        <item m="1" x="1221"/>
        <item m="1" x="1347"/>
        <item m="1" x="1240"/>
        <item m="1" x="1048"/>
        <item m="1" x="1346"/>
        <item m="1" x="360"/>
        <item m="1" x="1263"/>
        <item m="1" x="342"/>
        <item m="1" x="682"/>
        <item m="1" x="346"/>
        <item m="1" x="505"/>
        <item m="1" x="595"/>
        <item m="1" x="601"/>
        <item m="1" x="1019"/>
        <item m="1" x="1273"/>
        <item m="1" x="800"/>
        <item m="1" x="371"/>
        <item m="1" x="577"/>
        <item m="1" x="365"/>
        <item m="1" x="1360"/>
        <item m="1" x="585"/>
        <item m="1" x="921"/>
        <item m="1" x="1380"/>
        <item m="1" x="707"/>
        <item m="1" x="649"/>
        <item m="1" x="1045"/>
        <item m="1" x="602"/>
        <item m="1" x="910"/>
        <item m="1" x="1204"/>
        <item m="1" x="343"/>
        <item m="1" x="856"/>
        <item m="1" x="975"/>
        <item m="1" x="467"/>
        <item m="1" x="809"/>
        <item m="1" x="944"/>
        <item m="1" x="695"/>
        <item m="1" x="733"/>
        <item m="1" x="460"/>
        <item m="1" x="866"/>
        <item m="1" x="330"/>
        <item m="1" x="1002"/>
        <item m="1" x="1395"/>
        <item m="1" x="1116"/>
        <item m="1" x="1110"/>
        <item m="1" x="1009"/>
        <item m="1" x="335"/>
        <item m="1" x="1141"/>
        <item m="1" x="1184"/>
        <item m="1" x="990"/>
        <item m="1" x="334"/>
        <item m="1" x="1341"/>
        <item m="1" x="1308"/>
        <item m="1" x="338"/>
        <item m="1" x="617"/>
        <item m="1" x="1007"/>
        <item m="1" x="1262"/>
        <item m="1" x="459"/>
        <item m="1" x="355"/>
        <item m="1" x="514"/>
        <item m="1" x="405"/>
        <item m="1" x="813"/>
        <item m="1" x="626"/>
        <item m="1" x="624"/>
        <item m="1" x="795"/>
        <item m="1" x="897"/>
        <item m="1" x="801"/>
        <item m="1" x="998"/>
        <item m="1" x="850"/>
        <item m="1" x="715"/>
        <item m="1" x="830"/>
        <item m="1" x="1323"/>
        <item m="1" x="1418"/>
        <item m="1" x="675"/>
        <item m="1" x="1398"/>
        <item m="1" x="440"/>
        <item m="1" x="1387"/>
        <item m="1" x="1084"/>
        <item m="1" x="1255"/>
        <item m="1" x="1334"/>
        <item m="1" x="1014"/>
        <item m="1" x="1226"/>
        <item m="1" x="518"/>
        <item m="1" x="501"/>
        <item m="1" x="1123"/>
        <item m="1" x="1095"/>
        <item m="1" x="657"/>
        <item m="1" x="1493"/>
        <item m="1" x="1065"/>
        <item m="1" x="805"/>
        <item m="1" x="879"/>
        <item m="1" x="838"/>
        <item m="1" x="1348"/>
        <item m="1" x="1352"/>
        <item m="1" x="348"/>
        <item m="1" x="1232"/>
        <item m="1" x="1278"/>
        <item m="1" x="397"/>
        <item m="1" x="769"/>
        <item m="1" x="760"/>
        <item m="1" x="1267"/>
        <item m="1" x="966"/>
        <item m="1" x="1170"/>
        <item m="1" x="836"/>
        <item m="1" x="1187"/>
        <item m="1" x="375"/>
        <item m="1" x="498"/>
        <item m="1" x="1467"/>
        <item m="1" x="1087"/>
        <item m="1" x="1459"/>
        <item m="1" x="379"/>
        <item m="1" x="639"/>
        <item m="1" x="455"/>
        <item m="1" x="388"/>
        <item m="1" x="403"/>
        <item m="1" x="955"/>
        <item m="1" x="988"/>
        <item m="1" x="660"/>
        <item m="1" x="1078"/>
        <item m="1" x="1396"/>
        <item m="1" x="747"/>
        <item m="1" x="826"/>
        <item m="1" x="976"/>
        <item m="1" x="1464"/>
        <item m="1" x="641"/>
        <item m="1" x="653"/>
        <item m="1" x="663"/>
        <item m="1" x="1284"/>
        <item m="1" x="1420"/>
        <item m="1" x="337"/>
        <item m="1" x="1164"/>
        <item m="1" x="1460"/>
        <item m="1" x="561"/>
        <item m="1" x="876"/>
        <item m="1" x="1497"/>
        <item m="1" x="1403"/>
        <item m="1" x="550"/>
        <item m="1" x="662"/>
        <item m="1" x="749"/>
        <item m="1" x="1074"/>
        <item m="1" x="1271"/>
        <item m="1" x="506"/>
        <item m="1" x="977"/>
        <item m="1" x="502"/>
        <item m="1" x="471"/>
        <item m="1" x="419"/>
        <item m="1" x="1390"/>
        <item m="1" x="983"/>
        <item m="1" x="1431"/>
        <item m="1" x="824"/>
        <item m="1" x="1448"/>
        <item m="1" x="1200"/>
        <item m="1" x="489"/>
        <item m="1" x="1304"/>
        <item m="1" x="1318"/>
        <item m="1" x="978"/>
        <item m="1" x="1353"/>
        <item m="1" x="1191"/>
        <item m="1" x="1056"/>
        <item m="1" x="373"/>
        <item m="1" x="1202"/>
        <item m="1" x="934"/>
        <item m="1" x="867"/>
        <item m="1" x="1210"/>
        <item m="1" x="794"/>
        <item m="1" x="428"/>
        <item m="1" x="600"/>
        <item m="1" x="377"/>
        <item m="1" x="726"/>
        <item m="1" x="1104"/>
        <item m="1" x="689"/>
        <item m="1" x="552"/>
        <item m="1" x="767"/>
        <item m="1" x="445"/>
        <item m="1" x="697"/>
        <item m="1" x="568"/>
        <item m="1" x="919"/>
        <item m="1" x="1506"/>
        <item m="1" x="960"/>
        <item m="1" x="556"/>
        <item m="1" x="833"/>
        <item m="1" x="539"/>
        <item m="1" x="592"/>
        <item m="1" x="884"/>
        <item m="1" x="1152"/>
        <item m="1" x="869"/>
        <item m="1" x="1319"/>
        <item m="1" x="881"/>
        <item m="1" x="1115"/>
        <item m="1" x="430"/>
        <item m="1" x="913"/>
        <item m="1" x="553"/>
        <item m="1" x="483"/>
        <item m="1" x="1209"/>
        <item m="1" x="524"/>
        <item m="1" x="1233"/>
        <item m="1" x="425"/>
        <item m="1" x="1050"/>
        <item m="1" x="1057"/>
        <item m="1" x="461"/>
        <item m="1" x="979"/>
        <item m="1" x="357"/>
        <item m="1" x="1180"/>
        <item m="1" x="885"/>
        <item m="1" x="1106"/>
        <item m="1" x="1075"/>
        <item m="1" x="1295"/>
        <item m="1" x="1068"/>
        <item m="1" x="646"/>
        <item m="1" x="1147"/>
        <item m="1" x="1281"/>
        <item m="1" x="971"/>
        <item m="1" x="1103"/>
        <item m="1" x="436"/>
        <item m="1" x="1269"/>
        <item m="1" x="926"/>
        <item m="1" x="791"/>
        <item m="1" x="1175"/>
        <item m="1" x="701"/>
        <item m="1" x="1024"/>
        <item m="1" x="558"/>
        <item m="1" x="654"/>
        <item m="1" x="1051"/>
        <item m="1" x="820"/>
        <item m="1" x="364"/>
        <item m="1" x="698"/>
        <item m="1" x="1178"/>
        <item m="1" x="1280"/>
        <item m="1" x="383"/>
        <item m="1" x="668"/>
        <item m="1" x="603"/>
        <item m="1" x="936"/>
        <item m="1" x="1029"/>
        <item m="1" x="469"/>
        <item m="1" x="1451"/>
        <item m="1" x="434"/>
        <item m="1" x="507"/>
        <item m="1" x="1288"/>
        <item m="1" x="796"/>
        <item m="1" x="810"/>
        <item m="1" x="864"/>
        <item m="1" x="439"/>
        <item m="1" x="718"/>
        <item m="1" x="1113"/>
        <item m="1" x="1025"/>
        <item m="1" x="815"/>
        <item m="1" x="762"/>
        <item m="1" x="392"/>
        <item m="1" x="630"/>
        <item m="1" x="1094"/>
        <item m="1" x="728"/>
        <item m="1" x="891"/>
        <item m="1" x="828"/>
        <item m="1" x="1010"/>
        <item m="1" x="374"/>
        <item m="1" x="855"/>
        <item m="1" x="529"/>
        <item m="1" x="932"/>
        <item m="1" x="1058"/>
        <item m="1" x="1134"/>
        <item m="1" x="1069"/>
        <item m="1" x="1030"/>
        <item m="1" x="956"/>
        <item m="1" x="1367"/>
        <item m="1" x="1259"/>
        <item m="1" x="510"/>
        <item m="1" x="1251"/>
        <item m="1" x="705"/>
        <item m="1" x="1015"/>
        <item m="1" x="421"/>
        <item m="1" x="994"/>
        <item m="1" x="861"/>
        <item m="1" x="1293"/>
        <item m="1" x="447"/>
        <item m="1" x="1504"/>
        <item m="1" x="486"/>
        <item m="1" x="426"/>
        <item m="1" x="996"/>
        <item m="1" x="1196"/>
        <item m="1" x="1099"/>
        <item m="1" x="385"/>
        <item m="1" x="537"/>
        <item m="1" x="1325"/>
        <item m="1" x="1265"/>
        <item m="1" x="520"/>
        <item m="1" x="493"/>
        <item m="1" x="788"/>
        <item m="1" x="409"/>
        <item m="1" x="1016"/>
        <item m="1" x="449"/>
        <item m="1" x="619"/>
        <item m="1" x="916"/>
        <item m="1" x="1447"/>
        <item m="1" x="487"/>
        <item m="1" x="757"/>
        <item m="1" x="604"/>
        <item m="1" x="766"/>
        <item m="1" x="1320"/>
        <item m="1" x="1203"/>
        <item m="1" x="665"/>
        <item m="1" x="418"/>
        <item m="1" x="1368"/>
        <item m="1" x="531"/>
        <item m="1" x="1313"/>
        <item m="1" x="870"/>
        <item m="1" x="1254"/>
        <item m="1" x="613"/>
        <item m="1" x="785"/>
        <item m="1" x="1270"/>
        <item m="1" x="1458"/>
        <item m="1" x="1234"/>
        <item m="1" x="633"/>
        <item m="1" x="576"/>
        <item m="1" x="1279"/>
        <item m="1" x="1043"/>
        <item m="1" x="887"/>
        <item m="1" x="1311"/>
        <item m="1" x="359"/>
        <item m="1" x="356"/>
        <item m="1" x="1031"/>
        <item m="1" x="1171"/>
        <item m="1" x="1126"/>
        <item m="1" x="1309"/>
        <item m="1" x="834"/>
        <item m="1" x="581"/>
        <item m="1" x="655"/>
        <item m="1" x="1185"/>
        <item m="1" x="737"/>
        <item m="1" x="967"/>
        <item m="1" x="1382"/>
        <item m="1" x="620"/>
        <item m="1" x="957"/>
        <item m="1" x="341"/>
        <item m="1" x="67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m="1" x="658"/>
        <item m="1" x="1419"/>
        <item m="1" x="361"/>
        <item m="1" x="32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0">
    <i>
      <x/>
    </i>
    <i r="1">
      <x v="1492"/>
    </i>
    <i r="2">
      <x v="3"/>
    </i>
    <i r="2">
      <x v="8"/>
    </i>
    <i r="2">
      <x v="13"/>
    </i>
    <i r="1">
      <x v="1495"/>
    </i>
    <i r="2">
      <x v="8"/>
    </i>
    <i r="1">
      <x v="1498"/>
    </i>
    <i r="2">
      <x v="8"/>
    </i>
    <i r="1">
      <x v="1499"/>
    </i>
    <i r="2">
      <x v="8"/>
    </i>
    <i r="1">
      <x v="1501"/>
    </i>
    <i r="2">
      <x v="8"/>
    </i>
    <i r="1">
      <x v="1502"/>
    </i>
    <i r="2">
      <x v="8"/>
    </i>
    <i>
      <x v="1"/>
    </i>
    <i r="1">
      <x v="145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47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46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98E918-4C28-4DD0-9057-B5CDFA0874C5}" name="Table9" displayName="Table9" ref="A1:S179" totalsRowShown="0">
  <autoFilter ref="A1:S179" xr:uid="{8498E918-4C28-4DD0-9057-B5CDFA0874C5}"/>
  <tableColumns count="19">
    <tableColumn id="1" xr3:uid="{4BD53152-FB66-4818-90C6-D906980DD967}" name="App"/>
    <tableColumn id="2" xr3:uid="{16A58E6B-9EC9-499C-8921-2184DDBEA73A}" name="Filter"/>
    <tableColumn id="3" xr3:uid="{A9A03B97-00ED-4E99-8641-BE39474899A9}" name="Status"/>
    <tableColumn id="4" xr3:uid="{51455CC4-DD53-4976-9E2C-45827C198B84}" name="Obj"/>
    <tableColumn id="5" xr3:uid="{B7C86F60-37FE-4B9E-9028-96C1BFE7D943}" name="Requested"/>
    <tableColumn id="6" xr3:uid="{E1791AC3-0A56-471F-A034-5B109D76EB20}" name="CurrentParent"/>
    <tableColumn id="7" xr3:uid="{A000654C-7913-4B7C-84BD-82AE9DE4279B}" name="type"/>
    <tableColumn id="8" xr3:uid="{9F63B3AB-BA26-48FE-8BB6-226A1177E11A}" name="LFF_ID"/>
    <tableColumn id="9" xr3:uid="{4653FADB-056D-4C3F-AAD8-4C6C06F634EE}" name="Analysis"/>
    <tableColumn id="10" xr3:uid="{0FAA65E9-9DA6-488F-B6BB-2FE26B6A0E1E}" name="Check"/>
    <tableColumn id="11" xr3:uid="{F58A90F8-8C3D-44F7-B232-FFAF829E448D}" name="Sector"/>
    <tableColumn id="12" xr3:uid="{2DDBB598-7D8E-4001-8579-7BDDBC1B8D8E}" name="Forecast"/>
    <tableColumn id="13" xr3:uid="{959C6D2F-63C8-4B2C-B902-EE3F6FDAAAA5}" name="DateOpened" dataDxfId="45"/>
    <tableColumn id="14" xr3:uid="{69820786-0F07-4B6E-A3C9-70EC78013838}" name="DateMapped"/>
    <tableColumn id="15" xr3:uid="{EAB9DADB-652E-43E0-AD96-F0E1AB6F38F0}" name="DateClosed"/>
    <tableColumn id="16" xr3:uid="{4DFD565B-41E0-430B-AE71-7DC07E1167D1}" name="Delayed?"/>
    <tableColumn id="17" xr3:uid="{83D264C9-414D-44FC-914E-51B21F51551B}" name="DaysAgeing"/>
    <tableColumn id="18" xr3:uid="{94D6EFD4-8AD5-46DF-89B0-C36C960F3D90}" name="Author"/>
    <tableColumn id="19" xr3:uid="{A764AE44-E2BE-408B-BAD3-E8CAF5B3FB3C}" name="Prognos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43" totalsRowShown="0" totalsRowDxfId="40">
  <autoFilter ref="A1:C1243" xr:uid="{43456A03-EFD4-416A-B021-C441A7C21E4E}"/>
  <tableColumns count="3">
    <tableColumn id="1" xr3:uid="{96F9219D-1D74-4611-A7AA-8AB4E044352A}" name="Ticket" totalsRowDxfId="39"/>
    <tableColumn id="2" xr3:uid="{D6F02EDE-42BA-4EF9-A278-EA070340E315}" name="Number" totalsRowDxfId="38"/>
    <tableColumn id="3" xr3:uid="{F6A90E5F-0E5C-41D7-A40C-1CC9A86DC194}" name="Status" totalsRowDxfId="3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78" totalsRowShown="0">
  <autoFilter ref="A1:S347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3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5"/>
    <tableColumn id="7" xr3:uid="{D69C8A00-2CB4-4F31-920A-C1D332375D40}" name="type"/>
    <tableColumn id="9" xr3:uid="{3D246B09-CC89-411A-9E7E-B79496797F29}" name="LFF_ID" dataDxfId="3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3">
      <calculatedColumnFormula>Proc[[#This Row],[Requested]]=Proc[[#This Row],[CurrentParent]]</calculatedColumnFormula>
    </tableColumn>
    <tableColumn id="24" xr3:uid="{9DAA192A-7AAB-4460-A9EA-787D5AF7E069}" name="Sector" dataDxfId="3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31"/>
    <tableColumn id="15" xr3:uid="{F0BFEDC5-AB85-4752-8DBE-1E2D2A86C38C}" name="DateOpened" dataDxfId="30"/>
    <tableColumn id="17" xr3:uid="{78B7D816-31FE-4F8F-8018-91CE8D5DE9A2}" name="DateMapped" dataDxfId="29"/>
    <tableColumn id="16" xr3:uid="{37F76675-DAA7-497A-B0C3-D5ADC87396FC}" name="DateClosed" dataDxfId="28"/>
    <tableColumn id="23" xr3:uid="{77371810-6F86-4EEF-85D0-5FCFC20B88DC}" name="Delayed?" dataDxfId="27">
      <calculatedColumnFormula>IF(Proc[[#This Row],[DaysAgeing]]&gt;5,"yep","on track")</calculatedColumnFormula>
    </tableColumn>
    <tableColumn id="18" xr3:uid="{6AC4A96E-CE6C-49CA-A4F1-794160BB5940}" name="DaysAgeing" dataDxfId="2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5"/>
    <tableColumn id="22" xr3:uid="{87389AE1-9ECE-4C7F-80F9-48A35BE78A62}" name="Prognosis" dataDxf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3"/>
    <tableColumn id="6" xr3:uid="{73647D57-303F-4AF5-983C-1CCB32EBD08D}" name="Forecast Period" dataDxfId="22"/>
    <tableColumn id="4" xr3:uid="{FA11B267-B5E3-452C-A4E3-1668B4A12A28}" name="Number of Tickets Raised" dataDxfId="21"/>
    <tableColumn id="1" xr3:uid="{441BC59C-A1EA-4CA8-B944-D602CD57D89D}" name="Delayed Tickets"/>
    <tableColumn id="5" xr3:uid="{29680677-3B0F-4EC4-81FF-46A6FDD4C5F7}" name="Number of Total Objects" dataDxfId="20"/>
    <tableColumn id="2" xr3:uid="{3D96D299-AEA2-4D9C-9BE6-F98ADF0CDB84}" name="Commentary for delayed tickets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customProperty" Target="../customProperty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1197</v>
      </c>
    </row>
    <row r="5" spans="1:2">
      <c r="A5" s="111" t="s">
        <v>369</v>
      </c>
      <c r="B5" s="125">
        <v>1155</v>
      </c>
    </row>
    <row r="6" spans="1:2">
      <c r="A6" s="111" t="s">
        <v>404</v>
      </c>
      <c r="B6" s="125"/>
    </row>
    <row r="7" spans="1:2">
      <c r="A7" s="111" t="s">
        <v>370</v>
      </c>
      <c r="B7" s="125">
        <v>3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>
        <v>2</v>
      </c>
    </row>
    <row r="14" spans="1:2">
      <c r="A14" s="17" t="s">
        <v>568</v>
      </c>
      <c r="B14" s="125">
        <v>873</v>
      </c>
    </row>
    <row r="15" spans="1:2">
      <c r="A15" s="111" t="s">
        <v>369</v>
      </c>
      <c r="B15" s="125">
        <v>842</v>
      </c>
    </row>
    <row r="16" spans="1:2">
      <c r="A16" s="111" t="s">
        <v>370</v>
      </c>
      <c r="B16" s="125">
        <v>9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7" t="s">
        <v>569</v>
      </c>
      <c r="B19" s="125">
        <v>1258</v>
      </c>
    </row>
    <row r="20" spans="1:2">
      <c r="A20" s="111" t="s">
        <v>369</v>
      </c>
      <c r="B20" s="125">
        <v>1242</v>
      </c>
    </row>
    <row r="21" spans="1:2">
      <c r="A21" s="111" t="s">
        <v>370</v>
      </c>
      <c r="B21" s="125">
        <v>1</v>
      </c>
    </row>
    <row r="22" spans="1:2">
      <c r="A22" s="111" t="s">
        <v>398</v>
      </c>
      <c r="B22" s="125">
        <v>8</v>
      </c>
    </row>
    <row r="23" spans="1:2">
      <c r="A23" s="111" t="s">
        <v>377</v>
      </c>
      <c r="B23" s="125">
        <v>7</v>
      </c>
    </row>
    <row r="24" spans="1:2">
      <c r="A24" s="17" t="s">
        <v>570</v>
      </c>
      <c r="B24" s="125">
        <v>140</v>
      </c>
    </row>
    <row r="25" spans="1:2">
      <c r="A25" s="111" t="s">
        <v>369</v>
      </c>
      <c r="B25" s="125">
        <v>138</v>
      </c>
    </row>
    <row r="26" spans="1:2">
      <c r="A26" s="111" t="s">
        <v>377</v>
      </c>
      <c r="B26" s="125">
        <v>2</v>
      </c>
    </row>
    <row r="27" spans="1:2">
      <c r="A27" s="17" t="s">
        <v>381</v>
      </c>
      <c r="B27" s="125">
        <v>3468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5585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5586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5040-4486-4277-99D4-B5BE97DD0DC2}">
  <dimension ref="A1:S179"/>
  <sheetViews>
    <sheetView topLeftCell="A130" workbookViewId="0">
      <selection activeCell="F2" sqref="F2:F179"/>
    </sheetView>
  </sheetViews>
  <sheetFormatPr defaultRowHeight="15"/>
  <cols>
    <col min="4" max="4" width="26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369</v>
      </c>
      <c r="D2" t="s">
        <v>5485</v>
      </c>
      <c r="E2" t="s">
        <v>5518</v>
      </c>
      <c r="F2" t="s">
        <v>5518</v>
      </c>
      <c r="G2" t="s">
        <v>406</v>
      </c>
      <c r="H2" t="s">
        <v>5636</v>
      </c>
      <c r="J2" t="b">
        <v>1</v>
      </c>
      <c r="K2" t="s">
        <v>567</v>
      </c>
      <c r="L2" t="s">
        <v>4897</v>
      </c>
      <c r="M2" s="115">
        <v>45874</v>
      </c>
      <c r="P2" t="s">
        <v>2818</v>
      </c>
      <c r="Q2">
        <v>3</v>
      </c>
      <c r="R2" t="s">
        <v>1459</v>
      </c>
    </row>
    <row r="3" spans="1:19">
      <c r="A3" t="s">
        <v>5520</v>
      </c>
      <c r="B3" t="s">
        <v>925</v>
      </c>
      <c r="C3" t="s">
        <v>369</v>
      </c>
      <c r="D3" t="s">
        <v>5484</v>
      </c>
      <c r="E3" t="s">
        <v>5518</v>
      </c>
      <c r="F3" t="s">
        <v>5518</v>
      </c>
      <c r="G3" t="s">
        <v>406</v>
      </c>
      <c r="H3" t="s">
        <v>5637</v>
      </c>
      <c r="J3" t="b">
        <v>1</v>
      </c>
      <c r="K3" t="s">
        <v>567</v>
      </c>
      <c r="L3" t="s">
        <v>4897</v>
      </c>
      <c r="M3" s="115">
        <v>45874</v>
      </c>
      <c r="P3" t="s">
        <v>2818</v>
      </c>
      <c r="Q3">
        <v>3</v>
      </c>
      <c r="R3" t="s">
        <v>1459</v>
      </c>
    </row>
    <row r="4" spans="1:19">
      <c r="A4" t="s">
        <v>5520</v>
      </c>
      <c r="B4" t="s">
        <v>925</v>
      </c>
      <c r="C4" t="s">
        <v>369</v>
      </c>
      <c r="D4" t="s">
        <v>5483</v>
      </c>
      <c r="E4" t="s">
        <v>5518</v>
      </c>
      <c r="F4" t="s">
        <v>5518</v>
      </c>
      <c r="G4" t="s">
        <v>400</v>
      </c>
      <c r="H4" t="s">
        <v>5638</v>
      </c>
      <c r="J4" t="b">
        <v>1</v>
      </c>
      <c r="K4" t="s">
        <v>567</v>
      </c>
      <c r="L4" t="s">
        <v>4897</v>
      </c>
      <c r="M4" s="115">
        <v>45874</v>
      </c>
      <c r="P4" t="s">
        <v>2818</v>
      </c>
      <c r="Q4">
        <v>3</v>
      </c>
      <c r="R4" t="s">
        <v>1459</v>
      </c>
    </row>
    <row r="5" spans="1:19">
      <c r="A5" t="s">
        <v>5520</v>
      </c>
      <c r="B5" t="s">
        <v>925</v>
      </c>
      <c r="C5" t="s">
        <v>369</v>
      </c>
      <c r="D5" t="s">
        <v>5482</v>
      </c>
      <c r="E5" t="s">
        <v>5518</v>
      </c>
      <c r="F5" t="s">
        <v>5518</v>
      </c>
      <c r="G5" t="s">
        <v>400</v>
      </c>
      <c r="H5" t="s">
        <v>5638</v>
      </c>
      <c r="J5" t="b">
        <v>1</v>
      </c>
      <c r="K5" t="s">
        <v>567</v>
      </c>
      <c r="L5" t="s">
        <v>4897</v>
      </c>
      <c r="M5" s="115">
        <v>45874</v>
      </c>
      <c r="P5" t="s">
        <v>2818</v>
      </c>
      <c r="Q5">
        <v>3</v>
      </c>
      <c r="R5" t="s">
        <v>1459</v>
      </c>
    </row>
    <row r="6" spans="1:19">
      <c r="A6" t="s">
        <v>5520</v>
      </c>
      <c r="B6" t="s">
        <v>925</v>
      </c>
      <c r="C6" t="s">
        <v>369</v>
      </c>
      <c r="D6" t="s">
        <v>5481</v>
      </c>
      <c r="E6" t="s">
        <v>5518</v>
      </c>
      <c r="F6" t="s">
        <v>5518</v>
      </c>
      <c r="G6" t="s">
        <v>400</v>
      </c>
      <c r="H6" t="s">
        <v>5638</v>
      </c>
      <c r="J6" t="b">
        <v>1</v>
      </c>
      <c r="K6" t="s">
        <v>567</v>
      </c>
      <c r="L6" t="s">
        <v>4897</v>
      </c>
      <c r="M6" s="115">
        <v>45874</v>
      </c>
      <c r="P6" t="s">
        <v>2818</v>
      </c>
      <c r="Q6">
        <v>3</v>
      </c>
      <c r="R6" t="s">
        <v>1459</v>
      </c>
    </row>
    <row r="7" spans="1:19">
      <c r="A7" t="s">
        <v>5520</v>
      </c>
      <c r="B7" t="s">
        <v>925</v>
      </c>
      <c r="C7" t="s">
        <v>369</v>
      </c>
      <c r="D7" t="s">
        <v>5480</v>
      </c>
      <c r="E7" t="s">
        <v>5518</v>
      </c>
      <c r="F7" t="s">
        <v>5518</v>
      </c>
      <c r="G7" t="s">
        <v>406</v>
      </c>
      <c r="H7" t="s">
        <v>5639</v>
      </c>
      <c r="J7" t="b">
        <v>1</v>
      </c>
      <c r="K7" t="s">
        <v>567</v>
      </c>
      <c r="L7" t="s">
        <v>4897</v>
      </c>
      <c r="M7" s="115">
        <v>45874</v>
      </c>
      <c r="P7" t="s">
        <v>2818</v>
      </c>
      <c r="Q7">
        <v>3</v>
      </c>
      <c r="R7" t="s">
        <v>1459</v>
      </c>
    </row>
    <row r="8" spans="1:19">
      <c r="A8" t="s">
        <v>5520</v>
      </c>
      <c r="B8" t="s">
        <v>925</v>
      </c>
      <c r="C8" t="s">
        <v>369</v>
      </c>
      <c r="D8" t="s">
        <v>5479</v>
      </c>
      <c r="E8" t="s">
        <v>5519</v>
      </c>
      <c r="F8" t="s">
        <v>5519</v>
      </c>
      <c r="G8" t="s">
        <v>406</v>
      </c>
      <c r="H8" t="s">
        <v>5640</v>
      </c>
      <c r="J8" t="b">
        <v>1</v>
      </c>
      <c r="K8" t="s">
        <v>567</v>
      </c>
      <c r="L8" t="s">
        <v>4897</v>
      </c>
      <c r="M8" s="115">
        <v>45874</v>
      </c>
      <c r="P8" t="s">
        <v>2818</v>
      </c>
      <c r="Q8">
        <v>3</v>
      </c>
      <c r="R8" t="s">
        <v>1459</v>
      </c>
    </row>
    <row r="9" spans="1:19">
      <c r="A9" t="s">
        <v>5520</v>
      </c>
      <c r="B9" t="s">
        <v>925</v>
      </c>
      <c r="C9" t="s">
        <v>369</v>
      </c>
      <c r="D9" t="s">
        <v>5478</v>
      </c>
      <c r="E9" t="s">
        <v>5518</v>
      </c>
      <c r="F9" t="s">
        <v>5518</v>
      </c>
      <c r="G9" t="s">
        <v>406</v>
      </c>
      <c r="H9" t="s">
        <v>5641</v>
      </c>
      <c r="J9" t="b">
        <v>1</v>
      </c>
      <c r="K9" t="s">
        <v>567</v>
      </c>
      <c r="L9" t="s">
        <v>4897</v>
      </c>
      <c r="M9" s="115">
        <v>45874</v>
      </c>
      <c r="P9" t="s">
        <v>2818</v>
      </c>
      <c r="Q9">
        <v>3</v>
      </c>
      <c r="R9" t="s">
        <v>1459</v>
      </c>
    </row>
    <row r="10" spans="1:19">
      <c r="A10" t="s">
        <v>5520</v>
      </c>
      <c r="B10" t="s">
        <v>925</v>
      </c>
      <c r="C10" t="s">
        <v>369</v>
      </c>
      <c r="D10" t="s">
        <v>5477</v>
      </c>
      <c r="E10" t="s">
        <v>5488</v>
      </c>
      <c r="F10" t="s">
        <v>5488</v>
      </c>
      <c r="G10" t="s">
        <v>400</v>
      </c>
      <c r="H10" t="s">
        <v>5638</v>
      </c>
      <c r="J10" t="b">
        <v>1</v>
      </c>
      <c r="K10" t="s">
        <v>567</v>
      </c>
      <c r="L10" t="s">
        <v>4897</v>
      </c>
      <c r="M10" s="115">
        <v>45874</v>
      </c>
      <c r="P10" t="s">
        <v>2818</v>
      </c>
      <c r="Q10">
        <v>3</v>
      </c>
      <c r="R10" t="s">
        <v>1459</v>
      </c>
    </row>
    <row r="11" spans="1:19">
      <c r="A11" t="s">
        <v>5520</v>
      </c>
      <c r="B11" t="s">
        <v>925</v>
      </c>
      <c r="C11" t="s">
        <v>369</v>
      </c>
      <c r="D11" t="s">
        <v>5476</v>
      </c>
      <c r="E11" t="s">
        <v>427</v>
      </c>
      <c r="F11" t="s">
        <v>427</v>
      </c>
      <c r="G11" t="s">
        <v>400</v>
      </c>
      <c r="H11" t="s">
        <v>5638</v>
      </c>
      <c r="J11" t="b">
        <v>1</v>
      </c>
      <c r="K11" t="s">
        <v>567</v>
      </c>
      <c r="L11" t="s">
        <v>4897</v>
      </c>
      <c r="M11" s="115">
        <v>45874</v>
      </c>
      <c r="P11" t="s">
        <v>2818</v>
      </c>
      <c r="Q11">
        <v>3</v>
      </c>
      <c r="R11" t="s">
        <v>1459</v>
      </c>
    </row>
    <row r="12" spans="1:19">
      <c r="A12" t="s">
        <v>5520</v>
      </c>
      <c r="B12" t="s">
        <v>925</v>
      </c>
      <c r="C12" t="s">
        <v>369</v>
      </c>
      <c r="D12" t="s">
        <v>5475</v>
      </c>
      <c r="E12" t="s">
        <v>5489</v>
      </c>
      <c r="F12" t="s">
        <v>5489</v>
      </c>
      <c r="G12" t="s">
        <v>406</v>
      </c>
      <c r="H12" t="s">
        <v>5642</v>
      </c>
      <c r="J12" t="b">
        <v>1</v>
      </c>
      <c r="K12" t="s">
        <v>567</v>
      </c>
      <c r="L12" t="s">
        <v>4897</v>
      </c>
      <c r="M12" s="115">
        <v>45874</v>
      </c>
      <c r="P12" t="s">
        <v>2818</v>
      </c>
      <c r="Q12">
        <v>3</v>
      </c>
      <c r="R12" t="s">
        <v>1459</v>
      </c>
    </row>
    <row r="13" spans="1:19">
      <c r="A13" t="s">
        <v>5520</v>
      </c>
      <c r="B13" t="s">
        <v>925</v>
      </c>
      <c r="C13" t="s">
        <v>369</v>
      </c>
      <c r="D13" t="s">
        <v>5474</v>
      </c>
      <c r="E13" t="s">
        <v>5489</v>
      </c>
      <c r="F13" t="s">
        <v>5489</v>
      </c>
      <c r="G13" t="s">
        <v>406</v>
      </c>
      <c r="H13" t="s">
        <v>5643</v>
      </c>
      <c r="J13" t="b">
        <v>1</v>
      </c>
      <c r="K13" t="s">
        <v>567</v>
      </c>
      <c r="L13" t="s">
        <v>4897</v>
      </c>
      <c r="M13" s="115">
        <v>45874</v>
      </c>
      <c r="P13" t="s">
        <v>2818</v>
      </c>
      <c r="Q13">
        <v>3</v>
      </c>
      <c r="R13" t="s">
        <v>1459</v>
      </c>
    </row>
    <row r="14" spans="1:19">
      <c r="A14" t="s">
        <v>5520</v>
      </c>
      <c r="B14" t="s">
        <v>925</v>
      </c>
      <c r="C14" t="s">
        <v>369</v>
      </c>
      <c r="D14" t="s">
        <v>5473</v>
      </c>
      <c r="E14" t="s">
        <v>5495</v>
      </c>
      <c r="F14" t="s">
        <v>5495</v>
      </c>
      <c r="G14" t="s">
        <v>406</v>
      </c>
      <c r="H14" t="s">
        <v>5644</v>
      </c>
      <c r="J14" t="b">
        <v>1</v>
      </c>
      <c r="K14" t="s">
        <v>567</v>
      </c>
      <c r="L14" t="s">
        <v>4897</v>
      </c>
      <c r="M14" s="115">
        <v>45874</v>
      </c>
      <c r="P14" t="s">
        <v>2818</v>
      </c>
      <c r="Q14">
        <v>3</v>
      </c>
      <c r="R14" t="s">
        <v>1459</v>
      </c>
    </row>
    <row r="15" spans="1:19">
      <c r="A15" t="s">
        <v>5520</v>
      </c>
      <c r="B15" t="s">
        <v>925</v>
      </c>
      <c r="C15" t="s">
        <v>369</v>
      </c>
      <c r="D15" t="s">
        <v>5472</v>
      </c>
      <c r="E15" t="s">
        <v>5506</v>
      </c>
      <c r="F15" t="s">
        <v>5506</v>
      </c>
      <c r="G15" t="s">
        <v>406</v>
      </c>
      <c r="H15" t="s">
        <v>5645</v>
      </c>
      <c r="J15" t="b">
        <v>1</v>
      </c>
      <c r="K15" t="s">
        <v>567</v>
      </c>
      <c r="L15" t="s">
        <v>4897</v>
      </c>
      <c r="M15" s="115">
        <v>45874</v>
      </c>
      <c r="P15" t="s">
        <v>2818</v>
      </c>
      <c r="Q15">
        <v>3</v>
      </c>
      <c r="R15" t="s">
        <v>1459</v>
      </c>
    </row>
    <row r="16" spans="1:19">
      <c r="A16" t="s">
        <v>5520</v>
      </c>
      <c r="B16" t="s">
        <v>925</v>
      </c>
      <c r="C16" t="s">
        <v>369</v>
      </c>
      <c r="D16" t="s">
        <v>5471</v>
      </c>
      <c r="E16" t="s">
        <v>5495</v>
      </c>
      <c r="F16" t="s">
        <v>5495</v>
      </c>
      <c r="G16" t="s">
        <v>406</v>
      </c>
      <c r="H16" t="s">
        <v>5646</v>
      </c>
      <c r="J16" t="b">
        <v>1</v>
      </c>
      <c r="K16" t="s">
        <v>567</v>
      </c>
      <c r="L16" t="s">
        <v>4897</v>
      </c>
      <c r="M16" s="115">
        <v>45874</v>
      </c>
      <c r="P16" t="s">
        <v>2818</v>
      </c>
      <c r="Q16">
        <v>3</v>
      </c>
      <c r="R16" t="s">
        <v>1459</v>
      </c>
    </row>
    <row r="17" spans="1:18">
      <c r="A17" t="s">
        <v>5520</v>
      </c>
      <c r="B17" t="s">
        <v>925</v>
      </c>
      <c r="C17" t="s">
        <v>369</v>
      </c>
      <c r="D17" t="s">
        <v>5470</v>
      </c>
      <c r="E17" t="s">
        <v>5495</v>
      </c>
      <c r="F17" t="s">
        <v>5495</v>
      </c>
      <c r="G17" t="s">
        <v>406</v>
      </c>
      <c r="H17" t="s">
        <v>5647</v>
      </c>
      <c r="J17" t="b">
        <v>1</v>
      </c>
      <c r="K17" t="s">
        <v>567</v>
      </c>
      <c r="L17" t="s">
        <v>4897</v>
      </c>
      <c r="M17" s="115">
        <v>45874</v>
      </c>
      <c r="P17" t="s">
        <v>2818</v>
      </c>
      <c r="Q17">
        <v>3</v>
      </c>
      <c r="R17" t="s">
        <v>1459</v>
      </c>
    </row>
    <row r="18" spans="1:18">
      <c r="A18" t="s">
        <v>5520</v>
      </c>
      <c r="B18" t="s">
        <v>925</v>
      </c>
      <c r="C18" t="s">
        <v>369</v>
      </c>
      <c r="D18" t="s">
        <v>5469</v>
      </c>
      <c r="E18" t="s">
        <v>5488</v>
      </c>
      <c r="F18" t="s">
        <v>5488</v>
      </c>
      <c r="G18" t="s">
        <v>406</v>
      </c>
      <c r="H18" t="s">
        <v>5648</v>
      </c>
      <c r="J18" t="b">
        <v>1</v>
      </c>
      <c r="K18" t="s">
        <v>567</v>
      </c>
      <c r="L18" t="s">
        <v>4897</v>
      </c>
      <c r="M18" s="115">
        <v>45874</v>
      </c>
      <c r="P18" t="s">
        <v>2818</v>
      </c>
      <c r="Q18">
        <v>3</v>
      </c>
      <c r="R18" t="s">
        <v>1459</v>
      </c>
    </row>
    <row r="19" spans="1:18">
      <c r="A19" t="s">
        <v>5520</v>
      </c>
      <c r="B19" t="s">
        <v>925</v>
      </c>
      <c r="C19" t="s">
        <v>369</v>
      </c>
      <c r="D19" t="s">
        <v>5468</v>
      </c>
      <c r="E19" t="s">
        <v>5515</v>
      </c>
      <c r="F19" t="s">
        <v>5515</v>
      </c>
      <c r="G19" t="s">
        <v>406</v>
      </c>
      <c r="H19" t="s">
        <v>5649</v>
      </c>
      <c r="J19" t="b">
        <v>1</v>
      </c>
      <c r="K19" t="s">
        <v>567</v>
      </c>
      <c r="L19" t="s">
        <v>4897</v>
      </c>
      <c r="M19" s="115">
        <v>45874</v>
      </c>
      <c r="P19" t="s">
        <v>2818</v>
      </c>
      <c r="Q19">
        <v>3</v>
      </c>
      <c r="R19" t="s">
        <v>1459</v>
      </c>
    </row>
    <row r="20" spans="1:18">
      <c r="A20" t="s">
        <v>5520</v>
      </c>
      <c r="B20" t="s">
        <v>925</v>
      </c>
      <c r="C20" t="s">
        <v>369</v>
      </c>
      <c r="D20" t="s">
        <v>5467</v>
      </c>
      <c r="E20" t="s">
        <v>5506</v>
      </c>
      <c r="F20" t="s">
        <v>5506</v>
      </c>
      <c r="G20" t="s">
        <v>406</v>
      </c>
      <c r="H20" t="s">
        <v>5650</v>
      </c>
      <c r="J20" t="b">
        <v>1</v>
      </c>
      <c r="K20" t="s">
        <v>567</v>
      </c>
      <c r="L20" t="s">
        <v>4897</v>
      </c>
      <c r="M20" s="115">
        <v>45874</v>
      </c>
      <c r="P20" t="s">
        <v>2818</v>
      </c>
      <c r="Q20">
        <v>3</v>
      </c>
      <c r="R20" t="s">
        <v>1459</v>
      </c>
    </row>
    <row r="21" spans="1:18">
      <c r="A21" t="s">
        <v>5520</v>
      </c>
      <c r="B21" t="s">
        <v>925</v>
      </c>
      <c r="C21" t="s">
        <v>369</v>
      </c>
      <c r="D21" t="s">
        <v>5466</v>
      </c>
      <c r="E21" t="s">
        <v>5487</v>
      </c>
      <c r="F21" t="s">
        <v>5487</v>
      </c>
      <c r="G21" t="s">
        <v>406</v>
      </c>
      <c r="H21" t="s">
        <v>5651</v>
      </c>
      <c r="J21" t="b">
        <v>1</v>
      </c>
      <c r="K21" t="s">
        <v>567</v>
      </c>
      <c r="L21" t="s">
        <v>4897</v>
      </c>
      <c r="M21" s="115">
        <v>45874</v>
      </c>
      <c r="P21" t="s">
        <v>2818</v>
      </c>
      <c r="Q21">
        <v>3</v>
      </c>
      <c r="R21" t="s">
        <v>1459</v>
      </c>
    </row>
    <row r="22" spans="1:18">
      <c r="A22" t="s">
        <v>5520</v>
      </c>
      <c r="B22" t="s">
        <v>925</v>
      </c>
      <c r="C22" t="s">
        <v>369</v>
      </c>
      <c r="D22" t="s">
        <v>5465</v>
      </c>
      <c r="E22" t="s">
        <v>5509</v>
      </c>
      <c r="F22" t="s">
        <v>5509</v>
      </c>
      <c r="G22" t="s">
        <v>406</v>
      </c>
      <c r="H22" t="s">
        <v>5652</v>
      </c>
      <c r="J22" t="b">
        <v>1</v>
      </c>
      <c r="K22" t="s">
        <v>567</v>
      </c>
      <c r="L22" t="s">
        <v>4897</v>
      </c>
      <c r="M22" s="115">
        <v>45874</v>
      </c>
      <c r="P22" t="s">
        <v>2818</v>
      </c>
      <c r="Q22">
        <v>3</v>
      </c>
      <c r="R22" t="s">
        <v>1459</v>
      </c>
    </row>
    <row r="23" spans="1:18">
      <c r="A23" t="s">
        <v>5520</v>
      </c>
      <c r="B23" t="s">
        <v>925</v>
      </c>
      <c r="C23" t="s">
        <v>369</v>
      </c>
      <c r="D23" t="s">
        <v>5464</v>
      </c>
      <c r="E23" t="s">
        <v>5488</v>
      </c>
      <c r="F23" t="s">
        <v>5488</v>
      </c>
      <c r="G23" t="s">
        <v>406</v>
      </c>
      <c r="H23" t="s">
        <v>5653</v>
      </c>
      <c r="J23" t="b">
        <v>1</v>
      </c>
      <c r="K23" t="s">
        <v>567</v>
      </c>
      <c r="L23" t="s">
        <v>4897</v>
      </c>
      <c r="M23" s="115">
        <v>45874</v>
      </c>
      <c r="P23" t="s">
        <v>2818</v>
      </c>
      <c r="Q23">
        <v>3</v>
      </c>
      <c r="R23" t="s">
        <v>1459</v>
      </c>
    </row>
    <row r="24" spans="1:18">
      <c r="A24" t="s">
        <v>5520</v>
      </c>
      <c r="B24" t="s">
        <v>925</v>
      </c>
      <c r="C24" t="s">
        <v>369</v>
      </c>
      <c r="D24" t="s">
        <v>5463</v>
      </c>
      <c r="E24" t="s">
        <v>5506</v>
      </c>
      <c r="F24" t="s">
        <v>5506</v>
      </c>
      <c r="G24" t="s">
        <v>406</v>
      </c>
      <c r="H24" t="s">
        <v>5654</v>
      </c>
      <c r="J24" t="b">
        <v>1</v>
      </c>
      <c r="K24" t="s">
        <v>567</v>
      </c>
      <c r="L24" t="s">
        <v>4897</v>
      </c>
      <c r="M24" s="115">
        <v>45874</v>
      </c>
      <c r="P24" t="s">
        <v>2818</v>
      </c>
      <c r="Q24">
        <v>3</v>
      </c>
      <c r="R24" t="s">
        <v>1459</v>
      </c>
    </row>
    <row r="25" spans="1:18">
      <c r="A25" t="s">
        <v>5520</v>
      </c>
      <c r="B25" t="s">
        <v>925</v>
      </c>
      <c r="C25" t="s">
        <v>369</v>
      </c>
      <c r="D25" t="s">
        <v>5462</v>
      </c>
      <c r="E25" t="s">
        <v>5489</v>
      </c>
      <c r="F25" t="s">
        <v>5489</v>
      </c>
      <c r="G25" t="s">
        <v>406</v>
      </c>
      <c r="H25" t="s">
        <v>5655</v>
      </c>
      <c r="J25" t="b">
        <v>1</v>
      </c>
      <c r="K25" t="s">
        <v>567</v>
      </c>
      <c r="L25" t="s">
        <v>4897</v>
      </c>
      <c r="M25" s="115">
        <v>45874</v>
      </c>
      <c r="P25" t="s">
        <v>2818</v>
      </c>
      <c r="Q25">
        <v>3</v>
      </c>
      <c r="R25" t="s">
        <v>1459</v>
      </c>
    </row>
    <row r="26" spans="1:18">
      <c r="A26" t="s">
        <v>5520</v>
      </c>
      <c r="B26" t="s">
        <v>925</v>
      </c>
      <c r="C26" t="s">
        <v>369</v>
      </c>
      <c r="D26" t="s">
        <v>5461</v>
      </c>
      <c r="E26" t="s">
        <v>5506</v>
      </c>
      <c r="F26" t="s">
        <v>5506</v>
      </c>
      <c r="G26" t="s">
        <v>406</v>
      </c>
      <c r="H26" t="s">
        <v>5656</v>
      </c>
      <c r="J26" t="b">
        <v>1</v>
      </c>
      <c r="K26" t="s">
        <v>567</v>
      </c>
      <c r="L26" t="s">
        <v>4897</v>
      </c>
      <c r="M26" s="115">
        <v>45874</v>
      </c>
      <c r="P26" t="s">
        <v>2818</v>
      </c>
      <c r="Q26">
        <v>3</v>
      </c>
      <c r="R26" t="s">
        <v>1459</v>
      </c>
    </row>
    <row r="27" spans="1:18">
      <c r="A27" t="s">
        <v>5520</v>
      </c>
      <c r="B27" t="s">
        <v>925</v>
      </c>
      <c r="C27" t="s">
        <v>369</v>
      </c>
      <c r="D27" t="s">
        <v>5460</v>
      </c>
      <c r="E27" t="s">
        <v>5490</v>
      </c>
      <c r="F27" t="s">
        <v>5490</v>
      </c>
      <c r="G27" t="s">
        <v>406</v>
      </c>
      <c r="H27" t="s">
        <v>5657</v>
      </c>
      <c r="J27" t="b">
        <v>1</v>
      </c>
      <c r="K27" t="s">
        <v>567</v>
      </c>
      <c r="L27" t="s">
        <v>4897</v>
      </c>
      <c r="M27" s="115">
        <v>45874</v>
      </c>
      <c r="P27" t="s">
        <v>2818</v>
      </c>
      <c r="Q27">
        <v>3</v>
      </c>
      <c r="R27" t="s">
        <v>1459</v>
      </c>
    </row>
    <row r="28" spans="1:18">
      <c r="A28" t="s">
        <v>5520</v>
      </c>
      <c r="B28" t="s">
        <v>925</v>
      </c>
      <c r="C28" t="s">
        <v>369</v>
      </c>
      <c r="D28" t="s">
        <v>5459</v>
      </c>
      <c r="E28" t="s">
        <v>5498</v>
      </c>
      <c r="F28" t="s">
        <v>5498</v>
      </c>
      <c r="G28" t="s">
        <v>406</v>
      </c>
      <c r="H28" t="s">
        <v>5658</v>
      </c>
      <c r="J28" t="b">
        <v>1</v>
      </c>
      <c r="K28" t="s">
        <v>567</v>
      </c>
      <c r="L28" t="s">
        <v>4897</v>
      </c>
      <c r="M28" s="115">
        <v>45874</v>
      </c>
      <c r="P28" t="s">
        <v>2818</v>
      </c>
      <c r="Q28">
        <v>3</v>
      </c>
      <c r="R28" t="s">
        <v>1459</v>
      </c>
    </row>
    <row r="29" spans="1:18">
      <c r="A29" t="s">
        <v>5520</v>
      </c>
      <c r="B29" t="s">
        <v>925</v>
      </c>
      <c r="C29" t="s">
        <v>369</v>
      </c>
      <c r="D29" t="s">
        <v>5458</v>
      </c>
      <c r="E29" t="s">
        <v>5498</v>
      </c>
      <c r="F29" t="s">
        <v>5498</v>
      </c>
      <c r="G29" t="s">
        <v>406</v>
      </c>
      <c r="H29" t="s">
        <v>5659</v>
      </c>
      <c r="J29" t="b">
        <v>1</v>
      </c>
      <c r="K29" t="s">
        <v>567</v>
      </c>
      <c r="L29" t="s">
        <v>4897</v>
      </c>
      <c r="M29" s="115">
        <v>45874</v>
      </c>
      <c r="P29" t="s">
        <v>2818</v>
      </c>
      <c r="Q29">
        <v>3</v>
      </c>
      <c r="R29" t="s">
        <v>1459</v>
      </c>
    </row>
    <row r="30" spans="1:18">
      <c r="A30" t="s">
        <v>5520</v>
      </c>
      <c r="B30" t="s">
        <v>925</v>
      </c>
      <c r="C30" t="s">
        <v>369</v>
      </c>
      <c r="D30" t="s">
        <v>5457</v>
      </c>
      <c r="E30" t="s">
        <v>5517</v>
      </c>
      <c r="F30" t="s">
        <v>5517</v>
      </c>
      <c r="G30" t="s">
        <v>406</v>
      </c>
      <c r="H30" t="s">
        <v>5660</v>
      </c>
      <c r="J30" t="b">
        <v>1</v>
      </c>
      <c r="K30" t="s">
        <v>567</v>
      </c>
      <c r="L30" t="s">
        <v>4897</v>
      </c>
      <c r="M30" s="115">
        <v>45874</v>
      </c>
      <c r="P30" t="s">
        <v>2818</v>
      </c>
      <c r="Q30">
        <v>3</v>
      </c>
      <c r="R30" t="s">
        <v>1459</v>
      </c>
    </row>
    <row r="31" spans="1:18">
      <c r="A31" t="s">
        <v>5520</v>
      </c>
      <c r="B31" t="s">
        <v>925</v>
      </c>
      <c r="C31" t="s">
        <v>369</v>
      </c>
      <c r="D31" t="s">
        <v>5456</v>
      </c>
      <c r="E31" t="s">
        <v>5498</v>
      </c>
      <c r="F31" t="s">
        <v>5498</v>
      </c>
      <c r="G31" t="s">
        <v>406</v>
      </c>
      <c r="H31" t="s">
        <v>5661</v>
      </c>
      <c r="J31" t="b">
        <v>1</v>
      </c>
      <c r="K31" t="s">
        <v>567</v>
      </c>
      <c r="L31" t="s">
        <v>4897</v>
      </c>
      <c r="M31" s="115">
        <v>45874</v>
      </c>
      <c r="P31" t="s">
        <v>2818</v>
      </c>
      <c r="Q31">
        <v>3</v>
      </c>
      <c r="R31" t="s">
        <v>1459</v>
      </c>
    </row>
    <row r="32" spans="1:18">
      <c r="A32" t="s">
        <v>5520</v>
      </c>
      <c r="B32" t="s">
        <v>925</v>
      </c>
      <c r="C32" t="s">
        <v>369</v>
      </c>
      <c r="D32" t="s">
        <v>5455</v>
      </c>
      <c r="E32" t="s">
        <v>5498</v>
      </c>
      <c r="F32" t="s">
        <v>5498</v>
      </c>
      <c r="G32" t="s">
        <v>406</v>
      </c>
      <c r="H32" t="s">
        <v>5662</v>
      </c>
      <c r="J32" t="b">
        <v>1</v>
      </c>
      <c r="K32" t="s">
        <v>567</v>
      </c>
      <c r="L32" t="s">
        <v>4897</v>
      </c>
      <c r="M32" s="115">
        <v>45874</v>
      </c>
      <c r="P32" t="s">
        <v>2818</v>
      </c>
      <c r="Q32">
        <v>3</v>
      </c>
      <c r="R32" t="s">
        <v>1459</v>
      </c>
    </row>
    <row r="33" spans="1:18">
      <c r="A33" t="s">
        <v>5520</v>
      </c>
      <c r="B33" t="s">
        <v>925</v>
      </c>
      <c r="C33" t="s">
        <v>369</v>
      </c>
      <c r="D33" t="s">
        <v>5454</v>
      </c>
      <c r="E33" t="s">
        <v>5498</v>
      </c>
      <c r="F33" t="s">
        <v>5498</v>
      </c>
      <c r="G33" t="s">
        <v>406</v>
      </c>
      <c r="H33" t="s">
        <v>5663</v>
      </c>
      <c r="J33" t="b">
        <v>1</v>
      </c>
      <c r="K33" t="s">
        <v>567</v>
      </c>
      <c r="L33" t="s">
        <v>4897</v>
      </c>
      <c r="M33" s="115">
        <v>45874</v>
      </c>
      <c r="P33" t="s">
        <v>2818</v>
      </c>
      <c r="Q33">
        <v>3</v>
      </c>
      <c r="R33" t="s">
        <v>1459</v>
      </c>
    </row>
    <row r="34" spans="1:18">
      <c r="A34" t="s">
        <v>5520</v>
      </c>
      <c r="B34" t="s">
        <v>925</v>
      </c>
      <c r="C34" t="s">
        <v>369</v>
      </c>
      <c r="D34" t="s">
        <v>5453</v>
      </c>
      <c r="E34" t="s">
        <v>5516</v>
      </c>
      <c r="F34" t="s">
        <v>5516</v>
      </c>
      <c r="G34" t="s">
        <v>406</v>
      </c>
      <c r="H34" t="s">
        <v>5664</v>
      </c>
      <c r="J34" t="b">
        <v>1</v>
      </c>
      <c r="K34" t="s">
        <v>567</v>
      </c>
      <c r="L34" t="s">
        <v>4897</v>
      </c>
      <c r="M34" s="115">
        <v>45874</v>
      </c>
      <c r="P34" t="s">
        <v>2818</v>
      </c>
      <c r="Q34">
        <v>3</v>
      </c>
      <c r="R34" t="s">
        <v>1459</v>
      </c>
    </row>
    <row r="35" spans="1:18">
      <c r="A35" t="s">
        <v>5520</v>
      </c>
      <c r="B35" t="s">
        <v>925</v>
      </c>
      <c r="C35" t="s">
        <v>369</v>
      </c>
      <c r="D35" t="s">
        <v>5452</v>
      </c>
      <c r="E35" t="s">
        <v>5498</v>
      </c>
      <c r="F35" t="s">
        <v>5498</v>
      </c>
      <c r="G35" t="s">
        <v>406</v>
      </c>
      <c r="H35" t="s">
        <v>5665</v>
      </c>
      <c r="J35" t="b">
        <v>1</v>
      </c>
      <c r="K35" t="s">
        <v>567</v>
      </c>
      <c r="L35" t="s">
        <v>4897</v>
      </c>
      <c r="M35" s="115">
        <v>45874</v>
      </c>
      <c r="P35" t="s">
        <v>2818</v>
      </c>
      <c r="Q35">
        <v>3</v>
      </c>
      <c r="R35" t="s">
        <v>1459</v>
      </c>
    </row>
    <row r="36" spans="1:18">
      <c r="A36" t="s">
        <v>5520</v>
      </c>
      <c r="B36" t="s">
        <v>925</v>
      </c>
      <c r="C36" t="s">
        <v>369</v>
      </c>
      <c r="D36" t="s">
        <v>5451</v>
      </c>
      <c r="E36" t="s">
        <v>5498</v>
      </c>
      <c r="F36" t="s">
        <v>5498</v>
      </c>
      <c r="G36" t="s">
        <v>406</v>
      </c>
      <c r="H36" t="s">
        <v>5666</v>
      </c>
      <c r="J36" t="b">
        <v>1</v>
      </c>
      <c r="K36" t="s">
        <v>567</v>
      </c>
      <c r="L36" t="s">
        <v>4897</v>
      </c>
      <c r="M36" s="115">
        <v>45874</v>
      </c>
      <c r="P36" t="s">
        <v>2818</v>
      </c>
      <c r="Q36">
        <v>3</v>
      </c>
      <c r="R36" t="s">
        <v>1459</v>
      </c>
    </row>
    <row r="37" spans="1:18">
      <c r="A37" t="s">
        <v>5520</v>
      </c>
      <c r="B37" t="s">
        <v>925</v>
      </c>
      <c r="C37" t="s">
        <v>369</v>
      </c>
      <c r="D37" t="s">
        <v>5450</v>
      </c>
      <c r="E37" t="s">
        <v>5492</v>
      </c>
      <c r="F37" t="s">
        <v>5492</v>
      </c>
      <c r="G37" t="s">
        <v>406</v>
      </c>
      <c r="H37" t="s">
        <v>5667</v>
      </c>
      <c r="J37" t="b">
        <v>1</v>
      </c>
      <c r="K37" t="s">
        <v>567</v>
      </c>
      <c r="L37" t="s">
        <v>4897</v>
      </c>
      <c r="M37" s="115">
        <v>45874</v>
      </c>
      <c r="P37" t="s">
        <v>2818</v>
      </c>
      <c r="Q37">
        <v>3</v>
      </c>
      <c r="R37" t="s">
        <v>1459</v>
      </c>
    </row>
    <row r="38" spans="1:18">
      <c r="A38" t="s">
        <v>5520</v>
      </c>
      <c r="B38" t="s">
        <v>925</v>
      </c>
      <c r="C38" t="s">
        <v>369</v>
      </c>
      <c r="D38" t="s">
        <v>5449</v>
      </c>
      <c r="E38" t="s">
        <v>5497</v>
      </c>
      <c r="F38" t="s">
        <v>5497</v>
      </c>
      <c r="G38" t="s">
        <v>406</v>
      </c>
      <c r="H38" t="s">
        <v>5668</v>
      </c>
      <c r="J38" t="b">
        <v>1</v>
      </c>
      <c r="K38" t="s">
        <v>567</v>
      </c>
      <c r="L38" t="s">
        <v>4897</v>
      </c>
      <c r="M38" s="115">
        <v>45874</v>
      </c>
      <c r="P38" t="s">
        <v>2818</v>
      </c>
      <c r="Q38">
        <v>3</v>
      </c>
      <c r="R38" t="s">
        <v>1459</v>
      </c>
    </row>
    <row r="39" spans="1:18">
      <c r="A39" t="s">
        <v>5520</v>
      </c>
      <c r="B39" t="s">
        <v>925</v>
      </c>
      <c r="C39" t="s">
        <v>369</v>
      </c>
      <c r="D39" t="s">
        <v>5448</v>
      </c>
      <c r="E39" t="s">
        <v>5515</v>
      </c>
      <c r="F39" t="s">
        <v>5515</v>
      </c>
      <c r="G39" t="s">
        <v>406</v>
      </c>
      <c r="H39" t="s">
        <v>5669</v>
      </c>
      <c r="J39" t="b">
        <v>1</v>
      </c>
      <c r="K39" t="s">
        <v>567</v>
      </c>
      <c r="L39" t="s">
        <v>4897</v>
      </c>
      <c r="M39" s="115">
        <v>45874</v>
      </c>
      <c r="P39" t="s">
        <v>2818</v>
      </c>
      <c r="Q39">
        <v>3</v>
      </c>
      <c r="R39" t="s">
        <v>1459</v>
      </c>
    </row>
    <row r="40" spans="1:18">
      <c r="A40" t="s">
        <v>5520</v>
      </c>
      <c r="B40" t="s">
        <v>925</v>
      </c>
      <c r="C40" t="s">
        <v>369</v>
      </c>
      <c r="D40" t="s">
        <v>5447</v>
      </c>
      <c r="E40" t="s">
        <v>5499</v>
      </c>
      <c r="F40" t="s">
        <v>5499</v>
      </c>
      <c r="G40" t="s">
        <v>406</v>
      </c>
      <c r="H40" t="s">
        <v>5670</v>
      </c>
      <c r="J40" t="b">
        <v>1</v>
      </c>
      <c r="K40" t="s">
        <v>567</v>
      </c>
      <c r="L40" t="s">
        <v>4897</v>
      </c>
      <c r="M40" s="115">
        <v>45874</v>
      </c>
      <c r="P40" t="s">
        <v>2818</v>
      </c>
      <c r="Q40">
        <v>3</v>
      </c>
      <c r="R40" t="s">
        <v>1459</v>
      </c>
    </row>
    <row r="41" spans="1:18">
      <c r="A41" t="s">
        <v>5520</v>
      </c>
      <c r="B41" t="s">
        <v>925</v>
      </c>
      <c r="C41" t="s">
        <v>369</v>
      </c>
      <c r="D41" t="s">
        <v>5446</v>
      </c>
      <c r="E41" t="s">
        <v>5491</v>
      </c>
      <c r="F41" t="s">
        <v>5491</v>
      </c>
      <c r="G41" t="s">
        <v>406</v>
      </c>
      <c r="H41" t="s">
        <v>5671</v>
      </c>
      <c r="J41" t="b">
        <v>1</v>
      </c>
      <c r="K41" t="s">
        <v>567</v>
      </c>
      <c r="L41" t="s">
        <v>4897</v>
      </c>
      <c r="M41" s="115">
        <v>45874</v>
      </c>
      <c r="P41" t="s">
        <v>2818</v>
      </c>
      <c r="Q41">
        <v>3</v>
      </c>
      <c r="R41" t="s">
        <v>1459</v>
      </c>
    </row>
    <row r="42" spans="1:18">
      <c r="A42" t="s">
        <v>5520</v>
      </c>
      <c r="B42" t="s">
        <v>925</v>
      </c>
      <c r="C42" t="s">
        <v>369</v>
      </c>
      <c r="D42" t="s">
        <v>5445</v>
      </c>
      <c r="E42" t="s">
        <v>5515</v>
      </c>
      <c r="F42" t="s">
        <v>5515</v>
      </c>
      <c r="G42" t="s">
        <v>406</v>
      </c>
      <c r="H42" t="s">
        <v>5672</v>
      </c>
      <c r="J42" t="b">
        <v>1</v>
      </c>
      <c r="K42" t="s">
        <v>567</v>
      </c>
      <c r="L42" t="s">
        <v>4897</v>
      </c>
      <c r="M42" s="115">
        <v>45874</v>
      </c>
      <c r="P42" t="s">
        <v>2818</v>
      </c>
      <c r="Q42">
        <v>3</v>
      </c>
      <c r="R42" t="s">
        <v>1459</v>
      </c>
    </row>
    <row r="43" spans="1:18">
      <c r="A43" t="s">
        <v>5520</v>
      </c>
      <c r="B43" t="s">
        <v>925</v>
      </c>
      <c r="C43" t="s">
        <v>369</v>
      </c>
      <c r="D43" t="s">
        <v>4831</v>
      </c>
      <c r="E43" t="s">
        <v>5515</v>
      </c>
      <c r="F43" t="s">
        <v>5515</v>
      </c>
      <c r="G43" t="s">
        <v>406</v>
      </c>
      <c r="H43" t="s">
        <v>5673</v>
      </c>
      <c r="J43" t="b">
        <v>1</v>
      </c>
      <c r="K43" t="s">
        <v>567</v>
      </c>
      <c r="L43" t="s">
        <v>4897</v>
      </c>
      <c r="M43" s="115">
        <v>45874</v>
      </c>
      <c r="P43" t="s">
        <v>2818</v>
      </c>
      <c r="Q43">
        <v>3</v>
      </c>
      <c r="R43" t="s">
        <v>1459</v>
      </c>
    </row>
    <row r="44" spans="1:18">
      <c r="A44" t="s">
        <v>5520</v>
      </c>
      <c r="B44" t="s">
        <v>925</v>
      </c>
      <c r="C44" t="s">
        <v>369</v>
      </c>
      <c r="D44" t="s">
        <v>5444</v>
      </c>
      <c r="E44" t="s">
        <v>5498</v>
      </c>
      <c r="F44" t="s">
        <v>5498</v>
      </c>
      <c r="G44" t="s">
        <v>406</v>
      </c>
      <c r="H44" t="s">
        <v>5674</v>
      </c>
      <c r="J44" t="b">
        <v>1</v>
      </c>
      <c r="K44" t="s">
        <v>567</v>
      </c>
      <c r="L44" t="s">
        <v>4897</v>
      </c>
      <c r="M44" s="115">
        <v>45874</v>
      </c>
      <c r="P44" t="s">
        <v>2818</v>
      </c>
      <c r="Q44">
        <v>3</v>
      </c>
      <c r="R44" t="s">
        <v>1459</v>
      </c>
    </row>
    <row r="45" spans="1:18">
      <c r="A45" t="s">
        <v>5520</v>
      </c>
      <c r="B45" t="s">
        <v>925</v>
      </c>
      <c r="C45" t="s">
        <v>369</v>
      </c>
      <c r="D45" t="s">
        <v>5443</v>
      </c>
      <c r="E45" t="s">
        <v>5506</v>
      </c>
      <c r="F45" t="s">
        <v>5506</v>
      </c>
      <c r="G45" t="s">
        <v>406</v>
      </c>
      <c r="H45" t="s">
        <v>5675</v>
      </c>
      <c r="J45" t="b">
        <v>1</v>
      </c>
      <c r="K45" t="s">
        <v>567</v>
      </c>
      <c r="L45" t="s">
        <v>4897</v>
      </c>
      <c r="M45" s="115">
        <v>45874</v>
      </c>
      <c r="P45" t="s">
        <v>2818</v>
      </c>
      <c r="Q45">
        <v>3</v>
      </c>
      <c r="R45" t="s">
        <v>1459</v>
      </c>
    </row>
    <row r="46" spans="1:18">
      <c r="A46" t="s">
        <v>5520</v>
      </c>
      <c r="B46" t="s">
        <v>925</v>
      </c>
      <c r="C46" t="s">
        <v>369</v>
      </c>
      <c r="D46" t="s">
        <v>5442</v>
      </c>
      <c r="E46" t="s">
        <v>5498</v>
      </c>
      <c r="F46" t="s">
        <v>5498</v>
      </c>
      <c r="G46" t="s">
        <v>406</v>
      </c>
      <c r="H46" t="s">
        <v>5676</v>
      </c>
      <c r="J46" t="b">
        <v>1</v>
      </c>
      <c r="K46" t="s">
        <v>567</v>
      </c>
      <c r="L46" t="s">
        <v>4897</v>
      </c>
      <c r="M46" s="115">
        <v>45874</v>
      </c>
      <c r="P46" t="s">
        <v>2818</v>
      </c>
      <c r="Q46">
        <v>3</v>
      </c>
      <c r="R46" t="s">
        <v>1459</v>
      </c>
    </row>
    <row r="47" spans="1:18">
      <c r="A47" t="s">
        <v>5520</v>
      </c>
      <c r="B47" t="s">
        <v>925</v>
      </c>
      <c r="C47" t="s">
        <v>369</v>
      </c>
      <c r="D47" t="s">
        <v>5441</v>
      </c>
      <c r="E47" t="s">
        <v>5490</v>
      </c>
      <c r="F47" t="s">
        <v>5490</v>
      </c>
      <c r="G47" t="s">
        <v>400</v>
      </c>
      <c r="H47" t="s">
        <v>5638</v>
      </c>
      <c r="J47" t="b">
        <v>1</v>
      </c>
      <c r="K47" t="s">
        <v>567</v>
      </c>
      <c r="L47" t="s">
        <v>4897</v>
      </c>
      <c r="M47" s="115">
        <v>45874</v>
      </c>
      <c r="P47" t="s">
        <v>2818</v>
      </c>
      <c r="Q47">
        <v>3</v>
      </c>
      <c r="R47" t="s">
        <v>1459</v>
      </c>
    </row>
    <row r="48" spans="1:18">
      <c r="A48" t="s">
        <v>5520</v>
      </c>
      <c r="B48" t="s">
        <v>925</v>
      </c>
      <c r="C48" t="s">
        <v>369</v>
      </c>
      <c r="D48" t="s">
        <v>5440</v>
      </c>
      <c r="E48" t="s">
        <v>5490</v>
      </c>
      <c r="F48" t="s">
        <v>5490</v>
      </c>
      <c r="G48" t="s">
        <v>400</v>
      </c>
      <c r="H48" t="s">
        <v>5638</v>
      </c>
      <c r="J48" t="b">
        <v>1</v>
      </c>
      <c r="K48" t="s">
        <v>567</v>
      </c>
      <c r="L48" t="s">
        <v>4897</v>
      </c>
      <c r="M48" s="115">
        <v>45874</v>
      </c>
      <c r="P48" t="s">
        <v>2818</v>
      </c>
      <c r="Q48">
        <v>3</v>
      </c>
      <c r="R48" t="s">
        <v>1459</v>
      </c>
    </row>
    <row r="49" spans="1:18">
      <c r="A49" t="s">
        <v>5520</v>
      </c>
      <c r="B49" t="s">
        <v>925</v>
      </c>
      <c r="C49" t="s">
        <v>369</v>
      </c>
      <c r="D49" t="s">
        <v>5439</v>
      </c>
      <c r="E49" t="s">
        <v>5487</v>
      </c>
      <c r="F49" t="s">
        <v>5487</v>
      </c>
      <c r="G49" t="s">
        <v>400</v>
      </c>
      <c r="H49" t="s">
        <v>5638</v>
      </c>
      <c r="J49" t="b">
        <v>1</v>
      </c>
      <c r="K49" t="s">
        <v>567</v>
      </c>
      <c r="L49" t="s">
        <v>4897</v>
      </c>
      <c r="M49" s="115">
        <v>45874</v>
      </c>
      <c r="P49" t="s">
        <v>2818</v>
      </c>
      <c r="Q49">
        <v>3</v>
      </c>
      <c r="R49" t="s">
        <v>1459</v>
      </c>
    </row>
    <row r="50" spans="1:18">
      <c r="A50" t="s">
        <v>5520</v>
      </c>
      <c r="B50" t="s">
        <v>925</v>
      </c>
      <c r="C50" t="s">
        <v>369</v>
      </c>
      <c r="D50" t="s">
        <v>5438</v>
      </c>
      <c r="E50" t="s">
        <v>5487</v>
      </c>
      <c r="F50" t="s">
        <v>5487</v>
      </c>
      <c r="G50" t="s">
        <v>400</v>
      </c>
      <c r="H50" t="s">
        <v>5638</v>
      </c>
      <c r="J50" t="b">
        <v>1</v>
      </c>
      <c r="K50" t="s">
        <v>567</v>
      </c>
      <c r="L50" t="s">
        <v>4897</v>
      </c>
      <c r="M50" s="115">
        <v>45874</v>
      </c>
      <c r="P50" t="s">
        <v>2818</v>
      </c>
      <c r="Q50">
        <v>3</v>
      </c>
      <c r="R50" t="s">
        <v>1459</v>
      </c>
    </row>
    <row r="51" spans="1:18">
      <c r="A51" t="s">
        <v>5520</v>
      </c>
      <c r="B51" t="s">
        <v>925</v>
      </c>
      <c r="C51" t="s">
        <v>369</v>
      </c>
      <c r="D51" t="s">
        <v>5437</v>
      </c>
      <c r="E51" t="s">
        <v>5488</v>
      </c>
      <c r="F51" t="s">
        <v>5488</v>
      </c>
      <c r="G51" t="s">
        <v>400</v>
      </c>
      <c r="H51" t="s">
        <v>5638</v>
      </c>
      <c r="J51" t="b">
        <v>1</v>
      </c>
      <c r="K51" t="s">
        <v>567</v>
      </c>
      <c r="L51" t="s">
        <v>4897</v>
      </c>
      <c r="M51" s="115">
        <v>45874</v>
      </c>
      <c r="P51" t="s">
        <v>2818</v>
      </c>
      <c r="Q51">
        <v>3</v>
      </c>
      <c r="R51" t="s">
        <v>1459</v>
      </c>
    </row>
    <row r="52" spans="1:18">
      <c r="A52" t="s">
        <v>5520</v>
      </c>
      <c r="B52" t="s">
        <v>925</v>
      </c>
      <c r="C52" t="s">
        <v>369</v>
      </c>
      <c r="D52" t="s">
        <v>5436</v>
      </c>
      <c r="E52" t="s">
        <v>5494</v>
      </c>
      <c r="F52" t="s">
        <v>5494</v>
      </c>
      <c r="G52" t="s">
        <v>400</v>
      </c>
      <c r="H52" t="s">
        <v>5638</v>
      </c>
      <c r="J52" t="b">
        <v>1</v>
      </c>
      <c r="K52" t="s">
        <v>567</v>
      </c>
      <c r="L52" t="s">
        <v>4897</v>
      </c>
      <c r="M52" s="115">
        <v>45874</v>
      </c>
      <c r="P52" t="s">
        <v>2818</v>
      </c>
      <c r="Q52">
        <v>3</v>
      </c>
      <c r="R52" t="s">
        <v>1459</v>
      </c>
    </row>
    <row r="53" spans="1:18">
      <c r="A53" t="s">
        <v>5520</v>
      </c>
      <c r="B53" t="s">
        <v>925</v>
      </c>
      <c r="C53" t="s">
        <v>369</v>
      </c>
      <c r="D53" t="s">
        <v>5435</v>
      </c>
      <c r="E53" t="s">
        <v>5487</v>
      </c>
      <c r="F53" t="s">
        <v>5487</v>
      </c>
      <c r="G53" t="s">
        <v>400</v>
      </c>
      <c r="H53" t="s">
        <v>5638</v>
      </c>
      <c r="J53" t="b">
        <v>1</v>
      </c>
      <c r="K53" t="s">
        <v>567</v>
      </c>
      <c r="L53" t="s">
        <v>4897</v>
      </c>
      <c r="M53" s="115">
        <v>45874</v>
      </c>
      <c r="P53" t="s">
        <v>2818</v>
      </c>
      <c r="Q53">
        <v>3</v>
      </c>
      <c r="R53" t="s">
        <v>1459</v>
      </c>
    </row>
    <row r="54" spans="1:18">
      <c r="A54" t="s">
        <v>5520</v>
      </c>
      <c r="B54" t="s">
        <v>925</v>
      </c>
      <c r="C54" t="s">
        <v>369</v>
      </c>
      <c r="D54" t="s">
        <v>5434</v>
      </c>
      <c r="E54" t="s">
        <v>5495</v>
      </c>
      <c r="F54" t="s">
        <v>5495</v>
      </c>
      <c r="G54" t="s">
        <v>400</v>
      </c>
      <c r="H54" t="s">
        <v>5638</v>
      </c>
      <c r="J54" t="b">
        <v>1</v>
      </c>
      <c r="K54" t="s">
        <v>567</v>
      </c>
      <c r="L54" t="s">
        <v>4897</v>
      </c>
      <c r="M54" s="115">
        <v>45874</v>
      </c>
      <c r="P54" t="s">
        <v>2818</v>
      </c>
      <c r="Q54">
        <v>3</v>
      </c>
      <c r="R54" t="s">
        <v>1459</v>
      </c>
    </row>
    <row r="55" spans="1:18">
      <c r="A55" t="s">
        <v>5520</v>
      </c>
      <c r="B55" t="s">
        <v>925</v>
      </c>
      <c r="C55" t="s">
        <v>369</v>
      </c>
      <c r="D55" t="s">
        <v>5433</v>
      </c>
      <c r="E55" t="s">
        <v>5497</v>
      </c>
      <c r="F55" t="s">
        <v>5497</v>
      </c>
      <c r="G55" t="s">
        <v>400</v>
      </c>
      <c r="H55" t="s">
        <v>5638</v>
      </c>
      <c r="J55" t="b">
        <v>1</v>
      </c>
      <c r="K55" t="s">
        <v>567</v>
      </c>
      <c r="L55" t="s">
        <v>4897</v>
      </c>
      <c r="M55" s="115">
        <v>45874</v>
      </c>
      <c r="P55" t="s">
        <v>2818</v>
      </c>
      <c r="Q55">
        <v>3</v>
      </c>
      <c r="R55" t="s">
        <v>1459</v>
      </c>
    </row>
    <row r="56" spans="1:18">
      <c r="A56" t="s">
        <v>5520</v>
      </c>
      <c r="B56" t="s">
        <v>925</v>
      </c>
      <c r="C56" t="s">
        <v>369</v>
      </c>
      <c r="D56" t="s">
        <v>5432</v>
      </c>
      <c r="E56" t="s">
        <v>5488</v>
      </c>
      <c r="F56" t="s">
        <v>5488</v>
      </c>
      <c r="G56" t="s">
        <v>400</v>
      </c>
      <c r="H56" t="s">
        <v>5638</v>
      </c>
      <c r="J56" t="b">
        <v>1</v>
      </c>
      <c r="K56" t="s">
        <v>567</v>
      </c>
      <c r="L56" t="s">
        <v>4897</v>
      </c>
      <c r="M56" s="115">
        <v>45874</v>
      </c>
      <c r="P56" t="s">
        <v>2818</v>
      </c>
      <c r="Q56">
        <v>3</v>
      </c>
      <c r="R56" t="s">
        <v>1459</v>
      </c>
    </row>
    <row r="57" spans="1:18">
      <c r="A57" t="s">
        <v>5520</v>
      </c>
      <c r="B57" t="s">
        <v>925</v>
      </c>
      <c r="C57" t="s">
        <v>369</v>
      </c>
      <c r="D57" t="s">
        <v>5431</v>
      </c>
      <c r="E57" t="s">
        <v>5495</v>
      </c>
      <c r="F57" t="s">
        <v>5495</v>
      </c>
      <c r="G57" t="s">
        <v>400</v>
      </c>
      <c r="H57" t="s">
        <v>5638</v>
      </c>
      <c r="J57" t="b">
        <v>1</v>
      </c>
      <c r="K57" t="s">
        <v>567</v>
      </c>
      <c r="L57" t="s">
        <v>4897</v>
      </c>
      <c r="M57" s="115">
        <v>45874</v>
      </c>
      <c r="P57" t="s">
        <v>2818</v>
      </c>
      <c r="Q57">
        <v>3</v>
      </c>
      <c r="R57" t="s">
        <v>1459</v>
      </c>
    </row>
    <row r="58" spans="1:18">
      <c r="A58" t="s">
        <v>5520</v>
      </c>
      <c r="B58" t="s">
        <v>925</v>
      </c>
      <c r="C58" t="s">
        <v>369</v>
      </c>
      <c r="D58" t="s">
        <v>5430</v>
      </c>
      <c r="E58" t="s">
        <v>5514</v>
      </c>
      <c r="F58" t="s">
        <v>5514</v>
      </c>
      <c r="G58" t="s">
        <v>400</v>
      </c>
      <c r="H58" t="s">
        <v>5638</v>
      </c>
      <c r="J58" t="b">
        <v>1</v>
      </c>
      <c r="K58" t="s">
        <v>567</v>
      </c>
      <c r="L58" t="s">
        <v>4897</v>
      </c>
      <c r="M58" s="115">
        <v>45874</v>
      </c>
      <c r="P58" t="s">
        <v>2818</v>
      </c>
      <c r="Q58">
        <v>3</v>
      </c>
      <c r="R58" t="s">
        <v>1459</v>
      </c>
    </row>
    <row r="59" spans="1:18">
      <c r="A59" t="s">
        <v>5520</v>
      </c>
      <c r="B59" t="s">
        <v>925</v>
      </c>
      <c r="C59" t="s">
        <v>369</v>
      </c>
      <c r="D59" t="s">
        <v>5429</v>
      </c>
      <c r="E59" t="s">
        <v>5513</v>
      </c>
      <c r="F59" t="s">
        <v>5513</v>
      </c>
      <c r="G59" t="s">
        <v>400</v>
      </c>
      <c r="H59" t="s">
        <v>5638</v>
      </c>
      <c r="J59" t="b">
        <v>1</v>
      </c>
      <c r="K59" t="s">
        <v>567</v>
      </c>
      <c r="L59" t="s">
        <v>4897</v>
      </c>
      <c r="M59" s="115">
        <v>45874</v>
      </c>
      <c r="P59" t="s">
        <v>2818</v>
      </c>
      <c r="Q59">
        <v>3</v>
      </c>
      <c r="R59" t="s">
        <v>1459</v>
      </c>
    </row>
    <row r="60" spans="1:18">
      <c r="A60" t="s">
        <v>5520</v>
      </c>
      <c r="B60" t="s">
        <v>925</v>
      </c>
      <c r="C60" t="s">
        <v>369</v>
      </c>
      <c r="D60" t="s">
        <v>5428</v>
      </c>
      <c r="E60" t="s">
        <v>5487</v>
      </c>
      <c r="F60" t="s">
        <v>5487</v>
      </c>
      <c r="G60" t="s">
        <v>400</v>
      </c>
      <c r="H60" t="s">
        <v>5638</v>
      </c>
      <c r="J60" t="b">
        <v>1</v>
      </c>
      <c r="K60" t="s">
        <v>567</v>
      </c>
      <c r="L60" t="s">
        <v>4897</v>
      </c>
      <c r="M60" s="115">
        <v>45874</v>
      </c>
      <c r="P60" t="s">
        <v>2818</v>
      </c>
      <c r="Q60">
        <v>3</v>
      </c>
      <c r="R60" t="s">
        <v>1459</v>
      </c>
    </row>
    <row r="61" spans="1:18">
      <c r="A61" t="s">
        <v>5520</v>
      </c>
      <c r="B61" t="s">
        <v>925</v>
      </c>
      <c r="C61" t="s">
        <v>369</v>
      </c>
      <c r="D61" t="s">
        <v>5427</v>
      </c>
      <c r="E61" t="s">
        <v>661</v>
      </c>
      <c r="F61" t="s">
        <v>661</v>
      </c>
      <c r="G61" t="s">
        <v>400</v>
      </c>
      <c r="H61" t="s">
        <v>5638</v>
      </c>
      <c r="J61" t="b">
        <v>1</v>
      </c>
      <c r="K61" t="s">
        <v>567</v>
      </c>
      <c r="L61" t="s">
        <v>4897</v>
      </c>
      <c r="M61" s="115">
        <v>45874</v>
      </c>
      <c r="P61" t="s">
        <v>2818</v>
      </c>
      <c r="Q61">
        <v>3</v>
      </c>
      <c r="R61" t="s">
        <v>1459</v>
      </c>
    </row>
    <row r="62" spans="1:18">
      <c r="A62" t="s">
        <v>5520</v>
      </c>
      <c r="B62" t="s">
        <v>925</v>
      </c>
      <c r="C62" t="s">
        <v>369</v>
      </c>
      <c r="D62" t="s">
        <v>5426</v>
      </c>
      <c r="E62" t="s">
        <v>5487</v>
      </c>
      <c r="F62" t="s">
        <v>5487</v>
      </c>
      <c r="G62" t="s">
        <v>406</v>
      </c>
      <c r="H62" t="s">
        <v>5677</v>
      </c>
      <c r="J62" t="b">
        <v>1</v>
      </c>
      <c r="K62" t="s">
        <v>567</v>
      </c>
      <c r="L62" t="s">
        <v>4897</v>
      </c>
      <c r="M62" s="115">
        <v>45874</v>
      </c>
      <c r="P62" t="s">
        <v>2818</v>
      </c>
      <c r="Q62">
        <v>3</v>
      </c>
      <c r="R62" t="s">
        <v>1459</v>
      </c>
    </row>
    <row r="63" spans="1:18">
      <c r="A63" t="s">
        <v>5520</v>
      </c>
      <c r="B63" t="s">
        <v>925</v>
      </c>
      <c r="C63" t="s">
        <v>369</v>
      </c>
      <c r="D63" t="s">
        <v>5425</v>
      </c>
      <c r="E63" t="s">
        <v>5497</v>
      </c>
      <c r="F63" t="s">
        <v>5497</v>
      </c>
      <c r="G63" t="s">
        <v>406</v>
      </c>
      <c r="H63" t="s">
        <v>5678</v>
      </c>
      <c r="J63" t="b">
        <v>1</v>
      </c>
      <c r="K63" t="s">
        <v>567</v>
      </c>
      <c r="L63" t="s">
        <v>4897</v>
      </c>
      <c r="M63" s="115">
        <v>45874</v>
      </c>
      <c r="P63" t="s">
        <v>2818</v>
      </c>
      <c r="Q63">
        <v>3</v>
      </c>
      <c r="R63" t="s">
        <v>1459</v>
      </c>
    </row>
    <row r="64" spans="1:18">
      <c r="A64" t="s">
        <v>5520</v>
      </c>
      <c r="B64" t="s">
        <v>925</v>
      </c>
      <c r="C64" t="s">
        <v>369</v>
      </c>
      <c r="D64" t="s">
        <v>5424</v>
      </c>
      <c r="E64" t="s">
        <v>5490</v>
      </c>
      <c r="F64" t="s">
        <v>5490</v>
      </c>
      <c r="G64" t="s">
        <v>400</v>
      </c>
      <c r="H64" t="s">
        <v>5638</v>
      </c>
      <c r="J64" t="b">
        <v>1</v>
      </c>
      <c r="K64" t="s">
        <v>567</v>
      </c>
      <c r="L64" t="s">
        <v>4897</v>
      </c>
      <c r="M64" s="115">
        <v>45874</v>
      </c>
      <c r="P64" t="s">
        <v>2818</v>
      </c>
      <c r="Q64">
        <v>3</v>
      </c>
      <c r="R64" t="s">
        <v>1459</v>
      </c>
    </row>
    <row r="65" spans="1:18">
      <c r="A65" t="s">
        <v>5520</v>
      </c>
      <c r="B65" t="s">
        <v>925</v>
      </c>
      <c r="C65" t="s">
        <v>369</v>
      </c>
      <c r="D65" t="s">
        <v>5423</v>
      </c>
      <c r="E65" t="s">
        <v>5495</v>
      </c>
      <c r="F65" t="s">
        <v>5495</v>
      </c>
      <c r="G65" t="s">
        <v>400</v>
      </c>
      <c r="H65" t="s">
        <v>5638</v>
      </c>
      <c r="J65" t="b">
        <v>1</v>
      </c>
      <c r="K65" t="s">
        <v>567</v>
      </c>
      <c r="L65" t="s">
        <v>4897</v>
      </c>
      <c r="M65" s="115">
        <v>45874</v>
      </c>
      <c r="P65" t="s">
        <v>2818</v>
      </c>
      <c r="Q65">
        <v>3</v>
      </c>
      <c r="R65" t="s">
        <v>1459</v>
      </c>
    </row>
    <row r="66" spans="1:18">
      <c r="A66" t="s">
        <v>5520</v>
      </c>
      <c r="B66" t="s">
        <v>925</v>
      </c>
      <c r="C66" t="s">
        <v>369</v>
      </c>
      <c r="D66" t="s">
        <v>5422</v>
      </c>
      <c r="E66" t="s">
        <v>5487</v>
      </c>
      <c r="F66" t="s">
        <v>5487</v>
      </c>
      <c r="G66" t="s">
        <v>400</v>
      </c>
      <c r="H66" t="s">
        <v>5638</v>
      </c>
      <c r="J66" t="b">
        <v>1</v>
      </c>
      <c r="K66" t="s">
        <v>567</v>
      </c>
      <c r="L66" t="s">
        <v>4897</v>
      </c>
      <c r="M66" s="115">
        <v>45874</v>
      </c>
      <c r="P66" t="s">
        <v>2818</v>
      </c>
      <c r="Q66">
        <v>3</v>
      </c>
      <c r="R66" t="s">
        <v>1459</v>
      </c>
    </row>
    <row r="67" spans="1:18">
      <c r="A67" t="s">
        <v>5520</v>
      </c>
      <c r="B67" t="s">
        <v>925</v>
      </c>
      <c r="C67" t="s">
        <v>369</v>
      </c>
      <c r="D67" t="s">
        <v>5421</v>
      </c>
      <c r="E67" t="s">
        <v>5497</v>
      </c>
      <c r="F67" t="s">
        <v>5497</v>
      </c>
      <c r="G67" t="s">
        <v>400</v>
      </c>
      <c r="H67" t="s">
        <v>5638</v>
      </c>
      <c r="J67" t="b">
        <v>1</v>
      </c>
      <c r="K67" t="s">
        <v>567</v>
      </c>
      <c r="L67" t="s">
        <v>4897</v>
      </c>
      <c r="M67" s="115">
        <v>45874</v>
      </c>
      <c r="P67" t="s">
        <v>2818</v>
      </c>
      <c r="Q67">
        <v>3</v>
      </c>
      <c r="R67" t="s">
        <v>1459</v>
      </c>
    </row>
    <row r="68" spans="1:18">
      <c r="A68" t="s">
        <v>5520</v>
      </c>
      <c r="B68" t="s">
        <v>925</v>
      </c>
      <c r="C68" t="s">
        <v>369</v>
      </c>
      <c r="D68" t="s">
        <v>5420</v>
      </c>
      <c r="E68" t="s">
        <v>5488</v>
      </c>
      <c r="F68" t="s">
        <v>5488</v>
      </c>
      <c r="G68" t="s">
        <v>400</v>
      </c>
      <c r="H68" t="s">
        <v>5638</v>
      </c>
      <c r="J68" t="b">
        <v>1</v>
      </c>
      <c r="K68" t="s">
        <v>567</v>
      </c>
      <c r="L68" t="s">
        <v>4897</v>
      </c>
      <c r="M68" s="115">
        <v>45874</v>
      </c>
      <c r="P68" t="s">
        <v>2818</v>
      </c>
      <c r="Q68">
        <v>3</v>
      </c>
      <c r="R68" t="s">
        <v>1459</v>
      </c>
    </row>
    <row r="69" spans="1:18">
      <c r="A69" t="s">
        <v>5520</v>
      </c>
      <c r="B69" t="s">
        <v>925</v>
      </c>
      <c r="C69" t="s">
        <v>369</v>
      </c>
      <c r="D69" t="s">
        <v>5419</v>
      </c>
      <c r="E69" t="s">
        <v>5506</v>
      </c>
      <c r="F69" t="s">
        <v>5506</v>
      </c>
      <c r="G69" t="s">
        <v>400</v>
      </c>
      <c r="H69" t="s">
        <v>5638</v>
      </c>
      <c r="J69" t="b">
        <v>1</v>
      </c>
      <c r="K69" t="s">
        <v>567</v>
      </c>
      <c r="L69" t="s">
        <v>4897</v>
      </c>
      <c r="M69" s="115">
        <v>45874</v>
      </c>
      <c r="P69" t="s">
        <v>2818</v>
      </c>
      <c r="Q69">
        <v>3</v>
      </c>
      <c r="R69" t="s">
        <v>1459</v>
      </c>
    </row>
    <row r="70" spans="1:18">
      <c r="A70" t="s">
        <v>5520</v>
      </c>
      <c r="B70" t="s">
        <v>925</v>
      </c>
      <c r="C70" t="s">
        <v>369</v>
      </c>
      <c r="D70" t="s">
        <v>5418</v>
      </c>
      <c r="E70" t="s">
        <v>5486</v>
      </c>
      <c r="F70" t="s">
        <v>5486</v>
      </c>
      <c r="G70" t="s">
        <v>400</v>
      </c>
      <c r="H70" t="s">
        <v>5638</v>
      </c>
      <c r="J70" t="b">
        <v>1</v>
      </c>
      <c r="K70" t="s">
        <v>567</v>
      </c>
      <c r="L70" t="s">
        <v>4897</v>
      </c>
      <c r="M70" s="115">
        <v>45874</v>
      </c>
      <c r="P70" t="s">
        <v>2818</v>
      </c>
      <c r="Q70">
        <v>3</v>
      </c>
      <c r="R70" t="s">
        <v>1459</v>
      </c>
    </row>
    <row r="71" spans="1:18">
      <c r="A71" t="s">
        <v>5520</v>
      </c>
      <c r="B71" t="s">
        <v>925</v>
      </c>
      <c r="C71" t="s">
        <v>369</v>
      </c>
      <c r="D71" t="s">
        <v>5417</v>
      </c>
      <c r="E71" t="s">
        <v>5512</v>
      </c>
      <c r="F71" t="s">
        <v>5512</v>
      </c>
      <c r="G71" t="s">
        <v>400</v>
      </c>
      <c r="H71" t="s">
        <v>5638</v>
      </c>
      <c r="J71" t="b">
        <v>1</v>
      </c>
      <c r="K71" t="s">
        <v>567</v>
      </c>
      <c r="L71" t="s">
        <v>4897</v>
      </c>
      <c r="M71" s="115">
        <v>45874</v>
      </c>
      <c r="P71" t="s">
        <v>2818</v>
      </c>
      <c r="Q71">
        <v>3</v>
      </c>
      <c r="R71" t="s">
        <v>1459</v>
      </c>
    </row>
    <row r="72" spans="1:18">
      <c r="A72" t="s">
        <v>5520</v>
      </c>
      <c r="B72" t="s">
        <v>925</v>
      </c>
      <c r="C72" t="s">
        <v>369</v>
      </c>
      <c r="D72" t="s">
        <v>5416</v>
      </c>
      <c r="E72" t="s">
        <v>5487</v>
      </c>
      <c r="F72" t="s">
        <v>5487</v>
      </c>
      <c r="G72" t="s">
        <v>400</v>
      </c>
      <c r="H72" t="s">
        <v>5638</v>
      </c>
      <c r="J72" t="b">
        <v>1</v>
      </c>
      <c r="K72" t="s">
        <v>567</v>
      </c>
      <c r="L72" t="s">
        <v>4897</v>
      </c>
      <c r="M72" s="115">
        <v>45874</v>
      </c>
      <c r="P72" t="s">
        <v>2818</v>
      </c>
      <c r="Q72">
        <v>3</v>
      </c>
      <c r="R72" t="s">
        <v>1459</v>
      </c>
    </row>
    <row r="73" spans="1:18">
      <c r="A73" t="s">
        <v>5520</v>
      </c>
      <c r="B73" t="s">
        <v>925</v>
      </c>
      <c r="C73" t="s">
        <v>369</v>
      </c>
      <c r="D73" t="s">
        <v>5415</v>
      </c>
      <c r="E73" t="s">
        <v>5488</v>
      </c>
      <c r="F73" t="s">
        <v>5488</v>
      </c>
      <c r="G73" t="s">
        <v>400</v>
      </c>
      <c r="H73" t="s">
        <v>5638</v>
      </c>
      <c r="J73" t="b">
        <v>1</v>
      </c>
      <c r="K73" t="s">
        <v>567</v>
      </c>
      <c r="L73" t="s">
        <v>4897</v>
      </c>
      <c r="M73" s="115">
        <v>45874</v>
      </c>
      <c r="P73" t="s">
        <v>2818</v>
      </c>
      <c r="Q73">
        <v>3</v>
      </c>
      <c r="R73" t="s">
        <v>1459</v>
      </c>
    </row>
    <row r="74" spans="1:18">
      <c r="A74" t="s">
        <v>5520</v>
      </c>
      <c r="B74" t="s">
        <v>925</v>
      </c>
      <c r="C74" t="s">
        <v>369</v>
      </c>
      <c r="D74" t="s">
        <v>5414</v>
      </c>
      <c r="E74" t="s">
        <v>424</v>
      </c>
      <c r="F74" t="s">
        <v>424</v>
      </c>
      <c r="G74" t="s">
        <v>406</v>
      </c>
      <c r="H74" t="s">
        <v>5679</v>
      </c>
      <c r="J74" t="b">
        <v>1</v>
      </c>
      <c r="K74" t="s">
        <v>567</v>
      </c>
      <c r="L74" t="s">
        <v>4897</v>
      </c>
      <c r="M74" s="115">
        <v>45874</v>
      </c>
      <c r="P74" t="s">
        <v>2818</v>
      </c>
      <c r="Q74">
        <v>3</v>
      </c>
      <c r="R74" t="s">
        <v>1459</v>
      </c>
    </row>
    <row r="75" spans="1:18">
      <c r="A75" t="s">
        <v>5520</v>
      </c>
      <c r="B75" t="s">
        <v>925</v>
      </c>
      <c r="C75" t="s">
        <v>369</v>
      </c>
      <c r="D75" t="s">
        <v>2569</v>
      </c>
      <c r="E75" t="s">
        <v>5495</v>
      </c>
      <c r="F75" t="s">
        <v>5495</v>
      </c>
      <c r="G75" t="s">
        <v>406</v>
      </c>
      <c r="H75" t="s">
        <v>5680</v>
      </c>
      <c r="J75" t="b">
        <v>1</v>
      </c>
      <c r="K75" t="s">
        <v>567</v>
      </c>
      <c r="L75" t="s">
        <v>4897</v>
      </c>
      <c r="M75" s="115">
        <v>45874</v>
      </c>
      <c r="P75" t="s">
        <v>2818</v>
      </c>
      <c r="Q75">
        <v>3</v>
      </c>
      <c r="R75" t="s">
        <v>1459</v>
      </c>
    </row>
    <row r="76" spans="1:18">
      <c r="A76" t="s">
        <v>5520</v>
      </c>
      <c r="B76" t="s">
        <v>925</v>
      </c>
      <c r="C76" t="s">
        <v>369</v>
      </c>
      <c r="D76" t="s">
        <v>5413</v>
      </c>
      <c r="E76" t="s">
        <v>5488</v>
      </c>
      <c r="F76" t="s">
        <v>5488</v>
      </c>
      <c r="G76" t="s">
        <v>400</v>
      </c>
      <c r="H76" t="s">
        <v>5638</v>
      </c>
      <c r="J76" t="b">
        <v>1</v>
      </c>
      <c r="K76" t="s">
        <v>567</v>
      </c>
      <c r="L76" t="s">
        <v>4897</v>
      </c>
      <c r="M76" s="115">
        <v>45874</v>
      </c>
      <c r="P76" t="s">
        <v>2818</v>
      </c>
      <c r="Q76">
        <v>3</v>
      </c>
      <c r="R76" t="s">
        <v>1459</v>
      </c>
    </row>
    <row r="77" spans="1:18">
      <c r="A77" t="s">
        <v>5520</v>
      </c>
      <c r="B77" t="s">
        <v>925</v>
      </c>
      <c r="C77" t="s">
        <v>369</v>
      </c>
      <c r="D77" t="s">
        <v>5412</v>
      </c>
      <c r="E77" t="s">
        <v>5487</v>
      </c>
      <c r="F77" t="s">
        <v>5487</v>
      </c>
      <c r="G77" t="s">
        <v>400</v>
      </c>
      <c r="H77" t="s">
        <v>5638</v>
      </c>
      <c r="J77" t="b">
        <v>1</v>
      </c>
      <c r="K77" t="s">
        <v>567</v>
      </c>
      <c r="L77" t="s">
        <v>4897</v>
      </c>
      <c r="M77" s="115">
        <v>45874</v>
      </c>
      <c r="P77" t="s">
        <v>2818</v>
      </c>
      <c r="Q77">
        <v>3</v>
      </c>
      <c r="R77" t="s">
        <v>1459</v>
      </c>
    </row>
    <row r="78" spans="1:18">
      <c r="A78" t="s">
        <v>5520</v>
      </c>
      <c r="B78" t="s">
        <v>925</v>
      </c>
      <c r="C78" t="s">
        <v>369</v>
      </c>
      <c r="D78" t="s">
        <v>5411</v>
      </c>
      <c r="E78" t="s">
        <v>5486</v>
      </c>
      <c r="F78" t="s">
        <v>5486</v>
      </c>
      <c r="G78" t="s">
        <v>406</v>
      </c>
      <c r="H78" t="s">
        <v>5681</v>
      </c>
      <c r="J78" t="b">
        <v>1</v>
      </c>
      <c r="K78" t="s">
        <v>567</v>
      </c>
      <c r="L78" t="s">
        <v>4897</v>
      </c>
      <c r="M78" s="115">
        <v>45874</v>
      </c>
      <c r="P78" t="s">
        <v>2818</v>
      </c>
      <c r="Q78">
        <v>3</v>
      </c>
      <c r="R78" t="s">
        <v>1459</v>
      </c>
    </row>
    <row r="79" spans="1:18">
      <c r="A79" t="s">
        <v>5520</v>
      </c>
      <c r="B79" t="s">
        <v>925</v>
      </c>
      <c r="C79" t="s">
        <v>369</v>
      </c>
      <c r="D79" t="s">
        <v>5410</v>
      </c>
      <c r="E79" t="s">
        <v>661</v>
      </c>
      <c r="F79" t="s">
        <v>661</v>
      </c>
      <c r="G79" t="s">
        <v>406</v>
      </c>
      <c r="H79" t="s">
        <v>5682</v>
      </c>
      <c r="J79" t="b">
        <v>1</v>
      </c>
      <c r="K79" t="s">
        <v>567</v>
      </c>
      <c r="L79" t="s">
        <v>4897</v>
      </c>
      <c r="M79" s="115">
        <v>45874</v>
      </c>
      <c r="P79" t="s">
        <v>2818</v>
      </c>
      <c r="Q79">
        <v>3</v>
      </c>
      <c r="R79" t="s">
        <v>1459</v>
      </c>
    </row>
    <row r="80" spans="1:18">
      <c r="A80" t="s">
        <v>5520</v>
      </c>
      <c r="B80" t="s">
        <v>925</v>
      </c>
      <c r="C80" t="s">
        <v>369</v>
      </c>
      <c r="D80" t="s">
        <v>5409</v>
      </c>
      <c r="E80" t="s">
        <v>5494</v>
      </c>
      <c r="F80" t="s">
        <v>5494</v>
      </c>
      <c r="G80" t="s">
        <v>400</v>
      </c>
      <c r="H80" t="s">
        <v>5638</v>
      </c>
      <c r="J80" t="b">
        <v>1</v>
      </c>
      <c r="K80" t="s">
        <v>567</v>
      </c>
      <c r="L80" t="s">
        <v>4897</v>
      </c>
      <c r="M80" s="115">
        <v>45874</v>
      </c>
      <c r="P80" t="s">
        <v>2818</v>
      </c>
      <c r="Q80">
        <v>3</v>
      </c>
      <c r="R80" t="s">
        <v>1459</v>
      </c>
    </row>
    <row r="81" spans="1:18">
      <c r="A81" t="s">
        <v>5520</v>
      </c>
      <c r="B81" t="s">
        <v>925</v>
      </c>
      <c r="C81" t="s">
        <v>369</v>
      </c>
      <c r="D81" t="s">
        <v>5408</v>
      </c>
      <c r="E81" t="s">
        <v>5498</v>
      </c>
      <c r="F81" t="s">
        <v>5498</v>
      </c>
      <c r="G81" t="s">
        <v>400</v>
      </c>
      <c r="H81" t="s">
        <v>5638</v>
      </c>
      <c r="J81" t="b">
        <v>1</v>
      </c>
      <c r="K81" t="s">
        <v>567</v>
      </c>
      <c r="L81" t="s">
        <v>4897</v>
      </c>
      <c r="M81" s="115">
        <v>45874</v>
      </c>
      <c r="P81" t="s">
        <v>2818</v>
      </c>
      <c r="Q81">
        <v>3</v>
      </c>
      <c r="R81" t="s">
        <v>1459</v>
      </c>
    </row>
    <row r="82" spans="1:18">
      <c r="A82" t="s">
        <v>5520</v>
      </c>
      <c r="B82" t="s">
        <v>925</v>
      </c>
      <c r="C82" t="s">
        <v>369</v>
      </c>
      <c r="D82" t="s">
        <v>5407</v>
      </c>
      <c r="E82" t="s">
        <v>5511</v>
      </c>
      <c r="F82" t="s">
        <v>5511</v>
      </c>
      <c r="G82" t="s">
        <v>400</v>
      </c>
      <c r="H82" t="s">
        <v>5638</v>
      </c>
      <c r="J82" t="b">
        <v>1</v>
      </c>
      <c r="K82" t="s">
        <v>567</v>
      </c>
      <c r="L82" t="s">
        <v>4897</v>
      </c>
      <c r="M82" s="115">
        <v>45874</v>
      </c>
      <c r="P82" t="s">
        <v>2818</v>
      </c>
      <c r="Q82">
        <v>3</v>
      </c>
      <c r="R82" t="s">
        <v>1459</v>
      </c>
    </row>
    <row r="83" spans="1:18">
      <c r="A83" t="s">
        <v>5520</v>
      </c>
      <c r="B83" t="s">
        <v>925</v>
      </c>
      <c r="C83" t="s">
        <v>369</v>
      </c>
      <c r="D83" t="s">
        <v>5406</v>
      </c>
      <c r="E83" t="s">
        <v>5488</v>
      </c>
      <c r="F83" t="s">
        <v>5488</v>
      </c>
      <c r="G83" t="s">
        <v>400</v>
      </c>
      <c r="H83" t="s">
        <v>5638</v>
      </c>
      <c r="J83" t="b">
        <v>1</v>
      </c>
      <c r="K83" t="s">
        <v>567</v>
      </c>
      <c r="L83" t="s">
        <v>4897</v>
      </c>
      <c r="M83" s="115">
        <v>45874</v>
      </c>
      <c r="P83" t="s">
        <v>2818</v>
      </c>
      <c r="Q83">
        <v>3</v>
      </c>
      <c r="R83" t="s">
        <v>1459</v>
      </c>
    </row>
    <row r="84" spans="1:18">
      <c r="A84" t="s">
        <v>5520</v>
      </c>
      <c r="B84" t="s">
        <v>925</v>
      </c>
      <c r="C84" t="s">
        <v>369</v>
      </c>
      <c r="D84" t="s">
        <v>5405</v>
      </c>
      <c r="E84" t="s">
        <v>5499</v>
      </c>
      <c r="F84" t="s">
        <v>5499</v>
      </c>
      <c r="G84" t="s">
        <v>400</v>
      </c>
      <c r="H84" t="s">
        <v>5638</v>
      </c>
      <c r="J84" t="b">
        <v>1</v>
      </c>
      <c r="K84" t="s">
        <v>567</v>
      </c>
      <c r="L84" t="s">
        <v>4897</v>
      </c>
      <c r="M84" s="115">
        <v>45874</v>
      </c>
      <c r="P84" t="s">
        <v>2818</v>
      </c>
      <c r="Q84">
        <v>3</v>
      </c>
      <c r="R84" t="s">
        <v>1459</v>
      </c>
    </row>
    <row r="85" spans="1:18">
      <c r="A85" t="s">
        <v>5520</v>
      </c>
      <c r="B85" t="s">
        <v>925</v>
      </c>
      <c r="C85" t="s">
        <v>369</v>
      </c>
      <c r="D85" t="s">
        <v>5404</v>
      </c>
      <c r="E85" t="s">
        <v>5491</v>
      </c>
      <c r="F85" t="s">
        <v>5491</v>
      </c>
      <c r="G85" t="s">
        <v>400</v>
      </c>
      <c r="H85" t="s">
        <v>5638</v>
      </c>
      <c r="J85" t="b">
        <v>1</v>
      </c>
      <c r="K85" t="s">
        <v>567</v>
      </c>
      <c r="L85" t="s">
        <v>4897</v>
      </c>
      <c r="M85" s="115">
        <v>45874</v>
      </c>
      <c r="P85" t="s">
        <v>2818</v>
      </c>
      <c r="Q85">
        <v>3</v>
      </c>
      <c r="R85" t="s">
        <v>1459</v>
      </c>
    </row>
    <row r="86" spans="1:18">
      <c r="A86" t="s">
        <v>5520</v>
      </c>
      <c r="B86" t="s">
        <v>925</v>
      </c>
      <c r="C86" t="s">
        <v>369</v>
      </c>
      <c r="D86" t="s">
        <v>5403</v>
      </c>
      <c r="E86" t="s">
        <v>5491</v>
      </c>
      <c r="F86" t="s">
        <v>5491</v>
      </c>
      <c r="G86" t="s">
        <v>400</v>
      </c>
      <c r="H86" t="s">
        <v>5638</v>
      </c>
      <c r="J86" t="b">
        <v>1</v>
      </c>
      <c r="K86" t="s">
        <v>567</v>
      </c>
      <c r="L86" t="s">
        <v>4897</v>
      </c>
      <c r="M86" s="115">
        <v>45874</v>
      </c>
      <c r="P86" t="s">
        <v>2818</v>
      </c>
      <c r="Q86">
        <v>3</v>
      </c>
      <c r="R86" t="s">
        <v>1459</v>
      </c>
    </row>
    <row r="87" spans="1:18">
      <c r="A87" t="s">
        <v>5520</v>
      </c>
      <c r="B87" t="s">
        <v>925</v>
      </c>
      <c r="C87" t="s">
        <v>369</v>
      </c>
      <c r="D87" t="s">
        <v>5402</v>
      </c>
      <c r="E87" t="s">
        <v>5487</v>
      </c>
      <c r="F87" t="s">
        <v>5487</v>
      </c>
      <c r="G87" t="s">
        <v>400</v>
      </c>
      <c r="H87" t="s">
        <v>5638</v>
      </c>
      <c r="J87" t="b">
        <v>1</v>
      </c>
      <c r="K87" t="s">
        <v>567</v>
      </c>
      <c r="L87" t="s">
        <v>4897</v>
      </c>
      <c r="M87" s="115">
        <v>45874</v>
      </c>
      <c r="P87" t="s">
        <v>2818</v>
      </c>
      <c r="Q87">
        <v>3</v>
      </c>
      <c r="R87" t="s">
        <v>1459</v>
      </c>
    </row>
    <row r="88" spans="1:18">
      <c r="A88" t="s">
        <v>5520</v>
      </c>
      <c r="B88" t="s">
        <v>925</v>
      </c>
      <c r="C88" t="s">
        <v>369</v>
      </c>
      <c r="D88" t="s">
        <v>5401</v>
      </c>
      <c r="E88" t="s">
        <v>5510</v>
      </c>
      <c r="F88" t="s">
        <v>5510</v>
      </c>
      <c r="G88" t="s">
        <v>406</v>
      </c>
      <c r="H88" t="s">
        <v>5683</v>
      </c>
      <c r="J88" t="b">
        <v>1</v>
      </c>
      <c r="K88" t="s">
        <v>567</v>
      </c>
      <c r="L88" t="s">
        <v>4897</v>
      </c>
      <c r="M88" s="115">
        <v>45874</v>
      </c>
      <c r="P88" t="s">
        <v>2818</v>
      </c>
      <c r="Q88">
        <v>3</v>
      </c>
      <c r="R88" t="s">
        <v>1459</v>
      </c>
    </row>
    <row r="89" spans="1:18">
      <c r="A89" t="s">
        <v>5520</v>
      </c>
      <c r="B89" t="s">
        <v>925</v>
      </c>
      <c r="C89" t="s">
        <v>369</v>
      </c>
      <c r="D89" t="s">
        <v>5400</v>
      </c>
      <c r="E89" t="s">
        <v>5509</v>
      </c>
      <c r="F89" t="s">
        <v>5509</v>
      </c>
      <c r="G89" t="s">
        <v>406</v>
      </c>
      <c r="H89" t="s">
        <v>5684</v>
      </c>
      <c r="J89" t="b">
        <v>1</v>
      </c>
      <c r="K89" t="s">
        <v>567</v>
      </c>
      <c r="L89" t="s">
        <v>4897</v>
      </c>
      <c r="M89" s="115">
        <v>45874</v>
      </c>
      <c r="P89" t="s">
        <v>2818</v>
      </c>
      <c r="Q89">
        <v>3</v>
      </c>
      <c r="R89" t="s">
        <v>1459</v>
      </c>
    </row>
    <row r="90" spans="1:18">
      <c r="A90" t="s">
        <v>5520</v>
      </c>
      <c r="B90" t="s">
        <v>925</v>
      </c>
      <c r="C90" t="s">
        <v>369</v>
      </c>
      <c r="D90" t="s">
        <v>5399</v>
      </c>
      <c r="E90" t="s">
        <v>5494</v>
      </c>
      <c r="F90" t="s">
        <v>5494</v>
      </c>
      <c r="G90" t="s">
        <v>400</v>
      </c>
      <c r="H90" t="s">
        <v>5638</v>
      </c>
      <c r="J90" t="b">
        <v>1</v>
      </c>
      <c r="K90" t="s">
        <v>567</v>
      </c>
      <c r="L90" t="s">
        <v>4897</v>
      </c>
      <c r="M90" s="115">
        <v>45874</v>
      </c>
      <c r="P90" t="s">
        <v>2818</v>
      </c>
      <c r="Q90">
        <v>3</v>
      </c>
      <c r="R90" t="s">
        <v>1459</v>
      </c>
    </row>
    <row r="91" spans="1:18">
      <c r="A91" t="s">
        <v>5520</v>
      </c>
      <c r="B91" t="s">
        <v>925</v>
      </c>
      <c r="C91" t="s">
        <v>369</v>
      </c>
      <c r="D91" t="s">
        <v>5398</v>
      </c>
      <c r="E91" t="s">
        <v>5488</v>
      </c>
      <c r="F91" t="s">
        <v>5488</v>
      </c>
      <c r="G91" t="s">
        <v>406</v>
      </c>
      <c r="H91" t="s">
        <v>5685</v>
      </c>
      <c r="J91" t="b">
        <v>1</v>
      </c>
      <c r="K91" t="s">
        <v>567</v>
      </c>
      <c r="L91" t="s">
        <v>4897</v>
      </c>
      <c r="M91" s="115">
        <v>45874</v>
      </c>
      <c r="P91" t="s">
        <v>2818</v>
      </c>
      <c r="Q91">
        <v>3</v>
      </c>
      <c r="R91" t="s">
        <v>1459</v>
      </c>
    </row>
    <row r="92" spans="1:18">
      <c r="A92" t="s">
        <v>5520</v>
      </c>
      <c r="B92" t="s">
        <v>925</v>
      </c>
      <c r="C92" t="s">
        <v>369</v>
      </c>
      <c r="D92" t="s">
        <v>5397</v>
      </c>
      <c r="E92" t="s">
        <v>5488</v>
      </c>
      <c r="F92" t="s">
        <v>5488</v>
      </c>
      <c r="G92" t="s">
        <v>400</v>
      </c>
      <c r="H92" t="s">
        <v>5638</v>
      </c>
      <c r="J92" t="b">
        <v>1</v>
      </c>
      <c r="K92" t="s">
        <v>567</v>
      </c>
      <c r="L92" t="s">
        <v>4897</v>
      </c>
      <c r="M92" s="115">
        <v>45874</v>
      </c>
      <c r="P92" t="s">
        <v>2818</v>
      </c>
      <c r="Q92">
        <v>3</v>
      </c>
      <c r="R92" t="s">
        <v>1459</v>
      </c>
    </row>
    <row r="93" spans="1:18">
      <c r="A93" t="s">
        <v>5520</v>
      </c>
      <c r="B93" t="s">
        <v>925</v>
      </c>
      <c r="C93" t="s">
        <v>369</v>
      </c>
      <c r="D93" t="s">
        <v>5396</v>
      </c>
      <c r="E93" t="s">
        <v>5492</v>
      </c>
      <c r="F93" t="s">
        <v>5492</v>
      </c>
      <c r="G93" t="s">
        <v>406</v>
      </c>
      <c r="H93" t="s">
        <v>5686</v>
      </c>
      <c r="J93" t="b">
        <v>1</v>
      </c>
      <c r="K93" t="s">
        <v>567</v>
      </c>
      <c r="L93" t="s">
        <v>4897</v>
      </c>
      <c r="M93" s="115">
        <v>45874</v>
      </c>
      <c r="P93" t="s">
        <v>2818</v>
      </c>
      <c r="Q93">
        <v>3</v>
      </c>
      <c r="R93" t="s">
        <v>1459</v>
      </c>
    </row>
    <row r="94" spans="1:18">
      <c r="A94" t="s">
        <v>5520</v>
      </c>
      <c r="B94" t="s">
        <v>925</v>
      </c>
      <c r="C94" t="s">
        <v>369</v>
      </c>
      <c r="D94" t="s">
        <v>5395</v>
      </c>
      <c r="E94" t="s">
        <v>5492</v>
      </c>
      <c r="F94" t="s">
        <v>5492</v>
      </c>
      <c r="G94" t="s">
        <v>406</v>
      </c>
      <c r="H94" t="s">
        <v>5687</v>
      </c>
      <c r="J94" t="b">
        <v>1</v>
      </c>
      <c r="K94" t="s">
        <v>567</v>
      </c>
      <c r="L94" t="s">
        <v>4897</v>
      </c>
      <c r="M94" s="115">
        <v>45874</v>
      </c>
      <c r="P94" t="s">
        <v>2818</v>
      </c>
      <c r="Q94">
        <v>3</v>
      </c>
      <c r="R94" t="s">
        <v>1459</v>
      </c>
    </row>
    <row r="95" spans="1:18">
      <c r="A95" t="s">
        <v>5520</v>
      </c>
      <c r="B95" t="s">
        <v>925</v>
      </c>
      <c r="C95" t="s">
        <v>369</v>
      </c>
      <c r="D95" t="s">
        <v>5394</v>
      </c>
      <c r="E95" t="s">
        <v>5492</v>
      </c>
      <c r="F95" t="s">
        <v>5492</v>
      </c>
      <c r="G95" t="s">
        <v>406</v>
      </c>
      <c r="H95" t="s">
        <v>5688</v>
      </c>
      <c r="J95" t="b">
        <v>1</v>
      </c>
      <c r="K95" t="s">
        <v>567</v>
      </c>
      <c r="L95" t="s">
        <v>4897</v>
      </c>
      <c r="M95" s="115">
        <v>45874</v>
      </c>
      <c r="P95" t="s">
        <v>2818</v>
      </c>
      <c r="Q95">
        <v>3</v>
      </c>
      <c r="R95" t="s">
        <v>1459</v>
      </c>
    </row>
    <row r="96" spans="1:18">
      <c r="A96" t="s">
        <v>5520</v>
      </c>
      <c r="B96" t="s">
        <v>925</v>
      </c>
      <c r="C96" t="s">
        <v>369</v>
      </c>
      <c r="D96" t="s">
        <v>5393</v>
      </c>
      <c r="E96" t="s">
        <v>5492</v>
      </c>
      <c r="F96" t="s">
        <v>5492</v>
      </c>
      <c r="G96" t="s">
        <v>406</v>
      </c>
      <c r="H96" t="s">
        <v>5689</v>
      </c>
      <c r="J96" t="b">
        <v>1</v>
      </c>
      <c r="K96" t="s">
        <v>567</v>
      </c>
      <c r="L96" t="s">
        <v>4897</v>
      </c>
      <c r="M96" s="115">
        <v>45874</v>
      </c>
      <c r="P96" t="s">
        <v>2818</v>
      </c>
      <c r="Q96">
        <v>3</v>
      </c>
      <c r="R96" t="s">
        <v>1459</v>
      </c>
    </row>
    <row r="97" spans="1:18">
      <c r="A97" t="s">
        <v>5520</v>
      </c>
      <c r="B97" t="s">
        <v>925</v>
      </c>
      <c r="C97" t="s">
        <v>369</v>
      </c>
      <c r="D97" t="s">
        <v>5392</v>
      </c>
      <c r="E97" t="s">
        <v>5491</v>
      </c>
      <c r="F97" t="s">
        <v>5491</v>
      </c>
      <c r="G97" t="s">
        <v>406</v>
      </c>
      <c r="H97" t="s">
        <v>5690</v>
      </c>
      <c r="J97" t="b">
        <v>1</v>
      </c>
      <c r="K97" t="s">
        <v>567</v>
      </c>
      <c r="L97" t="s">
        <v>4897</v>
      </c>
      <c r="M97" s="115">
        <v>45874</v>
      </c>
      <c r="P97" t="s">
        <v>2818</v>
      </c>
      <c r="Q97">
        <v>3</v>
      </c>
      <c r="R97" t="s">
        <v>1459</v>
      </c>
    </row>
    <row r="98" spans="1:18">
      <c r="A98" t="s">
        <v>5520</v>
      </c>
      <c r="B98" t="s">
        <v>925</v>
      </c>
      <c r="C98" t="s">
        <v>369</v>
      </c>
      <c r="D98" t="s">
        <v>5391</v>
      </c>
      <c r="E98" t="s">
        <v>5492</v>
      </c>
      <c r="F98" t="s">
        <v>5492</v>
      </c>
      <c r="G98" t="s">
        <v>406</v>
      </c>
      <c r="H98" t="s">
        <v>5691</v>
      </c>
      <c r="J98" t="b">
        <v>1</v>
      </c>
      <c r="K98" t="s">
        <v>567</v>
      </c>
      <c r="L98" t="s">
        <v>4897</v>
      </c>
      <c r="M98" s="115">
        <v>45874</v>
      </c>
      <c r="P98" t="s">
        <v>2818</v>
      </c>
      <c r="Q98">
        <v>3</v>
      </c>
      <c r="R98" t="s">
        <v>1459</v>
      </c>
    </row>
    <row r="99" spans="1:18">
      <c r="A99" t="s">
        <v>5520</v>
      </c>
      <c r="B99" t="s">
        <v>925</v>
      </c>
      <c r="C99" t="s">
        <v>369</v>
      </c>
      <c r="D99" t="s">
        <v>5390</v>
      </c>
      <c r="E99" t="s">
        <v>5494</v>
      </c>
      <c r="F99" t="s">
        <v>5494</v>
      </c>
      <c r="G99" t="s">
        <v>406</v>
      </c>
      <c r="H99" t="s">
        <v>5692</v>
      </c>
      <c r="J99" t="b">
        <v>1</v>
      </c>
      <c r="K99" t="s">
        <v>567</v>
      </c>
      <c r="L99" t="s">
        <v>4897</v>
      </c>
      <c r="M99" s="115">
        <v>45874</v>
      </c>
      <c r="P99" t="s">
        <v>2818</v>
      </c>
      <c r="Q99">
        <v>3</v>
      </c>
      <c r="R99" t="s">
        <v>1459</v>
      </c>
    </row>
    <row r="100" spans="1:18">
      <c r="A100" t="s">
        <v>5520</v>
      </c>
      <c r="B100" t="s">
        <v>925</v>
      </c>
      <c r="C100" t="s">
        <v>369</v>
      </c>
      <c r="D100" t="s">
        <v>5389</v>
      </c>
      <c r="E100" t="s">
        <v>5494</v>
      </c>
      <c r="F100" t="s">
        <v>5494</v>
      </c>
      <c r="G100" t="s">
        <v>406</v>
      </c>
      <c r="H100" t="s">
        <v>5693</v>
      </c>
      <c r="J100" t="b">
        <v>1</v>
      </c>
      <c r="K100" t="s">
        <v>567</v>
      </c>
      <c r="L100" t="s">
        <v>4897</v>
      </c>
      <c r="M100" s="115">
        <v>45874</v>
      </c>
      <c r="P100" t="s">
        <v>2818</v>
      </c>
      <c r="Q100">
        <v>3</v>
      </c>
      <c r="R100" t="s">
        <v>1459</v>
      </c>
    </row>
    <row r="101" spans="1:18">
      <c r="A101" t="s">
        <v>5520</v>
      </c>
      <c r="B101" t="s">
        <v>925</v>
      </c>
      <c r="C101" t="s">
        <v>369</v>
      </c>
      <c r="D101" t="s">
        <v>5388</v>
      </c>
      <c r="E101" t="s">
        <v>5494</v>
      </c>
      <c r="F101" t="s">
        <v>5494</v>
      </c>
      <c r="G101" t="s">
        <v>406</v>
      </c>
      <c r="H101" t="s">
        <v>5694</v>
      </c>
      <c r="J101" t="b">
        <v>1</v>
      </c>
      <c r="K101" t="s">
        <v>567</v>
      </c>
      <c r="L101" t="s">
        <v>4897</v>
      </c>
      <c r="M101" s="115">
        <v>45874</v>
      </c>
      <c r="P101" t="s">
        <v>2818</v>
      </c>
      <c r="Q101">
        <v>3</v>
      </c>
      <c r="R101" t="s">
        <v>1459</v>
      </c>
    </row>
    <row r="102" spans="1:18">
      <c r="A102" t="s">
        <v>5520</v>
      </c>
      <c r="B102" t="s">
        <v>925</v>
      </c>
      <c r="C102" t="s">
        <v>369</v>
      </c>
      <c r="D102" t="s">
        <v>5387</v>
      </c>
      <c r="E102" t="s">
        <v>5494</v>
      </c>
      <c r="F102" t="s">
        <v>5494</v>
      </c>
      <c r="G102" t="s">
        <v>406</v>
      </c>
      <c r="H102" t="s">
        <v>5695</v>
      </c>
      <c r="J102" t="b">
        <v>1</v>
      </c>
      <c r="K102" t="s">
        <v>567</v>
      </c>
      <c r="L102" t="s">
        <v>4897</v>
      </c>
      <c r="M102" s="115">
        <v>45874</v>
      </c>
      <c r="P102" t="s">
        <v>2818</v>
      </c>
      <c r="Q102">
        <v>3</v>
      </c>
      <c r="R102" t="s">
        <v>1459</v>
      </c>
    </row>
    <row r="103" spans="1:18">
      <c r="A103" t="s">
        <v>5520</v>
      </c>
      <c r="B103" t="s">
        <v>925</v>
      </c>
      <c r="C103" t="s">
        <v>369</v>
      </c>
      <c r="D103" t="s">
        <v>5386</v>
      </c>
      <c r="E103" t="s">
        <v>5494</v>
      </c>
      <c r="F103" t="s">
        <v>5494</v>
      </c>
      <c r="G103" t="s">
        <v>406</v>
      </c>
      <c r="H103" t="s">
        <v>5696</v>
      </c>
      <c r="J103" t="b">
        <v>1</v>
      </c>
      <c r="K103" t="s">
        <v>567</v>
      </c>
      <c r="L103" t="s">
        <v>4897</v>
      </c>
      <c r="M103" s="115">
        <v>45874</v>
      </c>
      <c r="P103" t="s">
        <v>2818</v>
      </c>
      <c r="Q103">
        <v>3</v>
      </c>
      <c r="R103" t="s">
        <v>1459</v>
      </c>
    </row>
    <row r="104" spans="1:18">
      <c r="A104" t="s">
        <v>5520</v>
      </c>
      <c r="B104" t="s">
        <v>925</v>
      </c>
      <c r="C104" t="s">
        <v>369</v>
      </c>
      <c r="D104" t="s">
        <v>5385</v>
      </c>
      <c r="E104" t="s">
        <v>5494</v>
      </c>
      <c r="F104" t="s">
        <v>5494</v>
      </c>
      <c r="G104" t="s">
        <v>406</v>
      </c>
      <c r="H104" t="s">
        <v>5697</v>
      </c>
      <c r="J104" t="b">
        <v>1</v>
      </c>
      <c r="K104" t="s">
        <v>567</v>
      </c>
      <c r="L104" t="s">
        <v>4897</v>
      </c>
      <c r="M104" s="115">
        <v>45874</v>
      </c>
      <c r="P104" t="s">
        <v>2818</v>
      </c>
      <c r="Q104">
        <v>3</v>
      </c>
      <c r="R104" t="s">
        <v>1459</v>
      </c>
    </row>
    <row r="105" spans="1:18">
      <c r="A105" t="s">
        <v>5520</v>
      </c>
      <c r="B105" t="s">
        <v>925</v>
      </c>
      <c r="C105" t="s">
        <v>369</v>
      </c>
      <c r="D105" t="s">
        <v>5384</v>
      </c>
      <c r="E105" t="s">
        <v>5494</v>
      </c>
      <c r="F105" t="s">
        <v>5494</v>
      </c>
      <c r="G105" t="s">
        <v>406</v>
      </c>
      <c r="H105" t="s">
        <v>5698</v>
      </c>
      <c r="J105" t="b">
        <v>1</v>
      </c>
      <c r="K105" t="s">
        <v>567</v>
      </c>
      <c r="L105" t="s">
        <v>4897</v>
      </c>
      <c r="M105" s="115">
        <v>45874</v>
      </c>
      <c r="P105" t="s">
        <v>2818</v>
      </c>
      <c r="Q105">
        <v>3</v>
      </c>
      <c r="R105" t="s">
        <v>1459</v>
      </c>
    </row>
    <row r="106" spans="1:18">
      <c r="A106" t="s">
        <v>5520</v>
      </c>
      <c r="B106" t="s">
        <v>925</v>
      </c>
      <c r="C106" t="s">
        <v>369</v>
      </c>
      <c r="D106" t="s">
        <v>5383</v>
      </c>
      <c r="E106" t="s">
        <v>5501</v>
      </c>
      <c r="F106" t="s">
        <v>5501</v>
      </c>
      <c r="G106" t="s">
        <v>406</v>
      </c>
      <c r="H106" t="s">
        <v>5699</v>
      </c>
      <c r="J106" t="b">
        <v>1</v>
      </c>
      <c r="K106" t="s">
        <v>567</v>
      </c>
      <c r="L106" t="s">
        <v>4897</v>
      </c>
      <c r="M106" s="115">
        <v>45874</v>
      </c>
      <c r="P106" t="s">
        <v>2818</v>
      </c>
      <c r="Q106">
        <v>3</v>
      </c>
      <c r="R106" t="s">
        <v>1459</v>
      </c>
    </row>
    <row r="107" spans="1:18">
      <c r="A107" t="s">
        <v>5520</v>
      </c>
      <c r="B107" t="s">
        <v>925</v>
      </c>
      <c r="C107" t="s">
        <v>369</v>
      </c>
      <c r="D107" t="s">
        <v>5382</v>
      </c>
      <c r="E107" t="s">
        <v>5502</v>
      </c>
      <c r="F107" t="s">
        <v>5502</v>
      </c>
      <c r="G107" t="s">
        <v>406</v>
      </c>
      <c r="H107" t="s">
        <v>5700</v>
      </c>
      <c r="J107" t="b">
        <v>1</v>
      </c>
      <c r="K107" t="s">
        <v>567</v>
      </c>
      <c r="L107" t="s">
        <v>4897</v>
      </c>
      <c r="M107" s="115">
        <v>45874</v>
      </c>
      <c r="P107" t="s">
        <v>2818</v>
      </c>
      <c r="Q107">
        <v>3</v>
      </c>
      <c r="R107" t="s">
        <v>1459</v>
      </c>
    </row>
    <row r="108" spans="1:18">
      <c r="A108" t="s">
        <v>5520</v>
      </c>
      <c r="B108" t="s">
        <v>925</v>
      </c>
      <c r="C108" t="s">
        <v>369</v>
      </c>
      <c r="D108" t="s">
        <v>5381</v>
      </c>
      <c r="E108" t="s">
        <v>5500</v>
      </c>
      <c r="F108" t="s">
        <v>5500</v>
      </c>
      <c r="G108" t="s">
        <v>406</v>
      </c>
      <c r="H108" t="s">
        <v>5701</v>
      </c>
      <c r="J108" t="b">
        <v>1</v>
      </c>
      <c r="K108" t="s">
        <v>567</v>
      </c>
      <c r="L108" t="s">
        <v>4897</v>
      </c>
      <c r="M108" s="115">
        <v>45874</v>
      </c>
      <c r="P108" t="s">
        <v>2818</v>
      </c>
      <c r="Q108">
        <v>3</v>
      </c>
      <c r="R108" t="s">
        <v>1459</v>
      </c>
    </row>
    <row r="109" spans="1:18">
      <c r="A109" t="s">
        <v>5520</v>
      </c>
      <c r="B109" t="s">
        <v>925</v>
      </c>
      <c r="C109" t="s">
        <v>369</v>
      </c>
      <c r="D109" t="s">
        <v>5380</v>
      </c>
      <c r="E109" t="s">
        <v>5491</v>
      </c>
      <c r="F109" t="s">
        <v>5491</v>
      </c>
      <c r="G109" t="s">
        <v>406</v>
      </c>
      <c r="H109" t="s">
        <v>5702</v>
      </c>
      <c r="J109" t="b">
        <v>1</v>
      </c>
      <c r="K109" t="s">
        <v>567</v>
      </c>
      <c r="L109" t="s">
        <v>4897</v>
      </c>
      <c r="M109" s="115">
        <v>45874</v>
      </c>
      <c r="P109" t="s">
        <v>2818</v>
      </c>
      <c r="Q109">
        <v>3</v>
      </c>
      <c r="R109" t="s">
        <v>1459</v>
      </c>
    </row>
    <row r="110" spans="1:18">
      <c r="A110" t="s">
        <v>5520</v>
      </c>
      <c r="B110" t="s">
        <v>925</v>
      </c>
      <c r="C110" t="s">
        <v>369</v>
      </c>
      <c r="D110" t="s">
        <v>5379</v>
      </c>
      <c r="E110" t="s">
        <v>5508</v>
      </c>
      <c r="F110" t="s">
        <v>5508</v>
      </c>
      <c r="G110" t="s">
        <v>406</v>
      </c>
      <c r="H110" t="s">
        <v>5703</v>
      </c>
      <c r="J110" t="b">
        <v>1</v>
      </c>
      <c r="K110" t="s">
        <v>567</v>
      </c>
      <c r="L110" t="s">
        <v>4897</v>
      </c>
      <c r="M110" s="115">
        <v>45874</v>
      </c>
      <c r="P110" t="s">
        <v>2818</v>
      </c>
      <c r="Q110">
        <v>3</v>
      </c>
      <c r="R110" t="s">
        <v>1459</v>
      </c>
    </row>
    <row r="111" spans="1:18">
      <c r="A111" t="s">
        <v>5520</v>
      </c>
      <c r="B111" t="s">
        <v>925</v>
      </c>
      <c r="C111" t="s">
        <v>369</v>
      </c>
      <c r="D111" t="s">
        <v>5378</v>
      </c>
      <c r="E111" t="s">
        <v>5507</v>
      </c>
      <c r="F111" t="s">
        <v>5507</v>
      </c>
      <c r="G111" t="s">
        <v>406</v>
      </c>
      <c r="H111" t="s">
        <v>5704</v>
      </c>
      <c r="J111" t="b">
        <v>1</v>
      </c>
      <c r="K111" t="s">
        <v>567</v>
      </c>
      <c r="L111" t="s">
        <v>4897</v>
      </c>
      <c r="M111" s="115">
        <v>45874</v>
      </c>
      <c r="P111" t="s">
        <v>2818</v>
      </c>
      <c r="Q111">
        <v>3</v>
      </c>
      <c r="R111" t="s">
        <v>1459</v>
      </c>
    </row>
    <row r="112" spans="1:18">
      <c r="A112" t="s">
        <v>5520</v>
      </c>
      <c r="B112" t="s">
        <v>925</v>
      </c>
      <c r="C112" t="s">
        <v>369</v>
      </c>
      <c r="D112" t="s">
        <v>5377</v>
      </c>
      <c r="E112" t="s">
        <v>661</v>
      </c>
      <c r="F112" t="s">
        <v>661</v>
      </c>
      <c r="G112" t="s">
        <v>406</v>
      </c>
      <c r="H112" t="s">
        <v>5705</v>
      </c>
      <c r="J112" t="b">
        <v>1</v>
      </c>
      <c r="K112" t="s">
        <v>567</v>
      </c>
      <c r="L112" t="s">
        <v>4897</v>
      </c>
      <c r="M112" s="115">
        <v>45874</v>
      </c>
      <c r="P112" t="s">
        <v>2818</v>
      </c>
      <c r="Q112">
        <v>3</v>
      </c>
      <c r="R112" t="s">
        <v>1459</v>
      </c>
    </row>
    <row r="113" spans="1:18">
      <c r="A113" t="s">
        <v>5520</v>
      </c>
      <c r="B113" t="s">
        <v>925</v>
      </c>
      <c r="C113" t="s">
        <v>369</v>
      </c>
      <c r="D113" t="s">
        <v>5376</v>
      </c>
      <c r="E113" t="s">
        <v>662</v>
      </c>
      <c r="F113" t="s">
        <v>662</v>
      </c>
      <c r="G113" t="s">
        <v>406</v>
      </c>
      <c r="H113" t="s">
        <v>5706</v>
      </c>
      <c r="J113" t="b">
        <v>1</v>
      </c>
      <c r="K113" t="s">
        <v>567</v>
      </c>
      <c r="L113" t="s">
        <v>4897</v>
      </c>
      <c r="M113" s="115">
        <v>45874</v>
      </c>
      <c r="P113" t="s">
        <v>2818</v>
      </c>
      <c r="Q113">
        <v>3</v>
      </c>
      <c r="R113" t="s">
        <v>1459</v>
      </c>
    </row>
    <row r="114" spans="1:18">
      <c r="A114" t="s">
        <v>5520</v>
      </c>
      <c r="B114" t="s">
        <v>925</v>
      </c>
      <c r="C114" t="s">
        <v>369</v>
      </c>
      <c r="D114" t="s">
        <v>1457</v>
      </c>
      <c r="E114" t="s">
        <v>5486</v>
      </c>
      <c r="F114" t="s">
        <v>5486</v>
      </c>
      <c r="G114" t="s">
        <v>406</v>
      </c>
      <c r="H114" t="s">
        <v>5707</v>
      </c>
      <c r="J114" t="b">
        <v>1</v>
      </c>
      <c r="K114" t="s">
        <v>567</v>
      </c>
      <c r="L114" t="s">
        <v>4897</v>
      </c>
      <c r="M114" s="115">
        <v>45874</v>
      </c>
      <c r="P114" t="s">
        <v>2818</v>
      </c>
      <c r="Q114">
        <v>3</v>
      </c>
      <c r="R114" t="s">
        <v>1459</v>
      </c>
    </row>
    <row r="115" spans="1:18">
      <c r="A115" t="s">
        <v>5520</v>
      </c>
      <c r="B115" t="s">
        <v>925</v>
      </c>
      <c r="C115" t="s">
        <v>369</v>
      </c>
      <c r="D115" t="s">
        <v>5375</v>
      </c>
      <c r="E115" t="s">
        <v>5486</v>
      </c>
      <c r="F115" t="s">
        <v>5486</v>
      </c>
      <c r="G115" t="s">
        <v>406</v>
      </c>
      <c r="H115" t="s">
        <v>5708</v>
      </c>
      <c r="J115" t="b">
        <v>1</v>
      </c>
      <c r="K115" t="s">
        <v>567</v>
      </c>
      <c r="L115" t="s">
        <v>4897</v>
      </c>
      <c r="M115" s="115">
        <v>45874</v>
      </c>
      <c r="P115" t="s">
        <v>2818</v>
      </c>
      <c r="Q115">
        <v>3</v>
      </c>
      <c r="R115" t="s">
        <v>1459</v>
      </c>
    </row>
    <row r="116" spans="1:18">
      <c r="A116" t="s">
        <v>5520</v>
      </c>
      <c r="B116" t="s">
        <v>925</v>
      </c>
      <c r="C116" t="s">
        <v>369</v>
      </c>
      <c r="D116" t="s">
        <v>5374</v>
      </c>
      <c r="E116" t="s">
        <v>5499</v>
      </c>
      <c r="F116" t="s">
        <v>5499</v>
      </c>
      <c r="G116" t="s">
        <v>406</v>
      </c>
      <c r="H116" t="s">
        <v>5709</v>
      </c>
      <c r="J116" t="b">
        <v>1</v>
      </c>
      <c r="K116" t="s">
        <v>567</v>
      </c>
      <c r="L116" t="s">
        <v>4897</v>
      </c>
      <c r="M116" s="115">
        <v>45874</v>
      </c>
      <c r="P116" t="s">
        <v>2818</v>
      </c>
      <c r="Q116">
        <v>3</v>
      </c>
      <c r="R116" t="s">
        <v>1459</v>
      </c>
    </row>
    <row r="117" spans="1:18">
      <c r="A117" t="s">
        <v>5520</v>
      </c>
      <c r="B117" t="s">
        <v>925</v>
      </c>
      <c r="C117" t="s">
        <v>369</v>
      </c>
      <c r="D117" t="s">
        <v>5373</v>
      </c>
      <c r="E117" t="s">
        <v>5487</v>
      </c>
      <c r="F117" t="s">
        <v>5487</v>
      </c>
      <c r="G117" t="s">
        <v>406</v>
      </c>
      <c r="H117" t="s">
        <v>5710</v>
      </c>
      <c r="J117" t="b">
        <v>1</v>
      </c>
      <c r="K117" t="s">
        <v>567</v>
      </c>
      <c r="L117" t="s">
        <v>4897</v>
      </c>
      <c r="M117" s="115">
        <v>45874</v>
      </c>
      <c r="P117" t="s">
        <v>2818</v>
      </c>
      <c r="Q117">
        <v>3</v>
      </c>
      <c r="R117" t="s">
        <v>1459</v>
      </c>
    </row>
    <row r="118" spans="1:18">
      <c r="A118" t="s">
        <v>5520</v>
      </c>
      <c r="B118" t="s">
        <v>925</v>
      </c>
      <c r="C118" t="s">
        <v>369</v>
      </c>
      <c r="D118" t="s">
        <v>5372</v>
      </c>
      <c r="E118" t="s">
        <v>5494</v>
      </c>
      <c r="F118" t="s">
        <v>5494</v>
      </c>
      <c r="G118" t="s">
        <v>406</v>
      </c>
      <c r="H118" t="s">
        <v>5711</v>
      </c>
      <c r="J118" t="b">
        <v>1</v>
      </c>
      <c r="K118" t="s">
        <v>567</v>
      </c>
      <c r="L118" t="s">
        <v>4897</v>
      </c>
      <c r="M118" s="115">
        <v>45874</v>
      </c>
      <c r="P118" t="s">
        <v>2818</v>
      </c>
      <c r="Q118">
        <v>3</v>
      </c>
      <c r="R118" t="s">
        <v>1459</v>
      </c>
    </row>
    <row r="119" spans="1:18">
      <c r="A119" t="s">
        <v>5520</v>
      </c>
      <c r="B119" t="s">
        <v>925</v>
      </c>
      <c r="C119" t="s">
        <v>369</v>
      </c>
      <c r="D119" t="s">
        <v>5371</v>
      </c>
      <c r="E119" t="s">
        <v>5494</v>
      </c>
      <c r="F119" t="s">
        <v>5494</v>
      </c>
      <c r="G119" t="s">
        <v>406</v>
      </c>
      <c r="H119" t="s">
        <v>5712</v>
      </c>
      <c r="J119" t="b">
        <v>1</v>
      </c>
      <c r="K119" t="s">
        <v>567</v>
      </c>
      <c r="L119" t="s">
        <v>4897</v>
      </c>
      <c r="M119" s="115">
        <v>45874</v>
      </c>
      <c r="P119" t="s">
        <v>2818</v>
      </c>
      <c r="Q119">
        <v>3</v>
      </c>
      <c r="R119" t="s">
        <v>1459</v>
      </c>
    </row>
    <row r="120" spans="1:18">
      <c r="A120" t="s">
        <v>5520</v>
      </c>
      <c r="B120" t="s">
        <v>925</v>
      </c>
      <c r="C120" t="s">
        <v>369</v>
      </c>
      <c r="D120" t="s">
        <v>5370</v>
      </c>
      <c r="E120" t="s">
        <v>5498</v>
      </c>
      <c r="F120" t="s">
        <v>5498</v>
      </c>
      <c r="G120" t="s">
        <v>406</v>
      </c>
      <c r="H120" t="s">
        <v>5713</v>
      </c>
      <c r="J120" t="b">
        <v>1</v>
      </c>
      <c r="K120" t="s">
        <v>567</v>
      </c>
      <c r="L120" t="s">
        <v>4897</v>
      </c>
      <c r="M120" s="115">
        <v>45874</v>
      </c>
      <c r="P120" t="s">
        <v>2818</v>
      </c>
      <c r="Q120">
        <v>3</v>
      </c>
      <c r="R120" t="s">
        <v>1459</v>
      </c>
    </row>
    <row r="121" spans="1:18">
      <c r="A121" t="s">
        <v>5520</v>
      </c>
      <c r="B121" t="s">
        <v>925</v>
      </c>
      <c r="C121" t="s">
        <v>369</v>
      </c>
      <c r="D121" t="s">
        <v>5369</v>
      </c>
      <c r="E121" t="s">
        <v>5486</v>
      </c>
      <c r="F121" t="s">
        <v>5486</v>
      </c>
      <c r="G121" t="s">
        <v>406</v>
      </c>
      <c r="H121" t="s">
        <v>5714</v>
      </c>
      <c r="J121" t="b">
        <v>1</v>
      </c>
      <c r="K121" t="s">
        <v>567</v>
      </c>
      <c r="L121" t="s">
        <v>4897</v>
      </c>
      <c r="M121" s="115">
        <v>45874</v>
      </c>
      <c r="P121" t="s">
        <v>2818</v>
      </c>
      <c r="Q121">
        <v>3</v>
      </c>
      <c r="R121" t="s">
        <v>1459</v>
      </c>
    </row>
    <row r="122" spans="1:18">
      <c r="A122" t="s">
        <v>5520</v>
      </c>
      <c r="B122" t="s">
        <v>925</v>
      </c>
      <c r="C122" t="s">
        <v>369</v>
      </c>
      <c r="D122" t="s">
        <v>5367</v>
      </c>
      <c r="E122" t="s">
        <v>5506</v>
      </c>
      <c r="F122" t="s">
        <v>5506</v>
      </c>
      <c r="G122" t="s">
        <v>406</v>
      </c>
      <c r="H122" t="s">
        <v>5715</v>
      </c>
      <c r="J122" t="b">
        <v>1</v>
      </c>
      <c r="K122" t="s">
        <v>567</v>
      </c>
      <c r="L122" t="s">
        <v>4897</v>
      </c>
      <c r="M122" s="115">
        <v>45874</v>
      </c>
      <c r="P122" t="s">
        <v>2818</v>
      </c>
      <c r="Q122">
        <v>3</v>
      </c>
      <c r="R122" t="s">
        <v>1459</v>
      </c>
    </row>
    <row r="123" spans="1:18">
      <c r="A123" t="s">
        <v>5520</v>
      </c>
      <c r="B123" t="s">
        <v>925</v>
      </c>
      <c r="C123" t="s">
        <v>369</v>
      </c>
      <c r="D123" t="s">
        <v>5366</v>
      </c>
      <c r="E123" t="s">
        <v>5486</v>
      </c>
      <c r="F123" t="s">
        <v>5486</v>
      </c>
      <c r="G123" t="s">
        <v>406</v>
      </c>
      <c r="H123" t="s">
        <v>5716</v>
      </c>
      <c r="J123" t="b">
        <v>1</v>
      </c>
      <c r="K123" t="s">
        <v>567</v>
      </c>
      <c r="L123" t="s">
        <v>4897</v>
      </c>
      <c r="M123" s="115">
        <v>45874</v>
      </c>
      <c r="P123" t="s">
        <v>2818</v>
      </c>
      <c r="Q123">
        <v>3</v>
      </c>
      <c r="R123" t="s">
        <v>1459</v>
      </c>
    </row>
    <row r="124" spans="1:18">
      <c r="A124" t="s">
        <v>5520</v>
      </c>
      <c r="B124" t="s">
        <v>925</v>
      </c>
      <c r="C124" t="s">
        <v>369</v>
      </c>
      <c r="D124" t="s">
        <v>5365</v>
      </c>
      <c r="E124" t="s">
        <v>5494</v>
      </c>
      <c r="F124" t="s">
        <v>5494</v>
      </c>
      <c r="G124" t="s">
        <v>406</v>
      </c>
      <c r="H124" t="s">
        <v>5717</v>
      </c>
      <c r="J124" t="b">
        <v>1</v>
      </c>
      <c r="K124" t="s">
        <v>567</v>
      </c>
      <c r="L124" t="s">
        <v>4897</v>
      </c>
      <c r="M124" s="115">
        <v>45874</v>
      </c>
      <c r="P124" t="s">
        <v>2818</v>
      </c>
      <c r="Q124">
        <v>3</v>
      </c>
      <c r="R124" t="s">
        <v>1459</v>
      </c>
    </row>
    <row r="125" spans="1:18">
      <c r="A125" t="s">
        <v>5520</v>
      </c>
      <c r="B125" t="s">
        <v>925</v>
      </c>
      <c r="C125" t="s">
        <v>369</v>
      </c>
      <c r="D125" t="s">
        <v>5364</v>
      </c>
      <c r="E125" t="s">
        <v>5506</v>
      </c>
      <c r="F125" t="s">
        <v>5506</v>
      </c>
      <c r="G125" t="s">
        <v>406</v>
      </c>
      <c r="H125" t="s">
        <v>5718</v>
      </c>
      <c r="J125" t="b">
        <v>1</v>
      </c>
      <c r="K125" t="s">
        <v>567</v>
      </c>
      <c r="L125" t="s">
        <v>4897</v>
      </c>
      <c r="M125" s="115">
        <v>45874</v>
      </c>
      <c r="P125" t="s">
        <v>2818</v>
      </c>
      <c r="Q125">
        <v>3</v>
      </c>
      <c r="R125" t="s">
        <v>1459</v>
      </c>
    </row>
    <row r="126" spans="1:18">
      <c r="A126" t="s">
        <v>5520</v>
      </c>
      <c r="B126" t="s">
        <v>925</v>
      </c>
      <c r="C126" t="s">
        <v>369</v>
      </c>
      <c r="D126" t="s">
        <v>5363</v>
      </c>
      <c r="E126" t="s">
        <v>5488</v>
      </c>
      <c r="F126" t="s">
        <v>5488</v>
      </c>
      <c r="G126" t="s">
        <v>406</v>
      </c>
      <c r="H126" t="s">
        <v>5719</v>
      </c>
      <c r="J126" t="b">
        <v>1</v>
      </c>
      <c r="K126" t="s">
        <v>567</v>
      </c>
      <c r="L126" t="s">
        <v>4897</v>
      </c>
      <c r="M126" s="115">
        <v>45874</v>
      </c>
      <c r="P126" t="s">
        <v>2818</v>
      </c>
      <c r="Q126">
        <v>3</v>
      </c>
      <c r="R126" t="s">
        <v>1459</v>
      </c>
    </row>
    <row r="127" spans="1:18">
      <c r="A127" t="s">
        <v>5520</v>
      </c>
      <c r="B127" t="s">
        <v>925</v>
      </c>
      <c r="C127" t="s">
        <v>369</v>
      </c>
      <c r="D127" t="s">
        <v>5362</v>
      </c>
      <c r="E127" t="s">
        <v>5494</v>
      </c>
      <c r="F127" t="s">
        <v>5494</v>
      </c>
      <c r="G127" t="s">
        <v>406</v>
      </c>
      <c r="H127" t="s">
        <v>5720</v>
      </c>
      <c r="J127" t="b">
        <v>1</v>
      </c>
      <c r="K127" t="s">
        <v>567</v>
      </c>
      <c r="L127" t="s">
        <v>4897</v>
      </c>
      <c r="M127" s="115">
        <v>45874</v>
      </c>
      <c r="P127" t="s">
        <v>2818</v>
      </c>
      <c r="Q127">
        <v>3</v>
      </c>
      <c r="R127" t="s">
        <v>1459</v>
      </c>
    </row>
    <row r="128" spans="1:18">
      <c r="A128" t="s">
        <v>5520</v>
      </c>
      <c r="B128" t="s">
        <v>925</v>
      </c>
      <c r="C128" t="s">
        <v>369</v>
      </c>
      <c r="D128" t="s">
        <v>5361</v>
      </c>
      <c r="E128" t="s">
        <v>5487</v>
      </c>
      <c r="F128" t="s">
        <v>5487</v>
      </c>
      <c r="G128" t="s">
        <v>406</v>
      </c>
      <c r="H128" t="s">
        <v>5721</v>
      </c>
      <c r="J128" t="b">
        <v>1</v>
      </c>
      <c r="K128" t="s">
        <v>567</v>
      </c>
      <c r="L128" t="s">
        <v>4897</v>
      </c>
      <c r="M128" s="115">
        <v>45874</v>
      </c>
      <c r="P128" t="s">
        <v>2818</v>
      </c>
      <c r="Q128">
        <v>3</v>
      </c>
      <c r="R128" t="s">
        <v>1459</v>
      </c>
    </row>
    <row r="129" spans="1:18">
      <c r="A129" t="s">
        <v>5520</v>
      </c>
      <c r="B129" t="s">
        <v>925</v>
      </c>
      <c r="C129" t="s">
        <v>369</v>
      </c>
      <c r="D129" t="s">
        <v>5360</v>
      </c>
      <c r="E129" t="s">
        <v>5486</v>
      </c>
      <c r="F129" t="s">
        <v>5486</v>
      </c>
      <c r="G129" t="s">
        <v>406</v>
      </c>
      <c r="H129" t="s">
        <v>5722</v>
      </c>
      <c r="J129" t="b">
        <v>1</v>
      </c>
      <c r="K129" t="s">
        <v>567</v>
      </c>
      <c r="L129" t="s">
        <v>4897</v>
      </c>
      <c r="M129" s="115">
        <v>45874</v>
      </c>
      <c r="P129" t="s">
        <v>2818</v>
      </c>
      <c r="Q129">
        <v>3</v>
      </c>
      <c r="R129" t="s">
        <v>1459</v>
      </c>
    </row>
    <row r="130" spans="1:18">
      <c r="A130" t="s">
        <v>5520</v>
      </c>
      <c r="B130" t="s">
        <v>925</v>
      </c>
      <c r="C130" t="s">
        <v>369</v>
      </c>
      <c r="D130" t="s">
        <v>5359</v>
      </c>
      <c r="E130" t="s">
        <v>5494</v>
      </c>
      <c r="F130" t="s">
        <v>5494</v>
      </c>
      <c r="G130" t="s">
        <v>406</v>
      </c>
      <c r="H130" t="s">
        <v>5723</v>
      </c>
      <c r="J130" t="b">
        <v>1</v>
      </c>
      <c r="K130" t="s">
        <v>567</v>
      </c>
      <c r="L130" t="s">
        <v>4897</v>
      </c>
      <c r="M130" s="115">
        <v>45874</v>
      </c>
      <c r="P130" t="s">
        <v>2818</v>
      </c>
      <c r="Q130">
        <v>3</v>
      </c>
      <c r="R130" t="s">
        <v>1459</v>
      </c>
    </row>
    <row r="131" spans="1:18">
      <c r="A131" t="s">
        <v>5520</v>
      </c>
      <c r="B131" t="s">
        <v>925</v>
      </c>
      <c r="C131" t="s">
        <v>369</v>
      </c>
      <c r="D131" t="s">
        <v>5358</v>
      </c>
      <c r="E131" t="s">
        <v>5494</v>
      </c>
      <c r="F131" t="s">
        <v>5494</v>
      </c>
      <c r="G131" t="s">
        <v>406</v>
      </c>
      <c r="H131" t="s">
        <v>5724</v>
      </c>
      <c r="J131" t="b">
        <v>1</v>
      </c>
      <c r="K131" t="s">
        <v>567</v>
      </c>
      <c r="L131" t="s">
        <v>4897</v>
      </c>
      <c r="M131" s="115">
        <v>45874</v>
      </c>
      <c r="P131" t="s">
        <v>2818</v>
      </c>
      <c r="Q131">
        <v>3</v>
      </c>
      <c r="R131" t="s">
        <v>1459</v>
      </c>
    </row>
    <row r="132" spans="1:18">
      <c r="A132" t="s">
        <v>5520</v>
      </c>
      <c r="B132" t="s">
        <v>925</v>
      </c>
      <c r="C132" t="s">
        <v>369</v>
      </c>
      <c r="D132" t="s">
        <v>5357</v>
      </c>
      <c r="E132" t="s">
        <v>424</v>
      </c>
      <c r="F132" t="s">
        <v>424</v>
      </c>
      <c r="G132" t="s">
        <v>406</v>
      </c>
      <c r="H132" t="s">
        <v>5725</v>
      </c>
      <c r="J132" t="b">
        <v>1</v>
      </c>
      <c r="K132" t="s">
        <v>567</v>
      </c>
      <c r="L132" t="s">
        <v>4897</v>
      </c>
      <c r="M132" s="115">
        <v>45874</v>
      </c>
      <c r="P132" t="s">
        <v>2818</v>
      </c>
      <c r="Q132">
        <v>3</v>
      </c>
      <c r="R132" t="s">
        <v>1459</v>
      </c>
    </row>
    <row r="133" spans="1:18">
      <c r="A133" t="s">
        <v>5520</v>
      </c>
      <c r="B133" t="s">
        <v>925</v>
      </c>
      <c r="C133" t="s">
        <v>369</v>
      </c>
      <c r="D133" t="s">
        <v>5356</v>
      </c>
      <c r="E133" t="s">
        <v>5495</v>
      </c>
      <c r="F133" t="s">
        <v>5495</v>
      </c>
      <c r="G133" t="s">
        <v>400</v>
      </c>
      <c r="H133" t="s">
        <v>5638</v>
      </c>
      <c r="J133" t="b">
        <v>1</v>
      </c>
      <c r="K133" t="s">
        <v>567</v>
      </c>
      <c r="L133" t="s">
        <v>4897</v>
      </c>
      <c r="M133" s="115">
        <v>45874</v>
      </c>
      <c r="P133" t="s">
        <v>2818</v>
      </c>
      <c r="Q133">
        <v>3</v>
      </c>
      <c r="R133" t="s">
        <v>1459</v>
      </c>
    </row>
    <row r="134" spans="1:18">
      <c r="A134" t="s">
        <v>5520</v>
      </c>
      <c r="B134" t="s">
        <v>925</v>
      </c>
      <c r="C134" t="s">
        <v>369</v>
      </c>
      <c r="D134" t="s">
        <v>5355</v>
      </c>
      <c r="E134" t="s">
        <v>5498</v>
      </c>
      <c r="F134" t="s">
        <v>5498</v>
      </c>
      <c r="G134" t="s">
        <v>406</v>
      </c>
      <c r="H134" t="s">
        <v>5726</v>
      </c>
      <c r="J134" t="b">
        <v>1</v>
      </c>
      <c r="K134" t="s">
        <v>567</v>
      </c>
      <c r="L134" t="s">
        <v>4897</v>
      </c>
      <c r="M134" s="115">
        <v>45874</v>
      </c>
      <c r="P134" t="s">
        <v>2818</v>
      </c>
      <c r="Q134">
        <v>3</v>
      </c>
      <c r="R134" t="s">
        <v>1459</v>
      </c>
    </row>
    <row r="135" spans="1:18">
      <c r="A135" t="s">
        <v>5520</v>
      </c>
      <c r="B135" t="s">
        <v>925</v>
      </c>
      <c r="C135" t="s">
        <v>369</v>
      </c>
      <c r="D135" t="s">
        <v>5354</v>
      </c>
      <c r="E135" t="s">
        <v>5506</v>
      </c>
      <c r="F135" t="s">
        <v>5506</v>
      </c>
      <c r="G135" t="s">
        <v>406</v>
      </c>
      <c r="H135" t="s">
        <v>5727</v>
      </c>
      <c r="J135" t="b">
        <v>1</v>
      </c>
      <c r="K135" t="s">
        <v>567</v>
      </c>
      <c r="L135" t="s">
        <v>4897</v>
      </c>
      <c r="M135" s="115">
        <v>45874</v>
      </c>
      <c r="P135" t="s">
        <v>2818</v>
      </c>
      <c r="Q135">
        <v>3</v>
      </c>
      <c r="R135" t="s">
        <v>1459</v>
      </c>
    </row>
    <row r="136" spans="1:18">
      <c r="A136" t="s">
        <v>5520</v>
      </c>
      <c r="B136" t="s">
        <v>925</v>
      </c>
      <c r="C136" t="s">
        <v>369</v>
      </c>
      <c r="D136" t="s">
        <v>5353</v>
      </c>
      <c r="E136" t="s">
        <v>5498</v>
      </c>
      <c r="F136" t="s">
        <v>5498</v>
      </c>
      <c r="G136" t="s">
        <v>400</v>
      </c>
      <c r="H136" t="s">
        <v>5638</v>
      </c>
      <c r="J136" t="b">
        <v>1</v>
      </c>
      <c r="K136" t="s">
        <v>567</v>
      </c>
      <c r="L136" t="s">
        <v>4897</v>
      </c>
      <c r="M136" s="115">
        <v>45874</v>
      </c>
      <c r="P136" t="s">
        <v>2818</v>
      </c>
      <c r="Q136">
        <v>3</v>
      </c>
      <c r="R136" t="s">
        <v>1459</v>
      </c>
    </row>
    <row r="137" spans="1:18">
      <c r="A137" t="s">
        <v>5520</v>
      </c>
      <c r="B137" t="s">
        <v>925</v>
      </c>
      <c r="C137" t="s">
        <v>369</v>
      </c>
      <c r="D137" t="s">
        <v>5352</v>
      </c>
      <c r="E137" t="s">
        <v>5506</v>
      </c>
      <c r="F137" t="s">
        <v>5506</v>
      </c>
      <c r="G137" t="s">
        <v>406</v>
      </c>
      <c r="H137" t="s">
        <v>5728</v>
      </c>
      <c r="J137" t="b">
        <v>1</v>
      </c>
      <c r="K137" t="s">
        <v>567</v>
      </c>
      <c r="L137" t="s">
        <v>4897</v>
      </c>
      <c r="M137" s="115">
        <v>45874</v>
      </c>
      <c r="P137" t="s">
        <v>2818</v>
      </c>
      <c r="Q137">
        <v>3</v>
      </c>
      <c r="R137" t="s">
        <v>1459</v>
      </c>
    </row>
    <row r="138" spans="1:18">
      <c r="A138" t="s">
        <v>5520</v>
      </c>
      <c r="B138" t="s">
        <v>925</v>
      </c>
      <c r="C138" t="s">
        <v>369</v>
      </c>
      <c r="D138" t="s">
        <v>5351</v>
      </c>
      <c r="E138" t="s">
        <v>5501</v>
      </c>
      <c r="F138" t="s">
        <v>5501</v>
      </c>
      <c r="G138" t="s">
        <v>400</v>
      </c>
      <c r="H138" t="s">
        <v>5638</v>
      </c>
      <c r="J138" t="b">
        <v>1</v>
      </c>
      <c r="K138" t="s">
        <v>567</v>
      </c>
      <c r="L138" t="s">
        <v>4897</v>
      </c>
      <c r="M138" s="115">
        <v>45874</v>
      </c>
      <c r="P138" t="s">
        <v>2818</v>
      </c>
      <c r="Q138">
        <v>3</v>
      </c>
      <c r="R138" t="s">
        <v>1459</v>
      </c>
    </row>
    <row r="139" spans="1:18">
      <c r="A139" t="s">
        <v>5520</v>
      </c>
      <c r="B139" t="s">
        <v>925</v>
      </c>
      <c r="C139" t="s">
        <v>369</v>
      </c>
      <c r="D139" t="s">
        <v>5350</v>
      </c>
      <c r="E139" t="s">
        <v>5505</v>
      </c>
      <c r="F139" t="s">
        <v>5505</v>
      </c>
      <c r="G139" t="s">
        <v>400</v>
      </c>
      <c r="H139" t="s">
        <v>5638</v>
      </c>
      <c r="J139" t="b">
        <v>1</v>
      </c>
      <c r="K139" t="s">
        <v>567</v>
      </c>
      <c r="L139" t="s">
        <v>4897</v>
      </c>
      <c r="M139" s="115">
        <v>45874</v>
      </c>
      <c r="P139" t="s">
        <v>2818</v>
      </c>
      <c r="Q139">
        <v>3</v>
      </c>
      <c r="R139" t="s">
        <v>1459</v>
      </c>
    </row>
    <row r="140" spans="1:18">
      <c r="A140" t="s">
        <v>5520</v>
      </c>
      <c r="B140" t="s">
        <v>925</v>
      </c>
      <c r="C140" t="s">
        <v>369</v>
      </c>
      <c r="D140" t="s">
        <v>5349</v>
      </c>
      <c r="E140" t="s">
        <v>5498</v>
      </c>
      <c r="F140" t="s">
        <v>5498</v>
      </c>
      <c r="G140" t="s">
        <v>400</v>
      </c>
      <c r="H140" t="s">
        <v>5638</v>
      </c>
      <c r="J140" t="b">
        <v>1</v>
      </c>
      <c r="K140" t="s">
        <v>567</v>
      </c>
      <c r="L140" t="s">
        <v>4897</v>
      </c>
      <c r="M140" s="115">
        <v>45874</v>
      </c>
      <c r="P140" t="s">
        <v>2818</v>
      </c>
      <c r="Q140">
        <v>3</v>
      </c>
      <c r="R140" t="s">
        <v>1459</v>
      </c>
    </row>
    <row r="141" spans="1:18">
      <c r="A141" t="s">
        <v>5520</v>
      </c>
      <c r="B141" t="s">
        <v>925</v>
      </c>
      <c r="C141" t="s">
        <v>369</v>
      </c>
      <c r="D141" t="s">
        <v>5348</v>
      </c>
      <c r="E141" t="s">
        <v>5498</v>
      </c>
      <c r="F141" t="s">
        <v>5498</v>
      </c>
      <c r="G141" t="s">
        <v>400</v>
      </c>
      <c r="H141" t="s">
        <v>5638</v>
      </c>
      <c r="J141" t="b">
        <v>1</v>
      </c>
      <c r="K141" t="s">
        <v>567</v>
      </c>
      <c r="L141" t="s">
        <v>4897</v>
      </c>
      <c r="M141" s="115">
        <v>45874</v>
      </c>
      <c r="P141" t="s">
        <v>2818</v>
      </c>
      <c r="Q141">
        <v>3</v>
      </c>
      <c r="R141" t="s">
        <v>1459</v>
      </c>
    </row>
    <row r="142" spans="1:18">
      <c r="A142" t="s">
        <v>5520</v>
      </c>
      <c r="B142" t="s">
        <v>925</v>
      </c>
      <c r="C142" t="s">
        <v>369</v>
      </c>
      <c r="D142" t="s">
        <v>5347</v>
      </c>
      <c r="E142" t="s">
        <v>5491</v>
      </c>
      <c r="F142" t="s">
        <v>5491</v>
      </c>
      <c r="G142" t="s">
        <v>400</v>
      </c>
      <c r="H142" t="s">
        <v>5638</v>
      </c>
      <c r="J142" t="b">
        <v>1</v>
      </c>
      <c r="K142" t="s">
        <v>567</v>
      </c>
      <c r="L142" t="s">
        <v>4897</v>
      </c>
      <c r="M142" s="115">
        <v>45874</v>
      </c>
      <c r="P142" t="s">
        <v>2818</v>
      </c>
      <c r="Q142">
        <v>3</v>
      </c>
      <c r="R142" t="s">
        <v>1459</v>
      </c>
    </row>
    <row r="143" spans="1:18">
      <c r="A143" t="s">
        <v>5520</v>
      </c>
      <c r="B143" t="s">
        <v>925</v>
      </c>
      <c r="C143" t="s">
        <v>369</v>
      </c>
      <c r="D143" t="s">
        <v>5346</v>
      </c>
      <c r="E143" t="s">
        <v>5504</v>
      </c>
      <c r="F143" t="s">
        <v>5504</v>
      </c>
      <c r="G143" t="s">
        <v>400</v>
      </c>
      <c r="H143" t="s">
        <v>5638</v>
      </c>
      <c r="J143" t="b">
        <v>1</v>
      </c>
      <c r="K143" t="s">
        <v>567</v>
      </c>
      <c r="L143" t="s">
        <v>4897</v>
      </c>
      <c r="M143" s="115">
        <v>45874</v>
      </c>
      <c r="P143" t="s">
        <v>2818</v>
      </c>
      <c r="Q143">
        <v>3</v>
      </c>
      <c r="R143" t="s">
        <v>1459</v>
      </c>
    </row>
    <row r="144" spans="1:18">
      <c r="A144" t="s">
        <v>5520</v>
      </c>
      <c r="B144" t="s">
        <v>925</v>
      </c>
      <c r="C144" t="s">
        <v>369</v>
      </c>
      <c r="D144" t="s">
        <v>5345</v>
      </c>
      <c r="E144" t="s">
        <v>5503</v>
      </c>
      <c r="F144" t="s">
        <v>5503</v>
      </c>
      <c r="G144" t="s">
        <v>400</v>
      </c>
      <c r="H144" t="s">
        <v>5638</v>
      </c>
      <c r="J144" t="b">
        <v>1</v>
      </c>
      <c r="K144" t="s">
        <v>567</v>
      </c>
      <c r="L144" t="s">
        <v>4897</v>
      </c>
      <c r="M144" s="115">
        <v>45874</v>
      </c>
      <c r="P144" t="s">
        <v>2818</v>
      </c>
      <c r="Q144">
        <v>3</v>
      </c>
      <c r="R144" t="s">
        <v>1459</v>
      </c>
    </row>
    <row r="145" spans="1:18">
      <c r="A145" t="s">
        <v>5520</v>
      </c>
      <c r="B145" t="s">
        <v>925</v>
      </c>
      <c r="C145" t="s">
        <v>369</v>
      </c>
      <c r="D145" t="s">
        <v>5344</v>
      </c>
      <c r="E145" t="s">
        <v>5491</v>
      </c>
      <c r="F145" t="s">
        <v>5491</v>
      </c>
      <c r="G145" t="s">
        <v>400</v>
      </c>
      <c r="H145" t="s">
        <v>5638</v>
      </c>
      <c r="J145" t="b">
        <v>1</v>
      </c>
      <c r="K145" t="s">
        <v>567</v>
      </c>
      <c r="L145" t="s">
        <v>4897</v>
      </c>
      <c r="M145" s="115">
        <v>45874</v>
      </c>
      <c r="P145" t="s">
        <v>2818</v>
      </c>
      <c r="Q145">
        <v>3</v>
      </c>
      <c r="R145" t="s">
        <v>1459</v>
      </c>
    </row>
    <row r="146" spans="1:18">
      <c r="A146" t="s">
        <v>5520</v>
      </c>
      <c r="B146" t="s">
        <v>925</v>
      </c>
      <c r="C146" t="s">
        <v>369</v>
      </c>
      <c r="D146" t="s">
        <v>5343</v>
      </c>
      <c r="E146" t="s">
        <v>5501</v>
      </c>
      <c r="F146" t="s">
        <v>5501</v>
      </c>
      <c r="G146" t="s">
        <v>400</v>
      </c>
      <c r="H146" t="s">
        <v>5638</v>
      </c>
      <c r="J146" t="b">
        <v>1</v>
      </c>
      <c r="K146" t="s">
        <v>567</v>
      </c>
      <c r="L146" t="s">
        <v>4897</v>
      </c>
      <c r="M146" s="115">
        <v>45874</v>
      </c>
      <c r="P146" t="s">
        <v>2818</v>
      </c>
      <c r="Q146">
        <v>3</v>
      </c>
      <c r="R146" t="s">
        <v>1459</v>
      </c>
    </row>
    <row r="147" spans="1:18">
      <c r="A147" t="s">
        <v>5520</v>
      </c>
      <c r="B147" t="s">
        <v>925</v>
      </c>
      <c r="C147" t="s">
        <v>369</v>
      </c>
      <c r="D147" t="s">
        <v>3371</v>
      </c>
      <c r="E147" t="s">
        <v>5499</v>
      </c>
      <c r="F147" t="s">
        <v>5499</v>
      </c>
      <c r="G147" t="s">
        <v>400</v>
      </c>
      <c r="H147" t="s">
        <v>5638</v>
      </c>
      <c r="J147" t="b">
        <v>1</v>
      </c>
      <c r="K147" t="s">
        <v>567</v>
      </c>
      <c r="L147" t="s">
        <v>4897</v>
      </c>
      <c r="M147" s="115">
        <v>45874</v>
      </c>
      <c r="P147" t="s">
        <v>2818</v>
      </c>
      <c r="Q147">
        <v>3</v>
      </c>
      <c r="R147" t="s">
        <v>1459</v>
      </c>
    </row>
    <row r="148" spans="1:18">
      <c r="A148" t="s">
        <v>5520</v>
      </c>
      <c r="B148" t="s">
        <v>925</v>
      </c>
      <c r="C148" t="s">
        <v>369</v>
      </c>
      <c r="D148" t="s">
        <v>5342</v>
      </c>
      <c r="E148" t="s">
        <v>5502</v>
      </c>
      <c r="F148" t="s">
        <v>5502</v>
      </c>
      <c r="G148" t="s">
        <v>400</v>
      </c>
      <c r="H148" t="s">
        <v>5638</v>
      </c>
      <c r="J148" t="b">
        <v>1</v>
      </c>
      <c r="K148" t="s">
        <v>567</v>
      </c>
      <c r="L148" t="s">
        <v>4897</v>
      </c>
      <c r="M148" s="115">
        <v>45874</v>
      </c>
      <c r="P148" t="s">
        <v>2818</v>
      </c>
      <c r="Q148">
        <v>3</v>
      </c>
      <c r="R148" t="s">
        <v>1459</v>
      </c>
    </row>
    <row r="149" spans="1:18">
      <c r="A149" t="s">
        <v>5520</v>
      </c>
      <c r="B149" t="s">
        <v>925</v>
      </c>
      <c r="C149" t="s">
        <v>369</v>
      </c>
      <c r="D149" t="s">
        <v>5341</v>
      </c>
      <c r="E149" t="s">
        <v>5501</v>
      </c>
      <c r="F149" t="s">
        <v>5501</v>
      </c>
      <c r="G149" t="s">
        <v>400</v>
      </c>
      <c r="H149" t="s">
        <v>5638</v>
      </c>
      <c r="J149" t="b">
        <v>1</v>
      </c>
      <c r="K149" t="s">
        <v>567</v>
      </c>
      <c r="L149" t="s">
        <v>4897</v>
      </c>
      <c r="M149" s="115">
        <v>45874</v>
      </c>
      <c r="P149" t="s">
        <v>2818</v>
      </c>
      <c r="Q149">
        <v>3</v>
      </c>
      <c r="R149" t="s">
        <v>1459</v>
      </c>
    </row>
    <row r="150" spans="1:18">
      <c r="A150" t="s">
        <v>5520</v>
      </c>
      <c r="B150" t="s">
        <v>925</v>
      </c>
      <c r="C150" t="s">
        <v>369</v>
      </c>
      <c r="D150" t="s">
        <v>5340</v>
      </c>
      <c r="E150" t="s">
        <v>5500</v>
      </c>
      <c r="F150" t="s">
        <v>5500</v>
      </c>
      <c r="G150" t="s">
        <v>400</v>
      </c>
      <c r="H150" t="s">
        <v>5638</v>
      </c>
      <c r="J150" t="b">
        <v>1</v>
      </c>
      <c r="K150" t="s">
        <v>567</v>
      </c>
      <c r="L150" t="s">
        <v>4897</v>
      </c>
      <c r="M150" s="115">
        <v>45874</v>
      </c>
      <c r="P150" t="s">
        <v>2818</v>
      </c>
      <c r="Q150">
        <v>3</v>
      </c>
      <c r="R150" t="s">
        <v>1459</v>
      </c>
    </row>
    <row r="151" spans="1:18">
      <c r="A151" t="s">
        <v>5520</v>
      </c>
      <c r="B151" t="s">
        <v>925</v>
      </c>
      <c r="C151" t="s">
        <v>369</v>
      </c>
      <c r="D151" t="s">
        <v>5339</v>
      </c>
      <c r="E151" t="s">
        <v>5491</v>
      </c>
      <c r="F151" t="s">
        <v>5491</v>
      </c>
      <c r="G151" t="s">
        <v>400</v>
      </c>
      <c r="H151" t="s">
        <v>5638</v>
      </c>
      <c r="J151" t="b">
        <v>1</v>
      </c>
      <c r="K151" t="s">
        <v>567</v>
      </c>
      <c r="L151" t="s">
        <v>4897</v>
      </c>
      <c r="M151" s="115">
        <v>45874</v>
      </c>
      <c r="P151" t="s">
        <v>2818</v>
      </c>
      <c r="Q151">
        <v>3</v>
      </c>
      <c r="R151" t="s">
        <v>1459</v>
      </c>
    </row>
    <row r="152" spans="1:18">
      <c r="A152" t="s">
        <v>5520</v>
      </c>
      <c r="B152" t="s">
        <v>925</v>
      </c>
      <c r="C152" t="s">
        <v>369</v>
      </c>
      <c r="D152" t="s">
        <v>4810</v>
      </c>
      <c r="E152" t="s">
        <v>4412</v>
      </c>
      <c r="F152" t="s">
        <v>4412</v>
      </c>
      <c r="G152" t="s">
        <v>400</v>
      </c>
      <c r="H152" t="s">
        <v>5638</v>
      </c>
      <c r="J152" t="b">
        <v>1</v>
      </c>
      <c r="K152" t="s">
        <v>567</v>
      </c>
      <c r="L152" t="s">
        <v>4897</v>
      </c>
      <c r="M152" s="115">
        <v>45874</v>
      </c>
      <c r="P152" t="s">
        <v>2818</v>
      </c>
      <c r="Q152">
        <v>3</v>
      </c>
      <c r="R152" t="s">
        <v>1459</v>
      </c>
    </row>
    <row r="153" spans="1:18">
      <c r="A153" t="s">
        <v>5520</v>
      </c>
      <c r="B153" t="s">
        <v>925</v>
      </c>
      <c r="C153" t="s">
        <v>369</v>
      </c>
      <c r="D153" t="s">
        <v>5338</v>
      </c>
      <c r="E153" t="s">
        <v>5491</v>
      </c>
      <c r="F153" t="s">
        <v>5491</v>
      </c>
      <c r="G153" t="s">
        <v>400</v>
      </c>
      <c r="H153" t="s">
        <v>5638</v>
      </c>
      <c r="J153" t="b">
        <v>1</v>
      </c>
      <c r="K153" t="s">
        <v>567</v>
      </c>
      <c r="L153" t="s">
        <v>4897</v>
      </c>
      <c r="M153" s="115">
        <v>45874</v>
      </c>
      <c r="P153" t="s">
        <v>2818</v>
      </c>
      <c r="Q153">
        <v>3</v>
      </c>
      <c r="R153" t="s">
        <v>1459</v>
      </c>
    </row>
    <row r="154" spans="1:18">
      <c r="A154" t="s">
        <v>5520</v>
      </c>
      <c r="B154" t="s">
        <v>925</v>
      </c>
      <c r="C154" t="s">
        <v>369</v>
      </c>
      <c r="D154" t="s">
        <v>5337</v>
      </c>
      <c r="E154" t="s">
        <v>5499</v>
      </c>
      <c r="F154" t="s">
        <v>5499</v>
      </c>
      <c r="G154" t="s">
        <v>400</v>
      </c>
      <c r="H154" t="s">
        <v>5638</v>
      </c>
      <c r="J154" t="b">
        <v>1</v>
      </c>
      <c r="K154" t="s">
        <v>567</v>
      </c>
      <c r="L154" t="s">
        <v>4897</v>
      </c>
      <c r="M154" s="115">
        <v>45874</v>
      </c>
      <c r="P154" t="s">
        <v>2818</v>
      </c>
      <c r="Q154">
        <v>3</v>
      </c>
      <c r="R154" t="s">
        <v>1459</v>
      </c>
    </row>
    <row r="155" spans="1:18">
      <c r="A155" t="s">
        <v>5520</v>
      </c>
      <c r="B155" t="s">
        <v>925</v>
      </c>
      <c r="C155" t="s">
        <v>369</v>
      </c>
      <c r="D155" t="s">
        <v>5336</v>
      </c>
      <c r="E155" t="s">
        <v>5498</v>
      </c>
      <c r="F155" t="s">
        <v>5498</v>
      </c>
      <c r="G155" t="s">
        <v>400</v>
      </c>
      <c r="H155" t="s">
        <v>5638</v>
      </c>
      <c r="J155" t="b">
        <v>1</v>
      </c>
      <c r="K155" t="s">
        <v>567</v>
      </c>
      <c r="L155" t="s">
        <v>4897</v>
      </c>
      <c r="M155" s="115">
        <v>45874</v>
      </c>
      <c r="P155" t="s">
        <v>2818</v>
      </c>
      <c r="Q155">
        <v>3</v>
      </c>
      <c r="R155" t="s">
        <v>1459</v>
      </c>
    </row>
    <row r="156" spans="1:18">
      <c r="A156" t="s">
        <v>5520</v>
      </c>
      <c r="B156" t="s">
        <v>925</v>
      </c>
      <c r="C156" t="s">
        <v>369</v>
      </c>
      <c r="D156" t="s">
        <v>5335</v>
      </c>
      <c r="E156" t="s">
        <v>5491</v>
      </c>
      <c r="F156" t="s">
        <v>5491</v>
      </c>
      <c r="G156" t="s">
        <v>400</v>
      </c>
      <c r="H156" t="s">
        <v>5638</v>
      </c>
      <c r="J156" t="b">
        <v>1</v>
      </c>
      <c r="K156" t="s">
        <v>567</v>
      </c>
      <c r="L156" t="s">
        <v>4897</v>
      </c>
      <c r="M156" s="115">
        <v>45874</v>
      </c>
      <c r="P156" t="s">
        <v>2818</v>
      </c>
      <c r="Q156">
        <v>3</v>
      </c>
      <c r="R156" t="s">
        <v>1459</v>
      </c>
    </row>
    <row r="157" spans="1:18">
      <c r="A157" t="s">
        <v>5520</v>
      </c>
      <c r="B157" t="s">
        <v>925</v>
      </c>
      <c r="C157" t="s">
        <v>369</v>
      </c>
      <c r="D157" t="s">
        <v>5334</v>
      </c>
      <c r="E157" t="s">
        <v>5498</v>
      </c>
      <c r="F157" t="s">
        <v>5498</v>
      </c>
      <c r="G157" t="s">
        <v>400</v>
      </c>
      <c r="H157" t="s">
        <v>5638</v>
      </c>
      <c r="J157" t="b">
        <v>1</v>
      </c>
      <c r="K157" t="s">
        <v>567</v>
      </c>
      <c r="L157" t="s">
        <v>4897</v>
      </c>
      <c r="M157" s="115">
        <v>45874</v>
      </c>
      <c r="P157" t="s">
        <v>2818</v>
      </c>
      <c r="Q157">
        <v>3</v>
      </c>
      <c r="R157" t="s">
        <v>1459</v>
      </c>
    </row>
    <row r="158" spans="1:18">
      <c r="A158" t="s">
        <v>5520</v>
      </c>
      <c r="B158" t="s">
        <v>925</v>
      </c>
      <c r="C158" t="s">
        <v>369</v>
      </c>
      <c r="D158" t="s">
        <v>5333</v>
      </c>
      <c r="E158" t="s">
        <v>5495</v>
      </c>
      <c r="F158" t="s">
        <v>5495</v>
      </c>
      <c r="G158" t="s">
        <v>400</v>
      </c>
      <c r="H158" t="s">
        <v>5638</v>
      </c>
      <c r="J158" t="b">
        <v>1</v>
      </c>
      <c r="K158" t="s">
        <v>567</v>
      </c>
      <c r="L158" t="s">
        <v>4897</v>
      </c>
      <c r="M158" s="115">
        <v>45874</v>
      </c>
      <c r="P158" t="s">
        <v>2818</v>
      </c>
      <c r="Q158">
        <v>3</v>
      </c>
      <c r="R158" t="s">
        <v>1459</v>
      </c>
    </row>
    <row r="159" spans="1:18">
      <c r="A159" t="s">
        <v>5520</v>
      </c>
      <c r="B159" t="s">
        <v>925</v>
      </c>
      <c r="C159" t="s">
        <v>369</v>
      </c>
      <c r="D159" t="s">
        <v>5332</v>
      </c>
      <c r="E159" t="s">
        <v>5497</v>
      </c>
      <c r="F159" t="s">
        <v>5497</v>
      </c>
      <c r="G159" t="s">
        <v>400</v>
      </c>
      <c r="H159" t="s">
        <v>5638</v>
      </c>
      <c r="J159" t="b">
        <v>1</v>
      </c>
      <c r="K159" t="s">
        <v>567</v>
      </c>
      <c r="L159" t="s">
        <v>4897</v>
      </c>
      <c r="M159" s="115">
        <v>45874</v>
      </c>
      <c r="P159" t="s">
        <v>2818</v>
      </c>
      <c r="Q159">
        <v>3</v>
      </c>
      <c r="R159" t="s">
        <v>1459</v>
      </c>
    </row>
    <row r="160" spans="1:18">
      <c r="A160" t="s">
        <v>5520</v>
      </c>
      <c r="B160" t="s">
        <v>925</v>
      </c>
      <c r="C160" t="s">
        <v>369</v>
      </c>
      <c r="D160" t="s">
        <v>5331</v>
      </c>
      <c r="E160" t="s">
        <v>5497</v>
      </c>
      <c r="F160" t="s">
        <v>5497</v>
      </c>
      <c r="G160" t="s">
        <v>400</v>
      </c>
      <c r="H160" t="s">
        <v>5638</v>
      </c>
      <c r="J160" t="b">
        <v>1</v>
      </c>
      <c r="K160" t="s">
        <v>567</v>
      </c>
      <c r="L160" t="s">
        <v>4897</v>
      </c>
      <c r="M160" s="115">
        <v>45874</v>
      </c>
      <c r="P160" t="s">
        <v>2818</v>
      </c>
      <c r="Q160">
        <v>3</v>
      </c>
      <c r="R160" t="s">
        <v>1459</v>
      </c>
    </row>
    <row r="161" spans="1:18">
      <c r="A161" t="s">
        <v>5520</v>
      </c>
      <c r="B161" t="s">
        <v>925</v>
      </c>
      <c r="C161" t="s">
        <v>369</v>
      </c>
      <c r="D161" t="s">
        <v>5330</v>
      </c>
      <c r="E161" t="s">
        <v>5492</v>
      </c>
      <c r="F161" t="s">
        <v>5492</v>
      </c>
      <c r="G161" t="s">
        <v>406</v>
      </c>
      <c r="H161" t="s">
        <v>5729</v>
      </c>
      <c r="J161" t="b">
        <v>1</v>
      </c>
      <c r="K161" t="s">
        <v>567</v>
      </c>
      <c r="L161" t="s">
        <v>4897</v>
      </c>
      <c r="M161" s="115">
        <v>45874</v>
      </c>
      <c r="P161" t="s">
        <v>2818</v>
      </c>
      <c r="Q161">
        <v>3</v>
      </c>
      <c r="R161" t="s">
        <v>1459</v>
      </c>
    </row>
    <row r="162" spans="1:18">
      <c r="A162" t="s">
        <v>5520</v>
      </c>
      <c r="B162" t="s">
        <v>925</v>
      </c>
      <c r="C162" t="s">
        <v>369</v>
      </c>
      <c r="D162" t="s">
        <v>5329</v>
      </c>
      <c r="E162" t="s">
        <v>5496</v>
      </c>
      <c r="F162" t="s">
        <v>5496</v>
      </c>
      <c r="G162" t="s">
        <v>406</v>
      </c>
      <c r="H162" t="s">
        <v>5730</v>
      </c>
      <c r="J162" t="b">
        <v>1</v>
      </c>
      <c r="K162" t="s">
        <v>567</v>
      </c>
      <c r="L162" t="s">
        <v>4897</v>
      </c>
      <c r="M162" s="115">
        <v>45874</v>
      </c>
      <c r="P162" t="s">
        <v>2818</v>
      </c>
      <c r="Q162">
        <v>3</v>
      </c>
      <c r="R162" t="s">
        <v>1459</v>
      </c>
    </row>
    <row r="163" spans="1:18">
      <c r="A163" t="s">
        <v>5520</v>
      </c>
      <c r="B163" t="s">
        <v>925</v>
      </c>
      <c r="C163" t="s">
        <v>369</v>
      </c>
      <c r="D163" t="s">
        <v>5328</v>
      </c>
      <c r="E163" t="s">
        <v>5495</v>
      </c>
      <c r="F163" t="s">
        <v>5495</v>
      </c>
      <c r="G163" t="s">
        <v>406</v>
      </c>
      <c r="H163" t="s">
        <v>5731</v>
      </c>
      <c r="J163" t="b">
        <v>1</v>
      </c>
      <c r="K163" t="s">
        <v>567</v>
      </c>
      <c r="L163" t="s">
        <v>4897</v>
      </c>
      <c r="M163" s="115">
        <v>45874</v>
      </c>
      <c r="P163" t="s">
        <v>2818</v>
      </c>
      <c r="Q163">
        <v>3</v>
      </c>
      <c r="R163" t="s">
        <v>1459</v>
      </c>
    </row>
    <row r="164" spans="1:18">
      <c r="A164" t="s">
        <v>5520</v>
      </c>
      <c r="B164" t="s">
        <v>925</v>
      </c>
      <c r="C164" t="s">
        <v>369</v>
      </c>
      <c r="D164" t="s">
        <v>5327</v>
      </c>
      <c r="E164" t="s">
        <v>5495</v>
      </c>
      <c r="F164" t="s">
        <v>5495</v>
      </c>
      <c r="G164" t="s">
        <v>406</v>
      </c>
      <c r="H164" t="s">
        <v>5732</v>
      </c>
      <c r="J164" t="b">
        <v>1</v>
      </c>
      <c r="K164" t="s">
        <v>567</v>
      </c>
      <c r="L164" t="s">
        <v>4897</v>
      </c>
      <c r="M164" s="115">
        <v>45874</v>
      </c>
      <c r="P164" t="s">
        <v>2818</v>
      </c>
      <c r="Q164">
        <v>3</v>
      </c>
      <c r="R164" t="s">
        <v>1459</v>
      </c>
    </row>
    <row r="165" spans="1:18">
      <c r="A165" t="s">
        <v>5520</v>
      </c>
      <c r="B165" t="s">
        <v>925</v>
      </c>
      <c r="C165" t="s">
        <v>369</v>
      </c>
      <c r="D165" t="s">
        <v>5326</v>
      </c>
      <c r="E165" t="s">
        <v>5495</v>
      </c>
      <c r="F165" t="s">
        <v>5495</v>
      </c>
      <c r="G165" t="s">
        <v>400</v>
      </c>
      <c r="H165" t="s">
        <v>5638</v>
      </c>
      <c r="J165" t="b">
        <v>1</v>
      </c>
      <c r="K165" t="s">
        <v>567</v>
      </c>
      <c r="L165" t="s">
        <v>4897</v>
      </c>
      <c r="M165" s="115">
        <v>45874</v>
      </c>
      <c r="P165" t="s">
        <v>2818</v>
      </c>
      <c r="Q165">
        <v>3</v>
      </c>
      <c r="R165" t="s">
        <v>1459</v>
      </c>
    </row>
    <row r="166" spans="1:18">
      <c r="A166" t="s">
        <v>5520</v>
      </c>
      <c r="B166" t="s">
        <v>925</v>
      </c>
      <c r="C166" t="s">
        <v>369</v>
      </c>
      <c r="D166" t="s">
        <v>5325</v>
      </c>
      <c r="E166" t="s">
        <v>5494</v>
      </c>
      <c r="F166" t="s">
        <v>5494</v>
      </c>
      <c r="G166" t="s">
        <v>400</v>
      </c>
      <c r="H166" t="s">
        <v>5638</v>
      </c>
      <c r="J166" t="b">
        <v>1</v>
      </c>
      <c r="K166" t="s">
        <v>567</v>
      </c>
      <c r="L166" t="s">
        <v>4897</v>
      </c>
      <c r="M166" s="115">
        <v>45874</v>
      </c>
      <c r="P166" t="s">
        <v>2818</v>
      </c>
      <c r="Q166">
        <v>3</v>
      </c>
      <c r="R166" t="s">
        <v>1459</v>
      </c>
    </row>
    <row r="167" spans="1:18">
      <c r="A167" t="s">
        <v>5520</v>
      </c>
      <c r="B167" t="s">
        <v>925</v>
      </c>
      <c r="C167" t="s">
        <v>369</v>
      </c>
      <c r="D167" t="s">
        <v>5324</v>
      </c>
      <c r="E167" t="s">
        <v>5493</v>
      </c>
      <c r="F167" t="s">
        <v>5493</v>
      </c>
      <c r="G167" t="s">
        <v>400</v>
      </c>
      <c r="H167" t="s">
        <v>5638</v>
      </c>
      <c r="J167" t="b">
        <v>1</v>
      </c>
      <c r="K167" t="s">
        <v>567</v>
      </c>
      <c r="L167" t="s">
        <v>4897</v>
      </c>
      <c r="M167" s="115">
        <v>45874</v>
      </c>
      <c r="P167" t="s">
        <v>2818</v>
      </c>
      <c r="Q167">
        <v>3</v>
      </c>
      <c r="R167" t="s">
        <v>1459</v>
      </c>
    </row>
    <row r="168" spans="1:18">
      <c r="A168" t="s">
        <v>5520</v>
      </c>
      <c r="B168" t="s">
        <v>925</v>
      </c>
      <c r="C168" t="s">
        <v>369</v>
      </c>
      <c r="D168" t="s">
        <v>5323</v>
      </c>
      <c r="E168" t="s">
        <v>5492</v>
      </c>
      <c r="F168" t="s">
        <v>5492</v>
      </c>
      <c r="G168" t="s">
        <v>400</v>
      </c>
      <c r="H168" t="s">
        <v>5638</v>
      </c>
      <c r="J168" t="b">
        <v>1</v>
      </c>
      <c r="K168" t="s">
        <v>567</v>
      </c>
      <c r="L168" t="s">
        <v>4897</v>
      </c>
      <c r="M168" s="115">
        <v>45874</v>
      </c>
      <c r="P168" t="s">
        <v>2818</v>
      </c>
      <c r="Q168">
        <v>3</v>
      </c>
      <c r="R168" t="s">
        <v>1459</v>
      </c>
    </row>
    <row r="169" spans="1:18">
      <c r="A169" t="s">
        <v>5520</v>
      </c>
      <c r="B169" t="s">
        <v>925</v>
      </c>
      <c r="C169" t="s">
        <v>369</v>
      </c>
      <c r="D169" t="s">
        <v>5322</v>
      </c>
      <c r="E169" t="s">
        <v>424</v>
      </c>
      <c r="F169" t="s">
        <v>424</v>
      </c>
      <c r="G169" t="s">
        <v>406</v>
      </c>
      <c r="H169" t="s">
        <v>5733</v>
      </c>
      <c r="J169" t="b">
        <v>1</v>
      </c>
      <c r="K169" t="s">
        <v>567</v>
      </c>
      <c r="L169" t="s">
        <v>4897</v>
      </c>
      <c r="M169" s="115">
        <v>45874</v>
      </c>
      <c r="P169" t="s">
        <v>2818</v>
      </c>
      <c r="Q169">
        <v>3</v>
      </c>
      <c r="R169" t="s">
        <v>1459</v>
      </c>
    </row>
    <row r="170" spans="1:18">
      <c r="A170" t="s">
        <v>5520</v>
      </c>
      <c r="B170" t="s">
        <v>925</v>
      </c>
      <c r="C170" t="s">
        <v>369</v>
      </c>
      <c r="D170" t="s">
        <v>5321</v>
      </c>
      <c r="E170" t="s">
        <v>424</v>
      </c>
      <c r="F170" t="s">
        <v>424</v>
      </c>
      <c r="G170" t="s">
        <v>406</v>
      </c>
      <c r="H170" t="s">
        <v>5734</v>
      </c>
      <c r="J170" t="b">
        <v>1</v>
      </c>
      <c r="K170" t="s">
        <v>567</v>
      </c>
      <c r="L170" t="s">
        <v>4897</v>
      </c>
      <c r="M170" s="115">
        <v>45874</v>
      </c>
      <c r="P170" t="s">
        <v>2818</v>
      </c>
      <c r="Q170">
        <v>3</v>
      </c>
      <c r="R170" t="s">
        <v>1459</v>
      </c>
    </row>
    <row r="171" spans="1:18">
      <c r="A171" t="s">
        <v>5520</v>
      </c>
      <c r="B171" t="s">
        <v>925</v>
      </c>
      <c r="C171" t="s">
        <v>369</v>
      </c>
      <c r="D171" t="s">
        <v>5320</v>
      </c>
      <c r="E171" t="s">
        <v>5491</v>
      </c>
      <c r="F171" t="s">
        <v>5491</v>
      </c>
      <c r="G171" t="s">
        <v>406</v>
      </c>
      <c r="H171" t="s">
        <v>5735</v>
      </c>
      <c r="J171" t="b">
        <v>1</v>
      </c>
      <c r="K171" t="s">
        <v>567</v>
      </c>
      <c r="L171" t="s">
        <v>4897</v>
      </c>
      <c r="M171" s="115">
        <v>45874</v>
      </c>
      <c r="P171" t="s">
        <v>2818</v>
      </c>
      <c r="Q171">
        <v>3</v>
      </c>
      <c r="R171" t="s">
        <v>1459</v>
      </c>
    </row>
    <row r="172" spans="1:18">
      <c r="A172" t="s">
        <v>5520</v>
      </c>
      <c r="B172" t="s">
        <v>925</v>
      </c>
      <c r="C172" t="s">
        <v>369</v>
      </c>
      <c r="D172" t="s">
        <v>5319</v>
      </c>
      <c r="E172" t="s">
        <v>5490</v>
      </c>
      <c r="F172" t="s">
        <v>5490</v>
      </c>
      <c r="G172" t="s">
        <v>406</v>
      </c>
      <c r="H172" t="s">
        <v>5736</v>
      </c>
      <c r="J172" t="b">
        <v>1</v>
      </c>
      <c r="K172" t="s">
        <v>567</v>
      </c>
      <c r="L172" t="s">
        <v>4897</v>
      </c>
      <c r="M172" s="115">
        <v>45874</v>
      </c>
      <c r="P172" t="s">
        <v>2818</v>
      </c>
      <c r="Q172">
        <v>3</v>
      </c>
      <c r="R172" t="s">
        <v>1459</v>
      </c>
    </row>
    <row r="173" spans="1:18">
      <c r="A173" t="s">
        <v>5520</v>
      </c>
      <c r="B173" t="s">
        <v>925</v>
      </c>
      <c r="C173" t="s">
        <v>369</v>
      </c>
      <c r="D173" t="s">
        <v>5318</v>
      </c>
      <c r="E173" t="s">
        <v>5489</v>
      </c>
      <c r="F173" t="s">
        <v>5489</v>
      </c>
      <c r="G173" t="s">
        <v>406</v>
      </c>
      <c r="H173" t="s">
        <v>5737</v>
      </c>
      <c r="J173" t="b">
        <v>1</v>
      </c>
      <c r="K173" t="s">
        <v>567</v>
      </c>
      <c r="L173" t="s">
        <v>4897</v>
      </c>
      <c r="M173" s="115">
        <v>45874</v>
      </c>
      <c r="P173" t="s">
        <v>2818</v>
      </c>
      <c r="Q173">
        <v>3</v>
      </c>
      <c r="R173" t="s">
        <v>1459</v>
      </c>
    </row>
    <row r="174" spans="1:18">
      <c r="A174" t="s">
        <v>5520</v>
      </c>
      <c r="B174" t="s">
        <v>925</v>
      </c>
      <c r="C174" t="s">
        <v>369</v>
      </c>
      <c r="D174" t="s">
        <v>5317</v>
      </c>
      <c r="E174" t="s">
        <v>5488</v>
      </c>
      <c r="F174" t="s">
        <v>5488</v>
      </c>
      <c r="G174" t="s">
        <v>406</v>
      </c>
      <c r="H174" t="s">
        <v>5738</v>
      </c>
      <c r="J174" t="b">
        <v>1</v>
      </c>
      <c r="K174" t="s">
        <v>567</v>
      </c>
      <c r="L174" t="s">
        <v>4897</v>
      </c>
      <c r="M174" s="115">
        <v>45874</v>
      </c>
      <c r="P174" t="s">
        <v>2818</v>
      </c>
      <c r="Q174">
        <v>3</v>
      </c>
      <c r="R174" t="s">
        <v>1459</v>
      </c>
    </row>
    <row r="175" spans="1:18">
      <c r="A175" t="s">
        <v>5520</v>
      </c>
      <c r="B175" t="s">
        <v>925</v>
      </c>
      <c r="C175" t="s">
        <v>369</v>
      </c>
      <c r="D175" t="s">
        <v>5316</v>
      </c>
      <c r="E175" t="s">
        <v>5486</v>
      </c>
      <c r="F175" t="s">
        <v>5486</v>
      </c>
      <c r="G175" t="s">
        <v>400</v>
      </c>
      <c r="H175" t="s">
        <v>5638</v>
      </c>
      <c r="J175" t="b">
        <v>1</v>
      </c>
      <c r="K175" t="s">
        <v>567</v>
      </c>
      <c r="L175" t="s">
        <v>4897</v>
      </c>
      <c r="M175" s="115">
        <v>45874</v>
      </c>
      <c r="P175" t="s">
        <v>2818</v>
      </c>
      <c r="Q175">
        <v>3</v>
      </c>
      <c r="R175" t="s">
        <v>1459</v>
      </c>
    </row>
    <row r="176" spans="1:18">
      <c r="A176" t="s">
        <v>5520</v>
      </c>
      <c r="B176" t="s">
        <v>925</v>
      </c>
      <c r="C176" t="s">
        <v>369</v>
      </c>
      <c r="D176" t="s">
        <v>5315</v>
      </c>
      <c r="E176" t="s">
        <v>5487</v>
      </c>
      <c r="F176" t="s">
        <v>5487</v>
      </c>
      <c r="G176" t="s">
        <v>406</v>
      </c>
      <c r="H176" t="s">
        <v>5739</v>
      </c>
      <c r="J176" t="b">
        <v>1</v>
      </c>
      <c r="K176" t="s">
        <v>567</v>
      </c>
      <c r="L176" t="s">
        <v>4897</v>
      </c>
      <c r="M176" s="115">
        <v>45874</v>
      </c>
      <c r="P176" t="s">
        <v>2818</v>
      </c>
      <c r="Q176">
        <v>3</v>
      </c>
      <c r="R176" t="s">
        <v>1459</v>
      </c>
    </row>
    <row r="177" spans="1:18">
      <c r="A177" t="s">
        <v>5520</v>
      </c>
      <c r="B177" t="s">
        <v>925</v>
      </c>
      <c r="C177" t="s">
        <v>369</v>
      </c>
      <c r="D177" t="s">
        <v>5314</v>
      </c>
      <c r="E177" t="s">
        <v>5486</v>
      </c>
      <c r="F177" t="s">
        <v>5486</v>
      </c>
      <c r="G177" t="s">
        <v>400</v>
      </c>
      <c r="H177" t="s">
        <v>5638</v>
      </c>
      <c r="J177" t="b">
        <v>1</v>
      </c>
      <c r="K177" t="s">
        <v>567</v>
      </c>
      <c r="L177" t="s">
        <v>4897</v>
      </c>
      <c r="M177" s="115">
        <v>45874</v>
      </c>
      <c r="P177" t="s">
        <v>2818</v>
      </c>
      <c r="Q177">
        <v>3</v>
      </c>
      <c r="R177" t="s">
        <v>1459</v>
      </c>
    </row>
    <row r="178" spans="1:18">
      <c r="A178" t="s">
        <v>5520</v>
      </c>
      <c r="B178" t="s">
        <v>925</v>
      </c>
      <c r="C178" t="s">
        <v>404</v>
      </c>
      <c r="D178" t="s">
        <v>5368</v>
      </c>
      <c r="E178" t="s">
        <v>4412</v>
      </c>
      <c r="F178" t="s">
        <v>2473</v>
      </c>
      <c r="G178" t="s">
        <v>406</v>
      </c>
      <c r="H178" t="s">
        <v>5586</v>
      </c>
      <c r="I178" t="s">
        <v>5521</v>
      </c>
      <c r="J178" t="b">
        <v>0</v>
      </c>
      <c r="K178" t="s">
        <v>567</v>
      </c>
      <c r="L178" t="s">
        <v>4897</v>
      </c>
      <c r="M178" s="115">
        <v>45874</v>
      </c>
      <c r="P178" t="s">
        <v>2818</v>
      </c>
      <c r="Q178">
        <v>3</v>
      </c>
      <c r="R178" t="s">
        <v>1459</v>
      </c>
    </row>
    <row r="179" spans="1:18">
      <c r="A179" t="s">
        <v>5520</v>
      </c>
      <c r="B179" t="s">
        <v>925</v>
      </c>
      <c r="C179" t="s">
        <v>375</v>
      </c>
      <c r="D179" t="s">
        <v>2319</v>
      </c>
      <c r="E179" t="s">
        <v>430</v>
      </c>
      <c r="F179" t="s">
        <v>5277</v>
      </c>
      <c r="G179" t="s">
        <v>406</v>
      </c>
      <c r="H179" t="s">
        <v>5740</v>
      </c>
      <c r="J179" t="b">
        <v>0</v>
      </c>
      <c r="K179" t="s">
        <v>567</v>
      </c>
      <c r="L179" t="s">
        <v>4897</v>
      </c>
      <c r="M179" s="115">
        <v>45874</v>
      </c>
      <c r="P179" t="s">
        <v>2818</v>
      </c>
      <c r="Q179">
        <v>3</v>
      </c>
      <c r="R179" t="s">
        <v>1459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A55A-F73C-4A23-99FC-D9D356FF6CDB}">
  <dimension ref="A1:B179"/>
  <sheetViews>
    <sheetView topLeftCell="A129" workbookViewId="0">
      <selection activeCell="B1" sqref="A1:B179"/>
    </sheetView>
  </sheetViews>
  <sheetFormatPr defaultRowHeight="15"/>
  <sheetData>
    <row r="1" spans="1:2">
      <c r="A1" t="s">
        <v>697</v>
      </c>
      <c r="B1" t="s">
        <v>5741</v>
      </c>
    </row>
    <row r="2" spans="1:2">
      <c r="A2" t="s">
        <v>5485</v>
      </c>
      <c r="B2" t="s">
        <v>5518</v>
      </c>
    </row>
    <row r="3" spans="1:2">
      <c r="A3" t="s">
        <v>5484</v>
      </c>
      <c r="B3" t="s">
        <v>5518</v>
      </c>
    </row>
    <row r="4" spans="1:2">
      <c r="A4" t="s">
        <v>5483</v>
      </c>
      <c r="B4" t="s">
        <v>5518</v>
      </c>
    </row>
    <row r="5" spans="1:2">
      <c r="A5" t="s">
        <v>5482</v>
      </c>
      <c r="B5" t="s">
        <v>5518</v>
      </c>
    </row>
    <row r="6" spans="1:2">
      <c r="A6" t="s">
        <v>5481</v>
      </c>
      <c r="B6" t="s">
        <v>5518</v>
      </c>
    </row>
    <row r="7" spans="1:2">
      <c r="A7" t="s">
        <v>5480</v>
      </c>
      <c r="B7" t="s">
        <v>5518</v>
      </c>
    </row>
    <row r="8" spans="1:2">
      <c r="A8" t="s">
        <v>5479</v>
      </c>
      <c r="B8" t="s">
        <v>5519</v>
      </c>
    </row>
    <row r="9" spans="1:2">
      <c r="A9" t="s">
        <v>5478</v>
      </c>
      <c r="B9" t="s">
        <v>5518</v>
      </c>
    </row>
    <row r="10" spans="1:2">
      <c r="A10" t="s">
        <v>5477</v>
      </c>
      <c r="B10" t="s">
        <v>5488</v>
      </c>
    </row>
    <row r="11" spans="1:2">
      <c r="A11" t="s">
        <v>5476</v>
      </c>
      <c r="B11" t="s">
        <v>427</v>
      </c>
    </row>
    <row r="12" spans="1:2">
      <c r="A12" t="s">
        <v>5475</v>
      </c>
      <c r="B12" t="s">
        <v>5489</v>
      </c>
    </row>
    <row r="13" spans="1:2">
      <c r="A13" t="s">
        <v>5474</v>
      </c>
      <c r="B13" t="s">
        <v>5489</v>
      </c>
    </row>
    <row r="14" spans="1:2">
      <c r="A14" t="s">
        <v>5473</v>
      </c>
      <c r="B14" t="s">
        <v>5495</v>
      </c>
    </row>
    <row r="15" spans="1:2">
      <c r="A15" t="s">
        <v>5472</v>
      </c>
      <c r="B15" t="s">
        <v>5506</v>
      </c>
    </row>
    <row r="16" spans="1:2">
      <c r="A16" t="s">
        <v>5471</v>
      </c>
      <c r="B16" t="s">
        <v>5495</v>
      </c>
    </row>
    <row r="17" spans="1:2">
      <c r="A17" t="s">
        <v>5470</v>
      </c>
      <c r="B17" t="s">
        <v>5495</v>
      </c>
    </row>
    <row r="18" spans="1:2">
      <c r="A18" t="s">
        <v>5469</v>
      </c>
      <c r="B18" t="s">
        <v>5488</v>
      </c>
    </row>
    <row r="19" spans="1:2">
      <c r="A19" t="s">
        <v>5468</v>
      </c>
      <c r="B19" t="s">
        <v>5515</v>
      </c>
    </row>
    <row r="20" spans="1:2">
      <c r="A20" t="s">
        <v>5467</v>
      </c>
      <c r="B20" t="s">
        <v>5506</v>
      </c>
    </row>
    <row r="21" spans="1:2">
      <c r="A21" t="s">
        <v>5466</v>
      </c>
      <c r="B21" t="s">
        <v>5487</v>
      </c>
    </row>
    <row r="22" spans="1:2">
      <c r="A22" t="s">
        <v>5465</v>
      </c>
      <c r="B22" t="s">
        <v>5509</v>
      </c>
    </row>
    <row r="23" spans="1:2">
      <c r="A23" t="s">
        <v>5464</v>
      </c>
      <c r="B23" t="s">
        <v>5488</v>
      </c>
    </row>
    <row r="24" spans="1:2">
      <c r="A24" t="s">
        <v>5463</v>
      </c>
      <c r="B24" t="s">
        <v>5506</v>
      </c>
    </row>
    <row r="25" spans="1:2">
      <c r="A25" t="s">
        <v>5462</v>
      </c>
      <c r="B25" t="s">
        <v>5489</v>
      </c>
    </row>
    <row r="26" spans="1:2">
      <c r="A26" t="s">
        <v>5461</v>
      </c>
      <c r="B26" t="s">
        <v>5506</v>
      </c>
    </row>
    <row r="27" spans="1:2">
      <c r="A27" t="s">
        <v>5460</v>
      </c>
      <c r="B27" t="s">
        <v>5490</v>
      </c>
    </row>
    <row r="28" spans="1:2">
      <c r="A28" t="s">
        <v>5459</v>
      </c>
      <c r="B28" t="s">
        <v>5498</v>
      </c>
    </row>
    <row r="29" spans="1:2">
      <c r="A29" t="s">
        <v>5458</v>
      </c>
      <c r="B29" t="s">
        <v>5498</v>
      </c>
    </row>
    <row r="30" spans="1:2">
      <c r="A30" t="s">
        <v>5457</v>
      </c>
      <c r="B30" t="s">
        <v>5517</v>
      </c>
    </row>
    <row r="31" spans="1:2">
      <c r="A31" t="s">
        <v>5456</v>
      </c>
      <c r="B31" t="s">
        <v>5498</v>
      </c>
    </row>
    <row r="32" spans="1:2">
      <c r="A32" t="s">
        <v>5455</v>
      </c>
      <c r="B32" t="s">
        <v>5498</v>
      </c>
    </row>
    <row r="33" spans="1:2">
      <c r="A33" t="s">
        <v>5454</v>
      </c>
      <c r="B33" t="s">
        <v>5498</v>
      </c>
    </row>
    <row r="34" spans="1:2">
      <c r="A34" t="s">
        <v>5453</v>
      </c>
      <c r="B34" t="s">
        <v>5516</v>
      </c>
    </row>
    <row r="35" spans="1:2">
      <c r="A35" t="s">
        <v>5452</v>
      </c>
      <c r="B35" t="s">
        <v>5498</v>
      </c>
    </row>
    <row r="36" spans="1:2">
      <c r="A36" t="s">
        <v>5451</v>
      </c>
      <c r="B36" t="s">
        <v>5498</v>
      </c>
    </row>
    <row r="37" spans="1:2">
      <c r="A37" t="s">
        <v>5450</v>
      </c>
      <c r="B37" t="s">
        <v>5492</v>
      </c>
    </row>
    <row r="38" spans="1:2">
      <c r="A38" t="s">
        <v>5449</v>
      </c>
      <c r="B38" t="s">
        <v>5497</v>
      </c>
    </row>
    <row r="39" spans="1:2">
      <c r="A39" t="s">
        <v>5448</v>
      </c>
      <c r="B39" t="s">
        <v>5515</v>
      </c>
    </row>
    <row r="40" spans="1:2">
      <c r="A40" t="s">
        <v>5447</v>
      </c>
      <c r="B40" t="s">
        <v>5499</v>
      </c>
    </row>
    <row r="41" spans="1:2">
      <c r="A41" t="s">
        <v>5446</v>
      </c>
      <c r="B41" t="s">
        <v>5491</v>
      </c>
    </row>
    <row r="42" spans="1:2">
      <c r="A42" t="s">
        <v>5445</v>
      </c>
      <c r="B42" t="s">
        <v>5515</v>
      </c>
    </row>
    <row r="43" spans="1:2">
      <c r="A43" t="s">
        <v>4831</v>
      </c>
      <c r="B43" t="s">
        <v>5515</v>
      </c>
    </row>
    <row r="44" spans="1:2">
      <c r="A44" t="s">
        <v>5444</v>
      </c>
      <c r="B44" t="s">
        <v>5498</v>
      </c>
    </row>
    <row r="45" spans="1:2">
      <c r="A45" t="s">
        <v>5443</v>
      </c>
      <c r="B45" t="s">
        <v>5506</v>
      </c>
    </row>
    <row r="46" spans="1:2">
      <c r="A46" t="s">
        <v>5442</v>
      </c>
      <c r="B46" t="s">
        <v>5498</v>
      </c>
    </row>
    <row r="47" spans="1:2">
      <c r="A47" t="s">
        <v>5441</v>
      </c>
      <c r="B47" t="s">
        <v>5490</v>
      </c>
    </row>
    <row r="48" spans="1:2">
      <c r="A48" t="s">
        <v>5440</v>
      </c>
      <c r="B48" t="s">
        <v>5490</v>
      </c>
    </row>
    <row r="49" spans="1:2">
      <c r="A49" t="s">
        <v>5439</v>
      </c>
      <c r="B49" t="s">
        <v>5487</v>
      </c>
    </row>
    <row r="50" spans="1:2">
      <c r="A50" t="s">
        <v>5438</v>
      </c>
      <c r="B50" t="s">
        <v>5487</v>
      </c>
    </row>
    <row r="51" spans="1:2">
      <c r="A51" t="s">
        <v>5437</v>
      </c>
      <c r="B51" t="s">
        <v>5488</v>
      </c>
    </row>
    <row r="52" spans="1:2">
      <c r="A52" t="s">
        <v>5436</v>
      </c>
      <c r="B52" t="s">
        <v>5494</v>
      </c>
    </row>
    <row r="53" spans="1:2">
      <c r="A53" t="s">
        <v>5435</v>
      </c>
      <c r="B53" t="s">
        <v>5487</v>
      </c>
    </row>
    <row r="54" spans="1:2">
      <c r="A54" t="s">
        <v>5434</v>
      </c>
      <c r="B54" t="s">
        <v>5495</v>
      </c>
    </row>
    <row r="55" spans="1:2">
      <c r="A55" t="s">
        <v>5433</v>
      </c>
      <c r="B55" t="s">
        <v>5497</v>
      </c>
    </row>
    <row r="56" spans="1:2">
      <c r="A56" t="s">
        <v>5432</v>
      </c>
      <c r="B56" t="s">
        <v>5488</v>
      </c>
    </row>
    <row r="57" spans="1:2">
      <c r="A57" t="s">
        <v>5431</v>
      </c>
      <c r="B57" t="s">
        <v>5495</v>
      </c>
    </row>
    <row r="58" spans="1:2">
      <c r="A58" t="s">
        <v>5430</v>
      </c>
      <c r="B58" t="s">
        <v>5514</v>
      </c>
    </row>
    <row r="59" spans="1:2">
      <c r="A59" t="s">
        <v>5429</v>
      </c>
      <c r="B59" t="s">
        <v>5513</v>
      </c>
    </row>
    <row r="60" spans="1:2">
      <c r="A60" t="s">
        <v>5428</v>
      </c>
      <c r="B60" t="s">
        <v>5487</v>
      </c>
    </row>
    <row r="61" spans="1:2">
      <c r="A61" t="s">
        <v>5427</v>
      </c>
      <c r="B61" t="s">
        <v>661</v>
      </c>
    </row>
    <row r="62" spans="1:2">
      <c r="A62" t="s">
        <v>5426</v>
      </c>
      <c r="B62" t="s">
        <v>5487</v>
      </c>
    </row>
    <row r="63" spans="1:2">
      <c r="A63" t="s">
        <v>5425</v>
      </c>
      <c r="B63" t="s">
        <v>5497</v>
      </c>
    </row>
    <row r="64" spans="1:2">
      <c r="A64" t="s">
        <v>5424</v>
      </c>
      <c r="B64" t="s">
        <v>5490</v>
      </c>
    </row>
    <row r="65" spans="1:2">
      <c r="A65" t="s">
        <v>5423</v>
      </c>
      <c r="B65" t="s">
        <v>5495</v>
      </c>
    </row>
    <row r="66" spans="1:2">
      <c r="A66" t="s">
        <v>5422</v>
      </c>
      <c r="B66" t="s">
        <v>5487</v>
      </c>
    </row>
    <row r="67" spans="1:2">
      <c r="A67" t="s">
        <v>5421</v>
      </c>
      <c r="B67" t="s">
        <v>5497</v>
      </c>
    </row>
    <row r="68" spans="1:2">
      <c r="A68" t="s">
        <v>5420</v>
      </c>
      <c r="B68" t="s">
        <v>5488</v>
      </c>
    </row>
    <row r="69" spans="1:2">
      <c r="A69" t="s">
        <v>5419</v>
      </c>
      <c r="B69" t="s">
        <v>5506</v>
      </c>
    </row>
    <row r="70" spans="1:2">
      <c r="A70" t="s">
        <v>5418</v>
      </c>
      <c r="B70" t="s">
        <v>5486</v>
      </c>
    </row>
    <row r="71" spans="1:2">
      <c r="A71" t="s">
        <v>5417</v>
      </c>
      <c r="B71" t="s">
        <v>5512</v>
      </c>
    </row>
    <row r="72" spans="1:2">
      <c r="A72" t="s">
        <v>5416</v>
      </c>
      <c r="B72" t="s">
        <v>5487</v>
      </c>
    </row>
    <row r="73" spans="1:2">
      <c r="A73" t="s">
        <v>5415</v>
      </c>
      <c r="B73" t="s">
        <v>5488</v>
      </c>
    </row>
    <row r="74" spans="1:2">
      <c r="A74" t="s">
        <v>5414</v>
      </c>
      <c r="B74" t="s">
        <v>424</v>
      </c>
    </row>
    <row r="75" spans="1:2">
      <c r="A75" t="s">
        <v>2569</v>
      </c>
      <c r="B75" t="s">
        <v>5495</v>
      </c>
    </row>
    <row r="76" spans="1:2">
      <c r="A76" t="s">
        <v>5413</v>
      </c>
      <c r="B76" t="s">
        <v>5488</v>
      </c>
    </row>
    <row r="77" spans="1:2">
      <c r="A77" t="s">
        <v>5412</v>
      </c>
      <c r="B77" t="s">
        <v>5487</v>
      </c>
    </row>
    <row r="78" spans="1:2">
      <c r="A78" t="s">
        <v>5411</v>
      </c>
      <c r="B78" t="s">
        <v>5486</v>
      </c>
    </row>
    <row r="79" spans="1:2">
      <c r="A79" t="s">
        <v>5410</v>
      </c>
      <c r="B79" t="s">
        <v>661</v>
      </c>
    </row>
    <row r="80" spans="1:2">
      <c r="A80" t="s">
        <v>5409</v>
      </c>
      <c r="B80" t="s">
        <v>5494</v>
      </c>
    </row>
    <row r="81" spans="1:2">
      <c r="A81" t="s">
        <v>5408</v>
      </c>
      <c r="B81" t="s">
        <v>5498</v>
      </c>
    </row>
    <row r="82" spans="1:2">
      <c r="A82" t="s">
        <v>5407</v>
      </c>
      <c r="B82" t="s">
        <v>5511</v>
      </c>
    </row>
    <row r="83" spans="1:2">
      <c r="A83" t="s">
        <v>5406</v>
      </c>
      <c r="B83" t="s">
        <v>5488</v>
      </c>
    </row>
    <row r="84" spans="1:2">
      <c r="A84" t="s">
        <v>5405</v>
      </c>
      <c r="B84" t="s">
        <v>5499</v>
      </c>
    </row>
    <row r="85" spans="1:2">
      <c r="A85" t="s">
        <v>5404</v>
      </c>
      <c r="B85" t="s">
        <v>5491</v>
      </c>
    </row>
    <row r="86" spans="1:2">
      <c r="A86" t="s">
        <v>5403</v>
      </c>
      <c r="B86" t="s">
        <v>5491</v>
      </c>
    </row>
    <row r="87" spans="1:2">
      <c r="A87" t="s">
        <v>5402</v>
      </c>
      <c r="B87" t="s">
        <v>5487</v>
      </c>
    </row>
    <row r="88" spans="1:2">
      <c r="A88" t="s">
        <v>5401</v>
      </c>
      <c r="B88" t="s">
        <v>5510</v>
      </c>
    </row>
    <row r="89" spans="1:2">
      <c r="A89" t="s">
        <v>5400</v>
      </c>
      <c r="B89" t="s">
        <v>5509</v>
      </c>
    </row>
    <row r="90" spans="1:2">
      <c r="A90" t="s">
        <v>5399</v>
      </c>
      <c r="B90" t="s">
        <v>5494</v>
      </c>
    </row>
    <row r="91" spans="1:2">
      <c r="A91" t="s">
        <v>5398</v>
      </c>
      <c r="B91" t="s">
        <v>5488</v>
      </c>
    </row>
    <row r="92" spans="1:2">
      <c r="A92" t="s">
        <v>5397</v>
      </c>
      <c r="B92" t="s">
        <v>5488</v>
      </c>
    </row>
    <row r="93" spans="1:2">
      <c r="A93" t="s">
        <v>5396</v>
      </c>
      <c r="B93" t="s">
        <v>5492</v>
      </c>
    </row>
    <row r="94" spans="1:2">
      <c r="A94" t="s">
        <v>5395</v>
      </c>
      <c r="B94" t="s">
        <v>5492</v>
      </c>
    </row>
    <row r="95" spans="1:2">
      <c r="A95" t="s">
        <v>5394</v>
      </c>
      <c r="B95" t="s">
        <v>5492</v>
      </c>
    </row>
    <row r="96" spans="1:2">
      <c r="A96" t="s">
        <v>5393</v>
      </c>
      <c r="B96" t="s">
        <v>5492</v>
      </c>
    </row>
    <row r="97" spans="1:2">
      <c r="A97" t="s">
        <v>5392</v>
      </c>
      <c r="B97" t="s">
        <v>5491</v>
      </c>
    </row>
    <row r="98" spans="1:2">
      <c r="A98" t="s">
        <v>5391</v>
      </c>
      <c r="B98" t="s">
        <v>5492</v>
      </c>
    </row>
    <row r="99" spans="1:2">
      <c r="A99" t="s">
        <v>5390</v>
      </c>
      <c r="B99" t="s">
        <v>5494</v>
      </c>
    </row>
    <row r="100" spans="1:2">
      <c r="A100" t="s">
        <v>5389</v>
      </c>
      <c r="B100" t="s">
        <v>5494</v>
      </c>
    </row>
    <row r="101" spans="1:2">
      <c r="A101" t="s">
        <v>5388</v>
      </c>
      <c r="B101" t="s">
        <v>5494</v>
      </c>
    </row>
    <row r="102" spans="1:2">
      <c r="A102" t="s">
        <v>5387</v>
      </c>
      <c r="B102" t="s">
        <v>5494</v>
      </c>
    </row>
    <row r="103" spans="1:2">
      <c r="A103" t="s">
        <v>5386</v>
      </c>
      <c r="B103" t="s">
        <v>5494</v>
      </c>
    </row>
    <row r="104" spans="1:2">
      <c r="A104" t="s">
        <v>5385</v>
      </c>
      <c r="B104" t="s">
        <v>5494</v>
      </c>
    </row>
    <row r="105" spans="1:2">
      <c r="A105" t="s">
        <v>5384</v>
      </c>
      <c r="B105" t="s">
        <v>5494</v>
      </c>
    </row>
    <row r="106" spans="1:2">
      <c r="A106" t="s">
        <v>5383</v>
      </c>
      <c r="B106" t="s">
        <v>5501</v>
      </c>
    </row>
    <row r="107" spans="1:2">
      <c r="A107" t="s">
        <v>5382</v>
      </c>
      <c r="B107" t="s">
        <v>5502</v>
      </c>
    </row>
    <row r="108" spans="1:2">
      <c r="A108" t="s">
        <v>5381</v>
      </c>
      <c r="B108" t="s">
        <v>5500</v>
      </c>
    </row>
    <row r="109" spans="1:2">
      <c r="A109" t="s">
        <v>5380</v>
      </c>
      <c r="B109" t="s">
        <v>5491</v>
      </c>
    </row>
    <row r="110" spans="1:2">
      <c r="A110" t="s">
        <v>5379</v>
      </c>
      <c r="B110" t="s">
        <v>5508</v>
      </c>
    </row>
    <row r="111" spans="1:2">
      <c r="A111" t="s">
        <v>5378</v>
      </c>
      <c r="B111" t="s">
        <v>5507</v>
      </c>
    </row>
    <row r="112" spans="1:2">
      <c r="A112" t="s">
        <v>5377</v>
      </c>
      <c r="B112" t="s">
        <v>661</v>
      </c>
    </row>
    <row r="113" spans="1:2">
      <c r="A113" t="s">
        <v>5376</v>
      </c>
      <c r="B113" t="s">
        <v>662</v>
      </c>
    </row>
    <row r="114" spans="1:2">
      <c r="A114" t="s">
        <v>1457</v>
      </c>
      <c r="B114" t="s">
        <v>5486</v>
      </c>
    </row>
    <row r="115" spans="1:2">
      <c r="A115" t="s">
        <v>5375</v>
      </c>
      <c r="B115" t="s">
        <v>5486</v>
      </c>
    </row>
    <row r="116" spans="1:2">
      <c r="A116" t="s">
        <v>5374</v>
      </c>
      <c r="B116" t="s">
        <v>5499</v>
      </c>
    </row>
    <row r="117" spans="1:2">
      <c r="A117" t="s">
        <v>5373</v>
      </c>
      <c r="B117" t="s">
        <v>5487</v>
      </c>
    </row>
    <row r="118" spans="1:2">
      <c r="A118" t="s">
        <v>5372</v>
      </c>
      <c r="B118" t="s">
        <v>5494</v>
      </c>
    </row>
    <row r="119" spans="1:2">
      <c r="A119" t="s">
        <v>5371</v>
      </c>
      <c r="B119" t="s">
        <v>5494</v>
      </c>
    </row>
    <row r="120" spans="1:2">
      <c r="A120" t="s">
        <v>5370</v>
      </c>
      <c r="B120" t="s">
        <v>5498</v>
      </c>
    </row>
    <row r="121" spans="1:2">
      <c r="A121" t="s">
        <v>5369</v>
      </c>
      <c r="B121" t="s">
        <v>5486</v>
      </c>
    </row>
    <row r="122" spans="1:2">
      <c r="A122" t="s">
        <v>5367</v>
      </c>
      <c r="B122" t="s">
        <v>5506</v>
      </c>
    </row>
    <row r="123" spans="1:2">
      <c r="A123" t="s">
        <v>5366</v>
      </c>
      <c r="B123" t="s">
        <v>5486</v>
      </c>
    </row>
    <row r="124" spans="1:2">
      <c r="A124" t="s">
        <v>5365</v>
      </c>
      <c r="B124" t="s">
        <v>5494</v>
      </c>
    </row>
    <row r="125" spans="1:2">
      <c r="A125" t="s">
        <v>5364</v>
      </c>
      <c r="B125" t="s">
        <v>5506</v>
      </c>
    </row>
    <row r="126" spans="1:2">
      <c r="A126" t="s">
        <v>5363</v>
      </c>
      <c r="B126" t="s">
        <v>5488</v>
      </c>
    </row>
    <row r="127" spans="1:2">
      <c r="A127" t="s">
        <v>5362</v>
      </c>
      <c r="B127" t="s">
        <v>5494</v>
      </c>
    </row>
    <row r="128" spans="1:2">
      <c r="A128" t="s">
        <v>5361</v>
      </c>
      <c r="B128" t="s">
        <v>5487</v>
      </c>
    </row>
    <row r="129" spans="1:2">
      <c r="A129" t="s">
        <v>5360</v>
      </c>
      <c r="B129" t="s">
        <v>5486</v>
      </c>
    </row>
    <row r="130" spans="1:2">
      <c r="A130" t="s">
        <v>5359</v>
      </c>
      <c r="B130" t="s">
        <v>5494</v>
      </c>
    </row>
    <row r="131" spans="1:2">
      <c r="A131" t="s">
        <v>5358</v>
      </c>
      <c r="B131" t="s">
        <v>5494</v>
      </c>
    </row>
    <row r="132" spans="1:2">
      <c r="A132" t="s">
        <v>5357</v>
      </c>
      <c r="B132" t="s">
        <v>424</v>
      </c>
    </row>
    <row r="133" spans="1:2">
      <c r="A133" t="s">
        <v>5356</v>
      </c>
      <c r="B133" t="s">
        <v>5495</v>
      </c>
    </row>
    <row r="134" spans="1:2">
      <c r="A134" t="s">
        <v>5355</v>
      </c>
      <c r="B134" t="s">
        <v>5498</v>
      </c>
    </row>
    <row r="135" spans="1:2">
      <c r="A135" t="s">
        <v>5354</v>
      </c>
      <c r="B135" t="s">
        <v>5506</v>
      </c>
    </row>
    <row r="136" spans="1:2">
      <c r="A136" t="s">
        <v>5353</v>
      </c>
      <c r="B136" t="s">
        <v>5498</v>
      </c>
    </row>
    <row r="137" spans="1:2">
      <c r="A137" t="s">
        <v>5352</v>
      </c>
      <c r="B137" t="s">
        <v>5506</v>
      </c>
    </row>
    <row r="138" spans="1:2">
      <c r="A138" t="s">
        <v>5351</v>
      </c>
      <c r="B138" t="s">
        <v>5501</v>
      </c>
    </row>
    <row r="139" spans="1:2">
      <c r="A139" t="s">
        <v>5350</v>
      </c>
      <c r="B139" t="s">
        <v>5505</v>
      </c>
    </row>
    <row r="140" spans="1:2">
      <c r="A140" t="s">
        <v>5349</v>
      </c>
      <c r="B140" t="s">
        <v>5498</v>
      </c>
    </row>
    <row r="141" spans="1:2">
      <c r="A141" t="s">
        <v>5348</v>
      </c>
      <c r="B141" t="s">
        <v>5498</v>
      </c>
    </row>
    <row r="142" spans="1:2">
      <c r="A142" t="s">
        <v>5347</v>
      </c>
      <c r="B142" t="s">
        <v>5491</v>
      </c>
    </row>
    <row r="143" spans="1:2">
      <c r="A143" t="s">
        <v>5346</v>
      </c>
      <c r="B143" t="s">
        <v>5504</v>
      </c>
    </row>
    <row r="144" spans="1:2">
      <c r="A144" t="s">
        <v>5345</v>
      </c>
      <c r="B144" t="s">
        <v>5503</v>
      </c>
    </row>
    <row r="145" spans="1:2">
      <c r="A145" t="s">
        <v>5344</v>
      </c>
      <c r="B145" t="s">
        <v>5491</v>
      </c>
    </row>
    <row r="146" spans="1:2">
      <c r="A146" t="s">
        <v>5343</v>
      </c>
      <c r="B146" t="s">
        <v>5501</v>
      </c>
    </row>
    <row r="147" spans="1:2">
      <c r="A147" t="s">
        <v>3371</v>
      </c>
      <c r="B147" t="s">
        <v>5499</v>
      </c>
    </row>
    <row r="148" spans="1:2">
      <c r="A148" t="s">
        <v>5342</v>
      </c>
      <c r="B148" t="s">
        <v>5502</v>
      </c>
    </row>
    <row r="149" spans="1:2">
      <c r="A149" t="s">
        <v>5341</v>
      </c>
      <c r="B149" t="s">
        <v>5501</v>
      </c>
    </row>
    <row r="150" spans="1:2">
      <c r="A150" t="s">
        <v>5340</v>
      </c>
      <c r="B150" t="s">
        <v>5500</v>
      </c>
    </row>
    <row r="151" spans="1:2">
      <c r="A151" t="s">
        <v>5339</v>
      </c>
      <c r="B151" t="s">
        <v>5491</v>
      </c>
    </row>
    <row r="152" spans="1:2">
      <c r="A152" t="s">
        <v>4810</v>
      </c>
      <c r="B152" t="s">
        <v>4412</v>
      </c>
    </row>
    <row r="153" spans="1:2">
      <c r="A153" t="s">
        <v>5338</v>
      </c>
      <c r="B153" t="s">
        <v>5491</v>
      </c>
    </row>
    <row r="154" spans="1:2">
      <c r="A154" t="s">
        <v>5337</v>
      </c>
      <c r="B154" t="s">
        <v>5499</v>
      </c>
    </row>
    <row r="155" spans="1:2">
      <c r="A155" t="s">
        <v>5336</v>
      </c>
      <c r="B155" t="s">
        <v>5498</v>
      </c>
    </row>
    <row r="156" spans="1:2">
      <c r="A156" t="s">
        <v>5335</v>
      </c>
      <c r="B156" t="s">
        <v>5491</v>
      </c>
    </row>
    <row r="157" spans="1:2">
      <c r="A157" t="s">
        <v>5334</v>
      </c>
      <c r="B157" t="s">
        <v>5498</v>
      </c>
    </row>
    <row r="158" spans="1:2">
      <c r="A158" t="s">
        <v>5333</v>
      </c>
      <c r="B158" t="s">
        <v>5495</v>
      </c>
    </row>
    <row r="159" spans="1:2">
      <c r="A159" t="s">
        <v>5332</v>
      </c>
      <c r="B159" t="s">
        <v>5497</v>
      </c>
    </row>
    <row r="160" spans="1:2">
      <c r="A160" t="s">
        <v>5331</v>
      </c>
      <c r="B160" t="s">
        <v>5497</v>
      </c>
    </row>
    <row r="161" spans="1:2">
      <c r="A161" t="s">
        <v>5330</v>
      </c>
      <c r="B161" t="s">
        <v>5492</v>
      </c>
    </row>
    <row r="162" spans="1:2">
      <c r="A162" t="s">
        <v>5329</v>
      </c>
      <c r="B162" t="s">
        <v>5496</v>
      </c>
    </row>
    <row r="163" spans="1:2">
      <c r="A163" t="s">
        <v>5328</v>
      </c>
      <c r="B163" t="s">
        <v>5495</v>
      </c>
    </row>
    <row r="164" spans="1:2">
      <c r="A164" t="s">
        <v>5327</v>
      </c>
      <c r="B164" t="s">
        <v>5495</v>
      </c>
    </row>
    <row r="165" spans="1:2">
      <c r="A165" t="s">
        <v>5326</v>
      </c>
      <c r="B165" t="s">
        <v>5495</v>
      </c>
    </row>
    <row r="166" spans="1:2">
      <c r="A166" t="s">
        <v>5325</v>
      </c>
      <c r="B166" t="s">
        <v>5494</v>
      </c>
    </row>
    <row r="167" spans="1:2">
      <c r="A167" t="s">
        <v>5324</v>
      </c>
      <c r="B167" t="s">
        <v>5493</v>
      </c>
    </row>
    <row r="168" spans="1:2">
      <c r="A168" t="s">
        <v>5323</v>
      </c>
      <c r="B168" t="s">
        <v>5492</v>
      </c>
    </row>
    <row r="169" spans="1:2">
      <c r="A169" t="s">
        <v>5322</v>
      </c>
      <c r="B169" t="s">
        <v>424</v>
      </c>
    </row>
    <row r="170" spans="1:2">
      <c r="A170" t="s">
        <v>5321</v>
      </c>
      <c r="B170" t="s">
        <v>424</v>
      </c>
    </row>
    <row r="171" spans="1:2">
      <c r="A171" t="s">
        <v>5320</v>
      </c>
      <c r="B171" t="s">
        <v>5491</v>
      </c>
    </row>
    <row r="172" spans="1:2">
      <c r="A172" t="s">
        <v>5319</v>
      </c>
      <c r="B172" t="s">
        <v>5490</v>
      </c>
    </row>
    <row r="173" spans="1:2">
      <c r="A173" t="s">
        <v>5318</v>
      </c>
      <c r="B173" t="s">
        <v>5489</v>
      </c>
    </row>
    <row r="174" spans="1:2">
      <c r="A174" t="s">
        <v>5317</v>
      </c>
      <c r="B174" t="s">
        <v>5488</v>
      </c>
    </row>
    <row r="175" spans="1:2">
      <c r="A175" t="s">
        <v>5316</v>
      </c>
      <c r="B175" t="s">
        <v>5486</v>
      </c>
    </row>
    <row r="176" spans="1:2">
      <c r="A176" t="s">
        <v>5315</v>
      </c>
      <c r="B176" t="s">
        <v>5487</v>
      </c>
    </row>
    <row r="177" spans="1:2">
      <c r="A177" t="s">
        <v>5314</v>
      </c>
      <c r="B177" t="s">
        <v>5486</v>
      </c>
    </row>
    <row r="178" spans="1:2">
      <c r="A178" t="s">
        <v>5368</v>
      </c>
      <c r="B178" t="s">
        <v>2473</v>
      </c>
    </row>
    <row r="179" spans="1:2">
      <c r="A179" t="s">
        <v>2319</v>
      </c>
      <c r="B179" t="s">
        <v>5277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D12" sqref="D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190</v>
      </c>
      <c r="C5"/>
      <c r="D5"/>
      <c r="E5"/>
    </row>
    <row r="6" spans="1:6">
      <c r="A6" s="111" t="s">
        <v>5520</v>
      </c>
      <c r="B6" s="125">
        <v>178</v>
      </c>
      <c r="C6" s="126"/>
      <c r="D6" s="124"/>
      <c r="E6" s="124"/>
    </row>
    <row r="7" spans="1:6">
      <c r="A7" s="112" t="s">
        <v>369</v>
      </c>
      <c r="B7" s="125">
        <v>176</v>
      </c>
      <c r="C7"/>
      <c r="D7"/>
      <c r="E7"/>
    </row>
    <row r="8" spans="1:6">
      <c r="A8" s="112" t="s">
        <v>370</v>
      </c>
      <c r="B8" s="125">
        <v>1</v>
      </c>
      <c r="C8" s="56"/>
      <c r="D8" s="124"/>
      <c r="E8" s="124"/>
    </row>
    <row r="9" spans="1:6">
      <c r="A9" s="112" t="s">
        <v>692</v>
      </c>
      <c r="B9" s="125">
        <v>1</v>
      </c>
      <c r="C9"/>
      <c r="D9"/>
    </row>
    <row r="10" spans="1:6">
      <c r="A10" s="111" t="s">
        <v>5611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1</v>
      </c>
      <c r="C11"/>
      <c r="D11"/>
    </row>
    <row r="12" spans="1:6">
      <c r="A12" s="111" t="s">
        <v>5618</v>
      </c>
      <c r="B12" s="125">
        <v>1</v>
      </c>
      <c r="C12" s="126"/>
      <c r="D12"/>
    </row>
    <row r="13" spans="1:6">
      <c r="A13" s="112" t="s">
        <v>370</v>
      </c>
      <c r="B13" s="125">
        <v>1</v>
      </c>
      <c r="C13"/>
      <c r="D13"/>
    </row>
    <row r="14" spans="1:6">
      <c r="A14" s="111" t="s">
        <v>5619</v>
      </c>
      <c r="B14" s="125">
        <v>8</v>
      </c>
      <c r="C14" s="126"/>
      <c r="D14"/>
    </row>
    <row r="15" spans="1:6">
      <c r="A15" s="112" t="s">
        <v>370</v>
      </c>
      <c r="B15" s="125">
        <v>8</v>
      </c>
      <c r="C15"/>
      <c r="D15" s="124"/>
      <c r="E15" s="124"/>
    </row>
    <row r="16" spans="1:6">
      <c r="A16" s="111" t="s">
        <v>5742</v>
      </c>
      <c r="B16" s="125">
        <v>1</v>
      </c>
      <c r="C16"/>
      <c r="D16"/>
    </row>
    <row r="17" spans="1:5">
      <c r="A17" s="112" t="s">
        <v>370</v>
      </c>
      <c r="B17" s="125">
        <v>1</v>
      </c>
      <c r="C17"/>
      <c r="D17" s="124"/>
      <c r="E17" s="124"/>
    </row>
    <row r="18" spans="1:5">
      <c r="A18" s="111" t="s">
        <v>5745</v>
      </c>
      <c r="B18" s="125">
        <v>1</v>
      </c>
      <c r="C18" s="126"/>
      <c r="D18"/>
    </row>
    <row r="19" spans="1:5">
      <c r="A19" s="112" t="s">
        <v>370</v>
      </c>
      <c r="B19" s="125">
        <v>1</v>
      </c>
      <c r="C19" s="47"/>
      <c r="D19"/>
    </row>
    <row r="20" spans="1:5">
      <c r="A20" s="17" t="s">
        <v>4328</v>
      </c>
      <c r="B20" s="125">
        <v>11</v>
      </c>
      <c r="C20" s="126"/>
    </row>
    <row r="21" spans="1:5" ht="17.25" customHeight="1">
      <c r="A21" s="111" t="s">
        <v>4415</v>
      </c>
      <c r="B21" s="125">
        <v>11</v>
      </c>
    </row>
    <row r="22" spans="1:5">
      <c r="A22" s="112" t="s">
        <v>369</v>
      </c>
      <c r="B22" s="125">
        <v>10</v>
      </c>
    </row>
    <row r="23" spans="1:5">
      <c r="A23" s="112" t="s">
        <v>692</v>
      </c>
      <c r="B23" s="125">
        <v>1</v>
      </c>
    </row>
    <row r="24" spans="1:5">
      <c r="A24" s="17" t="s">
        <v>381</v>
      </c>
      <c r="B24" s="125">
        <v>201</v>
      </c>
    </row>
    <row r="25" spans="1:5">
      <c r="D25" s="124"/>
      <c r="E25" s="124"/>
    </row>
    <row r="26" spans="1:5">
      <c r="C26" s="126"/>
    </row>
    <row r="36" spans="2:3"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43"/>
  <sheetViews>
    <sheetView topLeftCell="A1217" workbookViewId="0">
      <selection activeCell="C1243" sqref="C1238:C12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  <row r="1238" spans="1:3">
      <c r="A1238" t="s">
        <v>5313</v>
      </c>
      <c r="B1238">
        <v>11</v>
      </c>
      <c r="C1238" s="124" t="s">
        <v>4</v>
      </c>
    </row>
    <row r="1239" spans="1:3">
      <c r="A1239" t="s">
        <v>5579</v>
      </c>
      <c r="B1239">
        <v>13</v>
      </c>
      <c r="C1239" s="124" t="s">
        <v>4</v>
      </c>
    </row>
    <row r="1240" spans="1:3">
      <c r="A1240" t="s">
        <v>5588</v>
      </c>
      <c r="B1240">
        <v>2</v>
      </c>
      <c r="C1240" s="124" t="s">
        <v>4</v>
      </c>
    </row>
    <row r="1241" spans="1:3">
      <c r="A1241" t="s">
        <v>5591</v>
      </c>
      <c r="B1241">
        <v>19</v>
      </c>
      <c r="C1241" s="124" t="s">
        <v>4</v>
      </c>
    </row>
    <row r="1242" spans="1:3">
      <c r="A1242" t="s">
        <v>5613</v>
      </c>
      <c r="B1242">
        <v>2</v>
      </c>
      <c r="C1242" s="124" t="s">
        <v>4</v>
      </c>
    </row>
    <row r="1243" spans="1:3">
      <c r="A1243" t="s">
        <v>5623</v>
      </c>
      <c r="B1243">
        <v>10</v>
      </c>
      <c r="C1243" s="124" t="s">
        <v>4</v>
      </c>
    </row>
  </sheetData>
  <conditionalFormatting sqref="A2:A545 A548:A568 A570:A1036 A1038:A1232 A1238:A1048576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78"/>
  <sheetViews>
    <sheetView tabSelected="1" zoomScale="85" zoomScaleNormal="85" workbookViewId="0">
      <selection activeCell="F3482" sqref="F348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166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141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141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141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141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141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141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141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141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141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141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141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137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134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134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134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134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134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134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134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134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134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134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134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134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134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134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134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134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134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134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134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134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134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134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134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134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134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134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134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134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134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134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134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134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134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134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134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133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133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133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133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133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133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133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133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133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133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133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133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133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133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133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133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133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133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133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133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133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133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133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133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133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133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133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133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133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133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133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133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133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133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133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133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133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133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133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133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133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133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133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133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133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133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133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133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133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133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133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133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133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133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133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133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133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133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133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132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132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132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132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132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131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129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129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128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125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125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125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125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125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125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125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125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125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125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125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125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125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125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124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124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124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124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124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119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119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119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114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114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114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114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114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114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114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114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114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114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114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114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114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114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114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114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114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114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110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110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110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105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104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90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90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89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89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89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79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64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64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64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64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64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64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64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64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64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64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64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64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64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64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64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64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64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64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64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64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61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61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61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61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60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60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60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60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60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60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60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60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60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60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60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60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60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60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60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60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60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60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60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60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60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60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60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60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60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60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60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60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60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60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59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59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59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59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59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59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59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59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59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59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59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59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59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59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59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59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59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59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55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55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55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55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55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55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55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55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55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55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55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55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55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55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55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55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55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55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55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55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55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55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55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55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55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55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55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55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55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55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55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55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55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55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55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55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55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55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55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55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55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55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55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55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55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55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55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55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55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55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55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55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55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55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55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55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55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55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55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55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55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55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55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55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55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55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55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55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55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55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55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55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55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55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55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55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55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55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55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55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55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55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55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55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55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55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55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55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55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55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55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55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49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49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44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44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39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39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39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39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39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39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39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39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39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39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39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39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39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39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39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39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39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39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39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39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39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39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39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39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39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39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39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39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39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39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39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39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39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39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39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39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39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39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39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39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39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39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39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39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39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39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39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39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39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39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39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39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39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39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39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39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39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39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39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39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39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39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39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39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39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39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39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39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39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39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39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39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39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39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39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39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39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39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39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39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39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39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39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39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39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39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39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39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39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39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39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39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39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39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39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39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39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39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39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39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39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39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39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39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39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36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36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36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36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37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34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34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29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tr">
        <f>VLOOKUP(Proc[[#This Row],[Obj]],Sheet11!A:C,3,0)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29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29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29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29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29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29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29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29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29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29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27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27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27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27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27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27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27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27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27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27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27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27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27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27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27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27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27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27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27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27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27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27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27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27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27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27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27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27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27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27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27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27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27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27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27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27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27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27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27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27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27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27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27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27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27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27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27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27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27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27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27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27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27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27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27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27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27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27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27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27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27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27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27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27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27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27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27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27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27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27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27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27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27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27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27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27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27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27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27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27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27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27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27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27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27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27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27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27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27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27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27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27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27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27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27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27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27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27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27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27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27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27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27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27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27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27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27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27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27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27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27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27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27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27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27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27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27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27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27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27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27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27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27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27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27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27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27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27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27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27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27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27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27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27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27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27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27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27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27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27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27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27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27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27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27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27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27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27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27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27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27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27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27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27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27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27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27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27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27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27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27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27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27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27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27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27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27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27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27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27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27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27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27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27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27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27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27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27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27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27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27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27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27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27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27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27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27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27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27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27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27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27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27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27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27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27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27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27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27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27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27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27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27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27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27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27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27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27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27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27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27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27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27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27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27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27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27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27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27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27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27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27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27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27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27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27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27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27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27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27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27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27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27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27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27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27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27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27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27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27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27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27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27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27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27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27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27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27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27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27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27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27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27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27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27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27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27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27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27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27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27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27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27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27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27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27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27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27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27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27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27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27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27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27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27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27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27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27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27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27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27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27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27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27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27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27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27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27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27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27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27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27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27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27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27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27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27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27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27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27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27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27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27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27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27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27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27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27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27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27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27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27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27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27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27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27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27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27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27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27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27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27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27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27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27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27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27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27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27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27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27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27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27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27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27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25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25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25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25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25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25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25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25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25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25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24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24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24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23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23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23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23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23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23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22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22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20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19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19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19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18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18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18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5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5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5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5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5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5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5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5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5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5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5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5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5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5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5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5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5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5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5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5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5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5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5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5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5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5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5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5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5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5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5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5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5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5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5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5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5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5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5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5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5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5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5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5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5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5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5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5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5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5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5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5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5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5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5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5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5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5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5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5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5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5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5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5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5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5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5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5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5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5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5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5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5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5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5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5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5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5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5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5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5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5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5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5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5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5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5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5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5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5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5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5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5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5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5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5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5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5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5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5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5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5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5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5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5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5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5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5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5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5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5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5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5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5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5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5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5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5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5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5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5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5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5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5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5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5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5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5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5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5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5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5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5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5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5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5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5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5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5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5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5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5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5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5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5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5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5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5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5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5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5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5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5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5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5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5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5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5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5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5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5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5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5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5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5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5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5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5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5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5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5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5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5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5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5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5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5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5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5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5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5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5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5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5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5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5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5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5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5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5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5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5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5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5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5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5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5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5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5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5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5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5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5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5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5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5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5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5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5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5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5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5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5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5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5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5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5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5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5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5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5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5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5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5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5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5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5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5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5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5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5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5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5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5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5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5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5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5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5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5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5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5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5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5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5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5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5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5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5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5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5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5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5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5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5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5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5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5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5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5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5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5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5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5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5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5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5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5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5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5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5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5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5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5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5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5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5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5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5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5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5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5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5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5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5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5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5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5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5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5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5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5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5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5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5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ok</v>
      </c>
      <c r="C3232" s="124" t="s">
        <v>369</v>
      </c>
      <c r="D3232" t="s">
        <v>5301</v>
      </c>
      <c r="E3232" t="s">
        <v>5312</v>
      </c>
      <c r="F3232" s="125" t="s">
        <v>5312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4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ok</v>
      </c>
      <c r="C3233" s="124" t="s">
        <v>369</v>
      </c>
      <c r="D3233" t="s">
        <v>5302</v>
      </c>
      <c r="E3233" t="s">
        <v>5312</v>
      </c>
      <c r="F3233" s="125" t="s">
        <v>5312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4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ok</v>
      </c>
      <c r="C3234" s="124" t="s">
        <v>369</v>
      </c>
      <c r="D3234" t="s">
        <v>5303</v>
      </c>
      <c r="E3234" t="s">
        <v>5312</v>
      </c>
      <c r="F3234" s="125" t="s">
        <v>5312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4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ok</v>
      </c>
      <c r="C3235" s="124" t="s">
        <v>369</v>
      </c>
      <c r="D3235" t="s">
        <v>5304</v>
      </c>
      <c r="E3235" t="s">
        <v>5312</v>
      </c>
      <c r="F3235" s="125" t="s">
        <v>5312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4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ok</v>
      </c>
      <c r="C3236" s="124" t="s">
        <v>369</v>
      </c>
      <c r="D3236" t="s">
        <v>5305</v>
      </c>
      <c r="E3236" t="s">
        <v>5312</v>
      </c>
      <c r="F3236" s="125" t="s">
        <v>5312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4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ok</v>
      </c>
      <c r="C3237" s="124" t="s">
        <v>369</v>
      </c>
      <c r="D3237" t="s">
        <v>5306</v>
      </c>
      <c r="E3237" t="s">
        <v>5312</v>
      </c>
      <c r="F3237" s="125" t="s">
        <v>5312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4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ok</v>
      </c>
      <c r="C3238" s="124" t="s">
        <v>369</v>
      </c>
      <c r="D3238" t="s">
        <v>5307</v>
      </c>
      <c r="E3238" t="s">
        <v>5312</v>
      </c>
      <c r="F3238" s="125" t="s">
        <v>5312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4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ok</v>
      </c>
      <c r="C3239" s="124" t="s">
        <v>369</v>
      </c>
      <c r="D3239" t="s">
        <v>5308</v>
      </c>
      <c r="E3239" t="s">
        <v>5312</v>
      </c>
      <c r="F3239" s="125" t="s">
        <v>5312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4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ok</v>
      </c>
      <c r="C3240" s="124" t="s">
        <v>369</v>
      </c>
      <c r="D3240" t="s">
        <v>5309</v>
      </c>
      <c r="E3240" t="s">
        <v>5312</v>
      </c>
      <c r="F3240" s="125" t="s">
        <v>5312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4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ok</v>
      </c>
      <c r="C3241" s="124" t="s">
        <v>369</v>
      </c>
      <c r="D3241" t="s">
        <v>5310</v>
      </c>
      <c r="E3241" t="s">
        <v>5312</v>
      </c>
      <c r="F3241" s="125" t="s">
        <v>5312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4</v>
      </c>
      <c r="R3241" s="115" t="s">
        <v>489</v>
      </c>
      <c r="S3241" s="125"/>
    </row>
    <row r="3242" spans="1:19" hidden="1">
      <c r="A3242" s="124" t="s">
        <v>5313</v>
      </c>
      <c r="B3242" s="125" t="str">
        <f>IFERROR(VLOOKUP(Proc[[#This Row],[App]],Table2[],3,0),"open")</f>
        <v>ok</v>
      </c>
      <c r="C3242" s="124" t="s">
        <v>369</v>
      </c>
      <c r="D3242" t="s">
        <v>5311</v>
      </c>
      <c r="E3242" t="s">
        <v>5312</v>
      </c>
      <c r="F3242" s="125" t="s">
        <v>5312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4</v>
      </c>
      <c r="R3242" s="115" t="s">
        <v>489</v>
      </c>
      <c r="S3242" s="125"/>
    </row>
    <row r="3243" spans="1:19" hidden="1">
      <c r="A3243" t="s">
        <v>5520</v>
      </c>
      <c r="B3243" s="125" t="str">
        <f>IFERROR(VLOOKUP(Proc[[#This Row],[App]],Table2[],3,0),"open")</f>
        <v>open</v>
      </c>
      <c r="C3243" s="124" t="s">
        <v>369</v>
      </c>
      <c r="D3243" t="s">
        <v>5314</v>
      </c>
      <c r="E3243" t="s">
        <v>5486</v>
      </c>
      <c r="F3243" s="125" t="s">
        <v>5486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4</v>
      </c>
      <c r="R3243" s="115" t="s">
        <v>1459</v>
      </c>
      <c r="S3243" s="125"/>
    </row>
    <row r="3244" spans="1:19" hidden="1">
      <c r="A3244" s="124" t="s">
        <v>5520</v>
      </c>
      <c r="B3244" s="125" t="str">
        <f>IFERROR(VLOOKUP(Proc[[#This Row],[App]],Table2[],3,0),"open")</f>
        <v>open</v>
      </c>
      <c r="C3244" s="124" t="s">
        <v>369</v>
      </c>
      <c r="D3244" t="s">
        <v>5315</v>
      </c>
      <c r="E3244" t="s">
        <v>5487</v>
      </c>
      <c r="F3244" s="125" t="s">
        <v>5487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4</v>
      </c>
      <c r="R3244" s="115" t="s">
        <v>1459</v>
      </c>
      <c r="S3244" s="125"/>
    </row>
    <row r="3245" spans="1:19" hidden="1">
      <c r="A3245" s="124" t="s">
        <v>5520</v>
      </c>
      <c r="B3245" s="125" t="str">
        <f>IFERROR(VLOOKUP(Proc[[#This Row],[App]],Table2[],3,0),"open")</f>
        <v>open</v>
      </c>
      <c r="C3245" s="124" t="s">
        <v>369</v>
      </c>
      <c r="D3245" t="s">
        <v>5316</v>
      </c>
      <c r="E3245" t="s">
        <v>5486</v>
      </c>
      <c r="F3245" s="125" t="s">
        <v>5486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4</v>
      </c>
      <c r="R3245" s="115" t="s">
        <v>1459</v>
      </c>
      <c r="S3245" s="125"/>
    </row>
    <row r="3246" spans="1:19" hidden="1">
      <c r="A3246" s="124" t="s">
        <v>5520</v>
      </c>
      <c r="B3246" s="125" t="str">
        <f>IFERROR(VLOOKUP(Proc[[#This Row],[App]],Table2[],3,0),"open")</f>
        <v>open</v>
      </c>
      <c r="C3246" s="124" t="s">
        <v>369</v>
      </c>
      <c r="D3246" t="s">
        <v>5317</v>
      </c>
      <c r="E3246" t="s">
        <v>5488</v>
      </c>
      <c r="F3246" s="125" t="s">
        <v>5488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4</v>
      </c>
      <c r="R3246" s="115" t="s">
        <v>1459</v>
      </c>
      <c r="S3246" s="125"/>
    </row>
    <row r="3247" spans="1:19" hidden="1">
      <c r="A3247" s="124" t="s">
        <v>5520</v>
      </c>
      <c r="B3247" s="125" t="str">
        <f>IFERROR(VLOOKUP(Proc[[#This Row],[App]],Table2[],3,0),"open")</f>
        <v>open</v>
      </c>
      <c r="C3247" s="124" t="s">
        <v>369</v>
      </c>
      <c r="D3247" t="s">
        <v>5318</v>
      </c>
      <c r="E3247" t="s">
        <v>5489</v>
      </c>
      <c r="F3247" s="125" t="s">
        <v>5489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4</v>
      </c>
      <c r="R3247" s="115" t="s">
        <v>1459</v>
      </c>
      <c r="S3247" s="125"/>
    </row>
    <row r="3248" spans="1:19" hidden="1">
      <c r="A3248" s="124" t="s">
        <v>5520</v>
      </c>
      <c r="B3248" s="125" t="str">
        <f>IFERROR(VLOOKUP(Proc[[#This Row],[App]],Table2[],3,0),"open")</f>
        <v>open</v>
      </c>
      <c r="C3248" s="124" t="s">
        <v>369</v>
      </c>
      <c r="D3248" t="s">
        <v>5319</v>
      </c>
      <c r="E3248" t="s">
        <v>5490</v>
      </c>
      <c r="F3248" s="125" t="s">
        <v>5490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4</v>
      </c>
      <c r="R3248" s="115" t="s">
        <v>1459</v>
      </c>
      <c r="S3248" s="125"/>
    </row>
    <row r="3249" spans="1:19" hidden="1">
      <c r="A3249" s="124" t="s">
        <v>5520</v>
      </c>
      <c r="B3249" s="125" t="str">
        <f>IFERROR(VLOOKUP(Proc[[#This Row],[App]],Table2[],3,0),"open")</f>
        <v>open</v>
      </c>
      <c r="C3249" s="124" t="s">
        <v>369</v>
      </c>
      <c r="D3249" t="s">
        <v>5320</v>
      </c>
      <c r="E3249" t="s">
        <v>5491</v>
      </c>
      <c r="F3249" s="125" t="s">
        <v>5491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4</v>
      </c>
      <c r="R3249" s="115" t="s">
        <v>1459</v>
      </c>
      <c r="S3249" s="125"/>
    </row>
    <row r="3250" spans="1:19" hidden="1">
      <c r="A3250" s="124" t="s">
        <v>5520</v>
      </c>
      <c r="B3250" s="125" t="str">
        <f>IFERROR(VLOOKUP(Proc[[#This Row],[App]],Table2[],3,0),"open")</f>
        <v>open</v>
      </c>
      <c r="C3250" s="124" t="s">
        <v>369</v>
      </c>
      <c r="D3250" t="s">
        <v>5321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4</v>
      </c>
      <c r="R3250" s="115" t="s">
        <v>1459</v>
      </c>
      <c r="S3250" s="125"/>
    </row>
    <row r="3251" spans="1:19" hidden="1">
      <c r="A3251" s="124" t="s">
        <v>5520</v>
      </c>
      <c r="B3251" s="125" t="str">
        <f>IFERROR(VLOOKUP(Proc[[#This Row],[App]],Table2[],3,0),"open")</f>
        <v>open</v>
      </c>
      <c r="C3251" s="124" t="s">
        <v>369</v>
      </c>
      <c r="D3251" t="s">
        <v>5322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4</v>
      </c>
      <c r="R3251" s="115" t="s">
        <v>1459</v>
      </c>
      <c r="S3251" s="125"/>
    </row>
    <row r="3252" spans="1:19" hidden="1">
      <c r="A3252" s="124" t="s">
        <v>5520</v>
      </c>
      <c r="B3252" s="125" t="str">
        <f>IFERROR(VLOOKUP(Proc[[#This Row],[App]],Table2[],3,0),"open")</f>
        <v>open</v>
      </c>
      <c r="C3252" s="124" t="s">
        <v>369</v>
      </c>
      <c r="D3252" t="s">
        <v>5323</v>
      </c>
      <c r="E3252" t="s">
        <v>5492</v>
      </c>
      <c r="F3252" s="125" t="s">
        <v>5492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4</v>
      </c>
      <c r="R3252" s="115" t="s">
        <v>1459</v>
      </c>
      <c r="S3252" s="125"/>
    </row>
    <row r="3253" spans="1:19" hidden="1">
      <c r="A3253" s="124" t="s">
        <v>5520</v>
      </c>
      <c r="B3253" s="125" t="str">
        <f>IFERROR(VLOOKUP(Proc[[#This Row],[App]],Table2[],3,0),"open")</f>
        <v>open</v>
      </c>
      <c r="C3253" s="124" t="s">
        <v>369</v>
      </c>
      <c r="D3253" t="s">
        <v>5324</v>
      </c>
      <c r="E3253" t="s">
        <v>5493</v>
      </c>
      <c r="F3253" s="125" t="s">
        <v>5493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4</v>
      </c>
      <c r="R3253" s="115" t="s">
        <v>1459</v>
      </c>
      <c r="S3253" s="125"/>
    </row>
    <row r="3254" spans="1:19" hidden="1">
      <c r="A3254" s="124" t="s">
        <v>5520</v>
      </c>
      <c r="B3254" s="125" t="str">
        <f>IFERROR(VLOOKUP(Proc[[#This Row],[App]],Table2[],3,0),"open")</f>
        <v>open</v>
      </c>
      <c r="C3254" s="124" t="s">
        <v>369</v>
      </c>
      <c r="D3254" t="s">
        <v>5325</v>
      </c>
      <c r="E3254" t="s">
        <v>5494</v>
      </c>
      <c r="F3254" s="125" t="s">
        <v>5494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4</v>
      </c>
      <c r="R3254" s="115" t="s">
        <v>1459</v>
      </c>
      <c r="S3254" s="125"/>
    </row>
    <row r="3255" spans="1:19" hidden="1">
      <c r="A3255" s="124" t="s">
        <v>5520</v>
      </c>
      <c r="B3255" s="125" t="str">
        <f>IFERROR(VLOOKUP(Proc[[#This Row],[App]],Table2[],3,0),"open")</f>
        <v>open</v>
      </c>
      <c r="C3255" s="124" t="s">
        <v>369</v>
      </c>
      <c r="D3255" t="s">
        <v>5326</v>
      </c>
      <c r="E3255" t="s">
        <v>5495</v>
      </c>
      <c r="F3255" s="125" t="s">
        <v>5495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4</v>
      </c>
      <c r="R3255" s="115" t="s">
        <v>1459</v>
      </c>
      <c r="S3255" s="125"/>
    </row>
    <row r="3256" spans="1:19" hidden="1">
      <c r="A3256" s="124" t="s">
        <v>5520</v>
      </c>
      <c r="B3256" s="125" t="str">
        <f>IFERROR(VLOOKUP(Proc[[#This Row],[App]],Table2[],3,0),"open")</f>
        <v>open</v>
      </c>
      <c r="C3256" s="124" t="s">
        <v>369</v>
      </c>
      <c r="D3256" t="s">
        <v>5327</v>
      </c>
      <c r="E3256" t="s">
        <v>5495</v>
      </c>
      <c r="F3256" s="125" t="s">
        <v>5495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4</v>
      </c>
      <c r="R3256" s="115" t="s">
        <v>1459</v>
      </c>
      <c r="S3256" s="125"/>
    </row>
    <row r="3257" spans="1:19" hidden="1">
      <c r="A3257" s="124" t="s">
        <v>5520</v>
      </c>
      <c r="B3257" s="125" t="str">
        <f>IFERROR(VLOOKUP(Proc[[#This Row],[App]],Table2[],3,0),"open")</f>
        <v>open</v>
      </c>
      <c r="C3257" s="124" t="s">
        <v>369</v>
      </c>
      <c r="D3257" t="s">
        <v>5328</v>
      </c>
      <c r="E3257" t="s">
        <v>5495</v>
      </c>
      <c r="F3257" s="125" t="s">
        <v>5495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4</v>
      </c>
      <c r="R3257" s="115" t="s">
        <v>1459</v>
      </c>
      <c r="S3257" s="125"/>
    </row>
    <row r="3258" spans="1:19" hidden="1">
      <c r="A3258" s="124" t="s">
        <v>5520</v>
      </c>
      <c r="B3258" s="125" t="str">
        <f>IFERROR(VLOOKUP(Proc[[#This Row],[App]],Table2[],3,0),"open")</f>
        <v>open</v>
      </c>
      <c r="C3258" s="124" t="s">
        <v>369</v>
      </c>
      <c r="D3258" t="s">
        <v>5329</v>
      </c>
      <c r="E3258" t="s">
        <v>5496</v>
      </c>
      <c r="F3258" s="125" t="s">
        <v>5496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4</v>
      </c>
      <c r="R3258" s="115" t="s">
        <v>1459</v>
      </c>
      <c r="S3258" s="125"/>
    </row>
    <row r="3259" spans="1:19" hidden="1">
      <c r="A3259" s="124" t="s">
        <v>5520</v>
      </c>
      <c r="B3259" s="125" t="str">
        <f>IFERROR(VLOOKUP(Proc[[#This Row],[App]],Table2[],3,0),"open")</f>
        <v>open</v>
      </c>
      <c r="C3259" s="124" t="s">
        <v>369</v>
      </c>
      <c r="D3259" t="s">
        <v>5330</v>
      </c>
      <c r="E3259" t="s">
        <v>5492</v>
      </c>
      <c r="F3259" s="125" t="s">
        <v>5492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4</v>
      </c>
      <c r="R3259" s="115" t="s">
        <v>1459</v>
      </c>
      <c r="S3259" s="125"/>
    </row>
    <row r="3260" spans="1:19" hidden="1">
      <c r="A3260" s="124" t="s">
        <v>5520</v>
      </c>
      <c r="B3260" s="125" t="str">
        <f>IFERROR(VLOOKUP(Proc[[#This Row],[App]],Table2[],3,0),"open")</f>
        <v>open</v>
      </c>
      <c r="C3260" s="124" t="s">
        <v>369</v>
      </c>
      <c r="D3260" t="s">
        <v>5331</v>
      </c>
      <c r="E3260" t="s">
        <v>5497</v>
      </c>
      <c r="F3260" s="125" t="s">
        <v>5497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4</v>
      </c>
      <c r="R3260" s="115" t="s">
        <v>1459</v>
      </c>
      <c r="S3260" s="125"/>
    </row>
    <row r="3261" spans="1:19" hidden="1">
      <c r="A3261" s="124" t="s">
        <v>5520</v>
      </c>
      <c r="B3261" s="125" t="str">
        <f>IFERROR(VLOOKUP(Proc[[#This Row],[App]],Table2[],3,0),"open")</f>
        <v>open</v>
      </c>
      <c r="C3261" s="124" t="s">
        <v>369</v>
      </c>
      <c r="D3261" t="s">
        <v>5332</v>
      </c>
      <c r="E3261" t="s">
        <v>5497</v>
      </c>
      <c r="F3261" s="125" t="s">
        <v>5497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4</v>
      </c>
      <c r="R3261" s="115" t="s">
        <v>1459</v>
      </c>
      <c r="S3261" s="125"/>
    </row>
    <row r="3262" spans="1:19" hidden="1">
      <c r="A3262" s="124" t="s">
        <v>5520</v>
      </c>
      <c r="B3262" s="125" t="str">
        <f>IFERROR(VLOOKUP(Proc[[#This Row],[App]],Table2[],3,0),"open")</f>
        <v>open</v>
      </c>
      <c r="C3262" s="124" t="s">
        <v>369</v>
      </c>
      <c r="D3262" t="s">
        <v>5333</v>
      </c>
      <c r="E3262" t="s">
        <v>5495</v>
      </c>
      <c r="F3262" s="125" t="s">
        <v>5495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4</v>
      </c>
      <c r="R3262" s="115" t="s">
        <v>1459</v>
      </c>
      <c r="S3262" s="125"/>
    </row>
    <row r="3263" spans="1:19" hidden="1">
      <c r="A3263" s="124" t="s">
        <v>5520</v>
      </c>
      <c r="B3263" s="125" t="str">
        <f>IFERROR(VLOOKUP(Proc[[#This Row],[App]],Table2[],3,0),"open")</f>
        <v>open</v>
      </c>
      <c r="C3263" s="124" t="s">
        <v>369</v>
      </c>
      <c r="D3263" t="s">
        <v>5334</v>
      </c>
      <c r="E3263" t="s">
        <v>5498</v>
      </c>
      <c r="F3263" s="125" t="s">
        <v>5498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4</v>
      </c>
      <c r="R3263" s="115" t="s">
        <v>1459</v>
      </c>
      <c r="S3263" s="125"/>
    </row>
    <row r="3264" spans="1:19" hidden="1">
      <c r="A3264" s="124" t="s">
        <v>5520</v>
      </c>
      <c r="B3264" s="125" t="str">
        <f>IFERROR(VLOOKUP(Proc[[#This Row],[App]],Table2[],3,0),"open")</f>
        <v>open</v>
      </c>
      <c r="C3264" s="124" t="s">
        <v>369</v>
      </c>
      <c r="D3264" t="s">
        <v>5335</v>
      </c>
      <c r="E3264" t="s">
        <v>5491</v>
      </c>
      <c r="F3264" s="125" t="s">
        <v>5491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4</v>
      </c>
      <c r="R3264" s="115" t="s">
        <v>1459</v>
      </c>
      <c r="S3264" s="125"/>
    </row>
    <row r="3265" spans="1:19" hidden="1">
      <c r="A3265" s="124" t="s">
        <v>5520</v>
      </c>
      <c r="B3265" s="125" t="str">
        <f>IFERROR(VLOOKUP(Proc[[#This Row],[App]],Table2[],3,0),"open")</f>
        <v>open</v>
      </c>
      <c r="C3265" s="124" t="s">
        <v>369</v>
      </c>
      <c r="D3265" t="s">
        <v>5336</v>
      </c>
      <c r="E3265" t="s">
        <v>5498</v>
      </c>
      <c r="F3265" s="125" t="s">
        <v>5498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4</v>
      </c>
      <c r="R3265" s="115" t="s">
        <v>1459</v>
      </c>
      <c r="S3265" s="125"/>
    </row>
    <row r="3266" spans="1:19" hidden="1">
      <c r="A3266" s="124" t="s">
        <v>5520</v>
      </c>
      <c r="B3266" s="125" t="str">
        <f>IFERROR(VLOOKUP(Proc[[#This Row],[App]],Table2[],3,0),"open")</f>
        <v>open</v>
      </c>
      <c r="C3266" s="124" t="s">
        <v>369</v>
      </c>
      <c r="D3266" t="s">
        <v>5337</v>
      </c>
      <c r="E3266" t="s">
        <v>5499</v>
      </c>
      <c r="F3266" s="125" t="s">
        <v>5499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4</v>
      </c>
      <c r="R3266" s="115" t="s">
        <v>1459</v>
      </c>
      <c r="S3266" s="125"/>
    </row>
    <row r="3267" spans="1:19" hidden="1">
      <c r="A3267" s="124" t="s">
        <v>5520</v>
      </c>
      <c r="B3267" s="125" t="str">
        <f>IFERROR(VLOOKUP(Proc[[#This Row],[App]],Table2[],3,0),"open")</f>
        <v>open</v>
      </c>
      <c r="C3267" s="124" t="s">
        <v>369</v>
      </c>
      <c r="D3267" t="s">
        <v>5338</v>
      </c>
      <c r="E3267" t="s">
        <v>5491</v>
      </c>
      <c r="F3267" s="125" t="s">
        <v>5491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4</v>
      </c>
      <c r="R3267" s="115" t="s">
        <v>1459</v>
      </c>
      <c r="S3267" s="125"/>
    </row>
    <row r="3268" spans="1:19" hidden="1">
      <c r="A3268" s="124" t="s">
        <v>5520</v>
      </c>
      <c r="B3268" s="125" t="str">
        <f>IFERROR(VLOOKUP(Proc[[#This Row],[App]],Table2[],3,0),"open")</f>
        <v>open</v>
      </c>
      <c r="C3268" s="124" t="s">
        <v>369</v>
      </c>
      <c r="D3268" t="s">
        <v>4810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4</v>
      </c>
      <c r="R3268" s="115" t="s">
        <v>1459</v>
      </c>
      <c r="S3268" s="125"/>
    </row>
    <row r="3269" spans="1:19" hidden="1">
      <c r="A3269" s="124" t="s">
        <v>5520</v>
      </c>
      <c r="B3269" s="125" t="str">
        <f>IFERROR(VLOOKUP(Proc[[#This Row],[App]],Table2[],3,0),"open")</f>
        <v>open</v>
      </c>
      <c r="C3269" s="124" t="s">
        <v>369</v>
      </c>
      <c r="D3269" t="s">
        <v>5339</v>
      </c>
      <c r="E3269" t="s">
        <v>5491</v>
      </c>
      <c r="F3269" s="125" t="s">
        <v>5491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4</v>
      </c>
      <c r="R3269" s="115" t="s">
        <v>1459</v>
      </c>
      <c r="S3269" s="125"/>
    </row>
    <row r="3270" spans="1:19" hidden="1">
      <c r="A3270" s="124" t="s">
        <v>5520</v>
      </c>
      <c r="B3270" s="125" t="str">
        <f>IFERROR(VLOOKUP(Proc[[#This Row],[App]],Table2[],3,0),"open")</f>
        <v>open</v>
      </c>
      <c r="C3270" s="124" t="s">
        <v>369</v>
      </c>
      <c r="D3270" t="s">
        <v>5340</v>
      </c>
      <c r="E3270" t="s">
        <v>5500</v>
      </c>
      <c r="F3270" s="125" t="s">
        <v>5500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4</v>
      </c>
      <c r="R3270" s="115" t="s">
        <v>1459</v>
      </c>
      <c r="S3270" s="125"/>
    </row>
    <row r="3271" spans="1:19" hidden="1">
      <c r="A3271" s="124" t="s">
        <v>5520</v>
      </c>
      <c r="B3271" s="125" t="str">
        <f>IFERROR(VLOOKUP(Proc[[#This Row],[App]],Table2[],3,0),"open")</f>
        <v>open</v>
      </c>
      <c r="C3271" s="124" t="s">
        <v>369</v>
      </c>
      <c r="D3271" t="s">
        <v>5341</v>
      </c>
      <c r="E3271" t="s">
        <v>5501</v>
      </c>
      <c r="F3271" s="125" t="s">
        <v>5501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4</v>
      </c>
      <c r="R3271" s="115" t="s">
        <v>1459</v>
      </c>
      <c r="S3271" s="125"/>
    </row>
    <row r="3272" spans="1:19" hidden="1">
      <c r="A3272" s="124" t="s">
        <v>5520</v>
      </c>
      <c r="B3272" s="125" t="str">
        <f>IFERROR(VLOOKUP(Proc[[#This Row],[App]],Table2[],3,0),"open")</f>
        <v>open</v>
      </c>
      <c r="C3272" s="124" t="s">
        <v>369</v>
      </c>
      <c r="D3272" t="s">
        <v>5342</v>
      </c>
      <c r="E3272" t="s">
        <v>5502</v>
      </c>
      <c r="F3272" s="125" t="s">
        <v>5502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4</v>
      </c>
      <c r="R3272" s="115" t="s">
        <v>1459</v>
      </c>
      <c r="S3272" s="125"/>
    </row>
    <row r="3273" spans="1:19" hidden="1">
      <c r="A3273" s="124" t="s">
        <v>5520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5499</v>
      </c>
      <c r="F3273" s="125" t="s">
        <v>5499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4</v>
      </c>
      <c r="R3273" s="115" t="s">
        <v>1459</v>
      </c>
      <c r="S3273" s="125"/>
    </row>
    <row r="3274" spans="1:19" hidden="1">
      <c r="A3274" s="124" t="s">
        <v>5520</v>
      </c>
      <c r="B3274" s="125" t="str">
        <f>IFERROR(VLOOKUP(Proc[[#This Row],[App]],Table2[],3,0),"open")</f>
        <v>open</v>
      </c>
      <c r="C3274" s="124" t="s">
        <v>369</v>
      </c>
      <c r="D3274" t="s">
        <v>5343</v>
      </c>
      <c r="E3274" t="s">
        <v>5501</v>
      </c>
      <c r="F3274" s="125" t="s">
        <v>5501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4</v>
      </c>
      <c r="R3274" s="115" t="s">
        <v>1459</v>
      </c>
      <c r="S3274" s="125"/>
    </row>
    <row r="3275" spans="1:19" hidden="1">
      <c r="A3275" s="124" t="s">
        <v>5520</v>
      </c>
      <c r="B3275" s="125" t="str">
        <f>IFERROR(VLOOKUP(Proc[[#This Row],[App]],Table2[],3,0),"open")</f>
        <v>open</v>
      </c>
      <c r="C3275" s="124" t="s">
        <v>369</v>
      </c>
      <c r="D3275" t="s">
        <v>5344</v>
      </c>
      <c r="E3275" t="s">
        <v>5491</v>
      </c>
      <c r="F3275" s="125" t="s">
        <v>5491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4</v>
      </c>
      <c r="R3275" s="115" t="s">
        <v>1459</v>
      </c>
      <c r="S3275" s="125"/>
    </row>
    <row r="3276" spans="1:19" hidden="1">
      <c r="A3276" s="124" t="s">
        <v>5520</v>
      </c>
      <c r="B3276" s="125" t="str">
        <f>IFERROR(VLOOKUP(Proc[[#This Row],[App]],Table2[],3,0),"open")</f>
        <v>open</v>
      </c>
      <c r="C3276" s="124" t="s">
        <v>369</v>
      </c>
      <c r="D3276" t="s">
        <v>5345</v>
      </c>
      <c r="E3276" t="s">
        <v>5503</v>
      </c>
      <c r="F3276" s="125" t="s">
        <v>5503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4</v>
      </c>
      <c r="R3276" s="115" t="s">
        <v>1459</v>
      </c>
      <c r="S3276" s="125"/>
    </row>
    <row r="3277" spans="1:19" hidden="1">
      <c r="A3277" s="124" t="s">
        <v>5520</v>
      </c>
      <c r="B3277" s="125" t="str">
        <f>IFERROR(VLOOKUP(Proc[[#This Row],[App]],Table2[],3,0),"open")</f>
        <v>open</v>
      </c>
      <c r="C3277" s="124" t="s">
        <v>369</v>
      </c>
      <c r="D3277" t="s">
        <v>5346</v>
      </c>
      <c r="E3277" t="s">
        <v>5504</v>
      </c>
      <c r="F3277" s="125" t="s">
        <v>5504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4</v>
      </c>
      <c r="R3277" s="115" t="s">
        <v>1459</v>
      </c>
      <c r="S3277" s="125"/>
    </row>
    <row r="3278" spans="1:19" hidden="1">
      <c r="A3278" s="124" t="s">
        <v>5520</v>
      </c>
      <c r="B3278" s="125" t="str">
        <f>IFERROR(VLOOKUP(Proc[[#This Row],[App]],Table2[],3,0),"open")</f>
        <v>open</v>
      </c>
      <c r="C3278" s="124" t="s">
        <v>369</v>
      </c>
      <c r="D3278" t="s">
        <v>5347</v>
      </c>
      <c r="E3278" t="s">
        <v>5491</v>
      </c>
      <c r="F3278" s="125" t="s">
        <v>5491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4</v>
      </c>
      <c r="R3278" s="115" t="s">
        <v>1459</v>
      </c>
      <c r="S3278" s="125"/>
    </row>
    <row r="3279" spans="1:19" hidden="1">
      <c r="A3279" s="124" t="s">
        <v>5520</v>
      </c>
      <c r="B3279" s="125" t="str">
        <f>IFERROR(VLOOKUP(Proc[[#This Row],[App]],Table2[],3,0),"open")</f>
        <v>open</v>
      </c>
      <c r="C3279" s="124" t="s">
        <v>369</v>
      </c>
      <c r="D3279" t="s">
        <v>5348</v>
      </c>
      <c r="E3279" t="s">
        <v>5498</v>
      </c>
      <c r="F3279" s="125" t="s">
        <v>5498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4</v>
      </c>
      <c r="R3279" s="115" t="s">
        <v>1459</v>
      </c>
      <c r="S3279" s="125"/>
    </row>
    <row r="3280" spans="1:19" hidden="1">
      <c r="A3280" s="124" t="s">
        <v>5520</v>
      </c>
      <c r="B3280" s="125" t="str">
        <f>IFERROR(VLOOKUP(Proc[[#This Row],[App]],Table2[],3,0),"open")</f>
        <v>open</v>
      </c>
      <c r="C3280" s="124" t="s">
        <v>369</v>
      </c>
      <c r="D3280" t="s">
        <v>5349</v>
      </c>
      <c r="E3280" t="s">
        <v>5498</v>
      </c>
      <c r="F3280" s="125" t="s">
        <v>5498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4</v>
      </c>
      <c r="R3280" s="115" t="s">
        <v>1459</v>
      </c>
      <c r="S3280" s="125"/>
    </row>
    <row r="3281" spans="1:19" hidden="1">
      <c r="A3281" s="124" t="s">
        <v>5520</v>
      </c>
      <c r="B3281" s="125" t="str">
        <f>IFERROR(VLOOKUP(Proc[[#This Row],[App]],Table2[],3,0),"open")</f>
        <v>open</v>
      </c>
      <c r="C3281" s="124" t="s">
        <v>369</v>
      </c>
      <c r="D3281" t="s">
        <v>5350</v>
      </c>
      <c r="E3281" t="s">
        <v>5505</v>
      </c>
      <c r="F3281" s="125" t="s">
        <v>5505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4</v>
      </c>
      <c r="R3281" s="115" t="s">
        <v>1459</v>
      </c>
      <c r="S3281" s="125"/>
    </row>
    <row r="3282" spans="1:19" hidden="1">
      <c r="A3282" s="124" t="s">
        <v>5520</v>
      </c>
      <c r="B3282" s="125" t="str">
        <f>IFERROR(VLOOKUP(Proc[[#This Row],[App]],Table2[],3,0),"open")</f>
        <v>open</v>
      </c>
      <c r="C3282" s="124" t="s">
        <v>369</v>
      </c>
      <c r="D3282" t="s">
        <v>5351</v>
      </c>
      <c r="E3282" t="s">
        <v>5501</v>
      </c>
      <c r="F3282" s="125" t="s">
        <v>5501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4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5" t="str">
        <f>VLOOKUP(Proc[[#This Row],[Obj]],Sheet11!A:C,3,0)</f>
        <v>DFLTPGCOH_BF-C2_001242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4835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4</v>
      </c>
      <c r="R3283" s="115" t="s">
        <v>1459</v>
      </c>
      <c r="S3283" s="125"/>
    </row>
    <row r="3284" spans="1:19" hidden="1">
      <c r="A3284" s="124" t="s">
        <v>5520</v>
      </c>
      <c r="B3284" s="125" t="str">
        <f>IFERROR(VLOOKUP(Proc[[#This Row],[App]],Table2[],3,0),"open")</f>
        <v>open</v>
      </c>
      <c r="C3284" s="124" t="s">
        <v>369</v>
      </c>
      <c r="D3284" t="s">
        <v>5352</v>
      </c>
      <c r="E3284" t="s">
        <v>5506</v>
      </c>
      <c r="F3284" s="125" t="s">
        <v>5506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4</v>
      </c>
      <c r="R3284" s="115" t="s">
        <v>1459</v>
      </c>
      <c r="S3284" s="125"/>
    </row>
    <row r="3285" spans="1:19" hidden="1">
      <c r="A3285" s="124" t="s">
        <v>5520</v>
      </c>
      <c r="B3285" s="125" t="str">
        <f>IFERROR(VLOOKUP(Proc[[#This Row],[App]],Table2[],3,0),"open")</f>
        <v>open</v>
      </c>
      <c r="C3285" s="124" t="s">
        <v>369</v>
      </c>
      <c r="D3285" t="s">
        <v>5353</v>
      </c>
      <c r="E3285" t="s">
        <v>5498</v>
      </c>
      <c r="F3285" s="125" t="s">
        <v>5498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4</v>
      </c>
      <c r="R3285" s="115" t="s">
        <v>1459</v>
      </c>
      <c r="S3285" s="125"/>
    </row>
    <row r="3286" spans="1:19" hidden="1">
      <c r="A3286" s="124" t="s">
        <v>5520</v>
      </c>
      <c r="B3286" s="125" t="str">
        <f>IFERROR(VLOOKUP(Proc[[#This Row],[App]],Table2[],3,0),"open")</f>
        <v>open</v>
      </c>
      <c r="C3286" s="124" t="s">
        <v>369</v>
      </c>
      <c r="D3286" t="s">
        <v>5354</v>
      </c>
      <c r="E3286" t="s">
        <v>5506</v>
      </c>
      <c r="F3286" s="125" t="s">
        <v>5506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4</v>
      </c>
      <c r="R3286" s="115" t="s">
        <v>1459</v>
      </c>
      <c r="S3286" s="125"/>
    </row>
    <row r="3287" spans="1:19" hidden="1">
      <c r="A3287" s="124" t="s">
        <v>5520</v>
      </c>
      <c r="B3287" s="125" t="str">
        <f>IFERROR(VLOOKUP(Proc[[#This Row],[App]],Table2[],3,0),"open")</f>
        <v>open</v>
      </c>
      <c r="C3287" s="124" t="s">
        <v>369</v>
      </c>
      <c r="D3287" t="s">
        <v>5355</v>
      </c>
      <c r="E3287" t="s">
        <v>5498</v>
      </c>
      <c r="F3287" s="125" t="s">
        <v>5498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4</v>
      </c>
      <c r="R3287" s="115" t="s">
        <v>1459</v>
      </c>
      <c r="S3287" s="125"/>
    </row>
    <row r="3288" spans="1:19" hidden="1">
      <c r="A3288" s="124" t="s">
        <v>5520</v>
      </c>
      <c r="B3288" s="125" t="str">
        <f>IFERROR(VLOOKUP(Proc[[#This Row],[App]],Table2[],3,0),"open")</f>
        <v>open</v>
      </c>
      <c r="C3288" s="124" t="s">
        <v>369</v>
      </c>
      <c r="D3288" t="s">
        <v>5356</v>
      </c>
      <c r="E3288" t="s">
        <v>5495</v>
      </c>
      <c r="F3288" s="125" t="s">
        <v>5495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4</v>
      </c>
      <c r="R3288" s="115" t="s">
        <v>1459</v>
      </c>
      <c r="S3288" s="125"/>
    </row>
    <row r="3289" spans="1:19" hidden="1">
      <c r="A3289" s="124" t="s">
        <v>5520</v>
      </c>
      <c r="B3289" s="125" t="str">
        <f>IFERROR(VLOOKUP(Proc[[#This Row],[App]],Table2[],3,0),"open")</f>
        <v>open</v>
      </c>
      <c r="C3289" s="124" t="s">
        <v>369</v>
      </c>
      <c r="D3289" t="s">
        <v>5357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4</v>
      </c>
      <c r="R3289" s="115" t="s">
        <v>1459</v>
      </c>
      <c r="S3289" s="125"/>
    </row>
    <row r="3290" spans="1:19" hidden="1">
      <c r="A3290" s="124" t="s">
        <v>5520</v>
      </c>
      <c r="B3290" s="125" t="str">
        <f>IFERROR(VLOOKUP(Proc[[#This Row],[App]],Table2[],3,0),"open")</f>
        <v>open</v>
      </c>
      <c r="C3290" s="124" t="s">
        <v>369</v>
      </c>
      <c r="D3290" t="s">
        <v>5358</v>
      </c>
      <c r="E3290" t="s">
        <v>5494</v>
      </c>
      <c r="F3290" s="125" t="s">
        <v>5494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4</v>
      </c>
      <c r="R3290" s="115" t="s">
        <v>1459</v>
      </c>
      <c r="S3290" s="125"/>
    </row>
    <row r="3291" spans="1:19" hidden="1">
      <c r="A3291" s="124" t="s">
        <v>5520</v>
      </c>
      <c r="B3291" s="125" t="str">
        <f>IFERROR(VLOOKUP(Proc[[#This Row],[App]],Table2[],3,0),"open")</f>
        <v>open</v>
      </c>
      <c r="C3291" s="124" t="s">
        <v>369</v>
      </c>
      <c r="D3291" t="s">
        <v>5359</v>
      </c>
      <c r="E3291" t="s">
        <v>5494</v>
      </c>
      <c r="F3291" s="125" t="s">
        <v>5494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4</v>
      </c>
      <c r="R3291" s="115" t="s">
        <v>1459</v>
      </c>
      <c r="S3291" s="125"/>
    </row>
    <row r="3292" spans="1:19" hidden="1">
      <c r="A3292" s="124" t="s">
        <v>5520</v>
      </c>
      <c r="B3292" s="125" t="str">
        <f>IFERROR(VLOOKUP(Proc[[#This Row],[App]],Table2[],3,0),"open")</f>
        <v>open</v>
      </c>
      <c r="C3292" s="124" t="s">
        <v>369</v>
      </c>
      <c r="D3292" t="s">
        <v>5360</v>
      </c>
      <c r="E3292" t="s">
        <v>5486</v>
      </c>
      <c r="F3292" s="125" t="s">
        <v>5486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4</v>
      </c>
      <c r="R3292" s="115" t="s">
        <v>1459</v>
      </c>
      <c r="S3292" s="125"/>
    </row>
    <row r="3293" spans="1:19" hidden="1">
      <c r="A3293" s="124" t="s">
        <v>5520</v>
      </c>
      <c r="B3293" s="125" t="str">
        <f>IFERROR(VLOOKUP(Proc[[#This Row],[App]],Table2[],3,0),"open")</f>
        <v>open</v>
      </c>
      <c r="C3293" s="124" t="s">
        <v>369</v>
      </c>
      <c r="D3293" t="s">
        <v>5361</v>
      </c>
      <c r="E3293" t="s">
        <v>5487</v>
      </c>
      <c r="F3293" s="125" t="s">
        <v>5487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4</v>
      </c>
      <c r="R3293" s="115" t="s">
        <v>1459</v>
      </c>
      <c r="S3293" s="125"/>
    </row>
    <row r="3294" spans="1:19" hidden="1">
      <c r="A3294" s="124" t="s">
        <v>5520</v>
      </c>
      <c r="B3294" s="125" t="str">
        <f>IFERROR(VLOOKUP(Proc[[#This Row],[App]],Table2[],3,0),"open")</f>
        <v>open</v>
      </c>
      <c r="C3294" s="124" t="s">
        <v>369</v>
      </c>
      <c r="D3294" t="s">
        <v>5362</v>
      </c>
      <c r="E3294" t="s">
        <v>5494</v>
      </c>
      <c r="F3294" s="125" t="s">
        <v>5494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4</v>
      </c>
      <c r="R3294" s="115" t="s">
        <v>1459</v>
      </c>
      <c r="S3294" s="125"/>
    </row>
    <row r="3295" spans="1:19" hidden="1">
      <c r="A3295" s="124" t="s">
        <v>5520</v>
      </c>
      <c r="B3295" s="125" t="str">
        <f>IFERROR(VLOOKUP(Proc[[#This Row],[App]],Table2[],3,0),"open")</f>
        <v>open</v>
      </c>
      <c r="C3295" s="124" t="s">
        <v>369</v>
      </c>
      <c r="D3295" t="s">
        <v>5363</v>
      </c>
      <c r="E3295" t="s">
        <v>5488</v>
      </c>
      <c r="F3295" s="125" t="s">
        <v>5488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4</v>
      </c>
      <c r="R3295" s="115" t="s">
        <v>1459</v>
      </c>
      <c r="S3295" s="125"/>
    </row>
    <row r="3296" spans="1:19" hidden="1">
      <c r="A3296" s="124" t="s">
        <v>5520</v>
      </c>
      <c r="B3296" s="125" t="str">
        <f>IFERROR(VLOOKUP(Proc[[#This Row],[App]],Table2[],3,0),"open")</f>
        <v>open</v>
      </c>
      <c r="C3296" s="124" t="s">
        <v>369</v>
      </c>
      <c r="D3296" t="s">
        <v>5364</v>
      </c>
      <c r="E3296" t="s">
        <v>5506</v>
      </c>
      <c r="F3296" s="125" t="s">
        <v>5506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4</v>
      </c>
      <c r="R3296" s="115" t="s">
        <v>1459</v>
      </c>
      <c r="S3296" s="125"/>
    </row>
    <row r="3297" spans="1:19" hidden="1">
      <c r="A3297" s="124" t="s">
        <v>5520</v>
      </c>
      <c r="B3297" s="125" t="str">
        <f>IFERROR(VLOOKUP(Proc[[#This Row],[App]],Table2[],3,0),"open")</f>
        <v>open</v>
      </c>
      <c r="C3297" s="124" t="s">
        <v>369</v>
      </c>
      <c r="D3297" t="s">
        <v>5365</v>
      </c>
      <c r="E3297" t="s">
        <v>5494</v>
      </c>
      <c r="F3297" s="125" t="s">
        <v>5494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4</v>
      </c>
      <c r="R3297" s="115" t="s">
        <v>1459</v>
      </c>
      <c r="S3297" s="125"/>
    </row>
    <row r="3298" spans="1:19" hidden="1">
      <c r="A3298" s="124" t="s">
        <v>5520</v>
      </c>
      <c r="B3298" s="125" t="str">
        <f>IFERROR(VLOOKUP(Proc[[#This Row],[App]],Table2[],3,0),"open")</f>
        <v>open</v>
      </c>
      <c r="C3298" s="124" t="s">
        <v>369</v>
      </c>
      <c r="D3298" t="s">
        <v>5366</v>
      </c>
      <c r="E3298" t="s">
        <v>5486</v>
      </c>
      <c r="F3298" s="125" t="s">
        <v>5486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4</v>
      </c>
      <c r="R3298" s="115" t="s">
        <v>1459</v>
      </c>
      <c r="S3298" s="125"/>
    </row>
    <row r="3299" spans="1:19" hidden="1">
      <c r="A3299" s="124" t="s">
        <v>5520</v>
      </c>
      <c r="B3299" s="125" t="str">
        <f>IFERROR(VLOOKUP(Proc[[#This Row],[App]],Table2[],3,0),"open")</f>
        <v>open</v>
      </c>
      <c r="C3299" s="124" t="s">
        <v>369</v>
      </c>
      <c r="D3299" t="s">
        <v>5367</v>
      </c>
      <c r="E3299" t="s">
        <v>5506</v>
      </c>
      <c r="F3299" s="125" t="s">
        <v>5506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4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370</v>
      </c>
      <c r="D3300" t="s">
        <v>5368</v>
      </c>
      <c r="E3300" t="s">
        <v>4412</v>
      </c>
      <c r="F3300" s="125" t="str">
        <f>VLOOKUP(Proc[[#This Row],[Obj]],Sheet11!A:C,3,0)</f>
        <v>P000001319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4</v>
      </c>
      <c r="R3300" s="115" t="s">
        <v>1459</v>
      </c>
      <c r="S3300" s="125"/>
    </row>
    <row r="3301" spans="1:19" hidden="1">
      <c r="A3301" s="124" t="s">
        <v>5520</v>
      </c>
      <c r="B3301" s="125" t="str">
        <f>IFERROR(VLOOKUP(Proc[[#This Row],[App]],Table2[],3,0),"open")</f>
        <v>open</v>
      </c>
      <c r="C3301" s="124" t="s">
        <v>369</v>
      </c>
      <c r="D3301" t="s">
        <v>5369</v>
      </c>
      <c r="E3301" t="s">
        <v>5486</v>
      </c>
      <c r="F3301" s="125" t="s">
        <v>5486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4</v>
      </c>
      <c r="R3301" s="115" t="s">
        <v>1459</v>
      </c>
      <c r="S3301" s="125"/>
    </row>
    <row r="3302" spans="1:19" hidden="1">
      <c r="A3302" s="124" t="s">
        <v>5520</v>
      </c>
      <c r="B3302" s="125" t="str">
        <f>IFERROR(VLOOKUP(Proc[[#This Row],[App]],Table2[],3,0),"open")</f>
        <v>open</v>
      </c>
      <c r="C3302" s="124" t="s">
        <v>369</v>
      </c>
      <c r="D3302" t="s">
        <v>5370</v>
      </c>
      <c r="E3302" t="s">
        <v>5498</v>
      </c>
      <c r="F3302" s="125" t="s">
        <v>5498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4</v>
      </c>
      <c r="R3302" s="115" t="s">
        <v>1459</v>
      </c>
      <c r="S3302" s="125"/>
    </row>
    <row r="3303" spans="1:19" hidden="1">
      <c r="A3303" s="124" t="s">
        <v>5520</v>
      </c>
      <c r="B3303" s="125" t="str">
        <f>IFERROR(VLOOKUP(Proc[[#This Row],[App]],Table2[],3,0),"open")</f>
        <v>open</v>
      </c>
      <c r="C3303" s="124" t="s">
        <v>369</v>
      </c>
      <c r="D3303" t="s">
        <v>5371</v>
      </c>
      <c r="E3303" t="s">
        <v>5494</v>
      </c>
      <c r="F3303" s="125" t="s">
        <v>5494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4</v>
      </c>
      <c r="R3303" s="115" t="s">
        <v>1459</v>
      </c>
      <c r="S3303" s="125"/>
    </row>
    <row r="3304" spans="1:19" hidden="1">
      <c r="A3304" s="124" t="s">
        <v>5520</v>
      </c>
      <c r="B3304" s="125" t="str">
        <f>IFERROR(VLOOKUP(Proc[[#This Row],[App]],Table2[],3,0),"open")</f>
        <v>open</v>
      </c>
      <c r="C3304" s="124" t="s">
        <v>369</v>
      </c>
      <c r="D3304" t="s">
        <v>5372</v>
      </c>
      <c r="E3304" t="s">
        <v>5494</v>
      </c>
      <c r="F3304" s="125" t="s">
        <v>5494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4</v>
      </c>
      <c r="R3304" s="115" t="s">
        <v>1459</v>
      </c>
      <c r="S3304" s="125"/>
    </row>
    <row r="3305" spans="1:19" hidden="1">
      <c r="A3305" s="124" t="s">
        <v>5520</v>
      </c>
      <c r="B3305" s="125" t="str">
        <f>IFERROR(VLOOKUP(Proc[[#This Row],[App]],Table2[],3,0),"open")</f>
        <v>open</v>
      </c>
      <c r="C3305" s="124" t="s">
        <v>369</v>
      </c>
      <c r="D3305" t="s">
        <v>5373</v>
      </c>
      <c r="E3305" t="s">
        <v>5487</v>
      </c>
      <c r="F3305" s="125" t="s">
        <v>5487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4</v>
      </c>
      <c r="R3305" s="115" t="s">
        <v>1459</v>
      </c>
      <c r="S3305" s="125"/>
    </row>
    <row r="3306" spans="1:19" hidden="1">
      <c r="A3306" s="124" t="s">
        <v>5520</v>
      </c>
      <c r="B3306" s="125" t="str">
        <f>IFERROR(VLOOKUP(Proc[[#This Row],[App]],Table2[],3,0),"open")</f>
        <v>open</v>
      </c>
      <c r="C3306" s="124" t="s">
        <v>369</v>
      </c>
      <c r="D3306" t="s">
        <v>5374</v>
      </c>
      <c r="E3306" t="s">
        <v>5499</v>
      </c>
      <c r="F3306" s="125" t="s">
        <v>5499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4</v>
      </c>
      <c r="R3306" s="115" t="s">
        <v>1459</v>
      </c>
      <c r="S3306" s="125"/>
    </row>
    <row r="3307" spans="1:19" hidden="1">
      <c r="A3307" s="124" t="s">
        <v>5520</v>
      </c>
      <c r="B3307" s="125" t="str">
        <f>IFERROR(VLOOKUP(Proc[[#This Row],[App]],Table2[],3,0),"open")</f>
        <v>open</v>
      </c>
      <c r="C3307" s="124" t="s">
        <v>369</v>
      </c>
      <c r="D3307" t="s">
        <v>5375</v>
      </c>
      <c r="E3307" t="s">
        <v>5486</v>
      </c>
      <c r="F3307" s="125" t="s">
        <v>5486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4</v>
      </c>
      <c r="R3307" s="115" t="s">
        <v>1459</v>
      </c>
      <c r="S3307" s="125"/>
    </row>
    <row r="3308" spans="1:19" hidden="1">
      <c r="A3308" s="124" t="s">
        <v>5520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5486</v>
      </c>
      <c r="F3308" s="125" t="s">
        <v>5486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4</v>
      </c>
      <c r="R3308" s="115" t="s">
        <v>1459</v>
      </c>
      <c r="S3308" s="125"/>
    </row>
    <row r="3309" spans="1:19" hidden="1">
      <c r="A3309" s="124" t="s">
        <v>5520</v>
      </c>
      <c r="B3309" s="125" t="str">
        <f>IFERROR(VLOOKUP(Proc[[#This Row],[App]],Table2[],3,0),"open")</f>
        <v>open</v>
      </c>
      <c r="C3309" s="124" t="s">
        <v>369</v>
      </c>
      <c r="D3309" t="s">
        <v>5376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4</v>
      </c>
      <c r="R3309" s="115" t="s">
        <v>1459</v>
      </c>
      <c r="S3309" s="125"/>
    </row>
    <row r="3310" spans="1:19" hidden="1">
      <c r="A3310" s="124" t="s">
        <v>5520</v>
      </c>
      <c r="B3310" s="125" t="str">
        <f>IFERROR(VLOOKUP(Proc[[#This Row],[App]],Table2[],3,0),"open")</f>
        <v>open</v>
      </c>
      <c r="C3310" s="124" t="s">
        <v>369</v>
      </c>
      <c r="D3310" t="s">
        <v>5377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4</v>
      </c>
      <c r="R3310" s="115" t="s">
        <v>1459</v>
      </c>
      <c r="S3310" s="125"/>
    </row>
    <row r="3311" spans="1:19" hidden="1">
      <c r="A3311" s="124" t="s">
        <v>5520</v>
      </c>
      <c r="B3311" s="125" t="str">
        <f>IFERROR(VLOOKUP(Proc[[#This Row],[App]],Table2[],3,0),"open")</f>
        <v>open</v>
      </c>
      <c r="C3311" s="124" t="s">
        <v>369</v>
      </c>
      <c r="D3311" t="s">
        <v>5378</v>
      </c>
      <c r="E3311" t="s">
        <v>5507</v>
      </c>
      <c r="F3311" s="125" t="s">
        <v>5507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4</v>
      </c>
      <c r="R3311" s="115" t="s">
        <v>1459</v>
      </c>
      <c r="S3311" s="125"/>
    </row>
    <row r="3312" spans="1:19" hidden="1">
      <c r="A3312" s="124" t="s">
        <v>5520</v>
      </c>
      <c r="B3312" s="125" t="str">
        <f>IFERROR(VLOOKUP(Proc[[#This Row],[App]],Table2[],3,0),"open")</f>
        <v>open</v>
      </c>
      <c r="C3312" s="124" t="s">
        <v>369</v>
      </c>
      <c r="D3312" t="s">
        <v>5379</v>
      </c>
      <c r="E3312" t="s">
        <v>5508</v>
      </c>
      <c r="F3312" s="125" t="s">
        <v>5508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4</v>
      </c>
      <c r="R3312" s="115" t="s">
        <v>1459</v>
      </c>
      <c r="S3312" s="125"/>
    </row>
    <row r="3313" spans="1:19" hidden="1">
      <c r="A3313" s="124" t="s">
        <v>5520</v>
      </c>
      <c r="B3313" s="125" t="str">
        <f>IFERROR(VLOOKUP(Proc[[#This Row],[App]],Table2[],3,0),"open")</f>
        <v>open</v>
      </c>
      <c r="C3313" s="124" t="s">
        <v>369</v>
      </c>
      <c r="D3313" t="s">
        <v>5380</v>
      </c>
      <c r="E3313" t="s">
        <v>5491</v>
      </c>
      <c r="F3313" s="125" t="s">
        <v>5491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4</v>
      </c>
      <c r="R3313" s="115" t="s">
        <v>1459</v>
      </c>
      <c r="S3313" s="125"/>
    </row>
    <row r="3314" spans="1:19" hidden="1">
      <c r="A3314" s="124" t="s">
        <v>5520</v>
      </c>
      <c r="B3314" s="125" t="str">
        <f>IFERROR(VLOOKUP(Proc[[#This Row],[App]],Table2[],3,0),"open")</f>
        <v>open</v>
      </c>
      <c r="C3314" s="124" t="s">
        <v>369</v>
      </c>
      <c r="D3314" t="s">
        <v>5381</v>
      </c>
      <c r="E3314" t="s">
        <v>5500</v>
      </c>
      <c r="F3314" s="125" t="s">
        <v>5500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4</v>
      </c>
      <c r="R3314" s="115" t="s">
        <v>1459</v>
      </c>
      <c r="S3314" s="125"/>
    </row>
    <row r="3315" spans="1:19" hidden="1">
      <c r="A3315" s="124" t="s">
        <v>5520</v>
      </c>
      <c r="B3315" s="125" t="str">
        <f>IFERROR(VLOOKUP(Proc[[#This Row],[App]],Table2[],3,0),"open")</f>
        <v>open</v>
      </c>
      <c r="C3315" s="124" t="s">
        <v>369</v>
      </c>
      <c r="D3315" t="s">
        <v>5382</v>
      </c>
      <c r="E3315" t="s">
        <v>5502</v>
      </c>
      <c r="F3315" s="125" t="s">
        <v>5502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4</v>
      </c>
      <c r="R3315" s="115" t="s">
        <v>1459</v>
      </c>
      <c r="S3315" s="125"/>
    </row>
    <row r="3316" spans="1:19" hidden="1">
      <c r="A3316" s="124" t="s">
        <v>5520</v>
      </c>
      <c r="B3316" s="125" t="str">
        <f>IFERROR(VLOOKUP(Proc[[#This Row],[App]],Table2[],3,0),"open")</f>
        <v>open</v>
      </c>
      <c r="C3316" s="124" t="s">
        <v>369</v>
      </c>
      <c r="D3316" t="s">
        <v>5383</v>
      </c>
      <c r="E3316" t="s">
        <v>5501</v>
      </c>
      <c r="F3316" s="125" t="s">
        <v>5501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4</v>
      </c>
      <c r="R3316" s="115" t="s">
        <v>1459</v>
      </c>
      <c r="S3316" s="125"/>
    </row>
    <row r="3317" spans="1:19" hidden="1">
      <c r="A3317" s="124" t="s">
        <v>5520</v>
      </c>
      <c r="B3317" s="125" t="str">
        <f>IFERROR(VLOOKUP(Proc[[#This Row],[App]],Table2[],3,0),"open")</f>
        <v>open</v>
      </c>
      <c r="C3317" s="124" t="s">
        <v>369</v>
      </c>
      <c r="D3317" t="s">
        <v>5384</v>
      </c>
      <c r="E3317" t="s">
        <v>5494</v>
      </c>
      <c r="F3317" s="125" t="s">
        <v>5494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4</v>
      </c>
      <c r="R3317" s="115" t="s">
        <v>1459</v>
      </c>
      <c r="S3317" s="125"/>
    </row>
    <row r="3318" spans="1:19" hidden="1">
      <c r="A3318" s="124" t="s">
        <v>5520</v>
      </c>
      <c r="B3318" s="125" t="str">
        <f>IFERROR(VLOOKUP(Proc[[#This Row],[App]],Table2[],3,0),"open")</f>
        <v>open</v>
      </c>
      <c r="C3318" s="124" t="s">
        <v>369</v>
      </c>
      <c r="D3318" t="s">
        <v>5385</v>
      </c>
      <c r="E3318" t="s">
        <v>5494</v>
      </c>
      <c r="F3318" s="125" t="s">
        <v>5494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4</v>
      </c>
      <c r="R3318" s="115" t="s">
        <v>1459</v>
      </c>
      <c r="S3318" s="125"/>
    </row>
    <row r="3319" spans="1:19" hidden="1">
      <c r="A3319" s="124" t="s">
        <v>5520</v>
      </c>
      <c r="B3319" s="125" t="str">
        <f>IFERROR(VLOOKUP(Proc[[#This Row],[App]],Table2[],3,0),"open")</f>
        <v>open</v>
      </c>
      <c r="C3319" s="124" t="s">
        <v>369</v>
      </c>
      <c r="D3319" t="s">
        <v>5386</v>
      </c>
      <c r="E3319" t="s">
        <v>5494</v>
      </c>
      <c r="F3319" s="125" t="s">
        <v>5494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4</v>
      </c>
      <c r="R3319" s="115" t="s">
        <v>1459</v>
      </c>
      <c r="S3319" s="125"/>
    </row>
    <row r="3320" spans="1:19" hidden="1">
      <c r="A3320" s="124" t="s">
        <v>5520</v>
      </c>
      <c r="B3320" s="125" t="str">
        <f>IFERROR(VLOOKUP(Proc[[#This Row],[App]],Table2[],3,0),"open")</f>
        <v>open</v>
      </c>
      <c r="C3320" s="124" t="s">
        <v>369</v>
      </c>
      <c r="D3320" t="s">
        <v>5387</v>
      </c>
      <c r="E3320" t="s">
        <v>5494</v>
      </c>
      <c r="F3320" s="125" t="s">
        <v>5494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4</v>
      </c>
      <c r="R3320" s="115" t="s">
        <v>1459</v>
      </c>
      <c r="S3320" s="125"/>
    </row>
    <row r="3321" spans="1:19" hidden="1">
      <c r="A3321" s="124" t="s">
        <v>5520</v>
      </c>
      <c r="B3321" s="125" t="str">
        <f>IFERROR(VLOOKUP(Proc[[#This Row],[App]],Table2[],3,0),"open")</f>
        <v>open</v>
      </c>
      <c r="C3321" s="124" t="s">
        <v>369</v>
      </c>
      <c r="D3321" t="s">
        <v>5388</v>
      </c>
      <c r="E3321" t="s">
        <v>5494</v>
      </c>
      <c r="F3321" s="125" t="s">
        <v>5494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4</v>
      </c>
      <c r="R3321" s="115" t="s">
        <v>1459</v>
      </c>
      <c r="S3321" s="125"/>
    </row>
    <row r="3322" spans="1:19" hidden="1">
      <c r="A3322" s="124" t="s">
        <v>5520</v>
      </c>
      <c r="B3322" s="125" t="str">
        <f>IFERROR(VLOOKUP(Proc[[#This Row],[App]],Table2[],3,0),"open")</f>
        <v>open</v>
      </c>
      <c r="C3322" s="124" t="s">
        <v>369</v>
      </c>
      <c r="D3322" t="s">
        <v>5389</v>
      </c>
      <c r="E3322" t="s">
        <v>5494</v>
      </c>
      <c r="F3322" s="125" t="s">
        <v>5494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4</v>
      </c>
      <c r="R3322" s="115" t="s">
        <v>1459</v>
      </c>
      <c r="S3322" s="125"/>
    </row>
    <row r="3323" spans="1:19" hidden="1">
      <c r="A3323" s="124" t="s">
        <v>5520</v>
      </c>
      <c r="B3323" s="125" t="str">
        <f>IFERROR(VLOOKUP(Proc[[#This Row],[App]],Table2[],3,0),"open")</f>
        <v>open</v>
      </c>
      <c r="C3323" s="124" t="s">
        <v>369</v>
      </c>
      <c r="D3323" t="s">
        <v>5390</v>
      </c>
      <c r="E3323" t="s">
        <v>5494</v>
      </c>
      <c r="F3323" s="125" t="s">
        <v>5494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4</v>
      </c>
      <c r="R3323" s="115" t="s">
        <v>1459</v>
      </c>
      <c r="S3323" s="125"/>
    </row>
    <row r="3324" spans="1:19" hidden="1">
      <c r="A3324" s="124" t="s">
        <v>5520</v>
      </c>
      <c r="B3324" s="125" t="str">
        <f>IFERROR(VLOOKUP(Proc[[#This Row],[App]],Table2[],3,0),"open")</f>
        <v>open</v>
      </c>
      <c r="C3324" s="124" t="s">
        <v>369</v>
      </c>
      <c r="D3324" t="s">
        <v>5391</v>
      </c>
      <c r="E3324" t="s">
        <v>5492</v>
      </c>
      <c r="F3324" s="125" t="s">
        <v>5492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4</v>
      </c>
      <c r="R3324" s="115" t="s">
        <v>1459</v>
      </c>
      <c r="S3324" s="125"/>
    </row>
    <row r="3325" spans="1:19" hidden="1">
      <c r="A3325" s="124" t="s">
        <v>5520</v>
      </c>
      <c r="B3325" s="125" t="str">
        <f>IFERROR(VLOOKUP(Proc[[#This Row],[App]],Table2[],3,0),"open")</f>
        <v>open</v>
      </c>
      <c r="C3325" s="124" t="s">
        <v>369</v>
      </c>
      <c r="D3325" t="s">
        <v>5392</v>
      </c>
      <c r="E3325" t="s">
        <v>5491</v>
      </c>
      <c r="F3325" s="125" t="s">
        <v>5491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4</v>
      </c>
      <c r="R3325" s="115" t="s">
        <v>1459</v>
      </c>
      <c r="S3325" s="125"/>
    </row>
    <row r="3326" spans="1:19" hidden="1">
      <c r="A3326" s="124" t="s">
        <v>5520</v>
      </c>
      <c r="B3326" s="125" t="str">
        <f>IFERROR(VLOOKUP(Proc[[#This Row],[App]],Table2[],3,0),"open")</f>
        <v>open</v>
      </c>
      <c r="C3326" s="124" t="s">
        <v>369</v>
      </c>
      <c r="D3326" t="s">
        <v>5393</v>
      </c>
      <c r="E3326" t="s">
        <v>5492</v>
      </c>
      <c r="F3326" s="125" t="s">
        <v>5492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4</v>
      </c>
      <c r="R3326" s="115" t="s">
        <v>1459</v>
      </c>
      <c r="S3326" s="125"/>
    </row>
    <row r="3327" spans="1:19" hidden="1">
      <c r="A3327" s="124" t="s">
        <v>5520</v>
      </c>
      <c r="B3327" s="125" t="str">
        <f>IFERROR(VLOOKUP(Proc[[#This Row],[App]],Table2[],3,0),"open")</f>
        <v>open</v>
      </c>
      <c r="C3327" s="124" t="s">
        <v>369</v>
      </c>
      <c r="D3327" t="s">
        <v>5394</v>
      </c>
      <c r="E3327" t="s">
        <v>5492</v>
      </c>
      <c r="F3327" s="125" t="s">
        <v>5492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4</v>
      </c>
      <c r="R3327" s="115" t="s">
        <v>1459</v>
      </c>
      <c r="S3327" s="125"/>
    </row>
    <row r="3328" spans="1:19" hidden="1">
      <c r="A3328" s="124" t="s">
        <v>5520</v>
      </c>
      <c r="B3328" s="125" t="str">
        <f>IFERROR(VLOOKUP(Proc[[#This Row],[App]],Table2[],3,0),"open")</f>
        <v>open</v>
      </c>
      <c r="C3328" s="124" t="s">
        <v>369</v>
      </c>
      <c r="D3328" t="s">
        <v>5395</v>
      </c>
      <c r="E3328" t="s">
        <v>5492</v>
      </c>
      <c r="F3328" s="125" t="s">
        <v>5492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4</v>
      </c>
      <c r="R3328" s="115" t="s">
        <v>1459</v>
      </c>
      <c r="S3328" s="125"/>
    </row>
    <row r="3329" spans="1:19" hidden="1">
      <c r="A3329" s="124" t="s">
        <v>5520</v>
      </c>
      <c r="B3329" s="125" t="str">
        <f>IFERROR(VLOOKUP(Proc[[#This Row],[App]],Table2[],3,0),"open")</f>
        <v>open</v>
      </c>
      <c r="C3329" s="124" t="s">
        <v>369</v>
      </c>
      <c r="D3329" t="s">
        <v>5396</v>
      </c>
      <c r="E3329" t="s">
        <v>5492</v>
      </c>
      <c r="F3329" s="125" t="s">
        <v>5492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4</v>
      </c>
      <c r="R3329" s="115" t="s">
        <v>1459</v>
      </c>
      <c r="S3329" s="125"/>
    </row>
    <row r="3330" spans="1:19" hidden="1">
      <c r="A3330" s="124" t="s">
        <v>5520</v>
      </c>
      <c r="B3330" s="125" t="str">
        <f>IFERROR(VLOOKUP(Proc[[#This Row],[App]],Table2[],3,0),"open")</f>
        <v>open</v>
      </c>
      <c r="C3330" s="124" t="s">
        <v>369</v>
      </c>
      <c r="D3330" t="s">
        <v>5397</v>
      </c>
      <c r="E3330" t="s">
        <v>5488</v>
      </c>
      <c r="F3330" s="125" t="s">
        <v>5488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4</v>
      </c>
      <c r="R3330" s="115" t="s">
        <v>1459</v>
      </c>
      <c r="S3330" s="125"/>
    </row>
    <row r="3331" spans="1:19" hidden="1">
      <c r="A3331" s="124" t="s">
        <v>5520</v>
      </c>
      <c r="B3331" s="125" t="str">
        <f>IFERROR(VLOOKUP(Proc[[#This Row],[App]],Table2[],3,0),"open")</f>
        <v>open</v>
      </c>
      <c r="C3331" s="124" t="s">
        <v>369</v>
      </c>
      <c r="D3331" t="s">
        <v>5398</v>
      </c>
      <c r="E3331" t="s">
        <v>5488</v>
      </c>
      <c r="F3331" s="125" t="s">
        <v>5488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4</v>
      </c>
      <c r="R3331" s="115" t="s">
        <v>1459</v>
      </c>
      <c r="S3331" s="125"/>
    </row>
    <row r="3332" spans="1:19" hidden="1">
      <c r="A3332" s="124" t="s">
        <v>5520</v>
      </c>
      <c r="B3332" s="125" t="str">
        <f>IFERROR(VLOOKUP(Proc[[#This Row],[App]],Table2[],3,0),"open")</f>
        <v>open</v>
      </c>
      <c r="C3332" s="124" t="s">
        <v>369</v>
      </c>
      <c r="D3332" t="s">
        <v>5399</v>
      </c>
      <c r="E3332" t="s">
        <v>5494</v>
      </c>
      <c r="F3332" s="125" t="s">
        <v>5494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4</v>
      </c>
      <c r="R3332" s="115" t="s">
        <v>1459</v>
      </c>
      <c r="S3332" s="125"/>
    </row>
    <row r="3333" spans="1:19" hidden="1">
      <c r="A3333" s="124" t="s">
        <v>5520</v>
      </c>
      <c r="B3333" s="125" t="str">
        <f>IFERROR(VLOOKUP(Proc[[#This Row],[App]],Table2[],3,0),"open")</f>
        <v>open</v>
      </c>
      <c r="C3333" s="124" t="s">
        <v>369</v>
      </c>
      <c r="D3333" t="s">
        <v>5400</v>
      </c>
      <c r="E3333" t="s">
        <v>5509</v>
      </c>
      <c r="F3333" s="125" t="s">
        <v>5509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4</v>
      </c>
      <c r="R3333" s="115" t="s">
        <v>1459</v>
      </c>
      <c r="S3333" s="125"/>
    </row>
    <row r="3334" spans="1:19" hidden="1">
      <c r="A3334" s="124" t="s">
        <v>5520</v>
      </c>
      <c r="B3334" s="125" t="str">
        <f>IFERROR(VLOOKUP(Proc[[#This Row],[App]],Table2[],3,0),"open")</f>
        <v>open</v>
      </c>
      <c r="C3334" s="124" t="s">
        <v>369</v>
      </c>
      <c r="D3334" t="s">
        <v>5401</v>
      </c>
      <c r="E3334" t="s">
        <v>5510</v>
      </c>
      <c r="F3334" s="125" t="s">
        <v>5510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4</v>
      </c>
      <c r="R3334" s="115" t="s">
        <v>1459</v>
      </c>
      <c r="S3334" s="125"/>
    </row>
    <row r="3335" spans="1:19" hidden="1">
      <c r="A3335" s="124" t="s">
        <v>5520</v>
      </c>
      <c r="B3335" s="125" t="str">
        <f>IFERROR(VLOOKUP(Proc[[#This Row],[App]],Table2[],3,0),"open")</f>
        <v>open</v>
      </c>
      <c r="C3335" s="124" t="s">
        <v>369</v>
      </c>
      <c r="D3335" t="s">
        <v>5402</v>
      </c>
      <c r="E3335" t="s">
        <v>5487</v>
      </c>
      <c r="F3335" s="125" t="s">
        <v>5487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4</v>
      </c>
      <c r="R3335" s="115" t="s">
        <v>1459</v>
      </c>
      <c r="S3335" s="125"/>
    </row>
    <row r="3336" spans="1:19" hidden="1">
      <c r="A3336" s="124" t="s">
        <v>5520</v>
      </c>
      <c r="B3336" s="125" t="str">
        <f>IFERROR(VLOOKUP(Proc[[#This Row],[App]],Table2[],3,0),"open")</f>
        <v>open</v>
      </c>
      <c r="C3336" s="124" t="s">
        <v>369</v>
      </c>
      <c r="D3336" t="s">
        <v>5403</v>
      </c>
      <c r="E3336" t="s">
        <v>5491</v>
      </c>
      <c r="F3336" s="125" t="s">
        <v>5491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4</v>
      </c>
      <c r="R3336" s="115" t="s">
        <v>1459</v>
      </c>
      <c r="S3336" s="125"/>
    </row>
    <row r="3337" spans="1:19" hidden="1">
      <c r="A3337" s="124" t="s">
        <v>5520</v>
      </c>
      <c r="B3337" s="125" t="str">
        <f>IFERROR(VLOOKUP(Proc[[#This Row],[App]],Table2[],3,0),"open")</f>
        <v>open</v>
      </c>
      <c r="C3337" s="124" t="s">
        <v>369</v>
      </c>
      <c r="D3337" t="s">
        <v>5404</v>
      </c>
      <c r="E3337" t="s">
        <v>5491</v>
      </c>
      <c r="F3337" s="125" t="s">
        <v>5491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4</v>
      </c>
      <c r="R3337" s="115" t="s">
        <v>1459</v>
      </c>
      <c r="S3337" s="125"/>
    </row>
    <row r="3338" spans="1:19" hidden="1">
      <c r="A3338" s="124" t="s">
        <v>5520</v>
      </c>
      <c r="B3338" s="125" t="str">
        <f>IFERROR(VLOOKUP(Proc[[#This Row],[App]],Table2[],3,0),"open")</f>
        <v>open</v>
      </c>
      <c r="C3338" s="124" t="s">
        <v>369</v>
      </c>
      <c r="D3338" t="s">
        <v>5405</v>
      </c>
      <c r="E3338" t="s">
        <v>5499</v>
      </c>
      <c r="F3338" s="125" t="s">
        <v>5499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4</v>
      </c>
      <c r="R3338" s="115" t="s">
        <v>1459</v>
      </c>
      <c r="S3338" s="125"/>
    </row>
    <row r="3339" spans="1:19" hidden="1">
      <c r="A3339" s="124" t="s">
        <v>5520</v>
      </c>
      <c r="B3339" s="125" t="str">
        <f>IFERROR(VLOOKUP(Proc[[#This Row],[App]],Table2[],3,0),"open")</f>
        <v>open</v>
      </c>
      <c r="C3339" s="124" t="s">
        <v>369</v>
      </c>
      <c r="D3339" t="s">
        <v>5406</v>
      </c>
      <c r="E3339" t="s">
        <v>5488</v>
      </c>
      <c r="F3339" s="125" t="s">
        <v>5488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4</v>
      </c>
      <c r="R3339" s="115" t="s">
        <v>1459</v>
      </c>
      <c r="S3339" s="125"/>
    </row>
    <row r="3340" spans="1:19" hidden="1">
      <c r="A3340" s="124" t="s">
        <v>5520</v>
      </c>
      <c r="B3340" s="125" t="str">
        <f>IFERROR(VLOOKUP(Proc[[#This Row],[App]],Table2[],3,0),"open")</f>
        <v>open</v>
      </c>
      <c r="C3340" s="124" t="s">
        <v>369</v>
      </c>
      <c r="D3340" t="s">
        <v>5407</v>
      </c>
      <c r="E3340" t="s">
        <v>5511</v>
      </c>
      <c r="F3340" s="125" t="s">
        <v>5511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4</v>
      </c>
      <c r="R3340" s="115" t="s">
        <v>1459</v>
      </c>
      <c r="S3340" s="125"/>
    </row>
    <row r="3341" spans="1:19" hidden="1">
      <c r="A3341" s="124" t="s">
        <v>5520</v>
      </c>
      <c r="B3341" s="125" t="str">
        <f>IFERROR(VLOOKUP(Proc[[#This Row],[App]],Table2[],3,0),"open")</f>
        <v>open</v>
      </c>
      <c r="C3341" s="124" t="s">
        <v>369</v>
      </c>
      <c r="D3341" t="s">
        <v>5408</v>
      </c>
      <c r="E3341" t="s">
        <v>5498</v>
      </c>
      <c r="F3341" s="125" t="s">
        <v>5498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4</v>
      </c>
      <c r="R3341" s="115" t="s">
        <v>1459</v>
      </c>
      <c r="S3341" s="125"/>
    </row>
    <row r="3342" spans="1:19" hidden="1">
      <c r="A3342" s="124" t="s">
        <v>5520</v>
      </c>
      <c r="B3342" s="125" t="str">
        <f>IFERROR(VLOOKUP(Proc[[#This Row],[App]],Table2[],3,0),"open")</f>
        <v>open</v>
      </c>
      <c r="C3342" s="124" t="s">
        <v>369</v>
      </c>
      <c r="D3342" t="s">
        <v>5409</v>
      </c>
      <c r="E3342" t="s">
        <v>5494</v>
      </c>
      <c r="F3342" s="125" t="s">
        <v>5494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4</v>
      </c>
      <c r="R3342" s="115" t="s">
        <v>1459</v>
      </c>
      <c r="S3342" s="125"/>
    </row>
    <row r="3343" spans="1:19" hidden="1">
      <c r="A3343" s="124" t="s">
        <v>5520</v>
      </c>
      <c r="B3343" s="125" t="str">
        <f>IFERROR(VLOOKUP(Proc[[#This Row],[App]],Table2[],3,0),"open")</f>
        <v>open</v>
      </c>
      <c r="C3343" s="124" t="s">
        <v>369</v>
      </c>
      <c r="D3343" t="s">
        <v>5410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4</v>
      </c>
      <c r="R3343" s="115" t="s">
        <v>1459</v>
      </c>
      <c r="S3343" s="125"/>
    </row>
    <row r="3344" spans="1:19" hidden="1">
      <c r="A3344" s="124" t="s">
        <v>5520</v>
      </c>
      <c r="B3344" s="125" t="str">
        <f>IFERROR(VLOOKUP(Proc[[#This Row],[App]],Table2[],3,0),"open")</f>
        <v>open</v>
      </c>
      <c r="C3344" s="124" t="s">
        <v>369</v>
      </c>
      <c r="D3344" t="s">
        <v>5411</v>
      </c>
      <c r="E3344" t="s">
        <v>5486</v>
      </c>
      <c r="F3344" s="125" t="s">
        <v>5486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4</v>
      </c>
      <c r="R3344" s="115" t="s">
        <v>1459</v>
      </c>
      <c r="S3344" s="125"/>
    </row>
    <row r="3345" spans="1:19" hidden="1">
      <c r="A3345" s="124" t="s">
        <v>5520</v>
      </c>
      <c r="B3345" s="125" t="str">
        <f>IFERROR(VLOOKUP(Proc[[#This Row],[App]],Table2[],3,0),"open")</f>
        <v>open</v>
      </c>
      <c r="C3345" s="124" t="s">
        <v>369</v>
      </c>
      <c r="D3345" t="s">
        <v>5412</v>
      </c>
      <c r="E3345" t="s">
        <v>5487</v>
      </c>
      <c r="F3345" s="125" t="s">
        <v>5487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4</v>
      </c>
      <c r="R3345" s="115" t="s">
        <v>1459</v>
      </c>
      <c r="S3345" s="125"/>
    </row>
    <row r="3346" spans="1:19" hidden="1">
      <c r="A3346" s="124" t="s">
        <v>5520</v>
      </c>
      <c r="B3346" s="125" t="str">
        <f>IFERROR(VLOOKUP(Proc[[#This Row],[App]],Table2[],3,0),"open")</f>
        <v>open</v>
      </c>
      <c r="C3346" s="124" t="s">
        <v>369</v>
      </c>
      <c r="D3346" t="s">
        <v>5413</v>
      </c>
      <c r="E3346" t="s">
        <v>5488</v>
      </c>
      <c r="F3346" s="125" t="s">
        <v>5488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4</v>
      </c>
      <c r="R3346" s="115" t="s">
        <v>1459</v>
      </c>
      <c r="S3346" s="125"/>
    </row>
    <row r="3347" spans="1:19" hidden="1">
      <c r="A3347" s="124" t="s">
        <v>5520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5495</v>
      </c>
      <c r="F3347" s="125" t="s">
        <v>5495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4</v>
      </c>
      <c r="R3347" s="115" t="s">
        <v>1459</v>
      </c>
      <c r="S3347" s="125"/>
    </row>
    <row r="3348" spans="1:19" hidden="1">
      <c r="A3348" s="124" t="s">
        <v>5520</v>
      </c>
      <c r="B3348" s="125" t="str">
        <f>IFERROR(VLOOKUP(Proc[[#This Row],[App]],Table2[],3,0),"open")</f>
        <v>open</v>
      </c>
      <c r="C3348" s="124" t="s">
        <v>369</v>
      </c>
      <c r="D3348" t="s">
        <v>5414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4</v>
      </c>
      <c r="R3348" s="115" t="s">
        <v>1459</v>
      </c>
      <c r="S3348" s="125"/>
    </row>
    <row r="3349" spans="1:19" hidden="1">
      <c r="A3349" s="124" t="s">
        <v>5520</v>
      </c>
      <c r="B3349" s="125" t="str">
        <f>IFERROR(VLOOKUP(Proc[[#This Row],[App]],Table2[],3,0),"open")</f>
        <v>open</v>
      </c>
      <c r="C3349" s="124" t="s">
        <v>369</v>
      </c>
      <c r="D3349" t="s">
        <v>5415</v>
      </c>
      <c r="E3349" t="s">
        <v>5488</v>
      </c>
      <c r="F3349" s="125" t="s">
        <v>5488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4</v>
      </c>
      <c r="R3349" s="115" t="s">
        <v>1459</v>
      </c>
      <c r="S3349" s="125"/>
    </row>
    <row r="3350" spans="1:19" hidden="1">
      <c r="A3350" s="124" t="s">
        <v>5520</v>
      </c>
      <c r="B3350" s="125" t="str">
        <f>IFERROR(VLOOKUP(Proc[[#This Row],[App]],Table2[],3,0),"open")</f>
        <v>open</v>
      </c>
      <c r="C3350" s="124" t="s">
        <v>369</v>
      </c>
      <c r="D3350" t="s">
        <v>5416</v>
      </c>
      <c r="E3350" t="s">
        <v>5487</v>
      </c>
      <c r="F3350" s="125" t="s">
        <v>5487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4</v>
      </c>
      <c r="R3350" s="115" t="s">
        <v>1459</v>
      </c>
      <c r="S3350" s="125"/>
    </row>
    <row r="3351" spans="1:19" hidden="1">
      <c r="A3351" s="124" t="s">
        <v>5520</v>
      </c>
      <c r="B3351" s="125" t="str">
        <f>IFERROR(VLOOKUP(Proc[[#This Row],[App]],Table2[],3,0),"open")</f>
        <v>open</v>
      </c>
      <c r="C3351" s="124" t="s">
        <v>369</v>
      </c>
      <c r="D3351" t="s">
        <v>5417</v>
      </c>
      <c r="E3351" t="s">
        <v>5512</v>
      </c>
      <c r="F3351" s="125" t="s">
        <v>5512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4</v>
      </c>
      <c r="R3351" s="115" t="s">
        <v>1459</v>
      </c>
      <c r="S3351" s="125"/>
    </row>
    <row r="3352" spans="1:19" hidden="1">
      <c r="A3352" s="124" t="s">
        <v>5520</v>
      </c>
      <c r="B3352" s="125" t="str">
        <f>IFERROR(VLOOKUP(Proc[[#This Row],[App]],Table2[],3,0),"open")</f>
        <v>open</v>
      </c>
      <c r="C3352" s="124" t="s">
        <v>369</v>
      </c>
      <c r="D3352" t="s">
        <v>5418</v>
      </c>
      <c r="E3352" t="s">
        <v>5486</v>
      </c>
      <c r="F3352" s="125" t="s">
        <v>5486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4</v>
      </c>
      <c r="R3352" s="115" t="s">
        <v>1459</v>
      </c>
      <c r="S3352" s="125"/>
    </row>
    <row r="3353" spans="1:19" hidden="1">
      <c r="A3353" s="124" t="s">
        <v>5520</v>
      </c>
      <c r="B3353" s="125" t="str">
        <f>IFERROR(VLOOKUP(Proc[[#This Row],[App]],Table2[],3,0),"open")</f>
        <v>open</v>
      </c>
      <c r="C3353" s="124" t="s">
        <v>369</v>
      </c>
      <c r="D3353" t="s">
        <v>5419</v>
      </c>
      <c r="E3353" t="s">
        <v>5506</v>
      </c>
      <c r="F3353" s="125" t="s">
        <v>5506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4</v>
      </c>
      <c r="R3353" s="115" t="s">
        <v>1459</v>
      </c>
      <c r="S3353" s="125"/>
    </row>
    <row r="3354" spans="1:19" hidden="1">
      <c r="A3354" s="124" t="s">
        <v>5520</v>
      </c>
      <c r="B3354" s="125" t="str">
        <f>IFERROR(VLOOKUP(Proc[[#This Row],[App]],Table2[],3,0),"open")</f>
        <v>open</v>
      </c>
      <c r="C3354" s="124" t="s">
        <v>369</v>
      </c>
      <c r="D3354" t="s">
        <v>5420</v>
      </c>
      <c r="E3354" t="s">
        <v>5488</v>
      </c>
      <c r="F3354" s="125" t="s">
        <v>5488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4</v>
      </c>
      <c r="R3354" s="115" t="s">
        <v>1459</v>
      </c>
      <c r="S3354" s="125"/>
    </row>
    <row r="3355" spans="1:19" hidden="1">
      <c r="A3355" s="124" t="s">
        <v>5520</v>
      </c>
      <c r="B3355" s="125" t="str">
        <f>IFERROR(VLOOKUP(Proc[[#This Row],[App]],Table2[],3,0),"open")</f>
        <v>open</v>
      </c>
      <c r="C3355" s="124" t="s">
        <v>369</v>
      </c>
      <c r="D3355" t="s">
        <v>5421</v>
      </c>
      <c r="E3355" t="s">
        <v>5497</v>
      </c>
      <c r="F3355" s="125" t="s">
        <v>5497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4</v>
      </c>
      <c r="R3355" s="115" t="s">
        <v>1459</v>
      </c>
      <c r="S3355" s="125"/>
    </row>
    <row r="3356" spans="1:19" hidden="1">
      <c r="A3356" s="124" t="s">
        <v>5520</v>
      </c>
      <c r="B3356" s="125" t="str">
        <f>IFERROR(VLOOKUP(Proc[[#This Row],[App]],Table2[],3,0),"open")</f>
        <v>open</v>
      </c>
      <c r="C3356" s="124" t="s">
        <v>369</v>
      </c>
      <c r="D3356" t="s">
        <v>5422</v>
      </c>
      <c r="E3356" t="s">
        <v>5487</v>
      </c>
      <c r="F3356" s="125" t="s">
        <v>5487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4</v>
      </c>
      <c r="R3356" s="115" t="s">
        <v>1459</v>
      </c>
      <c r="S3356" s="125"/>
    </row>
    <row r="3357" spans="1:19" hidden="1">
      <c r="A3357" s="124" t="s">
        <v>5520</v>
      </c>
      <c r="B3357" s="125" t="str">
        <f>IFERROR(VLOOKUP(Proc[[#This Row],[App]],Table2[],3,0),"open")</f>
        <v>open</v>
      </c>
      <c r="C3357" s="124" t="s">
        <v>369</v>
      </c>
      <c r="D3357" t="s">
        <v>5423</v>
      </c>
      <c r="E3357" t="s">
        <v>5495</v>
      </c>
      <c r="F3357" s="125" t="s">
        <v>5495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4</v>
      </c>
      <c r="R3357" s="115" t="s">
        <v>1459</v>
      </c>
      <c r="S3357" s="125"/>
    </row>
    <row r="3358" spans="1:19" hidden="1">
      <c r="A3358" s="124" t="s">
        <v>5520</v>
      </c>
      <c r="B3358" s="125" t="str">
        <f>IFERROR(VLOOKUP(Proc[[#This Row],[App]],Table2[],3,0),"open")</f>
        <v>open</v>
      </c>
      <c r="C3358" s="124" t="s">
        <v>369</v>
      </c>
      <c r="D3358" t="s">
        <v>5424</v>
      </c>
      <c r="E3358" t="s">
        <v>5490</v>
      </c>
      <c r="F3358" s="125" t="s">
        <v>5490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4</v>
      </c>
      <c r="R3358" s="115" t="s">
        <v>1459</v>
      </c>
      <c r="S3358" s="125"/>
    </row>
    <row r="3359" spans="1:19" hidden="1">
      <c r="A3359" s="124" t="s">
        <v>5520</v>
      </c>
      <c r="B3359" s="125" t="str">
        <f>IFERROR(VLOOKUP(Proc[[#This Row],[App]],Table2[],3,0),"open")</f>
        <v>open</v>
      </c>
      <c r="C3359" s="124" t="s">
        <v>369</v>
      </c>
      <c r="D3359" t="s">
        <v>5425</v>
      </c>
      <c r="E3359" t="s">
        <v>5497</v>
      </c>
      <c r="F3359" s="125" t="s">
        <v>5497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4</v>
      </c>
      <c r="R3359" s="115" t="s">
        <v>1459</v>
      </c>
      <c r="S3359" s="125"/>
    </row>
    <row r="3360" spans="1:19" hidden="1">
      <c r="A3360" s="124" t="s">
        <v>5520</v>
      </c>
      <c r="B3360" s="125" t="str">
        <f>IFERROR(VLOOKUP(Proc[[#This Row],[App]],Table2[],3,0),"open")</f>
        <v>open</v>
      </c>
      <c r="C3360" s="124" t="s">
        <v>369</v>
      </c>
      <c r="D3360" t="s">
        <v>5426</v>
      </c>
      <c r="E3360" t="s">
        <v>5487</v>
      </c>
      <c r="F3360" s="125" t="s">
        <v>5487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4</v>
      </c>
      <c r="R3360" s="115" t="s">
        <v>1459</v>
      </c>
      <c r="S3360" s="125"/>
    </row>
    <row r="3361" spans="1:19" hidden="1">
      <c r="A3361" s="124" t="s">
        <v>5520</v>
      </c>
      <c r="B3361" s="125" t="str">
        <f>IFERROR(VLOOKUP(Proc[[#This Row],[App]],Table2[],3,0),"open")</f>
        <v>open</v>
      </c>
      <c r="C3361" s="124" t="s">
        <v>369</v>
      </c>
      <c r="D3361" t="s">
        <v>5427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4</v>
      </c>
      <c r="R3361" s="115" t="s">
        <v>1459</v>
      </c>
      <c r="S3361" s="125"/>
    </row>
    <row r="3362" spans="1:19" hidden="1">
      <c r="A3362" s="124" t="s">
        <v>5520</v>
      </c>
      <c r="B3362" s="125" t="str">
        <f>IFERROR(VLOOKUP(Proc[[#This Row],[App]],Table2[],3,0),"open")</f>
        <v>open</v>
      </c>
      <c r="C3362" s="124" t="s">
        <v>369</v>
      </c>
      <c r="D3362" t="s">
        <v>5428</v>
      </c>
      <c r="E3362" t="s">
        <v>5487</v>
      </c>
      <c r="F3362" s="125" t="s">
        <v>5487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4</v>
      </c>
      <c r="R3362" s="115" t="s">
        <v>1459</v>
      </c>
      <c r="S3362" s="125"/>
    </row>
    <row r="3363" spans="1:19" hidden="1">
      <c r="A3363" s="124" t="s">
        <v>5520</v>
      </c>
      <c r="B3363" s="125" t="str">
        <f>IFERROR(VLOOKUP(Proc[[#This Row],[App]],Table2[],3,0),"open")</f>
        <v>open</v>
      </c>
      <c r="C3363" s="124" t="s">
        <v>369</v>
      </c>
      <c r="D3363" t="s">
        <v>5429</v>
      </c>
      <c r="E3363" t="s">
        <v>5513</v>
      </c>
      <c r="F3363" s="125" t="s">
        <v>5513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4</v>
      </c>
      <c r="R3363" s="115" t="s">
        <v>1459</v>
      </c>
      <c r="S3363" s="125"/>
    </row>
    <row r="3364" spans="1:19" hidden="1">
      <c r="A3364" s="124" t="s">
        <v>5520</v>
      </c>
      <c r="B3364" s="125" t="str">
        <f>IFERROR(VLOOKUP(Proc[[#This Row],[App]],Table2[],3,0),"open")</f>
        <v>open</v>
      </c>
      <c r="C3364" s="124" t="s">
        <v>369</v>
      </c>
      <c r="D3364" t="s">
        <v>5430</v>
      </c>
      <c r="E3364" t="s">
        <v>5514</v>
      </c>
      <c r="F3364" s="125" t="s">
        <v>5514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4</v>
      </c>
      <c r="R3364" s="115" t="s">
        <v>1459</v>
      </c>
      <c r="S3364" s="125"/>
    </row>
    <row r="3365" spans="1:19" hidden="1">
      <c r="A3365" s="124" t="s">
        <v>5520</v>
      </c>
      <c r="B3365" s="125" t="str">
        <f>IFERROR(VLOOKUP(Proc[[#This Row],[App]],Table2[],3,0),"open")</f>
        <v>open</v>
      </c>
      <c r="C3365" s="124" t="s">
        <v>369</v>
      </c>
      <c r="D3365" t="s">
        <v>5431</v>
      </c>
      <c r="E3365" t="s">
        <v>5495</v>
      </c>
      <c r="F3365" s="125" t="s">
        <v>5495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4</v>
      </c>
      <c r="R3365" s="115" t="s">
        <v>1459</v>
      </c>
      <c r="S3365" s="125"/>
    </row>
    <row r="3366" spans="1:19" hidden="1">
      <c r="A3366" s="124" t="s">
        <v>5520</v>
      </c>
      <c r="B3366" s="125" t="str">
        <f>IFERROR(VLOOKUP(Proc[[#This Row],[App]],Table2[],3,0),"open")</f>
        <v>open</v>
      </c>
      <c r="C3366" s="124" t="s">
        <v>369</v>
      </c>
      <c r="D3366" t="s">
        <v>5432</v>
      </c>
      <c r="E3366" t="s">
        <v>5488</v>
      </c>
      <c r="F3366" s="125" t="s">
        <v>5488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4</v>
      </c>
      <c r="R3366" s="115" t="s">
        <v>1459</v>
      </c>
      <c r="S3366" s="125"/>
    </row>
    <row r="3367" spans="1:19" hidden="1">
      <c r="A3367" s="124" t="s">
        <v>5520</v>
      </c>
      <c r="B3367" s="125" t="str">
        <f>IFERROR(VLOOKUP(Proc[[#This Row],[App]],Table2[],3,0),"open")</f>
        <v>open</v>
      </c>
      <c r="C3367" s="124" t="s">
        <v>369</v>
      </c>
      <c r="D3367" t="s">
        <v>5433</v>
      </c>
      <c r="E3367" t="s">
        <v>5497</v>
      </c>
      <c r="F3367" s="125" t="s">
        <v>5497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4</v>
      </c>
      <c r="R3367" s="115" t="s">
        <v>1459</v>
      </c>
      <c r="S3367" s="125"/>
    </row>
    <row r="3368" spans="1:19" hidden="1">
      <c r="A3368" s="124" t="s">
        <v>5520</v>
      </c>
      <c r="B3368" s="125" t="str">
        <f>IFERROR(VLOOKUP(Proc[[#This Row],[App]],Table2[],3,0),"open")</f>
        <v>open</v>
      </c>
      <c r="C3368" s="124" t="s">
        <v>369</v>
      </c>
      <c r="D3368" t="s">
        <v>5434</v>
      </c>
      <c r="E3368" t="s">
        <v>5495</v>
      </c>
      <c r="F3368" s="125" t="s">
        <v>5495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4</v>
      </c>
      <c r="R3368" s="115" t="s">
        <v>1459</v>
      </c>
      <c r="S3368" s="125"/>
    </row>
    <row r="3369" spans="1:19" hidden="1">
      <c r="A3369" s="124" t="s">
        <v>5520</v>
      </c>
      <c r="B3369" s="125" t="str">
        <f>IFERROR(VLOOKUP(Proc[[#This Row],[App]],Table2[],3,0),"open")</f>
        <v>open</v>
      </c>
      <c r="C3369" s="124" t="s">
        <v>369</v>
      </c>
      <c r="D3369" t="s">
        <v>5435</v>
      </c>
      <c r="E3369" t="s">
        <v>5487</v>
      </c>
      <c r="F3369" s="125" t="s">
        <v>5487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4</v>
      </c>
      <c r="R3369" s="115" t="s">
        <v>1459</v>
      </c>
      <c r="S3369" s="125"/>
    </row>
    <row r="3370" spans="1:19" hidden="1">
      <c r="A3370" s="124" t="s">
        <v>5520</v>
      </c>
      <c r="B3370" s="125" t="str">
        <f>IFERROR(VLOOKUP(Proc[[#This Row],[App]],Table2[],3,0),"open")</f>
        <v>open</v>
      </c>
      <c r="C3370" s="124" t="s">
        <v>369</v>
      </c>
      <c r="D3370" t="s">
        <v>5436</v>
      </c>
      <c r="E3370" t="s">
        <v>5494</v>
      </c>
      <c r="F3370" s="125" t="s">
        <v>5494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4</v>
      </c>
      <c r="R3370" s="115" t="s">
        <v>1459</v>
      </c>
      <c r="S3370" s="125"/>
    </row>
    <row r="3371" spans="1:19" hidden="1">
      <c r="A3371" s="124" t="s">
        <v>5520</v>
      </c>
      <c r="B3371" s="125" t="str">
        <f>IFERROR(VLOOKUP(Proc[[#This Row],[App]],Table2[],3,0),"open")</f>
        <v>open</v>
      </c>
      <c r="C3371" s="124" t="s">
        <v>369</v>
      </c>
      <c r="D3371" t="s">
        <v>5437</v>
      </c>
      <c r="E3371" t="s">
        <v>5488</v>
      </c>
      <c r="F3371" s="125" t="s">
        <v>5488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4</v>
      </c>
      <c r="R3371" s="115" t="s">
        <v>1459</v>
      </c>
      <c r="S3371" s="125"/>
    </row>
    <row r="3372" spans="1:19" hidden="1">
      <c r="A3372" s="124" t="s">
        <v>5520</v>
      </c>
      <c r="B3372" s="125" t="str">
        <f>IFERROR(VLOOKUP(Proc[[#This Row],[App]],Table2[],3,0),"open")</f>
        <v>open</v>
      </c>
      <c r="C3372" s="124" t="s">
        <v>369</v>
      </c>
      <c r="D3372" t="s">
        <v>5438</v>
      </c>
      <c r="E3372" t="s">
        <v>5487</v>
      </c>
      <c r="F3372" s="125" t="s">
        <v>5487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4</v>
      </c>
      <c r="R3372" s="115" t="s">
        <v>1459</v>
      </c>
      <c r="S3372" s="125"/>
    </row>
    <row r="3373" spans="1:19" hidden="1">
      <c r="A3373" s="124" t="s">
        <v>5520</v>
      </c>
      <c r="B3373" s="125" t="str">
        <f>IFERROR(VLOOKUP(Proc[[#This Row],[App]],Table2[],3,0),"open")</f>
        <v>open</v>
      </c>
      <c r="C3373" s="124" t="s">
        <v>369</v>
      </c>
      <c r="D3373" t="s">
        <v>5439</v>
      </c>
      <c r="E3373" t="s">
        <v>5487</v>
      </c>
      <c r="F3373" s="125" t="s">
        <v>5487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4</v>
      </c>
      <c r="R3373" s="115" t="s">
        <v>1459</v>
      </c>
      <c r="S3373" s="125"/>
    </row>
    <row r="3374" spans="1:19" hidden="1">
      <c r="A3374" s="124" t="s">
        <v>5520</v>
      </c>
      <c r="B3374" s="125" t="str">
        <f>IFERROR(VLOOKUP(Proc[[#This Row],[App]],Table2[],3,0),"open")</f>
        <v>open</v>
      </c>
      <c r="C3374" s="124" t="s">
        <v>369</v>
      </c>
      <c r="D3374" t="s">
        <v>5440</v>
      </c>
      <c r="E3374" t="s">
        <v>5490</v>
      </c>
      <c r="F3374" s="125" t="s">
        <v>5490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4</v>
      </c>
      <c r="R3374" s="115" t="s">
        <v>1459</v>
      </c>
      <c r="S3374" s="125"/>
    </row>
    <row r="3375" spans="1:19" hidden="1">
      <c r="A3375" s="124" t="s">
        <v>5520</v>
      </c>
      <c r="B3375" s="125" t="str">
        <f>IFERROR(VLOOKUP(Proc[[#This Row],[App]],Table2[],3,0),"open")</f>
        <v>open</v>
      </c>
      <c r="C3375" s="124" t="s">
        <v>369</v>
      </c>
      <c r="D3375" t="s">
        <v>5441</v>
      </c>
      <c r="E3375" t="s">
        <v>5490</v>
      </c>
      <c r="F3375" s="125" t="s">
        <v>5490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4</v>
      </c>
      <c r="R3375" s="115" t="s">
        <v>1459</v>
      </c>
      <c r="S3375" s="125"/>
    </row>
    <row r="3376" spans="1:19" hidden="1">
      <c r="A3376" s="124" t="s">
        <v>5520</v>
      </c>
      <c r="B3376" s="125" t="str">
        <f>IFERROR(VLOOKUP(Proc[[#This Row],[App]],Table2[],3,0),"open")</f>
        <v>open</v>
      </c>
      <c r="C3376" s="124" t="s">
        <v>369</v>
      </c>
      <c r="D3376" t="s">
        <v>5442</v>
      </c>
      <c r="E3376" t="s">
        <v>5498</v>
      </c>
      <c r="F3376" s="125" t="s">
        <v>5498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4</v>
      </c>
      <c r="R3376" s="115" t="s">
        <v>1459</v>
      </c>
      <c r="S3376" s="125"/>
    </row>
    <row r="3377" spans="1:19" hidden="1">
      <c r="A3377" s="124" t="s">
        <v>5520</v>
      </c>
      <c r="B3377" s="125" t="str">
        <f>IFERROR(VLOOKUP(Proc[[#This Row],[App]],Table2[],3,0),"open")</f>
        <v>open</v>
      </c>
      <c r="C3377" s="124" t="s">
        <v>369</v>
      </c>
      <c r="D3377" t="s">
        <v>5443</v>
      </c>
      <c r="E3377" t="s">
        <v>5506</v>
      </c>
      <c r="F3377" s="125" t="s">
        <v>5506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4</v>
      </c>
      <c r="R3377" s="115" t="s">
        <v>1459</v>
      </c>
      <c r="S3377" s="125"/>
    </row>
    <row r="3378" spans="1:19" hidden="1">
      <c r="A3378" s="124" t="s">
        <v>5520</v>
      </c>
      <c r="B3378" s="125" t="str">
        <f>IFERROR(VLOOKUP(Proc[[#This Row],[App]],Table2[],3,0),"open")</f>
        <v>open</v>
      </c>
      <c r="C3378" s="124" t="s">
        <v>369</v>
      </c>
      <c r="D3378" t="s">
        <v>5444</v>
      </c>
      <c r="E3378" t="s">
        <v>5498</v>
      </c>
      <c r="F3378" s="125" t="s">
        <v>5498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4</v>
      </c>
      <c r="R3378" s="115" t="s">
        <v>1459</v>
      </c>
      <c r="S3378" s="125"/>
    </row>
    <row r="3379" spans="1:19" hidden="1">
      <c r="A3379" s="124" t="s">
        <v>5520</v>
      </c>
      <c r="B3379" s="125" t="str">
        <f>IFERROR(VLOOKUP(Proc[[#This Row],[App]],Table2[],3,0),"open")</f>
        <v>open</v>
      </c>
      <c r="C3379" s="124" t="s">
        <v>369</v>
      </c>
      <c r="D3379" t="s">
        <v>4831</v>
      </c>
      <c r="E3379" t="s">
        <v>5515</v>
      </c>
      <c r="F3379" s="125" t="s">
        <v>5515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4</v>
      </c>
      <c r="R3379" s="115" t="s">
        <v>1459</v>
      </c>
      <c r="S3379" s="125"/>
    </row>
    <row r="3380" spans="1:19" hidden="1">
      <c r="A3380" s="124" t="s">
        <v>5520</v>
      </c>
      <c r="B3380" s="125" t="str">
        <f>IFERROR(VLOOKUP(Proc[[#This Row],[App]],Table2[],3,0),"open")</f>
        <v>open</v>
      </c>
      <c r="C3380" s="124" t="s">
        <v>369</v>
      </c>
      <c r="D3380" t="s">
        <v>5445</v>
      </c>
      <c r="E3380" t="s">
        <v>5515</v>
      </c>
      <c r="F3380" s="125" t="s">
        <v>5515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4</v>
      </c>
      <c r="R3380" s="115" t="s">
        <v>1459</v>
      </c>
      <c r="S3380" s="125"/>
    </row>
    <row r="3381" spans="1:19" hidden="1">
      <c r="A3381" s="124" t="s">
        <v>5520</v>
      </c>
      <c r="B3381" s="125" t="str">
        <f>IFERROR(VLOOKUP(Proc[[#This Row],[App]],Table2[],3,0),"open")</f>
        <v>open</v>
      </c>
      <c r="C3381" s="124" t="s">
        <v>369</v>
      </c>
      <c r="D3381" t="s">
        <v>5446</v>
      </c>
      <c r="E3381" t="s">
        <v>5491</v>
      </c>
      <c r="F3381" s="125" t="s">
        <v>5491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4</v>
      </c>
      <c r="R3381" s="115" t="s">
        <v>1459</v>
      </c>
      <c r="S3381" s="125"/>
    </row>
    <row r="3382" spans="1:19" hidden="1">
      <c r="A3382" s="124" t="s">
        <v>5520</v>
      </c>
      <c r="B3382" s="125" t="str">
        <f>IFERROR(VLOOKUP(Proc[[#This Row],[App]],Table2[],3,0),"open")</f>
        <v>open</v>
      </c>
      <c r="C3382" s="124" t="s">
        <v>369</v>
      </c>
      <c r="D3382" t="s">
        <v>5447</v>
      </c>
      <c r="E3382" t="s">
        <v>5499</v>
      </c>
      <c r="F3382" s="125" t="s">
        <v>5499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4</v>
      </c>
      <c r="R3382" s="115" t="s">
        <v>1459</v>
      </c>
      <c r="S3382" s="125"/>
    </row>
    <row r="3383" spans="1:19" hidden="1">
      <c r="A3383" s="124" t="s">
        <v>5520</v>
      </c>
      <c r="B3383" s="125" t="str">
        <f>IFERROR(VLOOKUP(Proc[[#This Row],[App]],Table2[],3,0),"open")</f>
        <v>open</v>
      </c>
      <c r="C3383" s="124" t="s">
        <v>369</v>
      </c>
      <c r="D3383" t="s">
        <v>5448</v>
      </c>
      <c r="E3383" t="s">
        <v>5515</v>
      </c>
      <c r="F3383" s="125" t="s">
        <v>5515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4</v>
      </c>
      <c r="R3383" s="115" t="s">
        <v>1459</v>
      </c>
      <c r="S3383" s="125"/>
    </row>
    <row r="3384" spans="1:19" hidden="1">
      <c r="A3384" s="124" t="s">
        <v>5520</v>
      </c>
      <c r="B3384" s="125" t="str">
        <f>IFERROR(VLOOKUP(Proc[[#This Row],[App]],Table2[],3,0),"open")</f>
        <v>open</v>
      </c>
      <c r="C3384" s="124" t="s">
        <v>369</v>
      </c>
      <c r="D3384" t="s">
        <v>5449</v>
      </c>
      <c r="E3384" t="s">
        <v>5497</v>
      </c>
      <c r="F3384" s="125" t="s">
        <v>5497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4</v>
      </c>
      <c r="R3384" s="115" t="s">
        <v>1459</v>
      </c>
      <c r="S3384" s="125"/>
    </row>
    <row r="3385" spans="1:19" hidden="1">
      <c r="A3385" s="124" t="s">
        <v>5520</v>
      </c>
      <c r="B3385" s="125" t="str">
        <f>IFERROR(VLOOKUP(Proc[[#This Row],[App]],Table2[],3,0),"open")</f>
        <v>open</v>
      </c>
      <c r="C3385" s="124" t="s">
        <v>369</v>
      </c>
      <c r="D3385" t="s">
        <v>5450</v>
      </c>
      <c r="E3385" t="s">
        <v>5492</v>
      </c>
      <c r="F3385" s="125" t="s">
        <v>5492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4</v>
      </c>
      <c r="R3385" s="115" t="s">
        <v>1459</v>
      </c>
      <c r="S3385" s="125"/>
    </row>
    <row r="3386" spans="1:19" hidden="1">
      <c r="A3386" s="124" t="s">
        <v>5520</v>
      </c>
      <c r="B3386" s="125" t="str">
        <f>IFERROR(VLOOKUP(Proc[[#This Row],[App]],Table2[],3,0),"open")</f>
        <v>open</v>
      </c>
      <c r="C3386" s="124" t="s">
        <v>369</v>
      </c>
      <c r="D3386" t="s">
        <v>5451</v>
      </c>
      <c r="E3386" t="s">
        <v>5498</v>
      </c>
      <c r="F3386" s="125" t="s">
        <v>5498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4</v>
      </c>
      <c r="R3386" s="115" t="s">
        <v>1459</v>
      </c>
      <c r="S3386" s="125"/>
    </row>
    <row r="3387" spans="1:19" hidden="1">
      <c r="A3387" s="124" t="s">
        <v>5520</v>
      </c>
      <c r="B3387" s="125" t="str">
        <f>IFERROR(VLOOKUP(Proc[[#This Row],[App]],Table2[],3,0),"open")</f>
        <v>open</v>
      </c>
      <c r="C3387" s="124" t="s">
        <v>369</v>
      </c>
      <c r="D3387" t="s">
        <v>5452</v>
      </c>
      <c r="E3387" t="s">
        <v>5498</v>
      </c>
      <c r="F3387" s="125" t="s">
        <v>5498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4</v>
      </c>
      <c r="R3387" s="115" t="s">
        <v>1459</v>
      </c>
      <c r="S3387" s="125"/>
    </row>
    <row r="3388" spans="1:19" hidden="1">
      <c r="A3388" s="124" t="s">
        <v>5520</v>
      </c>
      <c r="B3388" s="125" t="str">
        <f>IFERROR(VLOOKUP(Proc[[#This Row],[App]],Table2[],3,0),"open")</f>
        <v>open</v>
      </c>
      <c r="C3388" s="124" t="s">
        <v>369</v>
      </c>
      <c r="D3388" t="s">
        <v>5453</v>
      </c>
      <c r="E3388" t="s">
        <v>5516</v>
      </c>
      <c r="F3388" s="125" t="s">
        <v>5516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4</v>
      </c>
      <c r="R3388" s="115" t="s">
        <v>1459</v>
      </c>
      <c r="S3388" s="125"/>
    </row>
    <row r="3389" spans="1:19" hidden="1">
      <c r="A3389" s="124" t="s">
        <v>5520</v>
      </c>
      <c r="B3389" s="125" t="str">
        <f>IFERROR(VLOOKUP(Proc[[#This Row],[App]],Table2[],3,0),"open")</f>
        <v>open</v>
      </c>
      <c r="C3389" s="124" t="s">
        <v>369</v>
      </c>
      <c r="D3389" t="s">
        <v>5454</v>
      </c>
      <c r="E3389" t="s">
        <v>5498</v>
      </c>
      <c r="F3389" s="125" t="s">
        <v>5498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4</v>
      </c>
      <c r="R3389" s="115" t="s">
        <v>1459</v>
      </c>
      <c r="S3389" s="125"/>
    </row>
    <row r="3390" spans="1:19" hidden="1">
      <c r="A3390" s="124" t="s">
        <v>5520</v>
      </c>
      <c r="B3390" s="125" t="str">
        <f>IFERROR(VLOOKUP(Proc[[#This Row],[App]],Table2[],3,0),"open")</f>
        <v>open</v>
      </c>
      <c r="C3390" s="124" t="s">
        <v>369</v>
      </c>
      <c r="D3390" t="s">
        <v>5455</v>
      </c>
      <c r="E3390" t="s">
        <v>5498</v>
      </c>
      <c r="F3390" s="125" t="s">
        <v>5498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4</v>
      </c>
      <c r="R3390" s="115" t="s">
        <v>1459</v>
      </c>
      <c r="S3390" s="125"/>
    </row>
    <row r="3391" spans="1:19" hidden="1">
      <c r="A3391" s="124" t="s">
        <v>5520</v>
      </c>
      <c r="B3391" s="125" t="str">
        <f>IFERROR(VLOOKUP(Proc[[#This Row],[App]],Table2[],3,0),"open")</f>
        <v>open</v>
      </c>
      <c r="C3391" s="124" t="s">
        <v>369</v>
      </c>
      <c r="D3391" t="s">
        <v>5456</v>
      </c>
      <c r="E3391" t="s">
        <v>5498</v>
      </c>
      <c r="F3391" s="125" t="s">
        <v>5498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4</v>
      </c>
      <c r="R3391" s="115" t="s">
        <v>1459</v>
      </c>
      <c r="S3391" s="125"/>
    </row>
    <row r="3392" spans="1:19" hidden="1">
      <c r="A3392" s="124" t="s">
        <v>5520</v>
      </c>
      <c r="B3392" s="125" t="str">
        <f>IFERROR(VLOOKUP(Proc[[#This Row],[App]],Table2[],3,0),"open")</f>
        <v>open</v>
      </c>
      <c r="C3392" s="124" t="s">
        <v>369</v>
      </c>
      <c r="D3392" t="s">
        <v>5457</v>
      </c>
      <c r="E3392" t="s">
        <v>5517</v>
      </c>
      <c r="F3392" s="125" t="s">
        <v>5517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4</v>
      </c>
      <c r="R3392" s="115" t="s">
        <v>1459</v>
      </c>
      <c r="S3392" s="125"/>
    </row>
    <row r="3393" spans="1:19" hidden="1">
      <c r="A3393" s="124" t="s">
        <v>5520</v>
      </c>
      <c r="B3393" s="125" t="str">
        <f>IFERROR(VLOOKUP(Proc[[#This Row],[App]],Table2[],3,0),"open")</f>
        <v>open</v>
      </c>
      <c r="C3393" s="124" t="s">
        <v>369</v>
      </c>
      <c r="D3393" t="s">
        <v>5458</v>
      </c>
      <c r="E3393" t="s">
        <v>5498</v>
      </c>
      <c r="F3393" s="125" t="s">
        <v>5498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4</v>
      </c>
      <c r="R3393" s="115" t="s">
        <v>1459</v>
      </c>
      <c r="S3393" s="125"/>
    </row>
    <row r="3394" spans="1:19" hidden="1">
      <c r="A3394" s="124" t="s">
        <v>5520</v>
      </c>
      <c r="B3394" s="125" t="str">
        <f>IFERROR(VLOOKUP(Proc[[#This Row],[App]],Table2[],3,0),"open")</f>
        <v>open</v>
      </c>
      <c r="C3394" s="124" t="s">
        <v>369</v>
      </c>
      <c r="D3394" t="s">
        <v>5459</v>
      </c>
      <c r="E3394" t="s">
        <v>5498</v>
      </c>
      <c r="F3394" s="125" t="s">
        <v>5498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4</v>
      </c>
      <c r="R3394" s="115" t="s">
        <v>1459</v>
      </c>
      <c r="S3394" s="125"/>
    </row>
    <row r="3395" spans="1:19" hidden="1">
      <c r="A3395" s="124" t="s">
        <v>5520</v>
      </c>
      <c r="B3395" s="125" t="str">
        <f>IFERROR(VLOOKUP(Proc[[#This Row],[App]],Table2[],3,0),"open")</f>
        <v>open</v>
      </c>
      <c r="C3395" s="124" t="s">
        <v>369</v>
      </c>
      <c r="D3395" t="s">
        <v>5460</v>
      </c>
      <c r="E3395" t="s">
        <v>5490</v>
      </c>
      <c r="F3395" s="125" t="s">
        <v>5490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4</v>
      </c>
      <c r="R3395" s="115" t="s">
        <v>1459</v>
      </c>
      <c r="S3395" s="125"/>
    </row>
    <row r="3396" spans="1:19" hidden="1">
      <c r="A3396" s="124" t="s">
        <v>5520</v>
      </c>
      <c r="B3396" s="125" t="str">
        <f>IFERROR(VLOOKUP(Proc[[#This Row],[App]],Table2[],3,0),"open")</f>
        <v>open</v>
      </c>
      <c r="C3396" s="124" t="s">
        <v>369</v>
      </c>
      <c r="D3396" t="s">
        <v>5461</v>
      </c>
      <c r="E3396" t="s">
        <v>5506</v>
      </c>
      <c r="F3396" s="125" t="s">
        <v>5506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4</v>
      </c>
      <c r="R3396" s="115" t="s">
        <v>1459</v>
      </c>
      <c r="S3396" s="125"/>
    </row>
    <row r="3397" spans="1:19" hidden="1">
      <c r="A3397" s="124" t="s">
        <v>5520</v>
      </c>
      <c r="B3397" s="125" t="str">
        <f>IFERROR(VLOOKUP(Proc[[#This Row],[App]],Table2[],3,0),"open")</f>
        <v>open</v>
      </c>
      <c r="C3397" s="124" t="s">
        <v>369</v>
      </c>
      <c r="D3397" t="s">
        <v>5462</v>
      </c>
      <c r="E3397" t="s">
        <v>5489</v>
      </c>
      <c r="F3397" s="125" t="s">
        <v>5489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4</v>
      </c>
      <c r="R3397" s="115" t="s">
        <v>1459</v>
      </c>
      <c r="S3397" s="125"/>
    </row>
    <row r="3398" spans="1:19" hidden="1">
      <c r="A3398" s="124" t="s">
        <v>5520</v>
      </c>
      <c r="B3398" s="125" t="str">
        <f>IFERROR(VLOOKUP(Proc[[#This Row],[App]],Table2[],3,0),"open")</f>
        <v>open</v>
      </c>
      <c r="C3398" s="124" t="s">
        <v>369</v>
      </c>
      <c r="D3398" t="s">
        <v>5463</v>
      </c>
      <c r="E3398" t="s">
        <v>5506</v>
      </c>
      <c r="F3398" s="125" t="s">
        <v>5506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4</v>
      </c>
      <c r="R3398" s="115" t="s">
        <v>1459</v>
      </c>
      <c r="S3398" s="125"/>
    </row>
    <row r="3399" spans="1:19" hidden="1">
      <c r="A3399" s="124" t="s">
        <v>5520</v>
      </c>
      <c r="B3399" s="125" t="str">
        <f>IFERROR(VLOOKUP(Proc[[#This Row],[App]],Table2[],3,0),"open")</f>
        <v>open</v>
      </c>
      <c r="C3399" s="124" t="s">
        <v>369</v>
      </c>
      <c r="D3399" t="s">
        <v>5464</v>
      </c>
      <c r="E3399" t="s">
        <v>5488</v>
      </c>
      <c r="F3399" s="125" t="s">
        <v>5488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4</v>
      </c>
      <c r="R3399" s="115" t="s">
        <v>1459</v>
      </c>
      <c r="S3399" s="125"/>
    </row>
    <row r="3400" spans="1:19" hidden="1">
      <c r="A3400" s="124" t="s">
        <v>5520</v>
      </c>
      <c r="B3400" s="125" t="str">
        <f>IFERROR(VLOOKUP(Proc[[#This Row],[App]],Table2[],3,0),"open")</f>
        <v>open</v>
      </c>
      <c r="C3400" s="124" t="s">
        <v>369</v>
      </c>
      <c r="D3400" t="s">
        <v>5465</v>
      </c>
      <c r="E3400" t="s">
        <v>5509</v>
      </c>
      <c r="F3400" s="125" t="s">
        <v>5509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4</v>
      </c>
      <c r="R3400" s="115" t="s">
        <v>1459</v>
      </c>
      <c r="S3400" s="125"/>
    </row>
    <row r="3401" spans="1:19" hidden="1">
      <c r="A3401" s="124" t="s">
        <v>5520</v>
      </c>
      <c r="B3401" s="125" t="str">
        <f>IFERROR(VLOOKUP(Proc[[#This Row],[App]],Table2[],3,0),"open")</f>
        <v>open</v>
      </c>
      <c r="C3401" s="124" t="s">
        <v>369</v>
      </c>
      <c r="D3401" t="s">
        <v>5466</v>
      </c>
      <c r="E3401" t="s">
        <v>5487</v>
      </c>
      <c r="F3401" s="125" t="s">
        <v>5487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4</v>
      </c>
      <c r="R3401" s="115" t="s">
        <v>1459</v>
      </c>
      <c r="S3401" s="125"/>
    </row>
    <row r="3402" spans="1:19" hidden="1">
      <c r="A3402" s="124" t="s">
        <v>5520</v>
      </c>
      <c r="B3402" s="125" t="str">
        <f>IFERROR(VLOOKUP(Proc[[#This Row],[App]],Table2[],3,0),"open")</f>
        <v>open</v>
      </c>
      <c r="C3402" s="124" t="s">
        <v>369</v>
      </c>
      <c r="D3402" t="s">
        <v>5467</v>
      </c>
      <c r="E3402" t="s">
        <v>5506</v>
      </c>
      <c r="F3402" s="125" t="s">
        <v>5506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4</v>
      </c>
      <c r="R3402" s="115" t="s">
        <v>1459</v>
      </c>
      <c r="S3402" s="125"/>
    </row>
    <row r="3403" spans="1:19" hidden="1">
      <c r="A3403" s="124" t="s">
        <v>5520</v>
      </c>
      <c r="B3403" s="125" t="str">
        <f>IFERROR(VLOOKUP(Proc[[#This Row],[App]],Table2[],3,0),"open")</f>
        <v>open</v>
      </c>
      <c r="C3403" s="124" t="s">
        <v>369</v>
      </c>
      <c r="D3403" t="s">
        <v>5468</v>
      </c>
      <c r="E3403" t="s">
        <v>5515</v>
      </c>
      <c r="F3403" s="125" t="s">
        <v>5515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4</v>
      </c>
      <c r="R3403" s="115" t="s">
        <v>1459</v>
      </c>
      <c r="S3403" s="125"/>
    </row>
    <row r="3404" spans="1:19" hidden="1">
      <c r="A3404" s="124" t="s">
        <v>5520</v>
      </c>
      <c r="B3404" s="125" t="str">
        <f>IFERROR(VLOOKUP(Proc[[#This Row],[App]],Table2[],3,0),"open")</f>
        <v>open</v>
      </c>
      <c r="C3404" s="124" t="s">
        <v>369</v>
      </c>
      <c r="D3404" t="s">
        <v>5469</v>
      </c>
      <c r="E3404" t="s">
        <v>5488</v>
      </c>
      <c r="F3404" s="125" t="s">
        <v>5488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4</v>
      </c>
      <c r="R3404" s="115" t="s">
        <v>1459</v>
      </c>
      <c r="S3404" s="125"/>
    </row>
    <row r="3405" spans="1:19" hidden="1">
      <c r="A3405" s="124" t="s">
        <v>5520</v>
      </c>
      <c r="B3405" s="125" t="str">
        <f>IFERROR(VLOOKUP(Proc[[#This Row],[App]],Table2[],3,0),"open")</f>
        <v>open</v>
      </c>
      <c r="C3405" s="124" t="s">
        <v>369</v>
      </c>
      <c r="D3405" t="s">
        <v>5470</v>
      </c>
      <c r="E3405" t="s">
        <v>5495</v>
      </c>
      <c r="F3405" s="125" t="s">
        <v>5495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4</v>
      </c>
      <c r="R3405" s="115" t="s">
        <v>1459</v>
      </c>
      <c r="S3405" s="125"/>
    </row>
    <row r="3406" spans="1:19" hidden="1">
      <c r="A3406" s="124" t="s">
        <v>5520</v>
      </c>
      <c r="B3406" s="125" t="str">
        <f>IFERROR(VLOOKUP(Proc[[#This Row],[App]],Table2[],3,0),"open")</f>
        <v>open</v>
      </c>
      <c r="C3406" s="124" t="s">
        <v>369</v>
      </c>
      <c r="D3406" t="s">
        <v>5471</v>
      </c>
      <c r="E3406" t="s">
        <v>5495</v>
      </c>
      <c r="F3406" s="125" t="s">
        <v>5495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4</v>
      </c>
      <c r="R3406" s="115" t="s">
        <v>1459</v>
      </c>
      <c r="S3406" s="125"/>
    </row>
    <row r="3407" spans="1:19" hidden="1">
      <c r="A3407" s="124" t="s">
        <v>5520</v>
      </c>
      <c r="B3407" s="125" t="str">
        <f>IFERROR(VLOOKUP(Proc[[#This Row],[App]],Table2[],3,0),"open")</f>
        <v>open</v>
      </c>
      <c r="C3407" s="124" t="s">
        <v>369</v>
      </c>
      <c r="D3407" t="s">
        <v>5472</v>
      </c>
      <c r="E3407" t="s">
        <v>5506</v>
      </c>
      <c r="F3407" s="125" t="s">
        <v>5506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4</v>
      </c>
      <c r="R3407" s="115" t="s">
        <v>1459</v>
      </c>
      <c r="S3407" s="125"/>
    </row>
    <row r="3408" spans="1:19" hidden="1">
      <c r="A3408" s="124" t="s">
        <v>5520</v>
      </c>
      <c r="B3408" s="125" t="str">
        <f>IFERROR(VLOOKUP(Proc[[#This Row],[App]],Table2[],3,0),"open")</f>
        <v>open</v>
      </c>
      <c r="C3408" s="124" t="s">
        <v>369</v>
      </c>
      <c r="D3408" t="s">
        <v>5473</v>
      </c>
      <c r="E3408" t="s">
        <v>5495</v>
      </c>
      <c r="F3408" s="125" t="s">
        <v>5495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4</v>
      </c>
      <c r="R3408" s="115" t="s">
        <v>1459</v>
      </c>
      <c r="S3408" s="125"/>
    </row>
    <row r="3409" spans="1:19" hidden="1">
      <c r="A3409" s="124" t="s">
        <v>5520</v>
      </c>
      <c r="B3409" s="125" t="str">
        <f>IFERROR(VLOOKUP(Proc[[#This Row],[App]],Table2[],3,0),"open")</f>
        <v>open</v>
      </c>
      <c r="C3409" s="124" t="s">
        <v>369</v>
      </c>
      <c r="D3409" t="s">
        <v>5474</v>
      </c>
      <c r="E3409" t="s">
        <v>5489</v>
      </c>
      <c r="F3409" s="125" t="s">
        <v>5489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4</v>
      </c>
      <c r="R3409" s="115" t="s">
        <v>1459</v>
      </c>
      <c r="S3409" s="125"/>
    </row>
    <row r="3410" spans="1:19" hidden="1">
      <c r="A3410" s="124" t="s">
        <v>5520</v>
      </c>
      <c r="B3410" s="125" t="str">
        <f>IFERROR(VLOOKUP(Proc[[#This Row],[App]],Table2[],3,0),"open")</f>
        <v>open</v>
      </c>
      <c r="C3410" s="124" t="s">
        <v>369</v>
      </c>
      <c r="D3410" t="s">
        <v>5475</v>
      </c>
      <c r="E3410" t="s">
        <v>5489</v>
      </c>
      <c r="F3410" s="125" t="s">
        <v>5489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4</v>
      </c>
      <c r="R3410" s="115" t="s">
        <v>1459</v>
      </c>
      <c r="S3410" s="125"/>
    </row>
    <row r="3411" spans="1:19" hidden="1">
      <c r="A3411" s="124" t="s">
        <v>5520</v>
      </c>
      <c r="B3411" s="125" t="str">
        <f>IFERROR(VLOOKUP(Proc[[#This Row],[App]],Table2[],3,0),"open")</f>
        <v>open</v>
      </c>
      <c r="C3411" s="124" t="s">
        <v>369</v>
      </c>
      <c r="D3411" t="s">
        <v>5476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4</v>
      </c>
      <c r="R3411" s="115" t="s">
        <v>1459</v>
      </c>
      <c r="S3411" s="125"/>
    </row>
    <row r="3412" spans="1:19" hidden="1">
      <c r="A3412" s="124" t="s">
        <v>5520</v>
      </c>
      <c r="B3412" s="125" t="str">
        <f>IFERROR(VLOOKUP(Proc[[#This Row],[App]],Table2[],3,0),"open")</f>
        <v>open</v>
      </c>
      <c r="C3412" s="124" t="s">
        <v>369</v>
      </c>
      <c r="D3412" t="s">
        <v>5477</v>
      </c>
      <c r="E3412" t="s">
        <v>5488</v>
      </c>
      <c r="F3412" s="125" t="s">
        <v>5488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4</v>
      </c>
      <c r="R3412" s="115" t="s">
        <v>1459</v>
      </c>
      <c r="S3412" s="125"/>
    </row>
    <row r="3413" spans="1:19" hidden="1">
      <c r="A3413" s="124" t="s">
        <v>5520</v>
      </c>
      <c r="B3413" s="125" t="str">
        <f>IFERROR(VLOOKUP(Proc[[#This Row],[App]],Table2[],3,0),"open")</f>
        <v>open</v>
      </c>
      <c r="C3413" s="124" t="s">
        <v>369</v>
      </c>
      <c r="D3413" t="s">
        <v>5478</v>
      </c>
      <c r="E3413" t="s">
        <v>5518</v>
      </c>
      <c r="F3413" s="125" t="s">
        <v>5518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4</v>
      </c>
      <c r="R3413" s="115" t="s">
        <v>1459</v>
      </c>
      <c r="S3413" s="125"/>
    </row>
    <row r="3414" spans="1:19" hidden="1">
      <c r="A3414" s="124" t="s">
        <v>5520</v>
      </c>
      <c r="B3414" s="125" t="str">
        <f>IFERROR(VLOOKUP(Proc[[#This Row],[App]],Table2[],3,0),"open")</f>
        <v>open</v>
      </c>
      <c r="C3414" s="124" t="s">
        <v>369</v>
      </c>
      <c r="D3414" t="s">
        <v>5479</v>
      </c>
      <c r="E3414" t="s">
        <v>5519</v>
      </c>
      <c r="F3414" s="125" t="s">
        <v>5519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4</v>
      </c>
      <c r="R3414" s="115" t="s">
        <v>1459</v>
      </c>
      <c r="S3414" s="125"/>
    </row>
    <row r="3415" spans="1:19" hidden="1">
      <c r="A3415" s="124" t="s">
        <v>5520</v>
      </c>
      <c r="B3415" s="125" t="str">
        <f>IFERROR(VLOOKUP(Proc[[#This Row],[App]],Table2[],3,0),"open")</f>
        <v>open</v>
      </c>
      <c r="C3415" s="124" t="s">
        <v>369</v>
      </c>
      <c r="D3415" t="s">
        <v>5480</v>
      </c>
      <c r="E3415" t="s">
        <v>5518</v>
      </c>
      <c r="F3415" s="125" t="s">
        <v>5518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4</v>
      </c>
      <c r="R3415" s="115" t="s">
        <v>1459</v>
      </c>
      <c r="S3415" s="125"/>
    </row>
    <row r="3416" spans="1:19" hidden="1">
      <c r="A3416" s="124" t="s">
        <v>5520</v>
      </c>
      <c r="B3416" s="125" t="str">
        <f>IFERROR(VLOOKUP(Proc[[#This Row],[App]],Table2[],3,0),"open")</f>
        <v>open</v>
      </c>
      <c r="C3416" s="124" t="s">
        <v>369</v>
      </c>
      <c r="D3416" t="s">
        <v>5481</v>
      </c>
      <c r="E3416" t="s">
        <v>5518</v>
      </c>
      <c r="F3416" s="125" t="s">
        <v>5518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4</v>
      </c>
      <c r="R3416" s="115" t="s">
        <v>1459</v>
      </c>
      <c r="S3416" s="125"/>
    </row>
    <row r="3417" spans="1:19" hidden="1">
      <c r="A3417" s="124" t="s">
        <v>5520</v>
      </c>
      <c r="B3417" s="125" t="str">
        <f>IFERROR(VLOOKUP(Proc[[#This Row],[App]],Table2[],3,0),"open")</f>
        <v>open</v>
      </c>
      <c r="C3417" s="124" t="s">
        <v>369</v>
      </c>
      <c r="D3417" t="s">
        <v>5482</v>
      </c>
      <c r="E3417" t="s">
        <v>5518</v>
      </c>
      <c r="F3417" s="125" t="s">
        <v>5518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4</v>
      </c>
      <c r="R3417" s="115" t="s">
        <v>1459</v>
      </c>
      <c r="S3417" s="125"/>
    </row>
    <row r="3418" spans="1:19" hidden="1">
      <c r="A3418" s="124" t="s">
        <v>5520</v>
      </c>
      <c r="B3418" s="125" t="str">
        <f>IFERROR(VLOOKUP(Proc[[#This Row],[App]],Table2[],3,0),"open")</f>
        <v>open</v>
      </c>
      <c r="C3418" s="124" t="s">
        <v>369</v>
      </c>
      <c r="D3418" t="s">
        <v>5483</v>
      </c>
      <c r="E3418" t="s">
        <v>5518</v>
      </c>
      <c r="F3418" s="125" t="s">
        <v>5518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4</v>
      </c>
      <c r="R3418" s="115" t="s">
        <v>1459</v>
      </c>
      <c r="S3418" s="125"/>
    </row>
    <row r="3419" spans="1:19" hidden="1">
      <c r="A3419" s="124" t="s">
        <v>5520</v>
      </c>
      <c r="B3419" s="125" t="str">
        <f>IFERROR(VLOOKUP(Proc[[#This Row],[App]],Table2[],3,0),"open")</f>
        <v>open</v>
      </c>
      <c r="C3419" s="124" t="s">
        <v>369</v>
      </c>
      <c r="D3419" t="s">
        <v>5484</v>
      </c>
      <c r="E3419" t="s">
        <v>5518</v>
      </c>
      <c r="F3419" s="125" t="s">
        <v>5518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4</v>
      </c>
      <c r="R3419" s="115" t="s">
        <v>1459</v>
      </c>
      <c r="S3419" s="125"/>
    </row>
    <row r="3420" spans="1:19" hidden="1">
      <c r="A3420" s="124" t="s">
        <v>5520</v>
      </c>
      <c r="B3420" s="125" t="str">
        <f>IFERROR(VLOOKUP(Proc[[#This Row],[App]],Table2[],3,0),"open")</f>
        <v>open</v>
      </c>
      <c r="C3420" s="124" t="s">
        <v>369</v>
      </c>
      <c r="D3420" t="s">
        <v>5485</v>
      </c>
      <c r="E3420" t="s">
        <v>5518</v>
      </c>
      <c r="F3420" s="125" t="s">
        <v>5518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4</v>
      </c>
      <c r="R3420" s="115" t="s">
        <v>1459</v>
      </c>
      <c r="S3420" s="125"/>
    </row>
    <row r="3421" spans="1:19" hidden="1">
      <c r="A3421" t="s">
        <v>5579</v>
      </c>
      <c r="B3421" s="125" t="str">
        <f>IFERROR(VLOOKUP(Proc[[#This Row],[App]],Table2[],3,0),"open")</f>
        <v>ok</v>
      </c>
      <c r="C3421" s="124" t="s">
        <v>369</v>
      </c>
      <c r="D3421" t="s">
        <v>5566</v>
      </c>
      <c r="E3421" t="s">
        <v>5580</v>
      </c>
      <c r="F3421" s="125" t="s">
        <v>5580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4</v>
      </c>
      <c r="R3421" s="115" t="s">
        <v>1013</v>
      </c>
      <c r="S3421" s="125"/>
    </row>
    <row r="3422" spans="1:19" hidden="1">
      <c r="A3422" s="124" t="s">
        <v>5579</v>
      </c>
      <c r="B3422" s="125" t="str">
        <f>IFERROR(VLOOKUP(Proc[[#This Row],[App]],Table2[],3,0),"open")</f>
        <v>ok</v>
      </c>
      <c r="C3422" s="124" t="s">
        <v>369</v>
      </c>
      <c r="D3422" t="s">
        <v>5567</v>
      </c>
      <c r="E3422" t="s">
        <v>5581</v>
      </c>
      <c r="F3422" s="125" t="s">
        <v>5581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4</v>
      </c>
      <c r="R3422" s="115" t="s">
        <v>1013</v>
      </c>
      <c r="S3422" s="125"/>
    </row>
    <row r="3423" spans="1:19" hidden="1">
      <c r="A3423" s="124" t="s">
        <v>5579</v>
      </c>
      <c r="B3423" s="125" t="str">
        <f>IFERROR(VLOOKUP(Proc[[#This Row],[App]],Table2[],3,0),"open")</f>
        <v>ok</v>
      </c>
      <c r="C3423" s="124" t="s">
        <v>369</v>
      </c>
      <c r="D3423" t="s">
        <v>5568</v>
      </c>
      <c r="E3423" t="s">
        <v>5582</v>
      </c>
      <c r="F3423" s="125" t="s">
        <v>5582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4</v>
      </c>
      <c r="R3423" s="115" t="s">
        <v>1013</v>
      </c>
      <c r="S3423" s="125"/>
    </row>
    <row r="3424" spans="1:19" hidden="1">
      <c r="A3424" s="124" t="s">
        <v>5579</v>
      </c>
      <c r="B3424" s="125" t="str">
        <f>IFERROR(VLOOKUP(Proc[[#This Row],[App]],Table2[],3,0),"open")</f>
        <v>ok</v>
      </c>
      <c r="C3424" s="124" t="s">
        <v>369</v>
      </c>
      <c r="D3424" t="s">
        <v>5569</v>
      </c>
      <c r="E3424" t="s">
        <v>5583</v>
      </c>
      <c r="F3424" s="125" t="s">
        <v>5583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4</v>
      </c>
      <c r="R3424" s="115" t="s">
        <v>1013</v>
      </c>
      <c r="S3424" s="125"/>
    </row>
    <row r="3425" spans="1:19" hidden="1">
      <c r="A3425" s="124" t="s">
        <v>5579</v>
      </c>
      <c r="B3425" s="125" t="str">
        <f>IFERROR(VLOOKUP(Proc[[#This Row],[App]],Table2[],3,0),"open")</f>
        <v>ok</v>
      </c>
      <c r="C3425" s="124" t="s">
        <v>369</v>
      </c>
      <c r="D3425" t="s">
        <v>5570</v>
      </c>
      <c r="E3425" t="s">
        <v>5583</v>
      </c>
      <c r="F3425" s="125" t="s">
        <v>5583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4</v>
      </c>
      <c r="R3425" s="115" t="s">
        <v>1013</v>
      </c>
      <c r="S3425" s="125"/>
    </row>
    <row r="3426" spans="1:19" hidden="1">
      <c r="A3426" s="124" t="s">
        <v>5579</v>
      </c>
      <c r="B3426" s="125" t="str">
        <f>IFERROR(VLOOKUP(Proc[[#This Row],[App]],Table2[],3,0),"open")</f>
        <v>ok</v>
      </c>
      <c r="C3426" s="124" t="s">
        <v>369</v>
      </c>
      <c r="D3426" t="s">
        <v>5571</v>
      </c>
      <c r="E3426" t="s">
        <v>5580</v>
      </c>
      <c r="F3426" s="125" t="s">
        <v>5580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4</v>
      </c>
      <c r="R3426" s="115" t="s">
        <v>1013</v>
      </c>
      <c r="S3426" s="125"/>
    </row>
    <row r="3427" spans="1:19" hidden="1">
      <c r="A3427" s="124" t="s">
        <v>5579</v>
      </c>
      <c r="B3427" s="125" t="str">
        <f>IFERROR(VLOOKUP(Proc[[#This Row],[App]],Table2[],3,0),"open")</f>
        <v>ok</v>
      </c>
      <c r="C3427" s="124" t="s">
        <v>369</v>
      </c>
      <c r="D3427" t="s">
        <v>5572</v>
      </c>
      <c r="E3427" t="s">
        <v>5581</v>
      </c>
      <c r="F3427" s="125" t="s">
        <v>5581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4</v>
      </c>
      <c r="R3427" s="115" t="s">
        <v>1013</v>
      </c>
      <c r="S3427" s="125"/>
    </row>
    <row r="3428" spans="1:19" hidden="1">
      <c r="A3428" s="124" t="s">
        <v>5579</v>
      </c>
      <c r="B3428" s="125" t="str">
        <f>IFERROR(VLOOKUP(Proc[[#This Row],[App]],Table2[],3,0),"open")</f>
        <v>ok</v>
      </c>
      <c r="C3428" s="124" t="s">
        <v>369</v>
      </c>
      <c r="D3428" t="s">
        <v>5573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4</v>
      </c>
      <c r="R3428" s="115" t="s">
        <v>1013</v>
      </c>
      <c r="S3428" s="125"/>
    </row>
    <row r="3429" spans="1:19" hidden="1">
      <c r="A3429" s="124" t="s">
        <v>5579</v>
      </c>
      <c r="B3429" s="125" t="str">
        <f>IFERROR(VLOOKUP(Proc[[#This Row],[App]],Table2[],3,0),"open")</f>
        <v>ok</v>
      </c>
      <c r="C3429" s="124" t="s">
        <v>369</v>
      </c>
      <c r="D3429" t="s">
        <v>5574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4</v>
      </c>
      <c r="R3429" s="115" t="s">
        <v>1013</v>
      </c>
      <c r="S3429" s="125"/>
    </row>
    <row r="3430" spans="1:19" hidden="1">
      <c r="A3430" s="124" t="s">
        <v>5579</v>
      </c>
      <c r="B3430" s="125" t="str">
        <f>IFERROR(VLOOKUP(Proc[[#This Row],[App]],Table2[],3,0),"open")</f>
        <v>ok</v>
      </c>
      <c r="C3430" s="124" t="s">
        <v>369</v>
      </c>
      <c r="D3430" t="s">
        <v>5575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4</v>
      </c>
      <c r="R3430" s="115" t="s">
        <v>1013</v>
      </c>
      <c r="S3430" s="125"/>
    </row>
    <row r="3431" spans="1:19" hidden="1">
      <c r="A3431" s="124" t="s">
        <v>5579</v>
      </c>
      <c r="B3431" s="125" t="str">
        <f>IFERROR(VLOOKUP(Proc[[#This Row],[App]],Table2[],3,0),"open")</f>
        <v>ok</v>
      </c>
      <c r="C3431" s="124" t="s">
        <v>369</v>
      </c>
      <c r="D3431" t="s">
        <v>5576</v>
      </c>
      <c r="E3431" t="s">
        <v>5583</v>
      </c>
      <c r="F3431" s="125" t="s">
        <v>5583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4</v>
      </c>
      <c r="R3431" s="115" t="s">
        <v>1013</v>
      </c>
      <c r="S3431" s="125"/>
    </row>
    <row r="3432" spans="1:19" hidden="1">
      <c r="A3432" s="124" t="s">
        <v>5579</v>
      </c>
      <c r="B3432" s="125" t="str">
        <f>IFERROR(VLOOKUP(Proc[[#This Row],[App]],Table2[],3,0),"open")</f>
        <v>ok</v>
      </c>
      <c r="C3432" s="124" t="s">
        <v>369</v>
      </c>
      <c r="D3432" t="s">
        <v>5577</v>
      </c>
      <c r="E3432" t="s">
        <v>5583</v>
      </c>
      <c r="F3432" s="125" t="s">
        <v>5583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4</v>
      </c>
      <c r="R3432" s="115" t="s">
        <v>1013</v>
      </c>
      <c r="S3432" s="125"/>
    </row>
    <row r="3433" spans="1:19" hidden="1">
      <c r="A3433" s="124" t="s">
        <v>5579</v>
      </c>
      <c r="B3433" s="125" t="str">
        <f>IFERROR(VLOOKUP(Proc[[#This Row],[App]],Table2[],3,0),"open")</f>
        <v>ok</v>
      </c>
      <c r="C3433" s="124" t="s">
        <v>369</v>
      </c>
      <c r="D3433" t="s">
        <v>5578</v>
      </c>
      <c r="E3433" t="s">
        <v>5584</v>
      </c>
      <c r="F3433" s="125" t="s">
        <v>5584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4</v>
      </c>
      <c r="R3433" s="115" t="s">
        <v>1013</v>
      </c>
      <c r="S3433" s="125"/>
    </row>
    <row r="3434" spans="1:19" hidden="1">
      <c r="A3434" t="s">
        <v>5588</v>
      </c>
      <c r="B3434" s="125" t="str">
        <f>IFERROR(VLOOKUP(Proc[[#This Row],[App]],Table2[],3,0),"open")</f>
        <v>ok</v>
      </c>
      <c r="C3434" s="124" t="s">
        <v>369</v>
      </c>
      <c r="D3434" t="s">
        <v>5634</v>
      </c>
      <c r="E3434" t="s">
        <v>5589</v>
      </c>
      <c r="F3434" s="125" t="str">
        <f>VLOOKUP(Proc[[#This Row],[Obj]],Sheet11!A:C,3,0)</f>
        <v>P000000199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4897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1</v>
      </c>
      <c r="R3434" s="115" t="s">
        <v>5590</v>
      </c>
      <c r="S3434" s="125"/>
    </row>
    <row r="3435" spans="1:19" hidden="1">
      <c r="A3435" s="124" t="s">
        <v>5588</v>
      </c>
      <c r="B3435" s="125" t="str">
        <f>IFERROR(VLOOKUP(Proc[[#This Row],[App]],Table2[],3,0),"open")</f>
        <v>ok</v>
      </c>
      <c r="C3435" s="124" t="s">
        <v>369</v>
      </c>
      <c r="D3435" t="s">
        <v>5635</v>
      </c>
      <c r="E3435" t="s">
        <v>5589</v>
      </c>
      <c r="F3435" s="125" t="str">
        <f>VLOOKUP(Proc[[#This Row],[Obj]],Sheet11!A:C,3,0)</f>
        <v>P000000199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4897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1</v>
      </c>
      <c r="R3435" s="115" t="s">
        <v>5590</v>
      </c>
      <c r="S3435" s="125"/>
    </row>
    <row r="3436" spans="1:19" hidden="1">
      <c r="A3436" t="s">
        <v>5591</v>
      </c>
      <c r="B3436" s="125" t="str">
        <f>IFERROR(VLOOKUP(Proc[[#This Row],[App]],Table2[],3,0),"open")</f>
        <v>ok</v>
      </c>
      <c r="C3436" s="124" t="s">
        <v>369</v>
      </c>
      <c r="D3436" t="s">
        <v>5592</v>
      </c>
      <c r="E3436" t="s">
        <v>5776</v>
      </c>
      <c r="F3436" s="125" t="str">
        <f>VLOOKUP(Proc[[#This Row],[Obj]],Sheet11!A:C,3,0)</f>
        <v>L000013877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4897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1</v>
      </c>
      <c r="R3436" s="115" t="s">
        <v>489</v>
      </c>
      <c r="S3436" s="125"/>
    </row>
    <row r="3437" spans="1:19" hidden="1">
      <c r="A3437" s="124" t="s">
        <v>5591</v>
      </c>
      <c r="B3437" s="125" t="str">
        <f>IFERROR(VLOOKUP(Proc[[#This Row],[App]],Table2[],3,0),"open")</f>
        <v>ok</v>
      </c>
      <c r="C3437" s="124" t="s">
        <v>369</v>
      </c>
      <c r="D3437" t="s">
        <v>5593</v>
      </c>
      <c r="E3437" t="s">
        <v>5776</v>
      </c>
      <c r="F3437" s="125" t="str">
        <f>VLOOKUP(Proc[[#This Row],[Obj]],Sheet11!A:C,3,0)</f>
        <v>L000013877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4897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1</v>
      </c>
      <c r="R3437" s="115" t="s">
        <v>489</v>
      </c>
      <c r="S3437" s="125"/>
    </row>
    <row r="3438" spans="1:19" hidden="1">
      <c r="A3438" s="124" t="s">
        <v>5591</v>
      </c>
      <c r="B3438" s="125" t="str">
        <f>IFERROR(VLOOKUP(Proc[[#This Row],[App]],Table2[],3,0),"open")</f>
        <v>ok</v>
      </c>
      <c r="C3438" s="124" t="s">
        <v>369</v>
      </c>
      <c r="D3438" t="s">
        <v>5594</v>
      </c>
      <c r="E3438" t="s">
        <v>5776</v>
      </c>
      <c r="F3438" s="125" t="str">
        <f>VLOOKUP(Proc[[#This Row],[Obj]],Sheet11!A:C,3,0)</f>
        <v>L000013877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4897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1</v>
      </c>
      <c r="R3438" s="115" t="s">
        <v>489</v>
      </c>
      <c r="S3438" s="125"/>
    </row>
    <row r="3439" spans="1:19" hidden="1">
      <c r="A3439" s="124" t="s">
        <v>5591</v>
      </c>
      <c r="B3439" s="125" t="str">
        <f>IFERROR(VLOOKUP(Proc[[#This Row],[App]],Table2[],3,0),"open")</f>
        <v>ok</v>
      </c>
      <c r="C3439" s="124" t="s">
        <v>369</v>
      </c>
      <c r="D3439" t="s">
        <v>5595</v>
      </c>
      <c r="E3439" t="s">
        <v>5776</v>
      </c>
      <c r="F3439" s="125" t="str">
        <f>VLOOKUP(Proc[[#This Row],[Obj]],Sheet11!A:C,3,0)</f>
        <v>L000013877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4897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1</v>
      </c>
      <c r="R3439" s="115" t="s">
        <v>489</v>
      </c>
      <c r="S3439" s="125"/>
    </row>
    <row r="3440" spans="1:19" hidden="1">
      <c r="A3440" s="124" t="s">
        <v>5591</v>
      </c>
      <c r="B3440" s="125" t="str">
        <f>IFERROR(VLOOKUP(Proc[[#This Row],[App]],Table2[],3,0),"open")</f>
        <v>ok</v>
      </c>
      <c r="C3440" s="124" t="s">
        <v>369</v>
      </c>
      <c r="D3440" t="s">
        <v>5596</v>
      </c>
      <c r="E3440" t="s">
        <v>5776</v>
      </c>
      <c r="F3440" s="125" t="str">
        <f>VLOOKUP(Proc[[#This Row],[Obj]],Sheet11!A:C,3,0)</f>
        <v>L000013877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4897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1</v>
      </c>
      <c r="R3440" s="115" t="s">
        <v>489</v>
      </c>
      <c r="S3440" s="125"/>
    </row>
    <row r="3441" spans="1:19" hidden="1">
      <c r="A3441" s="124" t="s">
        <v>5591</v>
      </c>
      <c r="B3441" s="125" t="str">
        <f>IFERROR(VLOOKUP(Proc[[#This Row],[App]],Table2[],3,0),"open")</f>
        <v>ok</v>
      </c>
      <c r="C3441" s="124" t="s">
        <v>369</v>
      </c>
      <c r="D3441" t="s">
        <v>5597</v>
      </c>
      <c r="E3441" t="s">
        <v>5776</v>
      </c>
      <c r="F3441" s="125" t="str">
        <f>VLOOKUP(Proc[[#This Row],[Obj]],Sheet11!A:C,3,0)</f>
        <v>L000013877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4897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1</v>
      </c>
      <c r="R3441" s="115" t="s">
        <v>489</v>
      </c>
      <c r="S3441" s="125"/>
    </row>
    <row r="3442" spans="1:19" hidden="1">
      <c r="A3442" s="124" t="s">
        <v>5591</v>
      </c>
      <c r="B3442" s="125" t="str">
        <f>IFERROR(VLOOKUP(Proc[[#This Row],[App]],Table2[],3,0),"open")</f>
        <v>ok</v>
      </c>
      <c r="C3442" s="124" t="s">
        <v>369</v>
      </c>
      <c r="D3442" t="s">
        <v>5598</v>
      </c>
      <c r="E3442" t="s">
        <v>5776</v>
      </c>
      <c r="F3442" s="125" t="str">
        <f>VLOOKUP(Proc[[#This Row],[Obj]],Sheet11!A:C,3,0)</f>
        <v>L000013877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4897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1</v>
      </c>
      <c r="R3442" s="115" t="s">
        <v>489</v>
      </c>
      <c r="S3442" s="125"/>
    </row>
    <row r="3443" spans="1:19" hidden="1">
      <c r="A3443" s="124" t="s">
        <v>5591</v>
      </c>
      <c r="B3443" s="125" t="str">
        <f>IFERROR(VLOOKUP(Proc[[#This Row],[App]],Table2[],3,0),"open")</f>
        <v>ok</v>
      </c>
      <c r="C3443" s="124" t="s">
        <v>369</v>
      </c>
      <c r="D3443" t="s">
        <v>5599</v>
      </c>
      <c r="E3443" t="s">
        <v>5776</v>
      </c>
      <c r="F3443" s="125" t="str">
        <f>VLOOKUP(Proc[[#This Row],[Obj]],Sheet11!A:C,3,0)</f>
        <v>L000013877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4897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1</v>
      </c>
      <c r="R3443" s="115" t="s">
        <v>489</v>
      </c>
      <c r="S3443" s="125"/>
    </row>
    <row r="3444" spans="1:19" hidden="1">
      <c r="A3444" s="124" t="s">
        <v>5591</v>
      </c>
      <c r="B3444" s="125" t="str">
        <f>IFERROR(VLOOKUP(Proc[[#This Row],[App]],Table2[],3,0),"open")</f>
        <v>ok</v>
      </c>
      <c r="C3444" s="124" t="s">
        <v>369</v>
      </c>
      <c r="D3444" t="s">
        <v>5600</v>
      </c>
      <c r="E3444" t="s">
        <v>5776</v>
      </c>
      <c r="F3444" s="125" t="str">
        <f>VLOOKUP(Proc[[#This Row],[Obj]],Sheet11!A:C,3,0)</f>
        <v>L000013877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4897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1</v>
      </c>
      <c r="R3444" s="115" t="s">
        <v>489</v>
      </c>
      <c r="S3444" s="125"/>
    </row>
    <row r="3445" spans="1:19" hidden="1">
      <c r="A3445" s="124" t="s">
        <v>5591</v>
      </c>
      <c r="B3445" s="125" t="str">
        <f>IFERROR(VLOOKUP(Proc[[#This Row],[App]],Table2[],3,0),"open")</f>
        <v>ok</v>
      </c>
      <c r="C3445" s="124" t="s">
        <v>369</v>
      </c>
      <c r="D3445" t="s">
        <v>5601</v>
      </c>
      <c r="E3445" t="s">
        <v>5776</v>
      </c>
      <c r="F3445" s="125" t="str">
        <f>VLOOKUP(Proc[[#This Row],[Obj]],Sheet11!A:C,3,0)</f>
        <v>L000013877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4897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1</v>
      </c>
      <c r="R3445" s="115" t="s">
        <v>489</v>
      </c>
      <c r="S3445" s="125"/>
    </row>
    <row r="3446" spans="1:19" hidden="1">
      <c r="A3446" s="124" t="s">
        <v>5591</v>
      </c>
      <c r="B3446" s="125" t="str">
        <f>IFERROR(VLOOKUP(Proc[[#This Row],[App]],Table2[],3,0),"open")</f>
        <v>ok</v>
      </c>
      <c r="C3446" s="124" t="s">
        <v>369</v>
      </c>
      <c r="D3446" t="s">
        <v>5602</v>
      </c>
      <c r="E3446" t="s">
        <v>5776</v>
      </c>
      <c r="F3446" s="125" t="str">
        <f>VLOOKUP(Proc[[#This Row],[Obj]],Sheet11!A:C,3,0)</f>
        <v>L000013877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4897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1</v>
      </c>
      <c r="R3446" s="115" t="s">
        <v>489</v>
      </c>
      <c r="S3446" s="125"/>
    </row>
    <row r="3447" spans="1:19" hidden="1">
      <c r="A3447" s="124" t="s">
        <v>5591</v>
      </c>
      <c r="B3447" s="125" t="str">
        <f>IFERROR(VLOOKUP(Proc[[#This Row],[App]],Table2[],3,0),"open")</f>
        <v>ok</v>
      </c>
      <c r="C3447" s="124" t="s">
        <v>369</v>
      </c>
      <c r="D3447" t="s">
        <v>5603</v>
      </c>
      <c r="E3447" t="s">
        <v>5776</v>
      </c>
      <c r="F3447" s="125" t="str">
        <f>VLOOKUP(Proc[[#This Row],[Obj]],Sheet11!A:C,3,0)</f>
        <v>L000013877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4897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1</v>
      </c>
      <c r="R3447" s="115" t="s">
        <v>489</v>
      </c>
      <c r="S3447" s="125"/>
    </row>
    <row r="3448" spans="1:19" hidden="1">
      <c r="A3448" s="124" t="s">
        <v>5591</v>
      </c>
      <c r="B3448" s="125" t="str">
        <f>IFERROR(VLOOKUP(Proc[[#This Row],[App]],Table2[],3,0),"open")</f>
        <v>ok</v>
      </c>
      <c r="C3448" s="124" t="s">
        <v>369</v>
      </c>
      <c r="D3448" t="s">
        <v>5604</v>
      </c>
      <c r="E3448" t="s">
        <v>5776</v>
      </c>
      <c r="F3448" s="125" t="str">
        <f>VLOOKUP(Proc[[#This Row],[Obj]],Sheet11!A:C,3,0)</f>
        <v>L000013877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4897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1</v>
      </c>
      <c r="R3448" s="115" t="s">
        <v>489</v>
      </c>
      <c r="S3448" s="125"/>
    </row>
    <row r="3449" spans="1:19" hidden="1">
      <c r="A3449" s="124" t="s">
        <v>5591</v>
      </c>
      <c r="B3449" s="125" t="str">
        <f>IFERROR(VLOOKUP(Proc[[#This Row],[App]],Table2[],3,0),"open")</f>
        <v>ok</v>
      </c>
      <c r="C3449" s="124" t="s">
        <v>369</v>
      </c>
      <c r="D3449" t="s">
        <v>5605</v>
      </c>
      <c r="E3449" t="s">
        <v>5776</v>
      </c>
      <c r="F3449" s="125" t="str">
        <f>VLOOKUP(Proc[[#This Row],[Obj]],Sheet11!A:C,3,0)</f>
        <v>L000013877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4897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1</v>
      </c>
      <c r="R3449" s="115" t="s">
        <v>489</v>
      </c>
      <c r="S3449" s="125"/>
    </row>
    <row r="3450" spans="1:19" hidden="1">
      <c r="A3450" s="124" t="s">
        <v>5591</v>
      </c>
      <c r="B3450" s="125" t="str">
        <f>IFERROR(VLOOKUP(Proc[[#This Row],[App]],Table2[],3,0),"open")</f>
        <v>ok</v>
      </c>
      <c r="C3450" s="124" t="s">
        <v>369</v>
      </c>
      <c r="D3450" t="s">
        <v>5606</v>
      </c>
      <c r="E3450" t="s">
        <v>5776</v>
      </c>
      <c r="F3450" s="125" t="str">
        <f>VLOOKUP(Proc[[#This Row],[Obj]],Sheet11!A:C,3,0)</f>
        <v>L000013877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4897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1</v>
      </c>
      <c r="R3450" s="115" t="s">
        <v>489</v>
      </c>
      <c r="S3450" s="125"/>
    </row>
    <row r="3451" spans="1:19" hidden="1">
      <c r="A3451" s="124" t="s">
        <v>5591</v>
      </c>
      <c r="B3451" s="125" t="str">
        <f>IFERROR(VLOOKUP(Proc[[#This Row],[App]],Table2[],3,0),"open")</f>
        <v>ok</v>
      </c>
      <c r="C3451" s="124" t="s">
        <v>369</v>
      </c>
      <c r="D3451" t="s">
        <v>5607</v>
      </c>
      <c r="E3451" t="s">
        <v>5776</v>
      </c>
      <c r="F3451" s="125" t="str">
        <f>VLOOKUP(Proc[[#This Row],[Obj]],Sheet11!A:C,3,0)</f>
        <v>L000013877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4897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1</v>
      </c>
      <c r="R3451" s="115" t="s">
        <v>489</v>
      </c>
      <c r="S3451" s="125"/>
    </row>
    <row r="3452" spans="1:19" hidden="1">
      <c r="A3452" s="124" t="s">
        <v>5591</v>
      </c>
      <c r="B3452" s="125" t="str">
        <f>IFERROR(VLOOKUP(Proc[[#This Row],[App]],Table2[],3,0),"open")</f>
        <v>ok</v>
      </c>
      <c r="C3452" s="124" t="s">
        <v>369</v>
      </c>
      <c r="D3452" t="s">
        <v>5608</v>
      </c>
      <c r="E3452" t="s">
        <v>5776</v>
      </c>
      <c r="F3452" s="125" t="str">
        <f>VLOOKUP(Proc[[#This Row],[Obj]],Sheet11!A:C,3,0)</f>
        <v>L000013877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4897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1</v>
      </c>
      <c r="R3452" s="115" t="s">
        <v>489</v>
      </c>
      <c r="S3452" s="125"/>
    </row>
    <row r="3453" spans="1:19" hidden="1">
      <c r="A3453" s="124" t="s">
        <v>5591</v>
      </c>
      <c r="B3453" s="125" t="str">
        <f>IFERROR(VLOOKUP(Proc[[#This Row],[App]],Table2[],3,0),"open")</f>
        <v>ok</v>
      </c>
      <c r="C3453" s="124" t="s">
        <v>369</v>
      </c>
      <c r="D3453" t="s">
        <v>5609</v>
      </c>
      <c r="E3453" t="s">
        <v>5776</v>
      </c>
      <c r="F3453" s="125" t="str">
        <f>VLOOKUP(Proc[[#This Row],[Obj]],Sheet11!A:C,3,0)</f>
        <v>L000013877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4897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1</v>
      </c>
      <c r="R3453" s="115" t="s">
        <v>489</v>
      </c>
      <c r="S3453" s="125"/>
    </row>
    <row r="3454" spans="1:19" hidden="1">
      <c r="A3454" s="124" t="s">
        <v>5591</v>
      </c>
      <c r="B3454" s="125" t="str">
        <f>IFERROR(VLOOKUP(Proc[[#This Row],[App]],Table2[],3,0),"open")</f>
        <v>ok</v>
      </c>
      <c r="C3454" s="124" t="s">
        <v>369</v>
      </c>
      <c r="D3454" t="s">
        <v>5610</v>
      </c>
      <c r="E3454" t="s">
        <v>5776</v>
      </c>
      <c r="F3454" s="125" t="str">
        <f>VLOOKUP(Proc[[#This Row],[Obj]],Sheet11!A:C,3,0)</f>
        <v>L000013877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4897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1</v>
      </c>
      <c r="R3454" s="115" t="s">
        <v>489</v>
      </c>
      <c r="S3454" s="125"/>
    </row>
    <row r="3455" spans="1:19">
      <c r="A3455" t="s">
        <v>5611</v>
      </c>
      <c r="B3455" s="125" t="str">
        <f>IFERROR(VLOOKUP(Proc[[#This Row],[App]],Table2[],3,0),"open")</f>
        <v>open</v>
      </c>
      <c r="C3455" s="124" t="s">
        <v>370</v>
      </c>
      <c r="D3455" t="s">
        <v>5612</v>
      </c>
      <c r="E3455" t="s">
        <v>1251</v>
      </c>
      <c r="F3455" s="125" t="str">
        <f>VLOOKUP(Proc[[#This Row],[Obj]],Sheet11!A:C,3,0)</f>
        <v>G000000243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0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4897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1</v>
      </c>
      <c r="R3455" s="115" t="s">
        <v>1459</v>
      </c>
      <c r="S3455" s="125"/>
    </row>
    <row r="3456" spans="1:19" hidden="1">
      <c r="A3456" t="s">
        <v>5613</v>
      </c>
      <c r="B3456" s="125" t="str">
        <f>IFERROR(VLOOKUP(Proc[[#This Row],[App]],Table2[],3,0),"open")</f>
        <v>ok</v>
      </c>
      <c r="C3456" s="124" t="s">
        <v>369</v>
      </c>
      <c r="D3456" t="s">
        <v>5614</v>
      </c>
      <c r="E3456" t="s">
        <v>5616</v>
      </c>
      <c r="F3456" s="124" t="s">
        <v>5616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4897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1</v>
      </c>
      <c r="R3456" s="115" t="s">
        <v>489</v>
      </c>
      <c r="S3456" s="125"/>
    </row>
    <row r="3457" spans="1:19" hidden="1">
      <c r="A3457" s="124" t="s">
        <v>5613</v>
      </c>
      <c r="B3457" s="125" t="str">
        <f>IFERROR(VLOOKUP(Proc[[#This Row],[App]],Table2[],3,0),"open")</f>
        <v>ok</v>
      </c>
      <c r="C3457" s="124" t="s">
        <v>369</v>
      </c>
      <c r="D3457" t="s">
        <v>5615</v>
      </c>
      <c r="E3457" t="s">
        <v>5617</v>
      </c>
      <c r="F3457" s="124" t="s">
        <v>5617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4897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1</v>
      </c>
      <c r="R3457" s="115" t="s">
        <v>489</v>
      </c>
      <c r="S3457" s="125"/>
    </row>
    <row r="3458" spans="1:19">
      <c r="A3458" t="s">
        <v>5618</v>
      </c>
      <c r="B3458" s="125" t="str">
        <f>IFERROR(VLOOKUP(Proc[[#This Row],[App]],Table2[],3,0),"open")</f>
        <v>open</v>
      </c>
      <c r="C3458" s="124" t="s">
        <v>370</v>
      </c>
      <c r="D3458" t="s">
        <v>4782</v>
      </c>
      <c r="E3458" t="s">
        <v>5783</v>
      </c>
      <c r="F3458" s="125" t="str">
        <f>VLOOKUP(Proc[[#This Row],[Obj]],Sheet11!A:C,3,0)</f>
        <v>LFF_7210$$$2068TAUA01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0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4897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1</v>
      </c>
      <c r="R3458" s="115" t="s">
        <v>489</v>
      </c>
      <c r="S3458" s="125"/>
    </row>
    <row r="3459" spans="1:19">
      <c r="A3459" t="s">
        <v>5619</v>
      </c>
      <c r="B3459" s="125" t="str">
        <f>IFERROR(VLOOKUP(Proc[[#This Row],[App]],Table2[],3,0),"open")</f>
        <v>open</v>
      </c>
      <c r="C3459" s="124" t="s">
        <v>370</v>
      </c>
      <c r="D3459" t="s">
        <v>4315</v>
      </c>
      <c r="E3459" t="s">
        <v>5783</v>
      </c>
      <c r="F3459" s="125" t="str">
        <f>VLOOKUP(Proc[[#This Row],[Obj]],Sheet11!A:C,3,0)</f>
        <v>L000013447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0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4897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1</v>
      </c>
      <c r="R3459" s="115" t="s">
        <v>489</v>
      </c>
      <c r="S3459" s="125"/>
    </row>
    <row r="3460" spans="1:19">
      <c r="A3460" s="124" t="s">
        <v>5619</v>
      </c>
      <c r="B3460" s="125" t="str">
        <f>IFERROR(VLOOKUP(Proc[[#This Row],[App]],Table2[],3,0),"open")</f>
        <v>open</v>
      </c>
      <c r="C3460" s="124" t="s">
        <v>370</v>
      </c>
      <c r="D3460" t="s">
        <v>4316</v>
      </c>
      <c r="E3460" t="s">
        <v>5783</v>
      </c>
      <c r="F3460" s="125" t="str">
        <f>VLOOKUP(Proc[[#This Row],[Obj]],Sheet11!A:C,3,0)</f>
        <v>L000013447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0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4897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1</v>
      </c>
      <c r="R3460" s="115" t="s">
        <v>489</v>
      </c>
      <c r="S3460" s="125"/>
    </row>
    <row r="3461" spans="1:19">
      <c r="A3461" s="124" t="s">
        <v>5619</v>
      </c>
      <c r="B3461" s="125" t="str">
        <f>IFERROR(VLOOKUP(Proc[[#This Row],[App]],Table2[],3,0),"open")</f>
        <v>open</v>
      </c>
      <c r="C3461" s="124" t="s">
        <v>370</v>
      </c>
      <c r="D3461" t="s">
        <v>4317</v>
      </c>
      <c r="E3461" t="s">
        <v>5783</v>
      </c>
      <c r="F3461" s="125" t="str">
        <f>VLOOKUP(Proc[[#This Row],[Obj]],Sheet11!A:C,3,0)</f>
        <v>L000013447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0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4897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1</v>
      </c>
      <c r="R3461" s="115" t="s">
        <v>489</v>
      </c>
      <c r="S3461" s="125"/>
    </row>
    <row r="3462" spans="1:19">
      <c r="A3462" s="124" t="s">
        <v>5619</v>
      </c>
      <c r="B3462" s="125" t="str">
        <f>IFERROR(VLOOKUP(Proc[[#This Row],[App]],Table2[],3,0),"open")</f>
        <v>open</v>
      </c>
      <c r="C3462" s="124" t="s">
        <v>370</v>
      </c>
      <c r="D3462" t="s">
        <v>4318</v>
      </c>
      <c r="E3462" t="s">
        <v>5783</v>
      </c>
      <c r="F3462" s="125" t="str">
        <f>VLOOKUP(Proc[[#This Row],[Obj]],Sheet11!A:C,3,0)</f>
        <v>L000013447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0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4897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1</v>
      </c>
      <c r="R3462" s="115" t="s">
        <v>489</v>
      </c>
      <c r="S3462" s="125"/>
    </row>
    <row r="3463" spans="1:19">
      <c r="A3463" s="124" t="s">
        <v>5619</v>
      </c>
      <c r="B3463" s="125" t="str">
        <f>IFERROR(VLOOKUP(Proc[[#This Row],[App]],Table2[],3,0),"open")</f>
        <v>open</v>
      </c>
      <c r="C3463" s="124" t="s">
        <v>370</v>
      </c>
      <c r="D3463" t="s">
        <v>4319</v>
      </c>
      <c r="E3463" t="s">
        <v>5783</v>
      </c>
      <c r="F3463" s="125" t="str">
        <f>VLOOKUP(Proc[[#This Row],[Obj]],Sheet11!A:C,3,0)</f>
        <v>L000013447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0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4897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1</v>
      </c>
      <c r="R3463" s="115" t="s">
        <v>489</v>
      </c>
      <c r="S3463" s="125"/>
    </row>
    <row r="3464" spans="1:19">
      <c r="A3464" s="124" t="s">
        <v>5619</v>
      </c>
      <c r="B3464" s="125" t="str">
        <f>IFERROR(VLOOKUP(Proc[[#This Row],[App]],Table2[],3,0),"open")</f>
        <v>open</v>
      </c>
      <c r="C3464" s="124" t="s">
        <v>370</v>
      </c>
      <c r="D3464" t="s">
        <v>4320</v>
      </c>
      <c r="E3464" t="s">
        <v>5783</v>
      </c>
      <c r="F3464" s="125" t="str">
        <f>VLOOKUP(Proc[[#This Row],[Obj]],Sheet11!A:C,3,0)</f>
        <v>L000013447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0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4897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1</v>
      </c>
      <c r="R3464" s="115" t="s">
        <v>489</v>
      </c>
      <c r="S3464" s="125"/>
    </row>
    <row r="3465" spans="1:19">
      <c r="A3465" s="124" t="s">
        <v>5619</v>
      </c>
      <c r="B3465" s="125" t="str">
        <f>IFERROR(VLOOKUP(Proc[[#This Row],[App]],Table2[],3,0),"open")</f>
        <v>open</v>
      </c>
      <c r="C3465" s="124" t="s">
        <v>370</v>
      </c>
      <c r="D3465" t="s">
        <v>5620</v>
      </c>
      <c r="E3465" t="s">
        <v>5621</v>
      </c>
      <c r="F3465" s="125" t="str">
        <f>VLOOKUP(Proc[[#This Row],[Obj]],Sheet11!A:C,3,0)</f>
        <v>L000009723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0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4897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1</v>
      </c>
      <c r="R3465" s="115" t="s">
        <v>489</v>
      </c>
      <c r="S3465" s="125"/>
    </row>
    <row r="3466" spans="1:19">
      <c r="A3466" s="124" t="s">
        <v>5619</v>
      </c>
      <c r="B3466" s="125" t="str">
        <f>IFERROR(VLOOKUP(Proc[[#This Row],[App]],Table2[],3,0),"open")</f>
        <v>open</v>
      </c>
      <c r="C3466" s="124" t="s">
        <v>370</v>
      </c>
      <c r="D3466" t="s">
        <v>3196</v>
      </c>
      <c r="E3466" t="s">
        <v>5621</v>
      </c>
      <c r="F3466" s="125" t="str">
        <f>VLOOKUP(Proc[[#This Row],[Obj]],Sheet11!A:C,3,0)</f>
        <v>L000013816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0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4897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1</v>
      </c>
      <c r="R3466" s="115" t="s">
        <v>489</v>
      </c>
      <c r="S3466" s="125"/>
    </row>
    <row r="3467" spans="1:19" hidden="1">
      <c r="A3467" t="s">
        <v>5623</v>
      </c>
      <c r="B3467" s="125" t="str">
        <f>IFERROR(VLOOKUP(Proc[[#This Row],[App]],Table2[],3,0),"open")</f>
        <v>ok</v>
      </c>
      <c r="C3467" s="124" t="s">
        <v>369</v>
      </c>
      <c r="D3467" t="s">
        <v>5624</v>
      </c>
      <c r="E3467" t="s">
        <v>5622</v>
      </c>
      <c r="F3467" s="125" t="str">
        <f>VLOOKUP(Proc[[#This Row],[Obj]],Sheet11!A:C,3,0)</f>
        <v>H000000830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4897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1</v>
      </c>
      <c r="R3467" s="115" t="s">
        <v>415</v>
      </c>
      <c r="S3467" s="125"/>
    </row>
    <row r="3468" spans="1:19" hidden="1">
      <c r="A3468" s="124" t="s">
        <v>5623</v>
      </c>
      <c r="B3468" s="125" t="str">
        <f>IFERROR(VLOOKUP(Proc[[#This Row],[App]],Table2[],3,0),"open")</f>
        <v>ok</v>
      </c>
      <c r="C3468" s="124" t="s">
        <v>369</v>
      </c>
      <c r="D3468" t="s">
        <v>5625</v>
      </c>
      <c r="E3468" t="s">
        <v>5622</v>
      </c>
      <c r="F3468" s="125" t="str">
        <f>VLOOKUP(Proc[[#This Row],[Obj]],Sheet11!A:C,3,0)</f>
        <v>H000000830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4897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1</v>
      </c>
      <c r="R3468" s="115" t="s">
        <v>415</v>
      </c>
      <c r="S3468" s="125"/>
    </row>
    <row r="3469" spans="1:19" hidden="1">
      <c r="A3469" s="124" t="s">
        <v>5623</v>
      </c>
      <c r="B3469" s="125" t="str">
        <f>IFERROR(VLOOKUP(Proc[[#This Row],[App]],Table2[],3,0),"open")</f>
        <v>ok</v>
      </c>
      <c r="C3469" s="124" t="s">
        <v>369</v>
      </c>
      <c r="D3469" t="s">
        <v>5626</v>
      </c>
      <c r="E3469" t="s">
        <v>5622</v>
      </c>
      <c r="F3469" s="125" t="str">
        <f>VLOOKUP(Proc[[#This Row],[Obj]],Sheet11!A:C,3,0)</f>
        <v>H000000830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4897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1</v>
      </c>
      <c r="R3469" s="115" t="s">
        <v>415</v>
      </c>
      <c r="S3469" s="125"/>
    </row>
    <row r="3470" spans="1:19" hidden="1">
      <c r="A3470" s="124" t="s">
        <v>5623</v>
      </c>
      <c r="B3470" s="125" t="str">
        <f>IFERROR(VLOOKUP(Proc[[#This Row],[App]],Table2[],3,0),"open")</f>
        <v>ok</v>
      </c>
      <c r="C3470" s="124" t="s">
        <v>369</v>
      </c>
      <c r="D3470" t="s">
        <v>5627</v>
      </c>
      <c r="E3470" t="s">
        <v>5622</v>
      </c>
      <c r="F3470" s="125" t="str">
        <f>VLOOKUP(Proc[[#This Row],[Obj]],Sheet11!A:C,3,0)</f>
        <v>H000000830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4897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1</v>
      </c>
      <c r="R3470" s="115" t="s">
        <v>415</v>
      </c>
      <c r="S3470" s="125"/>
    </row>
    <row r="3471" spans="1:19" hidden="1">
      <c r="A3471" s="124" t="s">
        <v>5623</v>
      </c>
      <c r="B3471" s="125" t="str">
        <f>IFERROR(VLOOKUP(Proc[[#This Row],[App]],Table2[],3,0),"open")</f>
        <v>ok</v>
      </c>
      <c r="C3471" s="124" t="s">
        <v>369</v>
      </c>
      <c r="D3471" t="s">
        <v>5628</v>
      </c>
      <c r="E3471" t="s">
        <v>5622</v>
      </c>
      <c r="F3471" s="125" t="str">
        <f>VLOOKUP(Proc[[#This Row],[Obj]],Sheet11!A:C,3,0)</f>
        <v>H000000830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4897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1</v>
      </c>
      <c r="R3471" s="115" t="s">
        <v>415</v>
      </c>
      <c r="S3471" s="125"/>
    </row>
    <row r="3472" spans="1:19" hidden="1">
      <c r="A3472" s="124" t="s">
        <v>5623</v>
      </c>
      <c r="B3472" s="125" t="str">
        <f>IFERROR(VLOOKUP(Proc[[#This Row],[App]],Table2[],3,0),"open")</f>
        <v>ok</v>
      </c>
      <c r="C3472" s="124" t="s">
        <v>369</v>
      </c>
      <c r="D3472" t="s">
        <v>5629</v>
      </c>
      <c r="E3472" t="s">
        <v>5622</v>
      </c>
      <c r="F3472" s="125" t="str">
        <f>VLOOKUP(Proc[[#This Row],[Obj]],Sheet11!A:C,3,0)</f>
        <v>H000000830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4897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1</v>
      </c>
      <c r="R3472" s="115" t="s">
        <v>415</v>
      </c>
      <c r="S3472" s="125"/>
    </row>
    <row r="3473" spans="1:19" hidden="1">
      <c r="A3473" s="124" t="s">
        <v>5623</v>
      </c>
      <c r="B3473" s="125" t="str">
        <f>IFERROR(VLOOKUP(Proc[[#This Row],[App]],Table2[],3,0),"open")</f>
        <v>ok</v>
      </c>
      <c r="C3473" s="124" t="s">
        <v>369</v>
      </c>
      <c r="D3473" t="s">
        <v>5630</v>
      </c>
      <c r="E3473" t="s">
        <v>5622</v>
      </c>
      <c r="F3473" s="125" t="str">
        <f>VLOOKUP(Proc[[#This Row],[Obj]],Sheet11!A:C,3,0)</f>
        <v>H000000830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4897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1</v>
      </c>
      <c r="R3473" s="115" t="s">
        <v>415</v>
      </c>
      <c r="S3473" s="125"/>
    </row>
    <row r="3474" spans="1:19" hidden="1">
      <c r="A3474" s="124" t="s">
        <v>5623</v>
      </c>
      <c r="B3474" s="125" t="str">
        <f>IFERROR(VLOOKUP(Proc[[#This Row],[App]],Table2[],3,0),"open")</f>
        <v>ok</v>
      </c>
      <c r="C3474" s="124" t="s">
        <v>369</v>
      </c>
      <c r="D3474" t="s">
        <v>5631</v>
      </c>
      <c r="E3474" t="s">
        <v>5622</v>
      </c>
      <c r="F3474" s="125" t="str">
        <f>VLOOKUP(Proc[[#This Row],[Obj]],Sheet11!A:C,3,0)</f>
        <v>H000000830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4897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1</v>
      </c>
      <c r="R3474" s="115" t="s">
        <v>415</v>
      </c>
      <c r="S3474" s="125"/>
    </row>
    <row r="3475" spans="1:19" hidden="1">
      <c r="A3475" s="124" t="s">
        <v>5623</v>
      </c>
      <c r="B3475" s="125" t="str">
        <f>IFERROR(VLOOKUP(Proc[[#This Row],[App]],Table2[],3,0),"open")</f>
        <v>ok</v>
      </c>
      <c r="C3475" s="124" t="s">
        <v>369</v>
      </c>
      <c r="D3475" t="s">
        <v>5632</v>
      </c>
      <c r="E3475" t="s">
        <v>5622</v>
      </c>
      <c r="F3475" s="125" t="str">
        <f>VLOOKUP(Proc[[#This Row],[Obj]],Sheet11!A:C,3,0)</f>
        <v>H000000830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4897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1</v>
      </c>
      <c r="R3475" s="115" t="s">
        <v>415</v>
      </c>
      <c r="S3475" s="125"/>
    </row>
    <row r="3476" spans="1:19" hidden="1">
      <c r="A3476" s="124" t="s">
        <v>5623</v>
      </c>
      <c r="B3476" s="125" t="str">
        <f>IFERROR(VLOOKUP(Proc[[#This Row],[App]],Table2[],3,0),"open")</f>
        <v>ok</v>
      </c>
      <c r="C3476" s="124" t="s">
        <v>369</v>
      </c>
      <c r="D3476" t="s">
        <v>5633</v>
      </c>
      <c r="E3476" t="s">
        <v>5622</v>
      </c>
      <c r="F3476" s="125" t="str">
        <f>VLOOKUP(Proc[[#This Row],[Obj]],Sheet11!A:C,3,0)</f>
        <v>H000000830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4897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1</v>
      </c>
      <c r="R3476" s="115" t="s">
        <v>415</v>
      </c>
      <c r="S3476" s="125"/>
    </row>
    <row r="3477" spans="1:19">
      <c r="A3477" t="s">
        <v>5742</v>
      </c>
      <c r="B3477" s="125" t="str">
        <f>IFERROR(VLOOKUP(Proc[[#This Row],[App]],Table2[],3,0),"open")</f>
        <v>open</v>
      </c>
      <c r="C3477" t="s">
        <v>370</v>
      </c>
      <c r="D3477" t="s">
        <v>5743</v>
      </c>
      <c r="E3477" s="124" t="s">
        <v>5744</v>
      </c>
      <c r="F3477" s="125" t="str">
        <f>VLOOKUP(Proc[[#This Row],[Obj]],Sheet11!A:C,3,0)</f>
        <v>H000000971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0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4897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0</v>
      </c>
      <c r="R3477" s="115" t="s">
        <v>410</v>
      </c>
      <c r="S3477" s="125"/>
    </row>
    <row r="3478" spans="1:19">
      <c r="A3478" t="s">
        <v>5745</v>
      </c>
      <c r="B3478" s="125" t="str">
        <f>IFERROR(VLOOKUP(Proc[[#This Row],[App]],Table2[],3,0),"open")</f>
        <v>open</v>
      </c>
      <c r="C3478" s="124" t="s">
        <v>370</v>
      </c>
      <c r="D3478" t="s">
        <v>5746</v>
      </c>
      <c r="E3478" t="s">
        <v>5784</v>
      </c>
      <c r="F3478" s="125" t="str">
        <f>VLOOKUP(Proc[[#This Row],[Obj]],Sheet11!A:C,3,0)</f>
        <v>DFLTPGCOH_002245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0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4897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0</v>
      </c>
      <c r="R3478" s="115" t="s">
        <v>515</v>
      </c>
      <c r="S3478" s="125"/>
    </row>
  </sheetData>
  <phoneticPr fontId="0" type="noConversion"/>
  <conditionalFormatting sqref="D642">
    <cfRule type="duplicateValues" dxfId="17" priority="3"/>
  </conditionalFormatting>
  <conditionalFormatting sqref="D1017:D1042">
    <cfRule type="duplicateValues" dxfId="1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G2:G3478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BD7D3-CF54-4BF0-858D-D7E0088371DF}">
  <dimension ref="A1:C48"/>
  <sheetViews>
    <sheetView workbookViewId="0"/>
  </sheetViews>
  <sheetFormatPr defaultRowHeight="15"/>
  <cols>
    <col min="1" max="1" width="71.28515625" bestFit="1" customWidth="1"/>
    <col min="2" max="2" width="25.5703125" bestFit="1" customWidth="1"/>
  </cols>
  <sheetData>
    <row r="1" spans="1:3">
      <c r="A1" t="s">
        <v>2319</v>
      </c>
      <c r="B1" t="s">
        <v>2319</v>
      </c>
      <c r="C1" t="s">
        <v>4414</v>
      </c>
    </row>
    <row r="2" spans="1:3">
      <c r="A2" t="s">
        <v>2319</v>
      </c>
      <c r="B2" t="s">
        <v>2319</v>
      </c>
      <c r="C2" t="s">
        <v>4414</v>
      </c>
    </row>
    <row r="3" spans="1:3">
      <c r="A3" t="s">
        <v>5368</v>
      </c>
      <c r="B3" t="s">
        <v>5368</v>
      </c>
      <c r="C3" t="s">
        <v>5549</v>
      </c>
    </row>
    <row r="4" spans="1:3">
      <c r="A4" t="s">
        <v>5634</v>
      </c>
      <c r="B4" t="s">
        <v>5634</v>
      </c>
      <c r="C4" t="s">
        <v>5589</v>
      </c>
    </row>
    <row r="5" spans="1:3">
      <c r="A5" t="s">
        <v>5635</v>
      </c>
      <c r="B5" t="s">
        <v>5635</v>
      </c>
      <c r="C5" t="s">
        <v>5589</v>
      </c>
    </row>
    <row r="6" spans="1:3">
      <c r="A6" t="s">
        <v>5592</v>
      </c>
      <c r="B6" t="s">
        <v>5747</v>
      </c>
      <c r="C6" t="s">
        <v>5776</v>
      </c>
    </row>
    <row r="7" spans="1:3">
      <c r="A7" t="s">
        <v>5593</v>
      </c>
      <c r="B7" t="s">
        <v>5748</v>
      </c>
      <c r="C7" t="s">
        <v>5776</v>
      </c>
    </row>
    <row r="8" spans="1:3">
      <c r="A8" t="s">
        <v>5594</v>
      </c>
      <c r="B8" t="s">
        <v>5749</v>
      </c>
      <c r="C8" t="s">
        <v>5776</v>
      </c>
    </row>
    <row r="9" spans="1:3">
      <c r="A9" t="s">
        <v>5595</v>
      </c>
      <c r="B9" t="s">
        <v>5750</v>
      </c>
      <c r="C9" t="s">
        <v>5776</v>
      </c>
    </row>
    <row r="10" spans="1:3">
      <c r="A10" t="s">
        <v>5596</v>
      </c>
      <c r="B10" t="s">
        <v>5751</v>
      </c>
      <c r="C10" t="s">
        <v>5776</v>
      </c>
    </row>
    <row r="11" spans="1:3">
      <c r="A11" t="s">
        <v>5597</v>
      </c>
      <c r="B11" t="s">
        <v>5752</v>
      </c>
      <c r="C11" t="s">
        <v>5776</v>
      </c>
    </row>
    <row r="12" spans="1:3">
      <c r="A12" t="s">
        <v>5598</v>
      </c>
      <c r="B12" t="s">
        <v>5753</v>
      </c>
      <c r="C12" t="s">
        <v>5776</v>
      </c>
    </row>
    <row r="13" spans="1:3">
      <c r="A13" t="s">
        <v>5599</v>
      </c>
      <c r="B13" t="s">
        <v>5754</v>
      </c>
      <c r="C13" t="s">
        <v>5776</v>
      </c>
    </row>
    <row r="14" spans="1:3">
      <c r="A14" t="s">
        <v>5600</v>
      </c>
      <c r="B14" t="s">
        <v>5755</v>
      </c>
      <c r="C14" t="s">
        <v>5776</v>
      </c>
    </row>
    <row r="15" spans="1:3">
      <c r="A15" t="s">
        <v>5601</v>
      </c>
      <c r="B15" t="s">
        <v>5756</v>
      </c>
      <c r="C15" t="s">
        <v>5776</v>
      </c>
    </row>
    <row r="16" spans="1:3">
      <c r="A16" t="s">
        <v>5602</v>
      </c>
      <c r="B16" t="s">
        <v>5757</v>
      </c>
      <c r="C16" t="s">
        <v>5776</v>
      </c>
    </row>
    <row r="17" spans="1:3">
      <c r="A17" t="s">
        <v>5603</v>
      </c>
      <c r="B17" t="s">
        <v>5758</v>
      </c>
      <c r="C17" t="s">
        <v>5776</v>
      </c>
    </row>
    <row r="18" spans="1:3">
      <c r="A18" t="s">
        <v>5604</v>
      </c>
      <c r="B18" t="s">
        <v>5759</v>
      </c>
      <c r="C18" t="s">
        <v>5776</v>
      </c>
    </row>
    <row r="19" spans="1:3">
      <c r="A19" t="s">
        <v>5605</v>
      </c>
      <c r="B19" t="s">
        <v>5760</v>
      </c>
      <c r="C19" t="s">
        <v>5776</v>
      </c>
    </row>
    <row r="20" spans="1:3">
      <c r="A20" t="s">
        <v>5606</v>
      </c>
      <c r="B20" t="s">
        <v>5761</v>
      </c>
      <c r="C20" t="s">
        <v>5776</v>
      </c>
    </row>
    <row r="21" spans="1:3">
      <c r="A21" t="s">
        <v>5607</v>
      </c>
      <c r="B21" t="s">
        <v>5762</v>
      </c>
      <c r="C21" t="s">
        <v>5776</v>
      </c>
    </row>
    <row r="22" spans="1:3">
      <c r="A22" t="s">
        <v>5608</v>
      </c>
      <c r="B22" t="s">
        <v>5763</v>
      </c>
      <c r="C22" t="s">
        <v>5776</v>
      </c>
    </row>
    <row r="23" spans="1:3">
      <c r="A23" t="s">
        <v>5609</v>
      </c>
      <c r="B23" t="s">
        <v>5764</v>
      </c>
      <c r="C23" t="s">
        <v>5776</v>
      </c>
    </row>
    <row r="24" spans="1:3">
      <c r="A24" t="s">
        <v>5610</v>
      </c>
      <c r="B24" t="s">
        <v>5765</v>
      </c>
      <c r="C24" t="s">
        <v>5776</v>
      </c>
    </row>
    <row r="25" spans="1:3">
      <c r="A25" t="s">
        <v>5612</v>
      </c>
      <c r="B25" t="s">
        <v>5612</v>
      </c>
      <c r="C25" t="s">
        <v>5504</v>
      </c>
    </row>
    <row r="26" spans="1:3">
      <c r="A26" t="s">
        <v>5614</v>
      </c>
      <c r="B26" t="s">
        <v>5766</v>
      </c>
      <c r="C26" t="s">
        <v>5777</v>
      </c>
    </row>
    <row r="27" spans="1:3">
      <c r="A27" t="s">
        <v>5615</v>
      </c>
      <c r="B27" t="s">
        <v>5767</v>
      </c>
      <c r="C27" t="s">
        <v>5778</v>
      </c>
    </row>
    <row r="28" spans="1:3">
      <c r="A28" t="s">
        <v>4782</v>
      </c>
      <c r="B28" t="s">
        <v>4323</v>
      </c>
      <c r="C28" t="s">
        <v>5779</v>
      </c>
    </row>
    <row r="29" spans="1:3">
      <c r="A29" t="s">
        <v>4315</v>
      </c>
      <c r="B29" t="s">
        <v>5768</v>
      </c>
      <c r="C29" t="s">
        <v>4324</v>
      </c>
    </row>
    <row r="30" spans="1:3">
      <c r="A30" t="s">
        <v>4316</v>
      </c>
      <c r="B30" t="s">
        <v>5769</v>
      </c>
      <c r="C30" t="s">
        <v>4324</v>
      </c>
    </row>
    <row r="31" spans="1:3">
      <c r="A31" t="s">
        <v>4317</v>
      </c>
      <c r="B31" t="s">
        <v>5770</v>
      </c>
      <c r="C31" t="s">
        <v>4324</v>
      </c>
    </row>
    <row r="32" spans="1:3">
      <c r="A32" t="s">
        <v>4318</v>
      </c>
      <c r="B32" t="s">
        <v>5771</v>
      </c>
      <c r="C32" t="s">
        <v>4324</v>
      </c>
    </row>
    <row r="33" spans="1:3">
      <c r="A33" t="s">
        <v>4319</v>
      </c>
      <c r="B33" t="s">
        <v>5772</v>
      </c>
      <c r="C33" t="s">
        <v>4324</v>
      </c>
    </row>
    <row r="34" spans="1:3">
      <c r="A34" t="s">
        <v>4320</v>
      </c>
      <c r="B34" t="s">
        <v>5773</v>
      </c>
      <c r="C34" t="s">
        <v>4324</v>
      </c>
    </row>
    <row r="35" spans="1:3">
      <c r="A35" t="s">
        <v>5620</v>
      </c>
      <c r="B35" t="s">
        <v>5774</v>
      </c>
      <c r="C35" t="s">
        <v>5780</v>
      </c>
    </row>
    <row r="36" spans="1:3">
      <c r="A36" t="s">
        <v>3196</v>
      </c>
      <c r="B36" t="s">
        <v>5775</v>
      </c>
      <c r="C36" t="s">
        <v>2458</v>
      </c>
    </row>
    <row r="37" spans="1:3">
      <c r="A37" t="s">
        <v>5624</v>
      </c>
      <c r="B37" t="s">
        <v>5624</v>
      </c>
      <c r="C37" t="s">
        <v>5622</v>
      </c>
    </row>
    <row r="38" spans="1:3">
      <c r="A38" t="s">
        <v>5625</v>
      </c>
      <c r="B38" t="s">
        <v>5625</v>
      </c>
      <c r="C38" t="s">
        <v>5622</v>
      </c>
    </row>
    <row r="39" spans="1:3">
      <c r="A39" t="s">
        <v>5626</v>
      </c>
      <c r="B39" t="s">
        <v>5626</v>
      </c>
      <c r="C39" t="s">
        <v>5622</v>
      </c>
    </row>
    <row r="40" spans="1:3">
      <c r="A40" t="s">
        <v>5627</v>
      </c>
      <c r="B40" t="s">
        <v>5627</v>
      </c>
      <c r="C40" t="s">
        <v>5622</v>
      </c>
    </row>
    <row r="41" spans="1:3">
      <c r="A41" t="s">
        <v>5628</v>
      </c>
      <c r="B41" t="s">
        <v>5628</v>
      </c>
      <c r="C41" t="s">
        <v>5622</v>
      </c>
    </row>
    <row r="42" spans="1:3">
      <c r="A42" t="s">
        <v>5629</v>
      </c>
      <c r="B42" t="s">
        <v>5629</v>
      </c>
      <c r="C42" t="s">
        <v>5622</v>
      </c>
    </row>
    <row r="43" spans="1:3">
      <c r="A43" t="s">
        <v>5630</v>
      </c>
      <c r="B43" t="s">
        <v>5630</v>
      </c>
      <c r="C43" t="s">
        <v>5622</v>
      </c>
    </row>
    <row r="44" spans="1:3">
      <c r="A44" t="s">
        <v>5631</v>
      </c>
      <c r="B44" t="s">
        <v>5631</v>
      </c>
      <c r="C44" t="s">
        <v>5622</v>
      </c>
    </row>
    <row r="45" spans="1:3">
      <c r="A45" t="s">
        <v>5632</v>
      </c>
      <c r="B45" t="s">
        <v>5632</v>
      </c>
      <c r="C45" t="s">
        <v>5622</v>
      </c>
    </row>
    <row r="46" spans="1:3">
      <c r="A46" t="s">
        <v>5633</v>
      </c>
      <c r="B46" t="s">
        <v>5633</v>
      </c>
      <c r="C46" t="s">
        <v>5622</v>
      </c>
    </row>
    <row r="47" spans="1:3">
      <c r="A47" t="s">
        <v>5743</v>
      </c>
      <c r="B47" t="s">
        <v>5743</v>
      </c>
      <c r="C47" t="s">
        <v>5781</v>
      </c>
    </row>
    <row r="48" spans="1:3">
      <c r="A48" t="s">
        <v>5746</v>
      </c>
      <c r="B48" t="s">
        <v>5746</v>
      </c>
      <c r="C48" t="s">
        <v>5782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57AA6-9FAB-4018-A4A9-23388394D0AC}">
  <dimension ref="A1:B10"/>
  <sheetViews>
    <sheetView workbookViewId="0"/>
  </sheetViews>
  <sheetFormatPr defaultRowHeight="15"/>
  <sheetData>
    <row r="1" spans="1:2">
      <c r="A1" t="s">
        <v>5314</v>
      </c>
      <c r="B1" t="s">
        <v>5486</v>
      </c>
    </row>
    <row r="2" spans="1:2">
      <c r="A2" t="s">
        <v>5335</v>
      </c>
      <c r="B2" t="s">
        <v>5491</v>
      </c>
    </row>
    <row r="3" spans="1:2">
      <c r="A3" t="s">
        <v>5337</v>
      </c>
      <c r="B3" t="s">
        <v>5499</v>
      </c>
    </row>
    <row r="4" spans="1:2">
      <c r="A4" t="s">
        <v>2319</v>
      </c>
      <c r="B4" t="s">
        <v>5277</v>
      </c>
    </row>
    <row r="5" spans="1:2">
      <c r="A5" t="s">
        <v>5368</v>
      </c>
      <c r="B5" t="s">
        <v>2473</v>
      </c>
    </row>
    <row r="6" spans="1:2">
      <c r="A6" t="s">
        <v>5371</v>
      </c>
      <c r="B6" t="s">
        <v>5494</v>
      </c>
    </row>
    <row r="7" spans="1:2">
      <c r="A7" t="s">
        <v>5399</v>
      </c>
      <c r="B7" t="s">
        <v>5494</v>
      </c>
    </row>
    <row r="8" spans="1:2">
      <c r="A8" t="s">
        <v>5402</v>
      </c>
      <c r="B8" t="s">
        <v>5487</v>
      </c>
    </row>
    <row r="9" spans="1:2">
      <c r="A9" t="s">
        <v>5405</v>
      </c>
      <c r="B9" t="s">
        <v>5499</v>
      </c>
    </row>
    <row r="10" spans="1:2">
      <c r="A10" t="s">
        <v>5425</v>
      </c>
      <c r="B10" t="s">
        <v>5497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H486"/>
  <sheetViews>
    <sheetView workbookViewId="0">
      <selection activeCell="C24" sqref="C24"/>
    </sheetView>
  </sheetViews>
  <sheetFormatPr defaultRowHeight="15"/>
  <sheetData>
    <row r="1" spans="1:8">
      <c r="A1" t="s">
        <v>2319</v>
      </c>
      <c r="B1" t="s">
        <v>4414</v>
      </c>
    </row>
    <row r="2" spans="1:8">
      <c r="A2" t="s">
        <v>4969</v>
      </c>
      <c r="B2" t="s">
        <v>4948</v>
      </c>
    </row>
    <row r="3" spans="1:8">
      <c r="A3" t="s">
        <v>4974</v>
      </c>
      <c r="B3" t="s">
        <v>5522</v>
      </c>
    </row>
    <row r="4" spans="1:8">
      <c r="A4" t="s">
        <v>4975</v>
      </c>
      <c r="B4" t="s">
        <v>2521</v>
      </c>
    </row>
    <row r="5" spans="1:8">
      <c r="A5" t="s">
        <v>4976</v>
      </c>
      <c r="B5" t="s">
        <v>5269</v>
      </c>
    </row>
    <row r="6" spans="1:8">
      <c r="A6" t="s">
        <v>4977</v>
      </c>
      <c r="B6" t="s">
        <v>5269</v>
      </c>
    </row>
    <row r="7" spans="1:8">
      <c r="A7" t="s">
        <v>4978</v>
      </c>
      <c r="B7" t="s">
        <v>5269</v>
      </c>
    </row>
    <row r="8" spans="1:8">
      <c r="A8" t="s">
        <v>4979</v>
      </c>
      <c r="B8" t="s">
        <v>3003</v>
      </c>
    </row>
    <row r="9" spans="1:8">
      <c r="A9" t="s">
        <v>4980</v>
      </c>
      <c r="B9" t="s">
        <v>3003</v>
      </c>
    </row>
    <row r="10" spans="1:8">
      <c r="A10" t="s">
        <v>4981</v>
      </c>
      <c r="B10" t="s">
        <v>3003</v>
      </c>
    </row>
    <row r="11" spans="1:8">
      <c r="A11" t="s">
        <v>4982</v>
      </c>
      <c r="B11" t="s">
        <v>3008</v>
      </c>
    </row>
    <row r="12" spans="1:8">
      <c r="A12" t="s">
        <v>4983</v>
      </c>
      <c r="B12" t="s">
        <v>3003</v>
      </c>
    </row>
    <row r="13" spans="1:8">
      <c r="A13" t="s">
        <v>4984</v>
      </c>
      <c r="B13" t="s">
        <v>3003</v>
      </c>
    </row>
    <row r="14" spans="1:8">
      <c r="A14" t="s">
        <v>4985</v>
      </c>
      <c r="B14" t="s">
        <v>3003</v>
      </c>
    </row>
    <row r="15" spans="1:8">
      <c r="A15" t="s">
        <v>4986</v>
      </c>
      <c r="B15" t="s">
        <v>3003</v>
      </c>
      <c r="H15" t="s">
        <v>5587</v>
      </c>
    </row>
    <row r="16" spans="1:8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  <row r="132" spans="1:2">
      <c r="A132" s="115" t="s">
        <v>5590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KPI</vt:lpstr>
      <vt:lpstr>Sheet6</vt:lpstr>
      <vt:lpstr>Sheet7</vt:lpstr>
      <vt:lpstr>Sheet9</vt:lpstr>
      <vt:lpstr>Sheet10</vt:lpstr>
      <vt:lpstr>Report</vt:lpstr>
      <vt:lpstr>OK</vt:lpstr>
      <vt:lpstr>PROC</vt:lpstr>
      <vt:lpstr>Sheet11</vt:lpstr>
      <vt:lpstr>Sheet8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2025-08-11T14:42:10Z</dcterms:modified>
  <cp:category/>
  <cp:contentStatus/>
</cp:coreProperties>
</file>