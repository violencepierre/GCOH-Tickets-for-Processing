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6EEA124B-0123-490A-90A3-94104249887C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5" sheetId="32" r:id="rId6"/>
    <sheet name="Sheet4" sheetId="31" r:id="rId7"/>
    <sheet name="Sheet2" sheetId="29" r:id="rId8"/>
    <sheet name="Sheet3" sheetId="30" r:id="rId9"/>
    <sheet name="Sheet1" sheetId="28" r:id="rId10"/>
    <sheet name="For Commentary" sheetId="20" r:id="rId11"/>
    <sheet name="Authors" sheetId="18" r:id="rId12"/>
    <sheet name="STAT" sheetId="10" r:id="rId13"/>
    <sheet name="Sector" sheetId="3" r:id="rId14"/>
    <sheet name="YelTable" sheetId="24" r:id="rId15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4" hidden="1">YelTable!$A$1:$E$5</definedName>
    <definedName name="ID" localSheetId="11" hidden="1">"f29e49f0-c842-4a01-8df8-c72694a7b15c"</definedName>
    <definedName name="ID" localSheetId="3" hidden="1">"3fb6490e-8bae-4ce5-b09c-5121e79bff69"</definedName>
    <definedName name="ID" localSheetId="10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3" hidden="1">"fa560984-7bbe-4a11-88aa-39d6eb27c9e2"</definedName>
    <definedName name="ID" localSheetId="12" hidden="1">"e95ef0c9-3382-426f-86db-9e8ceaf6f6b4"</definedName>
    <definedName name="ID" localSheetId="14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6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109" i="1" l="1"/>
  <c r="F6108" i="1"/>
  <c r="F6021" i="1"/>
  <c r="F6020" i="1"/>
  <c r="F6019" i="1"/>
  <c r="F6018" i="1"/>
  <c r="F6017" i="1"/>
  <c r="F6016" i="1"/>
  <c r="F6015" i="1"/>
  <c r="F6014" i="1"/>
  <c r="F6013" i="1"/>
  <c r="F6012" i="1"/>
  <c r="F6011" i="1"/>
  <c r="F6010" i="1"/>
  <c r="J6010" i="1" s="1"/>
  <c r="F6009" i="1"/>
  <c r="F6008" i="1"/>
  <c r="J6008" i="1" s="1"/>
  <c r="F6007" i="1"/>
  <c r="F6006" i="1"/>
  <c r="J6006" i="1" s="1"/>
  <c r="F6005" i="1"/>
  <c r="F6004" i="1"/>
  <c r="F6003" i="1"/>
  <c r="F6002" i="1"/>
  <c r="F6001" i="1"/>
  <c r="F6000" i="1"/>
  <c r="F5999" i="1"/>
  <c r="F5998" i="1"/>
  <c r="F5997" i="1"/>
  <c r="F5996" i="1"/>
  <c r="F5995" i="1"/>
  <c r="F5994" i="1"/>
  <c r="J5994" i="1" s="1"/>
  <c r="F5993" i="1"/>
  <c r="F5992" i="1"/>
  <c r="J5992" i="1" s="1"/>
  <c r="F5991" i="1"/>
  <c r="F5990" i="1"/>
  <c r="J5990" i="1" s="1"/>
  <c r="F5989" i="1"/>
  <c r="F5988" i="1"/>
  <c r="F5987" i="1"/>
  <c r="F5986" i="1"/>
  <c r="F5985" i="1"/>
  <c r="F5984" i="1"/>
  <c r="F5983" i="1"/>
  <c r="F5982" i="1"/>
  <c r="F5981" i="1"/>
  <c r="F5980" i="1"/>
  <c r="F5979" i="1"/>
  <c r="F5978" i="1"/>
  <c r="F5977" i="1"/>
  <c r="F5976" i="1"/>
  <c r="F5975" i="1"/>
  <c r="F5974" i="1"/>
  <c r="J5974" i="1" s="1"/>
  <c r="F5973" i="1"/>
  <c r="F5972" i="1"/>
  <c r="F5971" i="1"/>
  <c r="F5970" i="1"/>
  <c r="F5969" i="1"/>
  <c r="F5968" i="1"/>
  <c r="F5967" i="1"/>
  <c r="F5966" i="1"/>
  <c r="F5965" i="1"/>
  <c r="F5964" i="1"/>
  <c r="F5963" i="1"/>
  <c r="F5962" i="1"/>
  <c r="J5962" i="1" s="1"/>
  <c r="F5961" i="1"/>
  <c r="F5960" i="1"/>
  <c r="J5960" i="1" s="1"/>
  <c r="F5959" i="1"/>
  <c r="F5958" i="1"/>
  <c r="J5958" i="1" s="1"/>
  <c r="F5957" i="1"/>
  <c r="F5956" i="1"/>
  <c r="F5955" i="1"/>
  <c r="F5954" i="1"/>
  <c r="F5953" i="1"/>
  <c r="F5952" i="1"/>
  <c r="F5951" i="1"/>
  <c r="F5950" i="1"/>
  <c r="F5949" i="1"/>
  <c r="F5948" i="1"/>
  <c r="F5947" i="1"/>
  <c r="F5946" i="1"/>
  <c r="J5946" i="1" s="1"/>
  <c r="F5945" i="1"/>
  <c r="F5944" i="1"/>
  <c r="J5944" i="1" s="1"/>
  <c r="F5943" i="1"/>
  <c r="F5942" i="1"/>
  <c r="J5942" i="1" s="1"/>
  <c r="F5941" i="1"/>
  <c r="F5940" i="1"/>
  <c r="F5939" i="1"/>
  <c r="F5938" i="1"/>
  <c r="F5937" i="1"/>
  <c r="F5936" i="1"/>
  <c r="F5935" i="1"/>
  <c r="F5934" i="1"/>
  <c r="F5933" i="1"/>
  <c r="F5932" i="1"/>
  <c r="F5931" i="1"/>
  <c r="F5930" i="1"/>
  <c r="J5930" i="1" s="1"/>
  <c r="F5929" i="1"/>
  <c r="F5928" i="1"/>
  <c r="J5928" i="1" s="1"/>
  <c r="F5927" i="1"/>
  <c r="F5926" i="1"/>
  <c r="J5926" i="1" s="1"/>
  <c r="F5925" i="1"/>
  <c r="F5924" i="1"/>
  <c r="F5923" i="1"/>
  <c r="F5922" i="1"/>
  <c r="F5921" i="1"/>
  <c r="F5920" i="1"/>
  <c r="F5919" i="1"/>
  <c r="F5918" i="1"/>
  <c r="F5917" i="1"/>
  <c r="F5916" i="1"/>
  <c r="F5915" i="1"/>
  <c r="F5914" i="1"/>
  <c r="J5914" i="1" s="1"/>
  <c r="F5913" i="1"/>
  <c r="F5912" i="1"/>
  <c r="J5912" i="1" s="1"/>
  <c r="F5911" i="1"/>
  <c r="F5910" i="1"/>
  <c r="J5910" i="1" s="1"/>
  <c r="F5909" i="1"/>
  <c r="F5908" i="1"/>
  <c r="F5907" i="1"/>
  <c r="F5906" i="1"/>
  <c r="F5905" i="1"/>
  <c r="F5904" i="1"/>
  <c r="F5903" i="1"/>
  <c r="F5902" i="1"/>
  <c r="F5901" i="1"/>
  <c r="F5900" i="1"/>
  <c r="F5899" i="1"/>
  <c r="F5898" i="1"/>
  <c r="J5898" i="1" s="1"/>
  <c r="F5897" i="1"/>
  <c r="F5896" i="1"/>
  <c r="J5896" i="1" s="1"/>
  <c r="F5895" i="1"/>
  <c r="F5894" i="1"/>
  <c r="J5894" i="1" s="1"/>
  <c r="F5893" i="1"/>
  <c r="F5892" i="1"/>
  <c r="F5891" i="1"/>
  <c r="F5890" i="1"/>
  <c r="F5889" i="1"/>
  <c r="F5888" i="1"/>
  <c r="F5887" i="1"/>
  <c r="F5886" i="1"/>
  <c r="F5885" i="1"/>
  <c r="F5884" i="1"/>
  <c r="F5883" i="1"/>
  <c r="F5882" i="1"/>
  <c r="J5882" i="1" s="1"/>
  <c r="F5881" i="1"/>
  <c r="F5880" i="1"/>
  <c r="J5880" i="1" s="1"/>
  <c r="F5879" i="1"/>
  <c r="F5878" i="1"/>
  <c r="J5878" i="1" s="1"/>
  <c r="F5877" i="1"/>
  <c r="F5876" i="1"/>
  <c r="F5875" i="1"/>
  <c r="F5874" i="1"/>
  <c r="F5873" i="1"/>
  <c r="F5872" i="1"/>
  <c r="F5871" i="1"/>
  <c r="F5870" i="1"/>
  <c r="F5869" i="1"/>
  <c r="F5868" i="1"/>
  <c r="F5867" i="1"/>
  <c r="F5866" i="1"/>
  <c r="J5866" i="1" s="1"/>
  <c r="F5865" i="1"/>
  <c r="F5864" i="1"/>
  <c r="J5864" i="1" s="1"/>
  <c r="F5863" i="1"/>
  <c r="J5863" i="1" s="1"/>
  <c r="F5862" i="1"/>
  <c r="J5862" i="1" s="1"/>
  <c r="F5861" i="1"/>
  <c r="F5860" i="1"/>
  <c r="F5859" i="1"/>
  <c r="F5858" i="1"/>
  <c r="F5857" i="1"/>
  <c r="F5856" i="1"/>
  <c r="F5855" i="1"/>
  <c r="J5855" i="1" s="1"/>
  <c r="F5854" i="1"/>
  <c r="F5853" i="1"/>
  <c r="F5852" i="1"/>
  <c r="F5851" i="1"/>
  <c r="F5850" i="1"/>
  <c r="J5850" i="1" s="1"/>
  <c r="F5849" i="1"/>
  <c r="F5848" i="1"/>
  <c r="J5848" i="1" s="1"/>
  <c r="F5809" i="1"/>
  <c r="F5808" i="1"/>
  <c r="F5807" i="1"/>
  <c r="F5806" i="1"/>
  <c r="F5805" i="1"/>
  <c r="F5804" i="1"/>
  <c r="F5803" i="1"/>
  <c r="F5801" i="1"/>
  <c r="F5800" i="1"/>
  <c r="F5799" i="1"/>
  <c r="F5798" i="1"/>
  <c r="F5797" i="1"/>
  <c r="F5796" i="1"/>
  <c r="F5795" i="1"/>
  <c r="J5795" i="1" s="1"/>
  <c r="F5794" i="1"/>
  <c r="J5794" i="1" s="1"/>
  <c r="F5793" i="1"/>
  <c r="F5792" i="1"/>
  <c r="J5792" i="1" s="1"/>
  <c r="F5791" i="1"/>
  <c r="F5790" i="1"/>
  <c r="F5789" i="1"/>
  <c r="F5788" i="1"/>
  <c r="F5787" i="1"/>
  <c r="J5787" i="1" s="1"/>
  <c r="F5786" i="1"/>
  <c r="J5786" i="1" s="1"/>
  <c r="F5785" i="1"/>
  <c r="F5784" i="1"/>
  <c r="F5783" i="1"/>
  <c r="F5782" i="1"/>
  <c r="F5781" i="1"/>
  <c r="F5780" i="1"/>
  <c r="F5779" i="1"/>
  <c r="J5779" i="1" s="1"/>
  <c r="F5778" i="1"/>
  <c r="J5778" i="1" s="1"/>
  <c r="F5777" i="1"/>
  <c r="J5777" i="1" s="1"/>
  <c r="F5776" i="1"/>
  <c r="J5776" i="1" s="1"/>
  <c r="F5775" i="1"/>
  <c r="J5775" i="1" s="1"/>
  <c r="F5774" i="1"/>
  <c r="F5773" i="1"/>
  <c r="F5772" i="1"/>
  <c r="F5771" i="1"/>
  <c r="J5771" i="1" s="1"/>
  <c r="F5770" i="1"/>
  <c r="J5770" i="1" s="1"/>
  <c r="F5769" i="1"/>
  <c r="F5768" i="1"/>
  <c r="F5767" i="1"/>
  <c r="F5766" i="1"/>
  <c r="F5765" i="1"/>
  <c r="F5764" i="1"/>
  <c r="F5705" i="1"/>
  <c r="J5705" i="1" s="1"/>
  <c r="F5704" i="1"/>
  <c r="F5696" i="1"/>
  <c r="J5696" i="1" s="1"/>
  <c r="F5695" i="1"/>
  <c r="F5694" i="1"/>
  <c r="F5693" i="1"/>
  <c r="F5680" i="1"/>
  <c r="F5679" i="1"/>
  <c r="F5674" i="1"/>
  <c r="F5673" i="1"/>
  <c r="F5662" i="1"/>
  <c r="F5661" i="1"/>
  <c r="F5660" i="1"/>
  <c r="F5659" i="1"/>
  <c r="F5658" i="1"/>
  <c r="J6110" i="1"/>
  <c r="J6102" i="1"/>
  <c r="J6100" i="1"/>
  <c r="J6099" i="1"/>
  <c r="J6097" i="1"/>
  <c r="J6095" i="1"/>
  <c r="J6094" i="1"/>
  <c r="J6093" i="1"/>
  <c r="J6092" i="1"/>
  <c r="J6086" i="1"/>
  <c r="J6083" i="1"/>
  <c r="J6081" i="1"/>
  <c r="J6079" i="1"/>
  <c r="J6078" i="1"/>
  <c r="J6077" i="1"/>
  <c r="J6076" i="1"/>
  <c r="J6070" i="1"/>
  <c r="J6068" i="1"/>
  <c r="J6067" i="1"/>
  <c r="J6065" i="1"/>
  <c r="J6063" i="1"/>
  <c r="J6062" i="1"/>
  <c r="J6061" i="1"/>
  <c r="J6060" i="1"/>
  <c r="J6054" i="1"/>
  <c r="J6051" i="1"/>
  <c r="J6049" i="1"/>
  <c r="J6047" i="1"/>
  <c r="J6045" i="1"/>
  <c r="J6044" i="1"/>
  <c r="J6038" i="1"/>
  <c r="J6035" i="1"/>
  <c r="J6033" i="1"/>
  <c r="J6032" i="1"/>
  <c r="J6031" i="1"/>
  <c r="J6030" i="1"/>
  <c r="J6029" i="1"/>
  <c r="J6028" i="1"/>
  <c r="J6022" i="1"/>
  <c r="J5846" i="1"/>
  <c r="J5845" i="1"/>
  <c r="J5843" i="1"/>
  <c r="J5841" i="1"/>
  <c r="J5840" i="1"/>
  <c r="J5839" i="1"/>
  <c r="J5836" i="1"/>
  <c r="J5835" i="1"/>
  <c r="J5834" i="1"/>
  <c r="J5833" i="1"/>
  <c r="J5832" i="1"/>
  <c r="J5827" i="1"/>
  <c r="J5825" i="1"/>
  <c r="J5824" i="1"/>
  <c r="J5823" i="1"/>
  <c r="J5820" i="1"/>
  <c r="J5819" i="1"/>
  <c r="J5818" i="1"/>
  <c r="J5817" i="1"/>
  <c r="J5816" i="1"/>
  <c r="J5813" i="1"/>
  <c r="J5811" i="1"/>
  <c r="J5802" i="1"/>
  <c r="J5763" i="1"/>
  <c r="J5762" i="1"/>
  <c r="J5755" i="1"/>
  <c r="J5752" i="1"/>
  <c r="J5750" i="1"/>
  <c r="J5749" i="1"/>
  <c r="J5748" i="1"/>
  <c r="J5747" i="1"/>
  <c r="J5746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64" i="1"/>
  <c r="J5765" i="1"/>
  <c r="J5766" i="1"/>
  <c r="J5767" i="1"/>
  <c r="J5768" i="1"/>
  <c r="J5769" i="1"/>
  <c r="J5772" i="1"/>
  <c r="J5773" i="1"/>
  <c r="J5774" i="1"/>
  <c r="J5780" i="1"/>
  <c r="J5781" i="1"/>
  <c r="J5782" i="1"/>
  <c r="J5783" i="1"/>
  <c r="J5784" i="1"/>
  <c r="J5785" i="1"/>
  <c r="J5788" i="1"/>
  <c r="J5789" i="1"/>
  <c r="J5790" i="1"/>
  <c r="J5791" i="1"/>
  <c r="J5793" i="1"/>
  <c r="J5796" i="1"/>
  <c r="J5797" i="1"/>
  <c r="J5798" i="1"/>
  <c r="J5799" i="1"/>
  <c r="J5800" i="1"/>
  <c r="J5801" i="1"/>
  <c r="J5803" i="1"/>
  <c r="J5804" i="1"/>
  <c r="J5805" i="1"/>
  <c r="J5806" i="1"/>
  <c r="J5807" i="1"/>
  <c r="J5808" i="1"/>
  <c r="J5809" i="1"/>
  <c r="J5810" i="1"/>
  <c r="J5812" i="1"/>
  <c r="J5814" i="1"/>
  <c r="J5815" i="1"/>
  <c r="J5821" i="1"/>
  <c r="J5822" i="1"/>
  <c r="J5826" i="1"/>
  <c r="J5828" i="1"/>
  <c r="J5829" i="1"/>
  <c r="J5830" i="1"/>
  <c r="J5831" i="1"/>
  <c r="J5837" i="1"/>
  <c r="J5838" i="1"/>
  <c r="J5842" i="1"/>
  <c r="J5844" i="1"/>
  <c r="J5847" i="1"/>
  <c r="J5849" i="1"/>
  <c r="J5851" i="1"/>
  <c r="J5852" i="1"/>
  <c r="J5853" i="1"/>
  <c r="J5854" i="1"/>
  <c r="J5856" i="1"/>
  <c r="J5857" i="1"/>
  <c r="J5858" i="1"/>
  <c r="J5859" i="1"/>
  <c r="J5860" i="1"/>
  <c r="J5861" i="1"/>
  <c r="J5865" i="1"/>
  <c r="J5867" i="1"/>
  <c r="J5868" i="1"/>
  <c r="J5869" i="1"/>
  <c r="J5870" i="1"/>
  <c r="J5871" i="1"/>
  <c r="J5872" i="1"/>
  <c r="J5873" i="1"/>
  <c r="J5874" i="1"/>
  <c r="J5875" i="1"/>
  <c r="J5876" i="1"/>
  <c r="J5877" i="1"/>
  <c r="J5879" i="1"/>
  <c r="J5881" i="1"/>
  <c r="J5883" i="1"/>
  <c r="J5884" i="1"/>
  <c r="J5885" i="1"/>
  <c r="J5886" i="1"/>
  <c r="J5887" i="1"/>
  <c r="J5888" i="1"/>
  <c r="J5889" i="1"/>
  <c r="J5890" i="1"/>
  <c r="J5891" i="1"/>
  <c r="J5892" i="1"/>
  <c r="J5893" i="1"/>
  <c r="J5895" i="1"/>
  <c r="J5897" i="1"/>
  <c r="J5899" i="1"/>
  <c r="J5900" i="1"/>
  <c r="J5901" i="1"/>
  <c r="J5902" i="1"/>
  <c r="J5903" i="1"/>
  <c r="J5904" i="1"/>
  <c r="J5905" i="1"/>
  <c r="J5906" i="1"/>
  <c r="J5907" i="1"/>
  <c r="J5908" i="1"/>
  <c r="J5909" i="1"/>
  <c r="J5911" i="1"/>
  <c r="J5913" i="1"/>
  <c r="J5915" i="1"/>
  <c r="J5916" i="1"/>
  <c r="J5917" i="1"/>
  <c r="J5918" i="1"/>
  <c r="J5919" i="1"/>
  <c r="J5920" i="1"/>
  <c r="J5921" i="1"/>
  <c r="J5922" i="1"/>
  <c r="J5923" i="1"/>
  <c r="J5924" i="1"/>
  <c r="J5925" i="1"/>
  <c r="J5927" i="1"/>
  <c r="J5929" i="1"/>
  <c r="J5931" i="1"/>
  <c r="J5932" i="1"/>
  <c r="J5933" i="1"/>
  <c r="J5934" i="1"/>
  <c r="J5935" i="1"/>
  <c r="J5936" i="1"/>
  <c r="J5937" i="1"/>
  <c r="J5938" i="1"/>
  <c r="J5939" i="1"/>
  <c r="J5940" i="1"/>
  <c r="J5941" i="1"/>
  <c r="J5943" i="1"/>
  <c r="J5945" i="1"/>
  <c r="J5947" i="1"/>
  <c r="J5948" i="1"/>
  <c r="J5949" i="1"/>
  <c r="J5950" i="1"/>
  <c r="J5951" i="1"/>
  <c r="J5952" i="1"/>
  <c r="J5953" i="1"/>
  <c r="J5954" i="1"/>
  <c r="J5955" i="1"/>
  <c r="J5956" i="1"/>
  <c r="J5957" i="1"/>
  <c r="J5959" i="1"/>
  <c r="J5961" i="1"/>
  <c r="J5963" i="1"/>
  <c r="J5964" i="1"/>
  <c r="J5965" i="1"/>
  <c r="J5966" i="1"/>
  <c r="J5967" i="1"/>
  <c r="J5968" i="1"/>
  <c r="J5969" i="1"/>
  <c r="J5970" i="1"/>
  <c r="J5971" i="1"/>
  <c r="J5972" i="1"/>
  <c r="J5973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1" i="1"/>
  <c r="J5993" i="1"/>
  <c r="J5995" i="1"/>
  <c r="J5996" i="1"/>
  <c r="J5997" i="1"/>
  <c r="J5998" i="1"/>
  <c r="J5999" i="1"/>
  <c r="J6000" i="1"/>
  <c r="J6001" i="1"/>
  <c r="J6002" i="1"/>
  <c r="J6003" i="1"/>
  <c r="J6004" i="1"/>
  <c r="J6005" i="1"/>
  <c r="J6007" i="1"/>
  <c r="J6009" i="1"/>
  <c r="J6011" i="1"/>
  <c r="J6012" i="1"/>
  <c r="J6013" i="1"/>
  <c r="J6014" i="1"/>
  <c r="J6015" i="1"/>
  <c r="J6016" i="1"/>
  <c r="J6017" i="1"/>
  <c r="J6018" i="1"/>
  <c r="J6019" i="1"/>
  <c r="J6020" i="1"/>
  <c r="J6021" i="1"/>
  <c r="J6023" i="1"/>
  <c r="J6024" i="1"/>
  <c r="J6025" i="1"/>
  <c r="J6026" i="1"/>
  <c r="J6027" i="1"/>
  <c r="J6034" i="1"/>
  <c r="J6036" i="1"/>
  <c r="J6037" i="1"/>
  <c r="J6039" i="1"/>
  <c r="J6040" i="1"/>
  <c r="J6041" i="1"/>
  <c r="J6042" i="1"/>
  <c r="J6043" i="1"/>
  <c r="J6046" i="1"/>
  <c r="J6048" i="1"/>
  <c r="J6050" i="1"/>
  <c r="J6052" i="1"/>
  <c r="J6053" i="1"/>
  <c r="J6055" i="1"/>
  <c r="J6056" i="1"/>
  <c r="J6057" i="1"/>
  <c r="J6058" i="1"/>
  <c r="J6059" i="1"/>
  <c r="J6064" i="1"/>
  <c r="J6066" i="1"/>
  <c r="J6069" i="1"/>
  <c r="J6071" i="1"/>
  <c r="J6072" i="1"/>
  <c r="J6073" i="1"/>
  <c r="J6074" i="1"/>
  <c r="J6075" i="1"/>
  <c r="J6080" i="1"/>
  <c r="J6082" i="1"/>
  <c r="J6084" i="1"/>
  <c r="J6085" i="1"/>
  <c r="J6087" i="1"/>
  <c r="J6088" i="1"/>
  <c r="J6089" i="1"/>
  <c r="J6090" i="1"/>
  <c r="J6091" i="1"/>
  <c r="J6096" i="1"/>
  <c r="J6098" i="1"/>
  <c r="J6101" i="1"/>
  <c r="J6103" i="1"/>
  <c r="J6104" i="1"/>
  <c r="J6105" i="1"/>
  <c r="J6106" i="1"/>
  <c r="J6107" i="1"/>
  <c r="J6108" i="1"/>
  <c r="J6109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4" i="1"/>
  <c r="J5695" i="1"/>
  <c r="J5699" i="1"/>
  <c r="J5701" i="1"/>
  <c r="J5702" i="1"/>
  <c r="J5703" i="1"/>
  <c r="J5704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1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59" i="1"/>
  <c r="J5660" i="1"/>
  <c r="J5661" i="1"/>
  <c r="J5662" i="1"/>
  <c r="J5664" i="1"/>
  <c r="J5666" i="1"/>
  <c r="J5667" i="1"/>
  <c r="J5668" i="1"/>
  <c r="J5669" i="1"/>
  <c r="J5670" i="1"/>
  <c r="J5671" i="1"/>
  <c r="J5673" i="1"/>
  <c r="J5674" i="1"/>
  <c r="J5677" i="1"/>
  <c r="J5679" i="1"/>
  <c r="J5680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C1" i="4"/>
  <c r="B1" i="4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<sst xmlns="http://schemas.openxmlformats.org/spreadsheetml/2006/main" count="54612" uniqueCount="8721">
  <si>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</si>
  <si>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</si>
  <si>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</si>
  <si>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</si>
  <si>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</si>
  <si>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</si>
  <si>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</si>
  <si>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</si>
  <si>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</si>
  <si>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</si>
  <si>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</si>
  <si>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</si>
  <si>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</si>
  <si>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</si>
  <si>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</si>
  <si>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</si>
  <si>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</si>
  <si>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</si>
  <si>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</si>
  <si>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</si>
  <si>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</si>
  <si>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</si>
  <si>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</si>
  <si>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</si>
  <si>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</si>
  <si>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</si>
  <si>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</si>
  <si>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</si>
  <si>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</si>
  <si>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</si>
  <si>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</si>
  <si>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</si>
  <si>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</si>
  <si>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</si>
  <si>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</si>
  <si>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</si>
  <si>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</si>
  <si>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</si>
  <si>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</si>
  <si>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</si>
  <si>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</si>
  <si>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</si>
  <si>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</si>
  <si>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</si>
  <si>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</si>
  <si>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</si>
  <si>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</si>
  <si>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</si>
  <si>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</si>
  <si>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</si>
  <si>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</si>
  <si>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</si>
  <si>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</si>
  <si>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</si>
  <si>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</si>
  <si>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</si>
  <si>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</si>
  <si>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</si>
  <si>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</si>
  <si>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</si>
  <si>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</si>
  <si>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</si>
  <si>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</si>
  <si>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</si>
  <si>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</si>
  <si>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</si>
  <si>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</si>
  <si>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</si>
  <si>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</si>
  <si>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</si>
  <si>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</si>
  <si>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</si>
  <si>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</si>
  <si>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</si>
  <si>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</si>
  <si>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</si>
  <si>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</si>
  <si>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</si>
  <si>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</si>
  <si>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</si>
  <si>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</si>
  <si>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</si>
  <si>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</si>
  <si>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</si>
  <si>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</si>
  <si>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</si>
  <si>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</si>
  <si>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</si>
  <si>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</si>
  <si>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</si>
  <si>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</si>
  <si>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</si>
  <si>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</si>
  <si>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</si>
  <si>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</si>
  <si>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</si>
  <si>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</si>
  <si>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</si>
  <si>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</si>
  <si>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</si>
  <si>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</si>
  <si>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</si>
  <si>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</si>
  <si>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</si>
  <si>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</si>
  <si>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</si>
  <si>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</si>
  <si>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</si>
  <si>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</si>
  <si>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</si>
  <si>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</si>
  <si>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</si>
  <si>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</si>
  <si>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</si>
  <si>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</si>
  <si>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</si>
  <si>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</si>
  <si>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</si>
  <si>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</si>
  <si>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</si>
  <si>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</si>
  <si>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</si>
  <si>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</si>
  <si>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</si>
  <si>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</si>
  <si>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</si>
  <si>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</si>
  <si>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</si>
  <si>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</si>
  <si>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</si>
  <si>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</si>
  <si>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</si>
  <si>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</si>
  <si>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</si>
  <si>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</si>
  <si>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</si>
  <si>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</si>
  <si>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</si>
  <si>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</si>
  <si>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</si>
  <si>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</si>
  <si>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</si>
  <si>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</si>
  <si>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</si>
  <si>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</si>
  <si>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</si>
  <si>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</si>
  <si>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</si>
  <si>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</si>
  <si>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</si>
  <si>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</si>
  <si>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</si>
  <si>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</si>
  <si>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</si>
  <si>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</si>
  <si>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</si>
  <si>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</si>
  <si>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</si>
  <si>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</si>
  <si>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</si>
  <si>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</si>
  <si>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</si>
  <si>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</si>
  <si>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</si>
  <si>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</si>
  <si>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</si>
  <si>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</si>
  <si>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</si>
  <si>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</si>
  <si>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</si>
  <si>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</si>
  <si>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</si>
  <si>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</si>
  <si>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</si>
  <si>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</si>
  <si>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</si>
  <si>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</si>
  <si>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</si>
  <si>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</si>
  <si>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</si>
  <si>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</si>
  <si>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</si>
  <si>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</si>
  <si>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</si>
  <si>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</si>
  <si>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</si>
  <si>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</si>
  <si>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</si>
  <si>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</si>
  <si>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</si>
  <si>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</si>
  <si>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</si>
  <si>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</si>
  <si>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</si>
  <si>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</si>
  <si>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</si>
  <si>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</si>
  <si>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</si>
  <si>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</si>
  <si>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</si>
  <si>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</si>
  <si>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</si>
  <si>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</si>
  <si>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</si>
  <si>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</si>
  <si>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</si>
  <si>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</si>
  <si>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</si>
  <si>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</si>
  <si>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</si>
  <si>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</si>
  <si>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</si>
  <si>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</si>
  <si>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</si>
  <si>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</si>
  <si>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</si>
  <si>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</si>
  <si>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</si>
  <si>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</si>
  <si>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</si>
  <si>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</si>
  <si>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</si>
  <si>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</si>
  <si>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</si>
  <si>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</si>
  <si>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</si>
  <si>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</si>
  <si>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</si>
  <si>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</si>
  <si>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</si>
  <si>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</si>
  <si>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</si>
  <si>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</si>
  <si>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</si>
  <si>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</si>
  <si>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</si>
  <si>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</si>
  <si>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</si>
  <si>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</si>
  <si>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</si>
  <si>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</si>
  <si>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</si>
  <si>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</si>
  <si>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</si>
  <si>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</si>
  <si>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</si>
  <si>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</si>
  <si>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</si>
  <si>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</si>
  <si>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</si>
  <si>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</si>
  <si>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</si>
  <si>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</si>
  <si>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</si>
  <si>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</si>
  <si>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</si>
  <si>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</si>
  <si>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</si>
  <si>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</si>
  <si>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</si>
  <si>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</si>
  <si>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</si>
  <si>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</si>
  <si>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</si>
  <si>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</si>
  <si>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</si>
  <si>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</si>
  <si>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</si>
  <si>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</si>
  <si>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</si>
  <si>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</si>
  <si>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</si>
  <si>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</si>
  <si>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</si>
  <si>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</si>
  <si>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</si>
  <si>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</si>
  <si>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</si>
  <si>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</si>
  <si>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</si>
  <si>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</si>
  <si>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</si>
  <si>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</si>
  <si>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</si>
  <si>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</si>
  <si>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</si>
  <si>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</si>
  <si>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</si>
  <si>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</si>
  <si>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</si>
  <si>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</si>
  <si>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</si>
  <si>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</si>
  <si>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</si>
  <si>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</si>
  <si>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</si>
  <si>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</si>
  <si>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</si>
  <si>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</si>
  <si>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</si>
  <si>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</si>
  <si>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</si>
  <si>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</si>
  <si>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</si>
  <si>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</si>
  <si>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</si>
  <si>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</si>
  <si>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</si>
  <si>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</si>
  <si>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</si>
  <si>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</si>
  <si>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</si>
  <si>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</si>
  <si>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</si>
  <si>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</si>
  <si>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</si>
  <si>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</si>
  <si>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</si>
  <si>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</si>
  <si>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</si>
  <si>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</si>
  <si>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</si>
  <si>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</si>
  <si>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</si>
  <si>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</si>
  <si>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</si>
  <si>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</si>
  <si>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</si>
  <si>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</si>
  <si>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</si>
  <si>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</si>
  <si>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</si>
  <si>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</si>
  <si>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</si>
  <si>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</si>
  <si>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</si>
  <si>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</si>
  <si>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</si>
  <si>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</si>
  <si>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</si>
  <si>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</si>
  <si>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</si>
  <si>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</si>
  <si>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</si>
  <si>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</si>
  <si>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</si>
  <si>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</si>
  <si>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</si>
  <si>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</si>
  <si>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</si>
  <si>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</si>
  <si>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</si>
  <si>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</si>
  <si>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</si>
  <si>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</si>
  <si>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</si>
  <si>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</si>
  <si>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</si>
  <si>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</si>
  <si>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</si>
  <si>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</si>
  <si>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</si>
  <si>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</si>
  <si>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</si>
  <si>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</si>
  <si>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</si>
  <si>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</si>
  <si>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</si>
  <si>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</si>
  <si>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</si>
  <si>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</si>
  <si>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</si>
  <si>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</si>
  <si>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</si>
  <si>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</si>
  <si>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</si>
  <si>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</si>
  <si>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</si>
  <si>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</si>
  <si>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</si>
  <si>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</si>
  <si>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</si>
  <si>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</si>
  <si>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</si>
  <si>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</si>
  <si>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</si>
  <si>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</si>
  <si>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</si>
  <si>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</si>
  <si>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</si>
  <si>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</si>
  <si>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</si>
  <si>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</si>
  <si>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</si>
  <si>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</si>
  <si>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</si>
  <si>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</si>
  <si>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</si>
  <si>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</si>
  <si>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</si>
  <si>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</si>
  <si>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</si>
  <si>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</si>
  <si>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</si>
  <si>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</si>
  <si>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</si>
  <si>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</si>
  <si>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</si>
  <si>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</si>
  <si>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</si>
  <si>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</si>
  <si>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</si>
  <si>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</si>
  <si>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</si>
  <si>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</si>
  <si>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</si>
  <si>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</si>
  <si>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</si>
  <si>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</si>
  <si>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</si>
  <si>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</si>
  <si>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</si>
  <si>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</si>
  <si>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</si>
  <si>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</si>
  <si>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</si>
  <si>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</si>
  <si>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</si>
  <si>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</si>
  <si>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</si>
  <si>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</si>
  <si>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</si>
  <si>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</si>
  <si>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</si>
  <si>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</si>
  <si>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</si>
  <si>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</si>
  <si>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</si>
  <si>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</si>
  <si>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</si>
  <si>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</si>
  <si>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</si>
  <si>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</si>
  <si>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</si>
  <si>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</si>
  <si>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</si>
  <si>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</si>
  <si>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</si>
  <si>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</si>
  <si>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</si>
  <si>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</si>
  <si>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</si>
  <si>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</si>
  <si>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</si>
  <si>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</si>
  <si>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</si>
  <si>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</si>
  <si>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</si>
  <si>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</si>
  <si>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</si>
  <si>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</si>
  <si>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</si>
  <si>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</si>
  <si>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</si>
  <si>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</si>
  <si>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</si>
  <si>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</si>
  <si>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</si>
  <si>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</si>
  <si>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</si>
  <si>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</si>
  <si>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</si>
  <si>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</si>
  <si>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</si>
  <si>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</si>
  <si>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</si>
  <si>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</si>
  <si>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</si>
  <si>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</si>
  <si>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</si>
  <si>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</si>
  <si>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</si>
  <si>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</si>
  <si>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</si>
  <si>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</si>
  <si>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</si>
  <si>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</si>
  <si>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</si>
  <si>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</si>
  <si>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</si>
  <si>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</si>
  <si>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</si>
  <si>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</si>
  <si>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</si>
  <si>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</si>
  <si>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</si>
  <si>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</si>
  <si>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</si>
  <si>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</si>
  <si>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</si>
  <si>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</si>
  <si>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</si>
  <si>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</si>
  <si>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</si>
  <si>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</si>
  <si>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</si>
  <si>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</si>
  <si>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</si>
  <si>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</si>
  <si>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</si>
  <si>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</si>
  <si>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</si>
  <si>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</si>
  <si>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</si>
  <si>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</si>
  <si>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</si>
  <si>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</si>
  <si>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</si>
  <si>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</si>
  <si>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</si>
  <si>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</si>
  <si>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</si>
  <si>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</si>
  <si>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</si>
  <si>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</si>
  <si>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</si>
  <si>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</si>
  <si>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</si>
  <si>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</si>
  <si>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</si>
  <si>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</si>
  <si>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</si>
  <si>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</si>
  <si>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</si>
  <si>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</si>
  <si>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</si>
  <si>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</si>
  <si>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</si>
  <si>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</si>
  <si>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</si>
  <si>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</si>
  <si>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</si>
  <si>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</si>
  <si>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</si>
  <si>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</si>
  <si>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</si>
  <si>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</si>
  <si>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</si>
  <si>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</si>
  <si>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</si>
  <si>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</si>
  <si>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</si>
  <si>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</si>
  <si>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</si>
  <si>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</si>
  <si>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</si>
  <si>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</si>
  <si>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</si>
  <si>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</si>
  <si>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</si>
  <si>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</si>
  <si>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</si>
  <si>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</si>
  <si>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</si>
  <si>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</si>
  <si>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</si>
  <si>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</si>
  <si>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</si>
  <si>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</si>
  <si>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</si>
  <si>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</si>
  <si>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</si>
  <si>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</si>
  <si>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</si>
  <si>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</si>
  <si>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</si>
  <si>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</si>
  <si>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</si>
  <si>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</si>
  <si>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</si>
  <si>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</si>
  <si>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</si>
  <si>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</si>
  <si>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</si>
  <si>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</si>
  <si>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</si>
  <si>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</si>
  <si>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</si>
  <si>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</si>
  <si>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</si>
  <si>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</si>
  <si>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</si>
  <si>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</si>
  <si>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</si>
  <si>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</si>
  <si>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</si>
  <si>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</si>
  <si>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</si>
  <si>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</si>
  <si>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</si>
  <si>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</si>
  <si>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</si>
  <si>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</si>
  <si>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</si>
  <si>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</si>
  <si>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</si>
  <si>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</si>
  <si>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</si>
  <si>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</si>
  <si>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</si>
  <si>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</si>
  <si>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</si>
  <si>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</si>
  <si>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</si>
  <si>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</si>
  <si>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</si>
  <si>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</si>
  <si>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</si>
  <si>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</si>
  <si>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</si>
  <si>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</si>
  <si>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</si>
  <si>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</si>
  <si>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</si>
  <si>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</si>
  <si>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</si>
  <si>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</si>
  <si>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</si>
  <si>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</si>
  <si>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</si>
  <si>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</si>
  <si>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</si>
  <si>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</si>
  <si>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</si>
  <si>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</si>
  <si>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</si>
  <si>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</si>
  <si>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</si>
  <si>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</si>
  <si>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</si>
  <si>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</si>
  <si>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</si>
  <si>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</si>
  <si>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</si>
  <si>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</si>
  <si>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</si>
  <si>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</si>
  <si>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</si>
  <si>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</si>
  <si>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</si>
  <si>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</si>
  <si>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</si>
  <si>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</si>
  <si>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</si>
  <si>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</si>
  <si>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</si>
  <si>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</si>
  <si>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</si>
  <si>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</si>
  <si>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</si>
  <si>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</si>
  <si>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</si>
  <si>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</si>
  <si>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</si>
  <si>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</si>
  <si>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</si>
  <si>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</si>
  <si>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</si>
  <si>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</si>
  <si>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</si>
  <si>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</si>
  <si>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</si>
  <si>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</si>
  <si>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</si>
  <si>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</si>
  <si>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</si>
  <si>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</si>
  <si>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</si>
  <si>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</si>
  <si>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</si>
  <si>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</si>
  <si>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</si>
  <si>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</si>
  <si>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</si>
  <si>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</si>
  <si>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</si>
  <si>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</si>
  <si>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</si>
  <si>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</si>
  <si>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</si>
  <si>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</si>
  <si>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</si>
  <si>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</si>
  <si>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</si>
  <si>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</si>
  <si>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</si>
  <si>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</si>
  <si>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</si>
  <si>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</si>
  <si>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</si>
  <si>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</si>
  <si>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</si>
  <si>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</si>
  <si>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</si>
  <si>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</si>
  <si>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</si>
  <si>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</si>
  <si>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</si>
  <si>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</si>
  <si>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</si>
  <si>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</si>
  <si>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</si>
  <si>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</si>
  <si>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</si>
  <si>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</si>
  <si>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</si>
  <si>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</si>
  <si>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</si>
  <si>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</si>
  <si>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</si>
  <si>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</si>
  <si>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</si>
  <si>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</si>
  <si>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</si>
  <si>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</si>
  <si>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</si>
  <si>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</si>
  <si>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</si>
  <si>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</si>
  <si>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</si>
  <si>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</si>
  <si>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</si>
  <si>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</si>
  <si>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</si>
  <si>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</si>
  <si>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</si>
  <si>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</si>
  <si>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</si>
  <si>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</si>
  <si>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</si>
  <si>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</si>
  <si>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</si>
  <si>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</si>
  <si>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</si>
  <si>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</si>
  <si>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</si>
  <si>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</si>
  <si>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</si>
  <si>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</si>
  <si>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</si>
  <si>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</si>
  <si>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</si>
  <si>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</si>
  <si>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</si>
  <si>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</si>
  <si>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</si>
  <si>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</si>
  <si>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</si>
  <si>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</si>
  <si>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</si>
  <si>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</si>
  <si>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</si>
  <si>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</si>
  <si>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</si>
  <si>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</si>
  <si>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</si>
  <si>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</si>
  <si>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</si>
  <si>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</si>
  <si>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</si>
  <si>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</si>
  <si>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</si>
  <si>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</si>
  <si>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</si>
  <si>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</si>
  <si>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</si>
  <si>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</si>
  <si>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</si>
  <si>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</si>
  <si>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</si>
  <si>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</si>
  <si>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</si>
  <si>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</si>
  <si>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</si>
  <si>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</si>
  <si>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</si>
  <si>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</si>
  <si>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</si>
  <si>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</si>
  <si>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</si>
  <si>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</si>
  <si>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</si>
  <si>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</si>
  <si>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</si>
  <si>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</si>
  <si>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</si>
  <si>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</si>
  <si>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</si>
  <si>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</si>
  <si>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</si>
  <si>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</si>
  <si>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</si>
  <si>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</si>
  <si>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</si>
  <si>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</si>
  <si>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</si>
  <si>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</si>
  <si>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</si>
  <si>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</si>
  <si>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</si>
  <si>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</si>
  <si>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</si>
  <si>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</si>
  <si>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</si>
  <si>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</si>
  <si>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</si>
  <si>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</si>
  <si>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</si>
  <si>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</si>
  <si>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</si>
  <si>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</si>
  <si>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</si>
  <si>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</si>
  <si>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</si>
  <si>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</si>
  <si>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</si>
  <si>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</si>
  <si>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</si>
  <si>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</si>
  <si>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</si>
  <si>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</si>
  <si>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</si>
  <si>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</si>
  <si>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</si>
  <si>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</si>
  <si>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</si>
  <si>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</si>
  <si>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</si>
  <si>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</si>
  <si>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</si>
  <si>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</si>
  <si>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</si>
  <si>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</si>
  <si>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</si>
  <si>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</si>
  <si>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</si>
  <si>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</si>
  <si>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</si>
  <si>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</si>
  <si>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</si>
  <si>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</si>
  <si>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</si>
  <si>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</si>
  <si>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</si>
  <si>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</si>
  <si>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</si>
  <si>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</si>
  <si>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</si>
  <si>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</si>
  <si>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</si>
  <si>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</si>
  <si>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</si>
  <si>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</si>
  <si>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</si>
  <si>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</si>
  <si>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</si>
  <si>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</si>
  <si>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</si>
  <si>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</si>
  <si>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</si>
  <si>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</si>
  <si>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</si>
  <si>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</si>
  <si>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</si>
  <si>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</si>
  <si>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</si>
  <si>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</si>
  <si>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</si>
  <si>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</si>
  <si>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</si>
  <si>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</si>
  <si>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</si>
  <si>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</si>
  <si>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</si>
  <si>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</si>
  <si>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</si>
  <si>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</si>
  <si>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</si>
  <si>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</si>
  <si>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</si>
  <si>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</si>
  <si>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</si>
  <si>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</si>
  <si>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</si>
  <si>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</si>
  <si>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</si>
  <si>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</si>
  <si>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</si>
  <si>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</si>
  <si>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</si>
  <si>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</si>
  <si>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</si>
  <si>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</si>
  <si>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</si>
  <si>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</si>
  <si>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</si>
  <si>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</si>
  <si>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</si>
  <si>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</si>
  <si>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</si>
  <si>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</si>
  <si>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</si>
  <si>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</si>
  <si>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</si>
  <si>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</si>
  <si>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</si>
  <si>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</si>
  <si>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</si>
  <si>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</si>
  <si>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</si>
  <si>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</si>
  <si>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</si>
  <si>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</si>
  <si>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</si>
  <si>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</si>
  <si>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</si>
  <si>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</si>
  <si>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</si>
  <si>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</si>
  <si>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</si>
  <si>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</si>
  <si>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</si>
  <si>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</si>
  <si>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</si>
  <si>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</si>
  <si>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</si>
  <si>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</si>
  <si>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</si>
  <si>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</si>
  <si>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</si>
  <si>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</si>
  <si>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</si>
  <si>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</si>
  <si>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</si>
  <si>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</si>
  <si>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</si>
  <si>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</si>
  <si>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</si>
  <si>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</si>
  <si>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</si>
  <si>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</si>
  <si>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</si>
  <si>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</si>
  <si>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</si>
  <si>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</si>
  <si>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</si>
  <si>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</si>
  <si>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</si>
  <si>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</si>
  <si>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</si>
  <si>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</si>
  <si>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</si>
  <si>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</si>
  <si>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</si>
  <si>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</si>
  <si>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</si>
  <si>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</si>
  <si>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</si>
  <si>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</si>
  <si>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</si>
  <si>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</si>
  <si>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</si>
  <si>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</si>
  <si>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</si>
  <si>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</si>
  <si>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</si>
  <si>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</si>
  <si>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</si>
  <si>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</si>
  <si>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</si>
  <si>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</si>
  <si>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</si>
  <si>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</si>
  <si>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</si>
  <si>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</si>
  <si>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</si>
  <si>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</si>
  <si>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</si>
  <si>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</si>
  <si>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</si>
  <si>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</si>
  <si>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</si>
  <si>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</si>
  <si>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</si>
  <si>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</si>
  <si>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</si>
  <si>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</si>
  <si>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</si>
  <si>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</si>
  <si>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</si>
  <si>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</si>
  <si>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</si>
  <si>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</si>
  <si>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</si>
  <si>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</si>
  <si>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</si>
  <si>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</si>
  <si>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</si>
  <si>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</si>
  <si>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</si>
  <si>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</si>
  <si>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</si>
  <si>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</si>
  <si>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</si>
  <si>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</si>
  <si>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</si>
  <si>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</si>
  <si>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</si>
  <si>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</si>
  <si>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</si>
  <si>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</si>
  <si>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</si>
  <si>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</si>
  <si>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</si>
  <si>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</si>
  <si>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</si>
  <si>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</si>
  <si>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</si>
  <si>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</si>
  <si>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</si>
  <si>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</si>
  <si>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</si>
  <si>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</si>
  <si>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</si>
  <si>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</si>
  <si>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</si>
  <si>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</si>
  <si>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</si>
  <si>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</si>
  <si>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</si>
  <si>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</si>
  <si>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</si>
  <si>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</si>
  <si>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</si>
  <si>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</si>
  <si>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</si>
  <si>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</si>
  <si>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</si>
  <si>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</si>
  <si>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</si>
  <si>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</si>
  <si>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</si>
  <si>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</si>
  <si>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</si>
  <si>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</si>
  <si>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</si>
  <si>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</si>
  <si>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</si>
  <si>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</si>
  <si>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</si>
  <si>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</si>
  <si>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</si>
  <si>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</si>
  <si>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</si>
  <si>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</si>
  <si>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</si>
  <si>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</si>
  <si>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</si>
  <si>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</si>
  <si>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</si>
  <si>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</si>
  <si>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</si>
  <si>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</si>
  <si>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</si>
  <si>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</si>
  <si>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</si>
  <si>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</si>
  <si>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</si>
  <si>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</si>
  <si>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</si>
  <si>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</si>
  <si>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</si>
  <si>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</si>
  <si>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</si>
  <si>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</si>
  <si>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</si>
  <si>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</si>
  <si>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</si>
  <si>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</si>
  <si>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</si>
  <si>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</si>
  <si>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</si>
  <si>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</si>
  <si>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</si>
  <si>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</si>
  <si>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</si>
  <si>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</si>
  <si>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</si>
  <si>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</si>
  <si>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</si>
  <si>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</si>
  <si>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</si>
  <si>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</si>
  <si>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</si>
  <si>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</si>
  <si>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</si>
  <si>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</si>
  <si>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</si>
  <si>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</si>
  <si>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</si>
  <si>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</si>
  <si>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</si>
  <si>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</si>
  <si>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</si>
  <si>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</si>
  <si>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</si>
  <si>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</si>
  <si>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</si>
  <si>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</si>
  <si>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</si>
  <si>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</si>
  <si>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</si>
  <si>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</si>
  <si>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</si>
  <si>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</si>
  <si>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</si>
  <si>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</si>
  <si>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</si>
  <si>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</si>
  <si>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</si>
  <si>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</si>
  <si>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</si>
  <si>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</si>
  <si>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</si>
  <si>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</si>
  <si>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</si>
  <si>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</si>
  <si>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</si>
  <si>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</si>
  <si>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</si>
  <si>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</si>
  <si>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</si>
  <si>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</si>
  <si>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</si>
  <si>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</si>
  <si>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</si>
  <si>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</si>
  <si>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</si>
  <si>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</si>
  <si>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</si>
  <si>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</si>
  <si>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</si>
  <si>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</si>
  <si>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</si>
  <si>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</si>
  <si>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</si>
  <si>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</si>
  <si>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</si>
  <si>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</si>
  <si>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</si>
  <si>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</si>
  <si>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</si>
  <si>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</si>
  <si>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</si>
  <si>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</si>
  <si>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</si>
  <si>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</si>
  <si>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</si>
  <si>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</si>
  <si>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</si>
  <si>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</si>
  <si>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</si>
  <si>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</si>
  <si>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</si>
  <si>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</si>
  <si>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</si>
  <si>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</si>
  <si>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</si>
  <si>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</si>
  <si>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</si>
  <si>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</si>
  <si>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</si>
  <si>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</si>
  <si>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</si>
  <si>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</si>
  <si>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</si>
  <si>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</si>
  <si>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</si>
  <si>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</si>
  <si>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</si>
  <si>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</si>
  <si>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</si>
  <si>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</si>
  <si>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</si>
  <si>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</si>
  <si>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</si>
  <si>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</si>
  <si>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</si>
  <si>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</si>
  <si>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</si>
  <si>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</si>
  <si>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</si>
  <si>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</si>
  <si>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</si>
  <si>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</si>
  <si>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</si>
  <si>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</si>
  <si>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</si>
  <si>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</si>
  <si>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</si>
  <si>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</si>
  <si>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</si>
  <si>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</si>
  <si>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</si>
  <si>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</si>
  <si>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</si>
  <si>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</si>
  <si>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</si>
  <si>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</si>
  <si>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</si>
  <si>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</si>
  <si>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</si>
  <si>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</si>
  <si>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</si>
  <si>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</si>
  <si>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</si>
  <si>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</si>
  <si>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</si>
  <si>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</si>
  <si>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</si>
  <si>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</si>
  <si>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</si>
  <si>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</si>
  <si>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</si>
  <si>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</si>
  <si>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</si>
  <si>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</si>
  <si>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</si>
  <si>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</si>
  <si>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</si>
  <si>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</si>
  <si>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</si>
  <si>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</si>
  <si>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</si>
  <si>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</si>
  <si>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</si>
  <si>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</si>
  <si>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</si>
  <si>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</si>
  <si>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</si>
  <si>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</si>
  <si>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</si>
  <si>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</si>
  <si>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</si>
  <si>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</si>
  <si>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</si>
  <si>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</si>
  <si>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</si>
  <si>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</si>
  <si>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</si>
  <si>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</si>
  <si>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</si>
  <si>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</si>
  <si>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</si>
  <si>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</si>
  <si>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</si>
  <si>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</si>
  <si>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</si>
  <si>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</si>
  <si>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</si>
  <si>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</si>
  <si>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</si>
  <si>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</si>
  <si>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</si>
  <si>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</si>
  <si>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</si>
  <si>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</si>
  <si>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</si>
  <si>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</si>
  <si>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</si>
  <si>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</si>
  <si>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</si>
  <si>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</si>
  <si>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</si>
  <si>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</si>
  <si>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</si>
  <si>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</si>
  <si>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</si>
  <si>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</si>
  <si>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</si>
  <si>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</si>
  <si>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</si>
  <si>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</si>
  <si>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</si>
  <si>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</si>
  <si>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</si>
  <si>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</si>
  <si>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</si>
  <si>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</si>
  <si>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</si>
  <si>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</si>
  <si>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</si>
  <si>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</si>
  <si>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</si>
  <si>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</si>
  <si>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</si>
  <si>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</si>
  <si>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</si>
  <si>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</si>
  <si>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</si>
  <si>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</si>
  <si>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</si>
  <si>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</si>
  <si>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</si>
  <si>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</si>
  <si>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</si>
  <si>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</si>
  <si>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</si>
  <si>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</si>
  <si>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</si>
  <si>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</si>
  <si>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</si>
  <si>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</si>
  <si>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</si>
  <si>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</si>
  <si>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</si>
  <si>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</si>
  <si>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</si>
  <si>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</si>
  <si>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</si>
  <si>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</si>
  <si>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</si>
  <si>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</si>
  <si>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</si>
  <si>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</si>
  <si>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</si>
  <si>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</si>
  <si>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</si>
  <si>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</si>
  <si>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</si>
  <si>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</si>
  <si>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</si>
  <si>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</si>
  <si>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</si>
  <si>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</si>
  <si>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</si>
  <si>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</si>
  <si>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</si>
  <si>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</si>
  <si>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</si>
  <si>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</si>
  <si>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</si>
  <si>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</si>
  <si>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</si>
  <si>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</si>
  <si>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</si>
  <si>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</si>
  <si>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</si>
  <si>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</si>
  <si>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</si>
  <si>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</si>
  <si>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</si>
  <si>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</si>
  <si>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</si>
  <si>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</si>
  <si>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</si>
  <si>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</si>
  <si>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</si>
  <si>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</si>
  <si>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</si>
  <si>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</si>
  <si>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</si>
  <si>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</si>
  <si>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</si>
  <si>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</si>
  <si>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</si>
  <si>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</si>
  <si>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</si>
  <si>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</si>
  <si>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</si>
  <si>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</si>
  <si>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</si>
  <si>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</si>
  <si>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</si>
  <si>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</si>
  <si>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</si>
  <si>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</si>
  <si>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</si>
  <si>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</si>
  <si>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</si>
  <si>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</si>
  <si>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</si>
  <si>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</si>
  <si>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</si>
  <si>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</si>
  <si>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</si>
  <si>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</si>
  <si>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</si>
  <si>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</si>
  <si>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</si>
  <si>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</si>
  <si>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</si>
  <si>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</si>
  <si>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</si>
  <si>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</si>
  <si>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</si>
  <si>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</si>
  <si>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</si>
  <si>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</si>
  <si>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</si>
  <si>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</si>
  <si>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</si>
  <si>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</si>
  <si>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</si>
  <si>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</si>
  <si>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</si>
  <si>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</si>
  <si>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</si>
  <si>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</si>
  <si>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</si>
  <si>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</si>
  <si>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</si>
  <si>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</si>
  <si>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</si>
  <si>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</si>
  <si>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</si>
  <si>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</si>
  <si>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</si>
  <si>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</si>
  <si>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</si>
  <si>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</si>
  <si>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</si>
  <si>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</si>
  <si>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</si>
  <si>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</si>
  <si>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</si>
  <si>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</si>
  <si>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</si>
  <si>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</si>
  <si>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</si>
  <si>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</si>
  <si>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</si>
  <si>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</si>
  <si>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</si>
  <si>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</si>
  <si>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</si>
  <si>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</si>
  <si>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</si>
  <si>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</si>
  <si>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</si>
  <si>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</si>
  <si>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</si>
  <si>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</si>
  <si>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</si>
  <si>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</si>
  <si>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</si>
  <si>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</si>
  <si>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</si>
  <si>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</si>
  <si>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</si>
  <si>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</si>
  <si>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</si>
  <si>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</si>
  <si>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</si>
  <si>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</si>
  <si>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</si>
  <si>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</si>
  <si>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</si>
  <si>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</si>
  <si>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</si>
  <si>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</si>
  <si>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</si>
  <si>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</si>
  <si>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</si>
  <si>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</si>
  <si>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</si>
  <si>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</si>
  <si>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</si>
  <si>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</si>
  <si>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</si>
  <si>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</si>
  <si>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</si>
  <si>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</si>
  <si>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</si>
  <si>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</si>
  <si>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</si>
  <si>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</si>
  <si>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</si>
  <si>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</si>
  <si>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</si>
  <si>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</si>
  <si>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</si>
  <si>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</si>
  <si>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</si>
  <si>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</si>
  <si>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</si>
  <si>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</si>
  <si>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</si>
  <si>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</si>
  <si>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</si>
  <si>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</si>
  <si>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</si>
  <si>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</si>
  <si>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</si>
  <si>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</si>
  <si>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</si>
  <si>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</si>
  <si>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</si>
  <si>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</si>
  <si>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</si>
  <si>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</si>
  <si>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</si>
  <si>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</si>
  <si>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</si>
  <si>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</si>
  <si>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</si>
  <si>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</si>
  <si>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</si>
  <si>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</si>
  <si>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</si>
  <si>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</si>
  <si>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</si>
  <si>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</si>
  <si>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</si>
  <si>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</si>
  <si>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</si>
  <si>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</si>
  <si>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</si>
  <si>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</si>
  <si>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</si>
  <si>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</si>
  <si>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</si>
  <si>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</si>
  <si>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</si>
  <si>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</si>
  <si>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</si>
  <si>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</si>
  <si>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</si>
  <si>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</si>
  <si>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</si>
  <si>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</si>
  <si>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</si>
  <si>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</si>
  <si>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</si>
  <si>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</si>
  <si>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</si>
  <si>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</si>
  <si>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</si>
  <si>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</si>
  <si>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</si>
  <si>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</si>
  <si>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</si>
  <si>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</si>
  <si>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</si>
  <si>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</si>
  <si>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</si>
  <si>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</si>
  <si>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</si>
  <si>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</si>
  <si>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</si>
  <si>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</si>
  <si>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</si>
  <si>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</si>
  <si>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</si>
  <si>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</si>
  <si>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</si>
  <si>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</si>
  <si>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</si>
  <si>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</si>
  <si>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</si>
  <si>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</si>
  <si>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</si>
  <si>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</si>
  <si>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</si>
  <si>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</si>
  <si>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</si>
  <si>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</si>
  <si>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</si>
  <si>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</si>
  <si>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</si>
  <si>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</si>
  <si>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</si>
  <si>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</si>
  <si>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</si>
  <si>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</si>
  <si>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</si>
  <si>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</si>
  <si>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</si>
  <si>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</si>
  <si>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</si>
  <si>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</si>
  <si>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</si>
  <si>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</si>
  <si>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</si>
  <si>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</si>
  <si>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</si>
  <si>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</si>
  <si>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</si>
  <si>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</si>
  <si>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</si>
  <si>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</si>
  <si>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</si>
  <si>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</si>
  <si>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</si>
  <si>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</si>
  <si>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</si>
  <si>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</si>
  <si>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</si>
  <si>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</si>
  <si>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</si>
  <si>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</si>
  <si>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</si>
  <si>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</si>
  <si>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</si>
  <si>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</si>
  <si>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</si>
  <si>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</si>
  <si>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</si>
  <si>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</si>
  <si>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</si>
  <si>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</si>
  <si>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</si>
  <si>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</si>
  <si>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</si>
  <si>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</si>
  <si>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</si>
  <si>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</si>
  <si>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</si>
  <si>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</si>
  <si>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</si>
  <si>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</si>
  <si>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</si>
  <si>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</si>
  <si>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</si>
  <si>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</si>
  <si>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</si>
  <si>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</si>
  <si>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</si>
  <si>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</si>
  <si>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</si>
  <si>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</si>
  <si>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</si>
  <si>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</si>
  <si>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</si>
  <si>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</si>
  <si>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</si>
  <si>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</si>
  <si>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</si>
  <si>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</si>
  <si>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</si>
  <si>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</si>
  <si>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</si>
  <si>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</si>
  <si>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</si>
  <si>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</si>
  <si>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</si>
  <si>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</si>
  <si>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</si>
  <si>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</si>
  <si>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</si>
  <si>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</si>
  <si>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</si>
  <si>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</si>
  <si>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</si>
  <si>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</si>
  <si>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</si>
  <si>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</si>
  <si>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</si>
  <si>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</si>
  <si>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</si>
  <si>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</si>
  <si>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</si>
  <si>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</si>
  <si>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</si>
  <si>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</si>
  <si>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</si>
  <si>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</si>
  <si>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</si>
  <si>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</si>
  <si>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</si>
  <si>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</si>
  <si>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</si>
  <si>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</si>
  <si>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</si>
  <si>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</si>
  <si>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</si>
  <si>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</si>
  <si>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</si>
  <si>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</si>
  <si>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</si>
  <si>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</si>
  <si>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</si>
  <si>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</si>
  <si>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</si>
  <si>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</si>
  <si>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</si>
  <si>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</si>
  <si>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</si>
  <si>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</si>
  <si>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</si>
  <si>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</si>
  <si>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</si>
  <si>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</si>
  <si>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</si>
  <si>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</si>
  <si>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</si>
  <si>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</si>
  <si>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</si>
  <si>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</si>
  <si>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</si>
  <si>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</si>
  <si>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</si>
  <si>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</si>
  <si>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</si>
  <si>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</si>
  <si>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</si>
  <si>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</si>
  <si>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</si>
  <si>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</si>
  <si>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</si>
  <si>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</si>
  <si>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</si>
  <si>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</si>
  <si>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</si>
  <si>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</si>
  <si>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</si>
  <si>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</si>
  <si>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</si>
  <si>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</si>
  <si>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</si>
  <si>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</si>
  <si>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</si>
  <si>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</si>
  <si>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</si>
  <si>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</si>
  <si>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</si>
  <si>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</si>
  <si>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</si>
  <si>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</si>
  <si>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</si>
  <si>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</si>
  <si>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</si>
  <si>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</si>
  <si>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</si>
  <si>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</si>
  <si>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</si>
  <si>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</si>
  <si>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</si>
  <si>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</si>
  <si>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</si>
  <si>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</si>
  <si>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</si>
  <si>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</si>
  <si>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</si>
  <si>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</si>
  <si>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</si>
  <si>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</si>
  <si>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</si>
  <si>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</si>
  <si>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</si>
  <si>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</si>
  <si>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</si>
  <si>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</si>
  <si>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</si>
  <si>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</si>
  <si>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</si>
  <si>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</si>
  <si>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</si>
  <si>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</si>
  <si>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</si>
  <si>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</si>
  <si>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</si>
  <si>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</si>
  <si>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</si>
  <si>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</si>
  <si>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</si>
  <si>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</si>
  <si>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</si>
  <si>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</si>
  <si>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</si>
  <si>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</si>
  <si>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</si>
  <si>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</si>
  <si>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</si>
  <si>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</si>
  <si>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</si>
  <si>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</si>
  <si>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</si>
  <si>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</si>
  <si>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</si>
  <si>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</si>
  <si>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</si>
  <si>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</si>
  <si>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</si>
  <si>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</si>
  <si>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</si>
  <si>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</si>
  <si>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</si>
  <si>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</si>
  <si>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</si>
  <si>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</si>
  <si>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</si>
  <si>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</si>
  <si>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</si>
  <si>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</si>
  <si>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</si>
  <si>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</si>
  <si>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</si>
  <si>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</si>
  <si>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</si>
  <si>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</si>
  <si>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</si>
  <si>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</si>
  <si>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</si>
  <si>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</si>
  <si>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</si>
  <si>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</si>
  <si>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</si>
  <si>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</si>
  <si>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</si>
  <si>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</si>
  <si>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</si>
  <si>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</si>
  <si>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</si>
  <si>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</si>
  <si>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</si>
  <si>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</si>
  <si>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</si>
  <si>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</si>
  <si>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</si>
  <si>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</si>
  <si>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</si>
  <si>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</si>
  <si>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</si>
  <si>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</si>
  <si>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</si>
  <si>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</si>
  <si>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</si>
  <si>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</si>
  <si>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</si>
  <si>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</si>
  <si>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</si>
  <si>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</si>
  <si>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</si>
  <si>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</si>
  <si>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</si>
  <si>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</si>
  <si>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</si>
  <si>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</si>
  <si>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</si>
  <si>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</si>
  <si>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</si>
  <si>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</si>
  <si>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</si>
  <si>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</si>
  <si>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</si>
  <si>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</si>
  <si>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</si>
  <si>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</si>
  <si>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</si>
  <si>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</si>
  <si>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</si>
  <si>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</si>
  <si>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</si>
  <si>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</si>
  <si>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</si>
  <si>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</si>
  <si>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</si>
  <si>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</si>
  <si>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</si>
  <si>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</si>
  <si>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</si>
  <si>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</si>
  <si>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</si>
  <si>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</si>
  <si>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</si>
  <si>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</si>
  <si>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</si>
  <si>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</si>
  <si>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</si>
  <si>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</si>
  <si>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</si>
  <si>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</si>
  <si>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</si>
  <si>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</si>
  <si>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</si>
  <si>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</si>
  <si>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</si>
  <si>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</si>
  <si>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</si>
  <si>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</si>
  <si>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</si>
  <si>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</si>
  <si>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</si>
  <si>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</si>
  <si>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</si>
  <si>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</si>
  <si>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</si>
  <si>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</si>
  <si>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</si>
  <si>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</si>
  <si>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</si>
  <si>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</si>
  <si>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</si>
  <si>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</si>
  <si>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</si>
  <si>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</si>
  <si>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</si>
  <si>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</si>
  <si>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</si>
  <si>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</si>
  <si>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</si>
  <si>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</si>
  <si>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</si>
  <si>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</si>
  <si>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</si>
  <si>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</si>
  <si>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</si>
  <si>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</si>
  <si>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</si>
  <si>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</si>
  <si>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</si>
  <si>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</si>
  <si>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</si>
  <si>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</si>
  <si>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</si>
  <si>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</si>
  <si>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</si>
  <si>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</si>
  <si>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</si>
  <si>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</si>
  <si>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</si>
  <si>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</si>
  <si>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</si>
  <si>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</si>
  <si>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</si>
  <si>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</si>
  <si>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</si>
  <si>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</si>
  <si>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</si>
  <si>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</si>
  <si>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</si>
  <si>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</si>
  <si>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</si>
  <si>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</si>
  <si>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</si>
  <si>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</si>
  <si>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</si>
  <si>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</si>
  <si>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</si>
  <si>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</si>
  <si>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</si>
  <si>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</si>
  <si>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</si>
  <si>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</si>
  <si>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</si>
  <si>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</si>
  <si>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</si>
  <si>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</si>
  <si>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</si>
  <si>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</si>
  <si>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</si>
  <si>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</si>
  <si>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</si>
  <si>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</si>
  <si>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</si>
  <si>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</si>
  <si>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</si>
  <si>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</si>
  <si>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</si>
  <si>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</si>
  <si>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</si>
  <si>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</si>
  <si>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</si>
  <si>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</si>
  <si>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</si>
  <si>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</si>
  <si>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</si>
  <si>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</si>
  <si>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</si>
  <si>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</si>
  <si>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</si>
  <si>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</si>
  <si>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</si>
  <si>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</si>
  <si>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</si>
  <si>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</si>
  <si>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</si>
  <si>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</si>
  <si>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</si>
  <si>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</si>
  <si>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</si>
  <si>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</si>
  <si>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</si>
  <si>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</si>
  <si>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</si>
  <si>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</si>
  <si>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</si>
  <si>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</si>
  <si>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</si>
  <si>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</si>
  <si>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</si>
  <si>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</si>
  <si>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</si>
  <si>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</si>
  <si>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</si>
  <si>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</si>
  <si>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</si>
  <si>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</si>
  <si>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</si>
  <si>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</si>
  <si>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</si>
  <si>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</si>
  <si>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</si>
  <si>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</si>
  <si>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</si>
  <si>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</si>
  <si>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</si>
  <si>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</si>
  <si>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</si>
  <si>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</si>
  <si>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</si>
  <si>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</si>
  <si>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</si>
  <si>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</si>
  <si>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</si>
  <si>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</si>
  <si>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</si>
  <si>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</si>
  <si>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</si>
  <si>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</si>
  <si>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</si>
  <si>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</si>
  <si>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</si>
  <si>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</si>
  <si>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</si>
  <si>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</si>
  <si>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</si>
  <si>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</si>
  <si>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</si>
  <si>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</si>
  <si>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</si>
  <si>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</si>
  <si>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</si>
  <si>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</si>
  <si>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</si>
  <si>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</si>
  <si>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</si>
  <si>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</si>
  <si>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</si>
  <si>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</si>
  <si>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</si>
  <si>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</si>
  <si>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</si>
  <si>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</si>
  <si>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</si>
  <si>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</si>
  <si>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</si>
  <si>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</si>
  <si>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</si>
  <si>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</si>
  <si>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</si>
  <si>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</si>
  <si>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</si>
  <si>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</si>
  <si>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</si>
  <si>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</si>
  <si>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</si>
  <si>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</si>
  <si>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</si>
  <si>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</si>
  <si>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</si>
  <si>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</si>
  <si>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</si>
  <si>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</si>
  <si>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</si>
  <si>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</si>
  <si>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</si>
  <si>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</si>
  <si>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</si>
  <si>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</si>
  <si>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</si>
  <si>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</si>
  <si>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</si>
  <si>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</si>
  <si>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</si>
  <si>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</si>
  <si>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</si>
  <si>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</si>
  <si>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</si>
  <si>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</si>
  <si>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</si>
  <si>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</si>
  <si>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</si>
  <si>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</si>
  <si>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</si>
  <si>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</si>
  <si>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</si>
  <si>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</si>
  <si>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</si>
  <si>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</si>
  <si>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</si>
  <si>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</si>
  <si>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</si>
  <si>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</si>
  <si>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</si>
  <si>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</si>
  <si>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</si>
  <si>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</si>
  <si>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</si>
  <si>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</si>
  <si>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</si>
  <si>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</si>
  <si>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</si>
  <si>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</si>
  <si>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</si>
  <si>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</si>
  <si>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</si>
  <si>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</si>
  <si>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</si>
  <si>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</si>
  <si>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</si>
  <si>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</si>
  <si>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</si>
  <si>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</si>
  <si>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</si>
  <si>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</si>
  <si>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</si>
  <si>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</si>
  <si>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</si>
  <si>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</si>
  <si>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</si>
  <si>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</si>
  <si>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</si>
  <si>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</si>
  <si>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</si>
  <si>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</si>
  <si>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</si>
  <si>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</si>
  <si>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</si>
  <si>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</si>
  <si>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</si>
  <si>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</si>
  <si>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</si>
  <si>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</si>
  <si>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</si>
  <si>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</si>
  <si>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</si>
  <si>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</si>
  <si>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</si>
  <si>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</si>
  <si>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</si>
  <si>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</si>
  <si>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</si>
  <si>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</si>
  <si>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</si>
  <si>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</si>
  <si>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</si>
  <si>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</si>
  <si>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</si>
  <si>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</si>
  <si>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</si>
  <si>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</si>
  <si>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</si>
  <si>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</si>
  <si>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</si>
  <si>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</si>
  <si>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</si>
  <si>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</si>
  <si>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</si>
  <si>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</si>
  <si>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</si>
  <si>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</si>
  <si>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</si>
  <si>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</si>
  <si>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</si>
  <si>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</si>
  <si>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</si>
  <si>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</si>
  <si>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</si>
  <si>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</si>
  <si>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</si>
  <si>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</si>
  <si>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</si>
  <si>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</si>
  <si>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</si>
  <si>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</si>
  <si>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</si>
  <si>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</si>
  <si>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</si>
  <si>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</si>
  <si>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</si>
  <si>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</si>
  <si>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</si>
  <si>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</si>
  <si>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</si>
  <si>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</si>
  <si>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</si>
  <si>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</si>
  <si>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</si>
  <si>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</si>
  <si>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</si>
  <si>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</si>
  <si>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</si>
  <si>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</si>
  <si>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</si>
  <si>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</si>
  <si>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</si>
  <si>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</si>
  <si>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</si>
  <si>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</si>
  <si>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</si>
  <si>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</si>
  <si>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</si>
  <si>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</si>
  <si>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</si>
  <si>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</si>
  <si>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</si>
  <si>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</si>
  <si>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</si>
  <si>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</si>
  <si>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</si>
  <si>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</si>
  <si>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</si>
  <si>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</si>
  <si>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</si>
  <si>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</si>
  <si>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</si>
  <si>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</si>
  <si>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</si>
  <si>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</si>
  <si>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</si>
  <si>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</si>
  <si>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</si>
  <si>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</si>
  <si>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</si>
  <si>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</si>
  <si>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</si>
  <si>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</si>
  <si>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</si>
  <si>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</si>
  <si>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</si>
  <si>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</si>
  <si>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</si>
  <si>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</si>
  <si>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</si>
  <si>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</si>
  <si>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</si>
  <si>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</si>
  <si>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</si>
  <si>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</si>
  <si>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</si>
  <si>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</si>
  <si>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</si>
  <si>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</si>
  <si>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</si>
  <si>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</si>
  <si>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</si>
  <si>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</si>
  <si>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</si>
  <si>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</si>
  <si>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</si>
  <si>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</si>
  <si>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</si>
  <si>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</si>
  <si>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</si>
  <si>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</si>
  <si>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</si>
  <si>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</si>
  <si>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</si>
  <si>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</si>
  <si>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</si>
  <si>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</si>
  <si>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</si>
  <si>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</si>
  <si>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</si>
  <si>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</si>
  <si>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</si>
  <si>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</si>
  <si>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</si>
  <si>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</si>
  <si>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</si>
  <si>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</si>
  <si>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</si>
  <si>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</si>
  <si>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</si>
  <si>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</si>
  <si>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</si>
  <si>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</si>
  <si>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</si>
  <si>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</si>
  <si>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</si>
  <si>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</si>
  <si>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</si>
  <si>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</si>
  <si>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</si>
  <si>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</si>
  <si>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</si>
  <si>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</si>
  <si>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</si>
  <si>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</si>
  <si>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</si>
  <si>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</si>
  <si>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</si>
  <si>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</si>
  <si>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</si>
  <si>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</si>
  <si>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</si>
  <si>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</si>
  <si>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</si>
  <si>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</si>
  <si>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</si>
  <si>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</si>
  <si>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</si>
  <si>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</si>
  <si>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</si>
  <si>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</si>
  <si>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</si>
  <si>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</si>
  <si>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</si>
  <si>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</si>
  <si>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</si>
  <si>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</si>
  <si>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</si>
  <si>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</si>
  <si>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</si>
  <si>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</si>
  <si>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</si>
  <si>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</si>
  <si>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</si>
  <si>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</si>
  <si>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</si>
  <si>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</si>
  <si>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</si>
  <si>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</si>
  <si>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</si>
  <si>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</si>
  <si>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</si>
  <si>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</si>
  <si>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</si>
  <si>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</si>
  <si>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</si>
  <si>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</si>
  <si>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</si>
  <si>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</si>
  <si>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</si>
  <si>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</si>
  <si>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</si>
  <si>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</si>
  <si>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</si>
  <si>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</si>
  <si>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</si>
  <si>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</si>
  <si>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</si>
  <si>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</si>
  <si>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</si>
  <si>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</si>
  <si>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</si>
  <si>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</si>
  <si>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</si>
  <si>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</si>
  <si>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</si>
  <si>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</si>
  <si>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</si>
  <si>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</si>
  <si>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</si>
  <si>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</si>
  <si>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</si>
  <si>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</si>
  <si>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</si>
  <si>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</si>
  <si>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</si>
  <si>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</si>
  <si>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</si>
  <si>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</si>
  <si>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</si>
  <si>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</si>
  <si>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</si>
  <si>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</si>
  <si>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</si>
  <si>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</si>
  <si>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</si>
  <si>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</si>
  <si>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</si>
  <si>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</si>
  <si>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</si>
  <si>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</si>
  <si>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</si>
  <si>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</si>
  <si>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</si>
  <si>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</si>
  <si>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</si>
  <si>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</si>
  <si>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</si>
  <si>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</si>
  <si>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</si>
  <si>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</si>
  <si>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</si>
  <si>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</si>
  <si>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</si>
  <si>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</si>
  <si>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</si>
  <si>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</si>
  <si>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</si>
  <si>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</si>
  <si>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</si>
  <si>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</si>
  <si>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</si>
  <si>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</si>
  <si>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</si>
  <si>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</si>
  <si>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</si>
  <si>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</si>
  <si>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</si>
  <si>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</si>
  <si>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</si>
  <si>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</si>
  <si>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</si>
  <si>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</si>
  <si>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</si>
  <si>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</si>
  <si>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</si>
  <si>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</si>
  <si>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</si>
  <si>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</si>
  <si>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</si>
  <si>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</si>
  <si>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</si>
  <si>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</si>
  <si>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</si>
  <si>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</si>
  <si>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</si>
  <si>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</si>
  <si>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</si>
  <si>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</si>
  <si>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</si>
  <si>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</si>
  <si>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</si>
  <si>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</si>
  <si>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</si>
  <si>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</si>
  <si>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</si>
  <si>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</si>
  <si>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</si>
  <si>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</si>
  <si>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</si>
  <si>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</si>
  <si>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</si>
  <si>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</si>
  <si>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</si>
  <si>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</si>
  <si>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</si>
  <si>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</si>
  <si>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</si>
  <si>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</si>
  <si>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</si>
  <si>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</si>
  <si>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</si>
  <si>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</si>
  <si>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</si>
  <si>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</si>
  <si>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</si>
  <si>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</si>
  <si>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</si>
  <si>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</si>
  <si>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</si>
  <si>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</si>
  <si>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</si>
  <si>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</si>
  <si>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</si>
  <si>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</si>
  <si>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</si>
  <si>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</si>
  <si>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</si>
  <si>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</si>
  <si>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</si>
  <si>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</si>
  <si>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</si>
  <si>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</si>
  <si>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</si>
  <si>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</si>
  <si>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</si>
  <si>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</si>
  <si>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</si>
  <si>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</si>
  <si>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</si>
  <si>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</si>
  <si>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</si>
  <si>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</si>
  <si>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</si>
  <si>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</si>
  <si>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</si>
  <si>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</si>
  <si>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</si>
  <si>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</si>
  <si>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</si>
  <si>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</si>
  <si>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</si>
  <si>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</si>
  <si>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</si>
  <si>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</si>
  <si>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</si>
  <si>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</si>
  <si>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</si>
  <si>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</si>
  <si>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</si>
  <si>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</si>
  <si>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</si>
  <si>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</si>
  <si>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</si>
  <si>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</si>
  <si>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</si>
  <si>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</si>
  <si>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</si>
  <si>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</si>
  <si>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</si>
  <si>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</si>
  <si>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</si>
  <si>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</si>
  <si>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</si>
  <si>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</si>
  <si>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</si>
  <si>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</si>
  <si>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</si>
  <si>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</si>
  <si>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</si>
  <si>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</si>
  <si>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</si>
  <si>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</si>
  <si>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</si>
  <si>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</si>
  <si>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</si>
  <si>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</si>
  <si>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</si>
  <si>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</si>
  <si>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</si>
  <si>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</si>
  <si>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</si>
  <si>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</si>
  <si>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</si>
  <si>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</si>
  <si>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</si>
  <si>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</si>
  <si>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</si>
  <si>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</si>
  <si>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</si>
  <si>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</si>
  <si>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</si>
  <si>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</si>
  <si>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</si>
  <si>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</si>
  <si>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</si>
  <si>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</si>
  <si>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</si>
  <si>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</si>
  <si>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</si>
  <si>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</si>
  <si>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</si>
  <si>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</si>
  <si>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</si>
  <si>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</si>
  <si>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</si>
  <si>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</si>
  <si>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</si>
  <si>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</si>
  <si>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</si>
  <si>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</si>
  <si>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</si>
  <si>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</si>
  <si>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</si>
  <si>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</si>
  <si>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</si>
  <si>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</si>
  <si>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</si>
  <si>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</si>
  <si>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</si>
  <si>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</si>
  <si>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</si>
  <si>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</si>
  <si>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</si>
  <si>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</si>
  <si>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</si>
  <si>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</si>
  <si>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</si>
  <si>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</si>
  <si>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</si>
  <si>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</si>
  <si>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</si>
  <si>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</si>
  <si>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</si>
  <si>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</si>
  <si>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</si>
  <si>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</si>
  <si>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</si>
  <si>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</si>
  <si>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</si>
  <si>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</si>
  <si>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</si>
  <si>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</si>
  <si>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</si>
  <si>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</si>
  <si>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</si>
  <si>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</si>
  <si>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</si>
  <si>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</si>
  <si>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</si>
  <si>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</si>
  <si>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</si>
  <si>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</si>
  <si>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</si>
  <si>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</si>
  <si>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</si>
  <si>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</si>
  <si>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</si>
  <si>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</si>
  <si>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</si>
  <si>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</si>
  <si>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</si>
  <si>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</si>
  <si>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</si>
  <si>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</si>
  <si>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</si>
  <si>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</si>
  <si>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</si>
  <si>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</si>
  <si>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</si>
  <si>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</si>
  <si>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</si>
  <si>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</si>
  <si>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</si>
  <si>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</si>
  <si>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</si>
  <si>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</si>
  <si>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</si>
  <si>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</si>
  <si>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</si>
  <si>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</si>
  <si>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</si>
  <si>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</si>
  <si>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</si>
  <si>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</si>
  <si>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</si>
  <si>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</si>
  <si>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</si>
  <si>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</si>
  <si>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</si>
  <si>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</si>
  <si>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</si>
  <si>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</si>
  <si>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</si>
  <si>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</si>
  <si>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</si>
  <si>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</si>
  <si>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</si>
  <si>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</si>
  <si>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</si>
  <si>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</si>
  <si>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</si>
  <si>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</si>
  <si>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</si>
  <si>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</si>
  <si>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</si>
  <si>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</si>
  <si>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</si>
  <si>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</si>
  <si>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</si>
  <si>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</si>
  <si>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</si>
  <si>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</si>
  <si>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</si>
  <si>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</si>
  <si>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</si>
  <si>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</si>
  <si>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</si>
  <si>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</si>
  <si>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</si>
  <si>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</si>
  <si>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</si>
  <si>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</si>
  <si>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</si>
  <si>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</si>
  <si>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</si>
  <si>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</si>
  <si>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</si>
  <si>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</si>
  <si>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</si>
  <si>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</si>
  <si>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</si>
  <si>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</si>
  <si>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</si>
  <si>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</si>
  <si>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</si>
  <si>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</si>
  <si>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</si>
  <si>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</si>
  <si>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</si>
  <si>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</si>
  <si>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</si>
  <si>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</si>
  <si>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</si>
  <si>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</si>
  <si>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</si>
  <si>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</si>
  <si>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</si>
  <si>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</si>
  <si>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</si>
  <si>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</si>
  <si>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</si>
  <si>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</si>
  <si>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</si>
  <si>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</si>
  <si>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</si>
  <si>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</si>
  <si>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</si>
  <si>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</si>
  <si>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</si>
  <si>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</si>
  <si>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</si>
  <si>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</si>
  <si>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</si>
  <si>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</si>
  <si>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</si>
  <si>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</si>
  <si>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</si>
  <si>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</si>
  <si>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</si>
  <si>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</si>
  <si>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</si>
  <si>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</si>
  <si>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</si>
  <si>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</si>
  <si>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</si>
  <si>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</si>
  <si>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</si>
  <si>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</si>
  <si>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</si>
  <si>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</si>
  <si>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</si>
  <si>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</si>
  <si>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</si>
  <si>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</si>
  <si>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</si>
  <si>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</si>
  <si>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</si>
  <si>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</si>
  <si>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</si>
  <si>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</si>
  <si>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</si>
  <si>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</si>
  <si>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</si>
  <si>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</si>
  <si>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</si>
  <si>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</si>
  <si>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</si>
  <si>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</si>
  <si>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</si>
  <si>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</si>
  <si>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</si>
  <si>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</si>
  <si>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</si>
  <si>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</si>
  <si>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</si>
  <si>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</si>
  <si>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</si>
  <si>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</si>
  <si>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</si>
  <si>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</si>
  <si>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</si>
  <si>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</si>
  <si>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</si>
  <si>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</si>
  <si>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</si>
  <si>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</si>
  <si>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</si>
  <si>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</si>
  <si>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</si>
  <si>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</si>
  <si>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</si>
  <si>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</si>
  <si>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</si>
  <si>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</si>
  <si>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</si>
  <si>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</si>
  <si>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</si>
  <si>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</si>
  <si>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</si>
  <si>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</si>
  <si>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</si>
  <si>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</si>
  <si>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</si>
  <si>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</si>
  <si>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</si>
  <si>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</si>
  <si>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</si>
  <si>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</si>
  <si>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</si>
  <si>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</si>
  <si>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</si>
  <si>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</si>
  <si>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</si>
  <si>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</si>
  <si>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</si>
  <si>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</si>
  <si>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</si>
  <si>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</si>
  <si>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</si>
  <si>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</si>
  <si>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</si>
  <si>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</si>
  <si>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</si>
  <si>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</si>
  <si>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</si>
  <si>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</si>
  <si>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</si>
  <si>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</si>
  <si>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</si>
  <si>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</si>
  <si>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</si>
  <si>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</si>
  <si>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</si>
  <si>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</si>
  <si>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</si>
  <si>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</si>
  <si>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</si>
  <si>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</si>
  <si>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</si>
  <si>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</si>
  <si>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</si>
  <si>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</si>
  <si>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</si>
  <si>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</si>
  <si>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</si>
  <si>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</si>
  <si>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</si>
  <si>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</si>
  <si>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</si>
  <si>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</si>
  <si>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</si>
  <si>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</si>
  <si>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</si>
  <si>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</si>
  <si>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</si>
  <si>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</si>
  <si>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</si>
  <si>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</si>
  <si>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</si>
  <si>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</si>
  <si>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</si>
  <si>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</si>
  <si>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</si>
  <si>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</si>
  <si>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</si>
  <si>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</si>
  <si>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</si>
  <si>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</si>
  <si>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</si>
  <si>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</si>
  <si>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</si>
  <si>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</si>
  <si>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</si>
  <si>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</si>
  <si>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</si>
  <si>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</si>
  <si>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</si>
  <si>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</si>
  <si>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</si>
  <si>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</si>
  <si>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</si>
  <si>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</si>
  <si>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</si>
  <si>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</si>
  <si>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</si>
  <si>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</si>
  <si>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</si>
  <si>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</si>
  <si>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</si>
  <si>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</si>
  <si>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</si>
  <si>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</si>
  <si>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</si>
  <si>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</si>
  <si>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</si>
  <si>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</si>
  <si>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</si>
  <si>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</si>
  <si>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</si>
  <si>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</si>
  <si>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</si>
  <si>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</si>
  <si>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</si>
  <si>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</si>
  <si>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</si>
  <si>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</si>
  <si>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</si>
  <si>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</si>
  <si>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</si>
  <si>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</si>
  <si>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</si>
  <si>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</si>
  <si>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</si>
  <si>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</si>
  <si>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</si>
  <si>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</si>
  <si>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</si>
  <si>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</si>
  <si>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</si>
  <si>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</si>
  <si>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</si>
  <si>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</si>
  <si>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</si>
  <si>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</si>
  <si>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</si>
  <si>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</si>
  <si>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</si>
  <si>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</si>
  <si>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</si>
  <si>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</si>
  <si>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</si>
  <si>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</si>
  <si>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</si>
  <si>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</si>
  <si>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</si>
  <si>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</si>
  <si>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</si>
  <si>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</si>
  <si>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</si>
  <si>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</si>
  <si>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</si>
  <si>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</si>
  <si>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</si>
  <si>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</si>
  <si>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</si>
  <si>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</si>
  <si>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</si>
  <si>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</si>
  <si>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</si>
  <si>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</si>
  <si>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</si>
  <si>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</si>
  <si>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</si>
  <si>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</si>
  <si>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</si>
  <si>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</si>
  <si>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</si>
  <si>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</si>
  <si>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</si>
  <si>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</si>
  <si>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</si>
  <si>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</si>
  <si>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</si>
  <si>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</si>
  <si>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</si>
  <si>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</si>
  <si>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</si>
  <si>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</si>
  <si>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</si>
  <si>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</si>
  <si>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</si>
  <si>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</si>
  <si>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</si>
  <si>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</si>
  <si>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</si>
  <si>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</si>
  <si>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</si>
  <si>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</si>
  <si>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</si>
  <si>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</si>
  <si>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</si>
  <si>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</si>
  <si>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</si>
  <si>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</si>
  <si>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</si>
  <si>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</si>
  <si>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</si>
  <si>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</si>
  <si>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</si>
  <si>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</si>
  <si>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</si>
  <si>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</si>
  <si>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</si>
  <si>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</si>
  <si>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</si>
  <si>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</si>
  <si>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</si>
  <si>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</si>
  <si>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</si>
  <si>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</si>
  <si>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</si>
  <si>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</si>
  <si>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</si>
  <si>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</si>
  <si>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</si>
  <si>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</si>
  <si>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</si>
  <si>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</si>
  <si>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</si>
  <si>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</si>
  <si>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</si>
  <si>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</si>
  <si>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</si>
  <si>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</si>
  <si>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</si>
  <si>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</si>
  <si>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</si>
  <si>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</si>
  <si>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</si>
  <si>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</si>
  <si>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</si>
  <si>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</si>
  <si>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</si>
  <si>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</si>
  <si>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</si>
  <si>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</si>
  <si>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</si>
  <si>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</si>
  <si>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</si>
  <si>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</si>
  <si>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</si>
  <si>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</si>
  <si>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</si>
  <si>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</si>
  <si>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</si>
  <si>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</si>
  <si>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</si>
  <si>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</si>
  <si>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</si>
  <si>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</si>
  <si>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</si>
  <si>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</si>
  <si>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</si>
  <si>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</si>
  <si>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</si>
  <si>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</si>
  <si>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</si>
  <si>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</si>
  <si>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</si>
  <si>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</si>
  <si>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</si>
  <si>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</si>
  <si>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</si>
  <si>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</si>
  <si>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</si>
  <si>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</si>
  <si>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</si>
  <si>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</si>
  <si>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</si>
  <si>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</si>
  <si>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</si>
  <si>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</si>
  <si>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</si>
  <si>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</si>
  <si>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</si>
  <si>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</si>
  <si>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</si>
  <si>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</si>
  <si>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</si>
  <si>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</si>
  <si>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</si>
  <si>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</si>
  <si>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</si>
  <si>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</si>
  <si>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</si>
  <si>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</si>
  <si>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</si>
  <si>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</si>
  <si>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</si>
  <si>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</si>
  <si>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</si>
  <si>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</si>
  <si>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</si>
  <si>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</si>
  <si>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</si>
  <si>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</si>
  <si>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</si>
  <si>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</si>
  <si>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</si>
  <si>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</si>
  <si>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</si>
  <si>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</si>
  <si>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</si>
  <si>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</si>
  <si>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</si>
  <si>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</si>
  <si>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</si>
  <si>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</si>
  <si>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</si>
  <si>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</si>
  <si>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</si>
  <si>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</si>
  <si>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</si>
  <si>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</si>
  <si>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</si>
  <si>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</si>
  <si>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</si>
  <si>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</si>
  <si>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</si>
  <si>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</si>
  <si>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</si>
  <si>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</si>
  <si>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</si>
  <si>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</si>
  <si>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</si>
  <si>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</si>
  <si>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</si>
  <si>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</si>
  <si>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</si>
  <si>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</si>
  <si>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</si>
  <si>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</si>
  <si>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</si>
  <si>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</si>
  <si>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</si>
  <si>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</si>
  <si>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</si>
  <si>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</si>
  <si>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</si>
  <si>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</si>
  <si>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</si>
  <si>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</si>
  <si>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</si>
  <si>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</si>
  <si>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</si>
  <si>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</si>
  <si>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</si>
  <si>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</si>
  <si>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</si>
  <si>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</si>
  <si>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</si>
  <si>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</si>
  <si>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</si>
  <si>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</si>
  <si>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</si>
  <si>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</si>
  <si>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</si>
  <si>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</si>
  <si>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</si>
  <si>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</si>
  <si>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</si>
  <si>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</si>
  <si>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</si>
  <si>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</si>
  <si>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</si>
  <si>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</si>
  <si>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</si>
  <si>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</si>
  <si>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</si>
  <si>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</si>
  <si>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</si>
  <si>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</si>
  <si>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</si>
  <si>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</si>
  <si>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</si>
  <si>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</si>
  <si>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</si>
  <si>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</si>
  <si>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</si>
  <si>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</si>
  <si>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</si>
  <si>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</si>
  <si>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</si>
  <si>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</si>
  <si>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</si>
  <si>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</si>
  <si>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</si>
  <si>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</si>
  <si>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</si>
  <si>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</si>
  <si>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</si>
  <si>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</si>
  <si>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</si>
  <si>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</si>
  <si>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</si>
  <si>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</si>
  <si>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</si>
  <si>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</si>
  <si>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</si>
  <si>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</si>
  <si>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</si>
  <si>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</si>
  <si>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</si>
  <si>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</si>
  <si>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</si>
  <si>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</si>
  <si>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</si>
  <si>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</si>
  <si>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</si>
  <si>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</si>
  <si>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</si>
  <si>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</si>
  <si>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</si>
  <si>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</si>
  <si>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</si>
  <si>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</si>
  <si>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</si>
  <si>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</si>
  <si>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</si>
  <si>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</si>
  <si>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</si>
  <si>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</si>
  <si>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</si>
  <si>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</si>
  <si>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</si>
  <si>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</si>
  <si>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</si>
  <si>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</si>
  <si>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</si>
  <si>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</si>
  <si>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</si>
  <si>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</si>
  <si>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</si>
  <si>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</si>
  <si>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</si>
  <si>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</si>
  <si>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</si>
  <si>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</si>
  <si>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</si>
  <si>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</si>
  <si>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</si>
  <si>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</si>
  <si>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</si>
  <si>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</si>
  <si>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</si>
  <si>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</si>
  <si>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</si>
  <si>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</si>
  <si>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</si>
  <si>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</si>
  <si>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</si>
  <si>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</si>
  <si>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</si>
  <si>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</si>
  <si>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</si>
  <si>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</si>
  <si>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</si>
  <si>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</si>
  <si>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</si>
  <si>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</si>
  <si>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</si>
  <si>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</si>
  <si>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</si>
  <si>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</si>
  <si>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</si>
  <si>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</si>
  <si>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</si>
  <si>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</si>
  <si>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</si>
  <si>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</si>
  <si>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</si>
  <si>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</si>
  <si>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</si>
  <si>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</si>
  <si>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</si>
  <si>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</si>
  <si>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</si>
  <si>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</si>
  <si>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</si>
  <si>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</si>
  <si>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</si>
  <si>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</si>
  <si>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</si>
  <si>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</si>
  <si>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</si>
  <si>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</si>
  <si>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</si>
  <si>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</si>
  <si>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</si>
  <si>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</si>
  <si>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</si>
  <si>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</si>
  <si>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</si>
  <si>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</si>
  <si>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</si>
  <si>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</si>
  <si>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</si>
  <si>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</si>
  <si>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</si>
  <si>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</si>
  <si>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</si>
  <si>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</si>
  <si>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</si>
  <si>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</si>
  <si>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</si>
  <si>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</si>
  <si>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</si>
  <si>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</si>
  <si>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</si>
  <si>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</si>
  <si>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</si>
  <si>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</si>
  <si>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</si>
  <si>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</si>
  <si>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</si>
  <si>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</si>
  <si>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</si>
  <si>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</si>
  <si>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</si>
  <si>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</si>
  <si>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</si>
  <si>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</si>
  <si>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</si>
  <si>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</si>
  <si>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</si>
  <si>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</si>
  <si>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</si>
  <si>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</si>
  <si>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</si>
  <si>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</si>
  <si>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</si>
  <si>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</si>
  <si>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</si>
  <si>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</si>
  <si>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</si>
  <si>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</si>
  <si>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</si>
  <si>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</si>
  <si>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</si>
  <si>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</si>
  <si>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</si>
  <si>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</si>
  <si>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</si>
  <si>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</si>
  <si>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</si>
  <si>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</si>
  <si>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</si>
  <si>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</si>
  <si>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</si>
  <si>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</si>
  <si>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</si>
  <si>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</si>
  <si>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</si>
  <si>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</si>
  <si>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</si>
  <si>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</si>
  <si>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</si>
  <si>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</si>
  <si>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</si>
  <si>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</si>
  <si>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</si>
  <si>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</si>
  <si>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</si>
  <si>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</si>
  <si>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</si>
  <si>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</si>
  <si>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</si>
  <si>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</si>
  <si>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</si>
  <si>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</si>
  <si>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</si>
  <si>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</si>
  <si>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</si>
  <si>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</si>
  <si>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</si>
  <si>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</si>
  <si>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</si>
  <si>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</si>
  <si>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</si>
  <si>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</si>
  <si>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</si>
  <si>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</si>
  <si>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</si>
  <si>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</si>
  <si>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</si>
  <si>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</si>
  <si>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</si>
  <si>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</si>
  <si>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</si>
  <si>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</si>
  <si>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</si>
  <si>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</si>
  <si>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</si>
  <si>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</si>
  <si>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</si>
  <si>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</si>
  <si>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</si>
  <si>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</si>
  <si>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</si>
  <si>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</si>
  <si>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</si>
  <si>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</si>
  <si>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</si>
  <si>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</si>
  <si>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</si>
  <si>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</si>
  <si>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</si>
  <si>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</si>
  <si>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</si>
  <si>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</si>
  <si>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</si>
  <si>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</si>
  <si>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</si>
  <si>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</si>
  <si>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</si>
  <si>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</si>
  <si>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</si>
  <si>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</si>
  <si>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</si>
  <si>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</si>
  <si>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</si>
  <si>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</si>
  <si>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</si>
  <si>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</si>
  <si>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</si>
  <si>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</si>
  <si>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</si>
  <si>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</si>
  <si>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</si>
  <si>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</si>
  <si>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</si>
  <si>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</si>
  <si>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</si>
  <si>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</si>
  <si>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</si>
  <si>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</si>
  <si>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</si>
  <si>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</si>
  <si>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</si>
  <si>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</si>
  <si>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</si>
  <si>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</si>
  <si>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</si>
  <si>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</si>
  <si>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</si>
  <si>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</si>
  <si>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</si>
  <si>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</si>
  <si>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</si>
  <si>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</si>
  <si>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</si>
  <si>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</si>
  <si>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</si>
  <si>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</si>
  <si>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</si>
  <si>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</si>
  <si>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</si>
  <si>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</si>
  <si>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</si>
  <si>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</si>
  <si>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</si>
  <si>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</si>
  <si>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</si>
  <si>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</si>
  <si>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</si>
  <si>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</si>
  <si>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</si>
  <si>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</si>
  <si>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</si>
  <si>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</si>
  <si>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</si>
  <si>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</si>
  <si>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</si>
  <si>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</si>
  <si>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</si>
  <si>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</si>
  <si>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</si>
  <si>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</si>
  <si>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</si>
  <si>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</si>
  <si>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</si>
  <si>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</si>
  <si>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</si>
  <si>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</si>
  <si>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</si>
  <si>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</si>
  <si>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</si>
  <si>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</si>
  <si>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</si>
  <si>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</si>
  <si>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</si>
  <si>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</si>
  <si>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</si>
  <si>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</si>
  <si>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</si>
  <si>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</si>
  <si>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</si>
  <si>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</si>
  <si>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</si>
  <si>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</si>
  <si>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</si>
  <si>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</si>
  <si>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</si>
  <si>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</si>
  <si>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</si>
  <si>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</si>
  <si>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</si>
  <si>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</si>
  <si>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</si>
  <si>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</si>
  <si>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</si>
  <si>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</si>
  <si>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</si>
  <si>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</si>
  <si>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</si>
  <si>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</si>
  <si>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</si>
  <si>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</si>
  <si>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</si>
  <si>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</si>
  <si>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</si>
  <si>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</si>
  <si>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</si>
  <si>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</si>
  <si>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</si>
  <si>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</si>
  <si>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</si>
  <si>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</si>
  <si>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</si>
  <si>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</si>
  <si>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</si>
  <si>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</si>
  <si>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</si>
  <si>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</si>
  <si>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</si>
  <si>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</si>
  <si>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</si>
  <si>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</si>
  <si>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</si>
  <si>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</si>
  <si>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</si>
  <si>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</si>
  <si>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</si>
  <si>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</si>
  <si>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</si>
  <si>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</si>
  <si>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</si>
  <si>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</si>
  <si>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</si>
  <si>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</si>
  <si>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</si>
  <si>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</si>
  <si>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</si>
  <si>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</si>
  <si>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</si>
  <si>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</si>
  <si>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</si>
  <si>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</si>
  <si>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</si>
  <si>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</si>
  <si>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</si>
  <si>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</si>
  <si>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</si>
  <si>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</si>
  <si>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</si>
  <si>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</si>
  <si>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</si>
  <si>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</si>
  <si>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</si>
  <si>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</si>
  <si>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</si>
  <si>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</si>
  <si>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</si>
  <si>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</si>
  <si>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</si>
  <si>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</si>
  <si>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</si>
  <si>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</si>
  <si>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</si>
  <si>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</si>
  <si>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</si>
  <si>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</si>
  <si>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</si>
  <si>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</si>
  <si>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</si>
  <si>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</si>
  <si>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</si>
  <si>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</si>
  <si>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</si>
  <si>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</si>
  <si>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</si>
  <si>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</si>
  <si>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</si>
  <si>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</si>
  <si>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</si>
  <si>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</si>
  <si>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</si>
  <si>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</si>
  <si>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</si>
  <si>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</si>
  <si>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</si>
  <si>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</si>
  <si>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</si>
  <si>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</si>
  <si>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</si>
  <si>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</si>
  <si>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</si>
  <si>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</si>
  <si>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</si>
  <si>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</si>
  <si>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</si>
  <si>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</si>
  <si>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</si>
  <si>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</si>
  <si>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</si>
  <si>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</si>
  <si>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</si>
  <si>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</si>
  <si>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</si>
  <si>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</si>
  <si>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</si>
  <si>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</si>
  <si>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</si>
  <si>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</si>
  <si>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</si>
  <si>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</si>
  <si>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</si>
  <si>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</si>
  <si>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</si>
  <si>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</si>
  <si>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</si>
  <si>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</si>
  <si>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</si>
  <si>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</si>
  <si>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</si>
  <si>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</si>
  <si>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</si>
  <si>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</si>
  <si>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</si>
  <si>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</si>
  <si>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</si>
  <si>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</si>
  <si>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</si>
  <si>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</si>
  <si>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</si>
  <si>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</si>
  <si>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</si>
  <si>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</si>
  <si>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</si>
  <si>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</si>
  <si>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</si>
  <si>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</si>
  <si>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</si>
  <si>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</si>
  <si>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</si>
  <si>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</si>
  <si>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</si>
  <si>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</si>
  <si>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</si>
  <si>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</si>
  <si>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</si>
  <si>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</si>
  <si>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</si>
  <si>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</si>
  <si>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</si>
  <si>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</si>
  <si>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</si>
  <si>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</si>
  <si>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</si>
  <si>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</si>
  <si>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</si>
  <si>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</si>
  <si>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</si>
  <si>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</si>
  <si>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</si>
  <si>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</si>
  <si>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</si>
  <si>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</si>
  <si>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</si>
  <si>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</si>
  <si>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</si>
  <si>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</si>
  <si>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</si>
  <si>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</si>
  <si>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</si>
  <si>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</si>
  <si>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</si>
  <si>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</si>
  <si>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</si>
  <si>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</si>
  <si>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</si>
  <si>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</si>
  <si>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</si>
  <si>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</si>
  <si>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</si>
  <si>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</si>
  <si>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</si>
  <si>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</si>
  <si>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</si>
  <si>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</si>
  <si>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</si>
  <si>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</si>
  <si>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</si>
  <si>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</si>
  <si>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</si>
  <si>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</si>
  <si>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</si>
  <si>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</si>
  <si>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</si>
  <si>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</si>
  <si>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</si>
  <si>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</si>
  <si>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</si>
  <si>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</si>
  <si>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</si>
  <si>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</si>
  <si>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</si>
  <si>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</si>
  <si>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</si>
  <si>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</si>
  <si>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</si>
  <si>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</si>
  <si>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</si>
  <si>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</si>
  <si>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</si>
  <si>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</si>
  <si>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</si>
  <si>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</si>
  <si>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</si>
  <si>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</si>
  <si>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</si>
  <si>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</si>
  <si>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</si>
  <si>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</si>
  <si>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</si>
  <si>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</si>
  <si>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</si>
  <si>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</si>
  <si>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</si>
  <si>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</si>
  <si>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</si>
  <si>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</si>
  <si>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</si>
  <si>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</si>
  <si>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</si>
  <si>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</si>
  <si>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</si>
  <si>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</si>
  <si>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</si>
  <si>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</si>
  <si>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</si>
  <si>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</si>
  <si>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</si>
  <si>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</si>
  <si>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</si>
  <si>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</si>
  <si>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</si>
  <si>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</si>
  <si>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</si>
  <si>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</si>
  <si>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</si>
  <si>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</si>
  <si>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</si>
  <si>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</si>
  <si>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</si>
  <si>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</si>
  <si>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</si>
  <si>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</si>
  <si>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</si>
  <si>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</si>
  <si>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</si>
  <si>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</si>
  <si>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</si>
  <si>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</si>
  <si>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</si>
  <si>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</si>
  <si>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</si>
  <si>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</si>
  <si>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</si>
  <si>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</si>
  <si>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</si>
  <si>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</si>
  <si>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</si>
  <si>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</si>
  <si>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</si>
  <si>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</si>
  <si>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</si>
  <si>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</si>
  <si>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</si>
  <si>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</si>
  <si>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</si>
  <si>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</si>
  <si>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</si>
  <si>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</si>
  <si>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</si>
  <si>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</si>
  <si>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</si>
  <si>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</si>
  <si>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</si>
  <si>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</si>
  <si>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</si>
  <si>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</si>
  <si>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</si>
  <si>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</si>
  <si>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</si>
  <si>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</si>
  <si>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</si>
  <si>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</si>
  <si>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</si>
  <si>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</si>
  <si>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</si>
  <si>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</si>
  <si>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</si>
  <si>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</si>
  <si>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</si>
  <si>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</si>
  <si>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</si>
  <si>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</si>
  <si>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</si>
  <si>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</si>
  <si>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</si>
  <si>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</si>
  <si>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</si>
  <si>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</si>
  <si>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</si>
  <si>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</si>
  <si>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</si>
  <si>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</si>
  <si>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</si>
  <si>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</si>
  <si>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</si>
  <si>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</si>
  <si>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</si>
  <si>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</si>
  <si>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</si>
  <si>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</si>
  <si>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</si>
  <si>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</si>
  <si>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</si>
  <si>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</si>
  <si>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</si>
  <si>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</si>
  <si>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</si>
  <si>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</si>
  <si>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</si>
  <si>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</si>
  <si>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</si>
  <si>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</si>
  <si>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</si>
  <si>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</si>
  <si>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</si>
  <si>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</si>
  <si>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</si>
  <si>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</si>
  <si>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</si>
  <si>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</si>
  <si>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</si>
  <si>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</si>
  <si>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</si>
  <si>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</si>
  <si>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</si>
  <si>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</si>
  <si>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</si>
  <si>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</si>
  <si>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</si>
  <si>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</si>
  <si>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</si>
  <si>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</si>
  <si>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</si>
  <si>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</si>
  <si>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</si>
  <si>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</si>
  <si>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</si>
  <si>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</si>
  <si>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</si>
  <si>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</si>
  <si>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</si>
  <si>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</si>
  <si>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</si>
  <si>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</si>
  <si>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</si>
  <si>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</si>
  <si>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</si>
  <si>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</si>
  <si>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</si>
  <si>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</si>
  <si>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</si>
  <si>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</si>
  <si>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</si>
  <si>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</si>
  <si>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</si>
  <si>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</si>
  <si>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</si>
  <si>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</si>
  <si>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</si>
  <si>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</si>
  <si>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</si>
  <si>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</si>
  <si>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</si>
  <si>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</si>
  <si>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</si>
  <si>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</si>
  <si>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</si>
  <si>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</si>
  <si>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</si>
  <si>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</si>
  <si>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</si>
  <si>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</si>
  <si>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</si>
  <si>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</si>
  <si>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</si>
  <si>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</si>
  <si>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</si>
  <si>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</si>
  <si>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</si>
  <si>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</si>
  <si>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</si>
  <si>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</si>
  <si>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</si>
  <si>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</si>
  <si>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</si>
  <si>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</si>
  <si>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</si>
  <si>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</si>
  <si>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</si>
  <si>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</si>
  <si>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</si>
  <si>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</si>
  <si>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</si>
  <si>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</si>
  <si>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</si>
  <si>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</si>
  <si>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</si>
  <si>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</si>
  <si>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</si>
  <si>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</si>
  <si>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</si>
  <si>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</si>
  <si>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</si>
  <si>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</si>
  <si>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</si>
  <si>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</si>
  <si>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</si>
  <si>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</si>
  <si>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</si>
  <si>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</si>
  <si>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</si>
  <si>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</si>
  <si>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</si>
  <si>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</si>
  <si>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</si>
  <si>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</si>
  <si>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</si>
  <si>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</si>
  <si>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</si>
  <si>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</si>
  <si>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</si>
  <si>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</si>
  <si>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</si>
  <si>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</si>
  <si>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</si>
  <si>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</si>
  <si>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</si>
  <si>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</si>
  <si>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</si>
  <si>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</si>
  <si>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</si>
  <si>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</si>
  <si>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</si>
  <si>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</si>
  <si>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</si>
  <si>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</si>
  <si>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</si>
  <si>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</si>
  <si>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</si>
  <si>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</si>
  <si>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</si>
  <si>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</si>
  <si>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</si>
  <si>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</si>
  <si>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</si>
  <si>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</si>
  <si>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</si>
  <si>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</si>
  <si>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</si>
  <si>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</si>
  <si>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</si>
  <si>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</si>
  <si>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</si>
  <si>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</si>
  <si>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</si>
  <si>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</si>
  <si>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</si>
  <si>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</si>
  <si>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</si>
  <si>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</si>
  <si>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</si>
  <si>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</si>
  <si>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</si>
  <si>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</si>
  <si>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</si>
  <si>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</si>
  <si>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</si>
  <si>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</si>
  <si>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</si>
  <si>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</si>
  <si>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</si>
  <si>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</si>
  <si>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</si>
  <si>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</si>
  <si>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</si>
  <si>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</si>
  <si>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</si>
  <si>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</si>
  <si>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</si>
  <si>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</si>
  <si>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</si>
  <si>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</si>
  <si>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</si>
  <si>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</si>
  <si>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</si>
  <si>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</si>
  <si>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</si>
  <si>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</si>
  <si>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</si>
  <si>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</si>
  <si>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</si>
  <si>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</si>
  <si>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</si>
  <si>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</si>
  <si>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</si>
  <si>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</si>
  <si>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</si>
  <si>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</si>
  <si>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</si>
  <si>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</si>
  <si>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</si>
  <si>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</si>
  <si>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</si>
  <si>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</si>
  <si>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</si>
  <si>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</si>
  <si>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</si>
  <si>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</si>
  <si>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</si>
  <si>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</si>
  <si>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</si>
  <si>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</si>
  <si>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</si>
  <si>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</si>
  <si>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</si>
  <si>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</si>
  <si>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</si>
  <si>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</si>
  <si>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</si>
  <si>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</si>
  <si>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</si>
  <si>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</si>
  <si>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</si>
  <si>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</si>
  <si>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</si>
  <si>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</si>
  <si>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</si>
  <si>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</si>
  <si>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</si>
  <si>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</si>
  <si>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</si>
  <si>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</si>
  <si>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</si>
  <si>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</si>
  <si>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</si>
  <si>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</si>
  <si>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</si>
  <si>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</si>
  <si>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</si>
  <si>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</si>
  <si>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</si>
  <si>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</si>
  <si>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</si>
  <si>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</si>
  <si>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</si>
  <si>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</si>
  <si>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</si>
  <si>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</si>
  <si>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</si>
  <si>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</si>
  <si>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</si>
  <si>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</si>
  <si>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</si>
  <si>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</si>
  <si>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</si>
  <si>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</si>
  <si>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</si>
  <si>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</si>
  <si>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</si>
  <si>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</si>
  <si>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</si>
  <si>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</si>
  <si>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</si>
  <si>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</si>
  <si>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</si>
  <si>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</si>
  <si>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</si>
  <si>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</si>
  <si>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</si>
  <si>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</si>
  <si>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</si>
  <si>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</si>
  <si>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</si>
  <si>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</si>
  <si>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</si>
  <si>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</si>
  <si>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</si>
  <si>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</si>
  <si>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</si>
  <si>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</si>
  <si>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</si>
  <si>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</si>
  <si>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</si>
  <si>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</si>
  <si>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</si>
  <si>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</si>
  <si>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</si>
  <si>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</si>
  <si>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</si>
  <si>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</si>
  <si>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</si>
  <si>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</si>
  <si>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</si>
  <si>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</si>
  <si>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</si>
  <si>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</si>
  <si>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</si>
  <si>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</si>
  <si>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</si>
  <si>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</si>
  <si>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</si>
  <si>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</si>
  <si>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</si>
  <si>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</si>
  <si>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</si>
  <si>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</si>
  <si>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</si>
  <si>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</si>
  <si>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</si>
  <si>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</si>
  <si>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</si>
  <si>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</si>
  <si>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</si>
  <si>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</si>
  <si>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</si>
  <si>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</si>
  <si>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</si>
  <si>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</si>
  <si>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</si>
  <si>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</si>
  <si>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</si>
  <si>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</si>
  <si>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</si>
  <si>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</si>
  <si>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</si>
  <si>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</si>
  <si>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</si>
  <si>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</si>
  <si>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</si>
  <si>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</si>
  <si>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</si>
  <si>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</si>
  <si>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</si>
  <si>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</si>
  <si>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</si>
  <si>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</si>
  <si>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</si>
  <si>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</si>
  <si>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</si>
  <si>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</si>
  <si>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</si>
  <si>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</si>
  <si>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</si>
  <si>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</si>
  <si>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</si>
  <si>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</si>
  <si>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</si>
  <si>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</si>
  <si>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</si>
  <si>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</si>
  <si>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</si>
  <si>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</si>
  <si>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</si>
  <si>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</si>
  <si>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</si>
  <si>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</si>
  <si>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</si>
  <si>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</si>
  <si>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</si>
  <si>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</si>
  <si>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</si>
  <si>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</si>
  <si>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</si>
  <si>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</si>
  <si>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</si>
  <si>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</si>
  <si>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</si>
  <si>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</si>
  <si>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</si>
  <si>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</si>
  <si>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</si>
  <si>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</si>
  <si>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</si>
  <si>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</si>
  <si>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</si>
  <si>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</si>
  <si>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</si>
  <si>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</si>
  <si>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</si>
  <si>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</si>
  <si>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</si>
  <si>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</si>
  <si>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</si>
  <si>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</si>
  <si>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</si>
  <si>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</si>
  <si>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</si>
  <si>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</si>
  <si>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</si>
  <si>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</si>
  <si>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</si>
  <si>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</si>
  <si>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</si>
  <si>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</si>
  <si>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</si>
  <si>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</si>
  <si>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</si>
  <si>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</si>
  <si>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</si>
  <si>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</si>
  <si>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</si>
  <si>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</si>
  <si>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</si>
  <si>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</si>
  <si>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</si>
  <si>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</si>
  <si>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</si>
  <si>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</si>
  <si>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</si>
  <si>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</si>
  <si>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</si>
  <si>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</si>
  <si>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</si>
  <si>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</si>
  <si>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</si>
  <si>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</si>
  <si>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</si>
  <si>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</si>
  <si>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</si>
  <si>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</si>
  <si>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</si>
  <si>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</si>
  <si>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</si>
  <si>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</si>
  <si>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</si>
  <si>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</si>
  <si>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</si>
  <si>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</si>
  <si>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</si>
  <si>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</si>
  <si>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</si>
  <si>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</si>
  <si>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</si>
  <si>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</si>
  <si>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</si>
  <si>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</si>
  <si>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</si>
  <si>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</si>
  <si>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</si>
  <si>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</si>
  <si>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</si>
  <si>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</si>
  <si>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</si>
  <si>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</si>
  <si>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</si>
  <si>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</si>
  <si>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</si>
  <si>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</si>
  <si>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</si>
  <si>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</si>
  <si>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</si>
  <si>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</si>
  <si>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</si>
  <si>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</si>
  <si>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</si>
  <si>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</si>
  <si>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</si>
  <si>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</si>
  <si>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</si>
  <si>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</si>
  <si>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</si>
  <si>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</si>
  <si>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</si>
  <si>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</si>
  <si>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</si>
  <si>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</si>
  <si>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</si>
  <si>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</si>
  <si>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</si>
  <si>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</si>
  <si>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</si>
  <si>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</si>
  <si>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</si>
  <si>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</si>
  <si>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</si>
  <si>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</si>
  <si>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</si>
  <si>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</si>
  <si>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</si>
  <si>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</si>
  <si>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</si>
  <si>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</si>
  <si>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</si>
  <si>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</si>
  <si>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</si>
  <si>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</si>
  <si>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</si>
  <si>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</si>
  <si>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</si>
  <si>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</si>
  <si>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</si>
  <si>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</si>
  <si>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</si>
  <si>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</si>
  <si>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</si>
  <si>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</si>
  <si>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</si>
  <si>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</si>
  <si>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</si>
  <si>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</si>
  <si>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</si>
  <si>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</si>
  <si>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</si>
  <si>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</si>
  <si>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</si>
  <si>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</si>
  <si>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</si>
  <si>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</si>
  <si>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</si>
  <si>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</si>
  <si>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</si>
  <si>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</si>
  <si>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</si>
  <si>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</si>
  <si>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</si>
  <si>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</si>
  <si>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</si>
  <si>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</si>
  <si>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</si>
  <si>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</si>
  <si>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</si>
  <si>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</si>
  <si>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</si>
  <si>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</si>
  <si>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</si>
  <si>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</si>
  <si>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</si>
  <si>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</si>
  <si>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</si>
  <si>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</si>
  <si>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</si>
  <si>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</si>
  <si>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</si>
  <si>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</si>
  <si>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</si>
  <si>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</si>
  <si>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</si>
  <si>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</si>
  <si>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</si>
  <si>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</si>
  <si>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</si>
  <si>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</si>
  <si>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</si>
  <si>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</si>
  <si>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</si>
  <si>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</si>
  <si>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</si>
  <si>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</si>
  <si>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</si>
  <si>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</si>
  <si>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</si>
  <si>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</si>
  <si>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</si>
  <si>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</si>
  <si>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</si>
  <si>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</si>
  <si>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</si>
  <si>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</si>
  <si>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</si>
  <si>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</si>
  <si>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</si>
  <si>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</si>
  <si>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</si>
  <si>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</si>
  <si>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</si>
  <si>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</si>
  <si>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</si>
  <si>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</si>
  <si>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</si>
  <si>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</si>
  <si>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</si>
  <si>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</si>
  <si>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</si>
  <si>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</si>
  <si>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</si>
  <si>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</si>
  <si>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</si>
  <si>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</si>
  <si>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</si>
  <si>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</si>
  <si>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</si>
  <si>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</si>
  <si>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</si>
  <si>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</si>
  <si>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</si>
  <si>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</si>
  <si>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</si>
  <si>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</si>
  <si>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</si>
  <si>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</si>
  <si>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</si>
  <si>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</si>
  <si>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</si>
  <si>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</si>
  <si>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</si>
  <si>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</si>
  <si>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</si>
  <si>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</si>
  <si>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</si>
  <si>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</si>
  <si>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</si>
  <si>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</si>
  <si>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</si>
  <si>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</si>
  <si>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</si>
  <si>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</si>
  <si>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</si>
  <si>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</si>
  <si>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</si>
  <si>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</si>
  <si>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</si>
  <si>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</si>
  <si>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</si>
  <si>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</si>
  <si>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</si>
  <si>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</si>
  <si>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</si>
  <si>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</si>
  <si>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</si>
  <si>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</si>
  <si>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</si>
  <si>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</si>
  <si>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</si>
  <si>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</si>
  <si>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</si>
  <si>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</si>
  <si>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</si>
  <si>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</si>
  <si>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</si>
  <si>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</si>
  <si>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</si>
  <si>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</si>
  <si>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</si>
  <si>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</si>
  <si>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</si>
  <si>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</si>
  <si>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</si>
  <si>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</si>
  <si>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</si>
  <si>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</si>
  <si>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</si>
  <si>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</si>
  <si>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</si>
  <si>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</si>
  <si>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</si>
  <si>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</si>
  <si>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</si>
  <si>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</si>
  <si>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</si>
  <si>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</si>
  <si>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</si>
  <si>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</si>
  <si>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</si>
  <si>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</si>
  <si>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</si>
  <si>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</si>
  <si>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</si>
  <si>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</si>
  <si>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</si>
  <si>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</si>
  <si>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</si>
  <si>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</si>
  <si>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</si>
  <si>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</si>
  <si>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</si>
  <si>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</si>
  <si>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</si>
  <si>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</si>
  <si>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</si>
  <si>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</si>
  <si>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</si>
  <si>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</si>
  <si>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</si>
  <si>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</si>
  <si>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</si>
  <si>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</si>
  <si>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</si>
  <si>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</si>
  <si>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</si>
  <si>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</si>
  <si>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</si>
  <si>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</si>
  <si>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</si>
  <si>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</si>
  <si>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</si>
  <si>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</si>
  <si>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</si>
  <si>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</si>
  <si>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</si>
  <si>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</si>
  <si>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</si>
  <si>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</si>
  <si>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</si>
  <si>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</si>
  <si>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</si>
  <si>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</si>
  <si>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</si>
  <si>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</si>
  <si>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</si>
  <si>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</si>
  <si>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</si>
  <si>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</si>
  <si>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</si>
  <si>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</si>
  <si>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</si>
  <si>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</si>
  <si>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</si>
  <si>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</si>
  <si>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</si>
  <si>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</si>
  <si>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</si>
  <si>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</si>
  <si>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</si>
  <si>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</si>
  <si>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</si>
  <si>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</si>
  <si>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</si>
  <si>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</si>
  <si>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</si>
  <si>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</si>
  <si>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</si>
  <si>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</si>
  <si>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</si>
  <si>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</si>
  <si>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</si>
  <si>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</si>
  <si>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</si>
  <si>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</si>
  <si>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</si>
  <si>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</si>
  <si>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</si>
  <si>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</si>
  <si>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</si>
  <si>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</si>
  <si>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</si>
  <si>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</si>
  <si>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</si>
  <si>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</si>
  <si>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</si>
  <si>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</si>
  <si>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</si>
  <si>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</si>
  <si>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</si>
  <si>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</si>
  <si>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</si>
  <si>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</si>
  <si>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</si>
  <si>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</si>
  <si>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</si>
  <si>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</si>
  <si>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</si>
  <si>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</si>
  <si>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</si>
  <si>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</si>
  <si>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</si>
  <si>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</si>
  <si>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</si>
  <si>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</si>
  <si>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</si>
  <si>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</si>
  <si>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</si>
  <si>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</si>
  <si>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</si>
  <si>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</si>
  <si>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</si>
  <si>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</si>
  <si>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</si>
  <si>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</si>
  <si>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</si>
  <si>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</si>
  <si>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</si>
  <si>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</si>
  <si>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</si>
  <si>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</si>
  <si>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</si>
  <si>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</si>
  <si>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</si>
  <si>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</si>
  <si>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</si>
  <si>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</si>
  <si>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</si>
  <si>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</si>
  <si>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</si>
  <si>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</si>
  <si>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</si>
  <si>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</si>
  <si>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</si>
  <si>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</si>
  <si>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</si>
  <si>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</si>
  <si>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</si>
  <si>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</si>
  <si>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</si>
  <si>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</si>
  <si>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</si>
  <si>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</si>
  <si>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</si>
  <si>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</si>
  <si>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</si>
  <si>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</si>
  <si>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</si>
  <si>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</si>
  <si>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</si>
  <si>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</si>
  <si>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</si>
  <si>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</si>
  <si>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</si>
  <si>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</si>
  <si>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</si>
  <si>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</si>
  <si>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</si>
  <si>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</si>
  <si>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</si>
  <si>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</si>
  <si>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</si>
  <si>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</si>
  <si>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</si>
  <si>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</si>
  <si>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</si>
  <si>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</si>
  <si>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</si>
  <si>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</si>
  <si>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</si>
  <si>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</si>
  <si>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</si>
  <si>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</si>
  <si>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</si>
  <si>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</si>
  <si>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</si>
  <si>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</si>
  <si>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</si>
  <si>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</si>
  <si>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</si>
  <si>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</si>
  <si>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</si>
  <si>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</si>
  <si>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</si>
  <si>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</si>
  <si>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</si>
  <si>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</si>
  <si>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</si>
  <si>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</si>
  <si>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</si>
  <si>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</si>
  <si>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</si>
  <si>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</si>
  <si>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</si>
  <si>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</si>
  <si>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</si>
  <si>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</si>
  <si>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</si>
  <si>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</si>
  <si>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</si>
  <si>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</si>
  <si>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</si>
  <si>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</si>
  <si>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</si>
  <si>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</si>
  <si>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</si>
  <si>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</si>
  <si>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</si>
  <si>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</si>
  <si>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</si>
  <si>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</si>
  <si>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</si>
  <si>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</si>
  <si>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</si>
  <si>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</si>
  <si>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</si>
  <si>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</si>
  <si>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</si>
  <si>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</si>
  <si>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</si>
  <si>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</si>
  <si>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</si>
  <si>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</si>
  <si>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</si>
  <si>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</si>
  <si>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</si>
  <si>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</si>
  <si>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</si>
  <si>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</si>
  <si>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</si>
  <si>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</si>
  <si>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</si>
  <si>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</si>
  <si>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</si>
  <si>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</si>
  <si>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</si>
  <si>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</si>
  <si>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</si>
  <si>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</si>
  <si>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</si>
  <si>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</si>
  <si>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</si>
  <si>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</si>
  <si>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</si>
  <si>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</si>
  <si>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</si>
  <si>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</si>
  <si>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</si>
  <si>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</si>
  <si>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</si>
  <si>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</si>
  <si>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</si>
  <si>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</si>
  <si>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</si>
  <si>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</si>
  <si>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</si>
  <si>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</si>
  <si>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</si>
  <si>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</si>
  <si>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</si>
  <si>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</si>
  <si>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</si>
  <si>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</si>
  <si>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</si>
  <si>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</si>
  <si>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</si>
  <si>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</si>
  <si>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</si>
  <si>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</si>
  <si>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</si>
  <si>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</si>
  <si>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</si>
  <si>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</si>
  <si>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</si>
  <si>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</si>
  <si>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</si>
  <si>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</si>
  <si>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</si>
  <si>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</si>
  <si>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</si>
  <si>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</si>
  <si>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</si>
  <si>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</si>
  <si>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</si>
  <si>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</si>
  <si>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</si>
  <si>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</si>
  <si>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</si>
  <si>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</si>
  <si>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</si>
  <si>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</si>
  <si>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</si>
  <si>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</si>
  <si>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</si>
  <si>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</si>
  <si>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</si>
  <si>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</si>
  <si>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</si>
  <si>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</si>
  <si>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</si>
  <si>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</si>
  <si>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</si>
  <si>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</si>
  <si>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</si>
  <si>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</si>
  <si>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</si>
  <si>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</si>
  <si>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</si>
  <si>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</si>
  <si>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</si>
  <si>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</si>
  <si>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</si>
  <si>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</si>
  <si>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</si>
  <si>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</si>
  <si>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</si>
  <si>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</si>
  <si>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</si>
  <si>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</si>
  <si>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</si>
  <si>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</si>
  <si>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</si>
  <si>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</si>
  <si>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</si>
  <si>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</si>
  <si>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</si>
  <si>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</si>
  <si>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</si>
  <si>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</si>
  <si>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</si>
  <si>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</si>
  <si>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</si>
  <si>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</si>
  <si>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</si>
  <si>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</si>
  <si>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</si>
  <si>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</si>
  <si>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</si>
  <si>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</si>
  <si>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</si>
  <si>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</si>
  <si>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</si>
  <si>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</si>
  <si>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</si>
  <si>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</si>
  <si>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</si>
  <si>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</si>
  <si>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</si>
  <si>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</si>
  <si>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</si>
  <si>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</si>
  <si>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</si>
  <si>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</si>
  <si>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</si>
  <si>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</si>
  <si>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</si>
  <si>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</si>
  <si>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</si>
  <si>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</si>
  <si>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</si>
  <si>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</si>
  <si>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</si>
  <si>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</si>
  <si>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</si>
  <si>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</si>
  <si>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</si>
  <si>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</si>
  <si>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</si>
  <si>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</si>
  <si>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</si>
  <si>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</si>
  <si>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</si>
  <si>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</si>
  <si>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</si>
  <si>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</si>
  <si>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</si>
  <si>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</si>
  <si>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</si>
  <si>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</si>
  <si>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</si>
  <si>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</si>
  <si>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</si>
  <si>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</si>
  <si>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</si>
  <si>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</si>
  <si>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</si>
  <si>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</si>
  <si>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</si>
  <si>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</si>
  <si>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</si>
  <si>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</si>
  <si>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</si>
  <si>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</si>
  <si>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</si>
  <si>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</si>
  <si>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</si>
  <si>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</si>
  <si>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</si>
  <si>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</si>
  <si>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</si>
  <si>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</si>
  <si>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</si>
  <si>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</si>
  <si>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</si>
  <si>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</si>
  <si>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</si>
  <si>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</si>
  <si>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</si>
  <si>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</si>
  <si>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</si>
  <si>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</si>
  <si>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</si>
  <si>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</si>
  <si>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</si>
  <si>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</si>
  <si>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</si>
  <si>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</si>
  <si>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</si>
  <si>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</si>
  <si>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</si>
  <si>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</si>
  <si>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</si>
  <si>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</si>
  <si>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</si>
  <si>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</si>
  <si>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</si>
  <si>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</si>
  <si>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</si>
  <si>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</si>
  <si>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</si>
  <si>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</si>
  <si>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</si>
  <si>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</si>
  <si>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</si>
  <si>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</si>
  <si>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</si>
  <si>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</si>
  <si>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</si>
  <si>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</si>
  <si>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</si>
  <si>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</si>
  <si>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</si>
  <si>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</si>
  <si>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</si>
  <si>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</si>
  <si>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</si>
  <si>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</si>
  <si>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</si>
  <si>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</si>
  <si>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</si>
  <si>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</si>
  <si>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</si>
  <si>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</si>
  <si>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</si>
  <si>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</si>
  <si>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</si>
  <si>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</si>
  <si>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</si>
  <si>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</si>
  <si>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</si>
  <si>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</si>
  <si>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</si>
  <si>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</si>
  <si>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</si>
  <si>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</si>
  <si>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</si>
  <si>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</si>
  <si>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</si>
  <si>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</si>
  <si>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</si>
  <si>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</si>
  <si>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</si>
  <si>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</si>
  <si>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</si>
  <si>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</si>
  <si>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</si>
  <si>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</si>
  <si>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</si>
  <si>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</si>
  <si>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</si>
  <si>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</si>
  <si>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</si>
  <si>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</si>
  <si>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</si>
  <si>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</si>
  <si>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</si>
  <si>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</si>
  <si>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</si>
  <si>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</si>
  <si>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</si>
  <si>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</si>
  <si>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</si>
  <si>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</si>
  <si>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</si>
  <si>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</si>
  <si>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</si>
  <si>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</si>
  <si>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</si>
  <si>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</si>
  <si>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</si>
  <si>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</si>
  <si>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</si>
  <si>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</si>
  <si>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</si>
  <si>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</si>
  <si>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</si>
  <si>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</si>
  <si>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</si>
  <si>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</si>
  <si>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</si>
  <si>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</si>
  <si>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</si>
  <si>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</si>
  <si>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</si>
  <si>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</si>
  <si>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</si>
  <si>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</si>
  <si>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</si>
  <si>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</si>
  <si>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</si>
  <si>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</si>
  <si>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</si>
  <si>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</si>
  <si>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</si>
  <si>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</si>
  <si>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</si>
  <si>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</si>
  <si>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</si>
  <si>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</si>
  <si>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</si>
  <si>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</si>
  <si>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</si>
  <si>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</si>
  <si>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</si>
  <si>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</si>
  <si>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</si>
  <si>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</si>
  <si>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</si>
  <si>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</si>
  <si>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</si>
  <si>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</si>
  <si>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</si>
  <si>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</si>
  <si>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</si>
  <si>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</si>
  <si>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</si>
  <si>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</si>
  <si>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</si>
  <si>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</si>
  <si>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</si>
  <si>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</si>
  <si>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</si>
  <si>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</si>
  <si>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</si>
  <si>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</si>
  <si>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</si>
  <si>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</si>
  <si>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</si>
  <si>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</si>
  <si>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</si>
  <si>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</si>
  <si>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</si>
  <si>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</si>
  <si>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</si>
  <si>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</si>
  <si>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</si>
  <si>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</si>
  <si>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</si>
  <si>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</si>
  <si>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</si>
  <si>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</si>
  <si>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</si>
  <si>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</si>
  <si>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</si>
  <si>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</si>
  <si>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</si>
  <si>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</si>
  <si>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</si>
  <si>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</si>
  <si>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</si>
  <si>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</si>
  <si>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</si>
  <si>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</si>
  <si>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</si>
  <si>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</si>
  <si>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</si>
  <si>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</si>
  <si>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</si>
  <si>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</si>
  <si>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</si>
  <si>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</si>
  <si>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</si>
  <si>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</si>
  <si>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</si>
  <si>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</si>
  <si>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</si>
  <si>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</si>
  <si>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</si>
  <si>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</si>
  <si>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</si>
  <si>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</si>
  <si>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</si>
  <si>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</si>
  <si>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</si>
  <si>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</si>
  <si>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</si>
  <si>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</si>
  <si>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</si>
  <si>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</si>
  <si>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</si>
  <si>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</si>
  <si>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</si>
  <si>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</si>
  <si>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</si>
  <si>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</si>
  <si>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</si>
  <si>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</si>
  <si>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</si>
  <si>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</si>
  <si>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</si>
  <si>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</si>
  <si>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</si>
  <si>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</si>
  <si>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</si>
  <si>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</si>
  <si>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</si>
  <si>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</si>
  <si>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</si>
  <si>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</si>
  <si>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</si>
  <si>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</si>
  <si>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</si>
  <si>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</si>
  <si>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</si>
  <si>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</si>
  <si>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</si>
  <si>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</si>
  <si>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</si>
  <si>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</si>
  <si>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</si>
  <si>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</si>
  <si>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</si>
  <si>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</si>
  <si>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</si>
  <si>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</si>
  <si>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</si>
  <si>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</si>
  <si>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</si>
  <si>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</si>
  <si>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</si>
  <si>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</si>
  <si>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</si>
  <si>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</si>
  <si>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</si>
  <si>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</si>
  <si>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</si>
  <si>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</si>
  <si>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</si>
  <si>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</si>
  <si>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</si>
  <si>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</si>
  <si>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</si>
  <si>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</si>
  <si>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</si>
  <si>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</si>
  <si>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</si>
  <si>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</si>
  <si>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</si>
  <si>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</si>
  <si>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</si>
  <si>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</si>
  <si>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</si>
  <si>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</si>
  <si>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</si>
  <si>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</si>
  <si>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</si>
  <si>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</si>
  <si>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</si>
  <si>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</si>
  <si>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</si>
  <si>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</si>
  <si>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</si>
  <si>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</si>
  <si>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</si>
  <si>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</si>
  <si>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</si>
  <si>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</si>
  <si>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</si>
  <si>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</si>
  <si>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</si>
  <si>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</si>
  <si>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</si>
  <si>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</si>
  <si>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</si>
  <si>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</si>
  <si>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</si>
  <si>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</si>
  <si>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</si>
  <si>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</si>
  <si>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</si>
  <si>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</si>
  <si>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</si>
  <si>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</si>
  <si>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</si>
  <si>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</si>
  <si>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</si>
  <si>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</si>
  <si>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</si>
  <si>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</si>
  <si>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</si>
  <si>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</si>
  <si>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</si>
  <si>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</si>
  <si>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</si>
  <si>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</si>
  <si>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</si>
  <si>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</si>
  <si>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</si>
  <si>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</si>
  <si>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</si>
  <si>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</si>
  <si>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</si>
  <si>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</si>
  <si>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</si>
  <si>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</si>
  <si>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</si>
  <si>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</si>
  <si>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</si>
  <si>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</si>
  <si>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</si>
  <si>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</si>
  <si>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</si>
  <si>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</si>
  <si>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</si>
  <si>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</si>
  <si>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</si>
  <si>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</si>
  <si>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</si>
  <si>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</si>
  <si>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</si>
  <si>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</si>
  <si>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</si>
  <si>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</si>
  <si>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</si>
  <si>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</si>
  <si>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</si>
  <si>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</si>
  <si>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</si>
  <si>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</si>
  <si>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</si>
  <si>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</si>
  <si>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</si>
  <si>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</si>
  <si>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</si>
  <si>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</si>
  <si>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</si>
  <si>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</si>
  <si>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</si>
  <si>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</si>
  <si>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</si>
  <si>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</si>
  <si>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</si>
  <si>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</si>
  <si>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</si>
  <si>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</si>
  <si>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</si>
  <si>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</si>
  <si>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</si>
  <si>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</si>
  <si>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</si>
  <si>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</si>
  <si>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</si>
  <si>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</si>
  <si>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</si>
  <si>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</si>
  <si>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</si>
  <si>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</si>
  <si>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</si>
  <si>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</si>
  <si>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</si>
  <si>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</si>
  <si>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</si>
  <si>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</si>
  <si>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</si>
  <si>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</si>
  <si>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</si>
  <si>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</si>
  <si>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</si>
  <si>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</si>
  <si>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</si>
  <si>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</si>
  <si>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</si>
  <si>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</si>
  <si>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</si>
  <si>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</si>
  <si>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</si>
  <si>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</si>
  <si>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</si>
  <si>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</si>
  <si>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</si>
  <si>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</si>
  <si>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</si>
  <si>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</si>
  <si>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</si>
  <si>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</si>
  <si>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</si>
  <si>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</si>
  <si>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</si>
  <si>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</si>
  <si>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</si>
  <si>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</si>
  <si>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</si>
  <si>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</si>
  <si>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</si>
  <si>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</si>
  <si>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</si>
  <si>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</si>
  <si>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</si>
  <si>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</si>
  <si>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</si>
  <si>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</si>
  <si>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</si>
  <si>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</si>
  <si>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</si>
  <si>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</si>
  <si>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</si>
  <si>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</si>
  <si>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</si>
  <si>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</si>
  <si>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</si>
  <si>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</si>
  <si>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</si>
  <si>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</si>
  <si>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</si>
  <si>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</si>
  <si>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</si>
  <si>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</si>
  <si>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</si>
  <si>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</si>
  <si>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</si>
  <si>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</si>
  <si>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</si>
  <si>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</si>
  <si>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</si>
  <si>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</si>
  <si>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</si>
  <si>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</si>
  <si>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</si>
  <si>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</si>
  <si>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</si>
  <si>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</si>
  <si>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</si>
  <si>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</si>
  <si>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</si>
  <si>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</si>
  <si>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</si>
  <si>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</si>
  <si>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</si>
  <si>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</si>
  <si>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</si>
  <si>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</si>
  <si>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</si>
  <si>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</si>
  <si>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</si>
  <si>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</si>
  <si>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</si>
  <si>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</si>
  <si>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</si>
  <si>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</si>
  <si>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</si>
  <si>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</si>
  <si>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</si>
  <si>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</si>
  <si>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</si>
  <si>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</si>
  <si>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</si>
  <si>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</si>
  <si>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</si>
  <si>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</si>
  <si>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</si>
  <si>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</si>
  <si>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</si>
  <si>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</si>
  <si>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</si>
  <si>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</si>
  <si>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</si>
  <si>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</si>
  <si>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</si>
  <si>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</si>
  <si>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</si>
  <si>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</si>
  <si>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</si>
  <si>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</si>
  <si>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</si>
  <si>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</si>
  <si>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</si>
  <si>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</si>
  <si>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</si>
  <si>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</si>
  <si>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</si>
  <si>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</si>
  <si>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</si>
  <si>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</si>
  <si>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</si>
  <si>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</si>
  <si>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</si>
  <si>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</si>
  <si>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</si>
  <si>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</si>
  <si>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</si>
  <si>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</si>
  <si>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</si>
  <si>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</si>
  <si>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</si>
  <si>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</si>
  <si>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</si>
  <si>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</si>
  <si>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</si>
  <si>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</si>
  <si>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</si>
  <si>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</si>
  <si>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</si>
  <si>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</si>
  <si>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</si>
  <si>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</si>
  <si>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</si>
  <si>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</si>
  <si>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</si>
  <si>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</si>
  <si>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</si>
  <si>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</si>
  <si>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</si>
  <si>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</si>
  <si>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</si>
  <si>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</si>
  <si>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</si>
  <si>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</si>
  <si>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</si>
  <si>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</si>
  <si>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</si>
  <si>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</si>
  <si>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</si>
  <si>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</si>
  <si>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</si>
  <si>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</si>
  <si>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</si>
  <si>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</si>
  <si>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</si>
  <si>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</si>
  <si>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</si>
  <si>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</si>
  <si>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</si>
  <si>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</si>
  <si>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</si>
  <si>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</si>
  <si>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</si>
  <si>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</si>
  <si>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</si>
  <si>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</si>
  <si>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</si>
  <si>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</si>
  <si>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</si>
  <si>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</si>
  <si>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</si>
  <si>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</si>
  <si>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</si>
  <si>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</si>
  <si>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</si>
  <si>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</si>
  <si>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</si>
  <si>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</si>
  <si>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</si>
  <si>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</si>
  <si>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</si>
  <si>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</si>
  <si>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</si>
  <si>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</si>
  <si>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</si>
  <si>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</si>
  <si>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</si>
  <si>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</si>
  <si>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</si>
  <si>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</si>
  <si>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</si>
  <si>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</si>
  <si>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</si>
  <si>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</si>
  <si>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</si>
  <si>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</si>
  <si>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</si>
  <si>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</si>
  <si>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</si>
  <si>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</si>
  <si>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</si>
  <si>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</si>
  <si>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</si>
  <si>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</si>
  <si>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</si>
  <si>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</si>
  <si>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</si>
  <si>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</si>
  <si>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</si>
  <si>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</si>
  <si>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</si>
  <si>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</si>
  <si>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</si>
  <si>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</si>
  <si>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</si>
  <si>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</si>
  <si>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</si>
  <si>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</si>
  <si>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</si>
  <si>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</si>
  <si>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</si>
  <si>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</si>
  <si>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</si>
  <si>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</si>
  <si>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</si>
  <si>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</si>
  <si>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</si>
  <si>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</si>
  <si>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</si>
  <si>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</si>
  <si>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</si>
  <si>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</si>
  <si>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</si>
  <si>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</si>
  <si>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</si>
  <si>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</si>
  <si>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</si>
  <si>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</si>
  <si>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</si>
  <si>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</si>
  <si>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</si>
  <si>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</si>
  <si>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</si>
  <si>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</si>
  <si>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</si>
  <si>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</si>
  <si>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</si>
  <si>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</si>
  <si>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</si>
  <si>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</si>
  <si>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</si>
  <si>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</si>
  <si>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</si>
  <si>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</si>
  <si>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</si>
  <si>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</si>
  <si>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</si>
  <si>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</si>
  <si>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</si>
  <si>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</si>
  <si>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</si>
  <si>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</si>
  <si>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</si>
  <si>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</si>
  <si>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</si>
  <si>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</si>
  <si>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</si>
  <si>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</si>
  <si>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</si>
  <si>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</si>
  <si>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</si>
  <si>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</si>
  <si>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</si>
  <si>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</si>
  <si>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</si>
  <si>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</si>
  <si>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</si>
  <si>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</si>
  <si>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</si>
  <si>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</si>
  <si>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</si>
  <si>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</si>
  <si>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</si>
  <si>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</si>
  <si>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</si>
  <si>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</si>
  <si>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</si>
  <si>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</si>
  <si>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</si>
  <si>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</si>
  <si>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</si>
  <si>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</si>
  <si>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</si>
  <si>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</si>
  <si>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</si>
  <si>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</si>
  <si>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</si>
  <si>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</si>
  <si>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</si>
  <si>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</si>
  <si>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</si>
  <si>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</si>
  <si>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</si>
  <si>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</si>
  <si>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</si>
  <si>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</si>
  <si>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</si>
  <si>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</si>
  <si>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</si>
  <si>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</si>
  <si>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</si>
  <si>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</si>
  <si>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</si>
  <si>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</si>
  <si>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</si>
  <si>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</si>
  <si>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</si>
  <si>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</si>
  <si>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</si>
  <si>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</si>
  <si>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</si>
  <si>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</si>
  <si>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</si>
  <si>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</si>
  <si>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</si>
  <si>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</si>
  <si>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</si>
  <si>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</si>
  <si>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</si>
  <si>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</si>
  <si>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</si>
  <si>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</si>
  <si>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</si>
  <si>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</si>
  <si>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</si>
  <si>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</si>
  <si>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</si>
  <si>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</si>
  <si>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</si>
  <si>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</si>
  <si>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</si>
  <si>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</si>
  <si>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</si>
  <si>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</si>
  <si>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</si>
  <si>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</si>
  <si>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</si>
  <si>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</si>
  <si>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</si>
  <si>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</si>
  <si>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</si>
  <si>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</si>
  <si>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</si>
  <si>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</si>
  <si>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</si>
  <si>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</si>
  <si>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</si>
  <si>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</si>
  <si>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</si>
  <si>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</si>
  <si>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</si>
  <si>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</si>
  <si>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</si>
  <si>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</si>
  <si>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</si>
  <si>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</si>
  <si>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</si>
  <si>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</si>
  <si>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</si>
  <si>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</si>
  <si>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</si>
  <si>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</si>
  <si>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</si>
  <si>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</si>
  <si>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</si>
  <si>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</si>
  <si>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</si>
  <si>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</si>
  <si>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</si>
  <si>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</si>
  <si>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</si>
  <si>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</si>
  <si>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</si>
  <si>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</si>
  <si>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</si>
  <si>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</si>
  <si>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</si>
  <si>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</si>
  <si>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</si>
  <si>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</si>
  <si>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</si>
  <si>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</si>
  <si>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</si>
  <si>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</si>
  <si>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</si>
  <si>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</si>
  <si>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</si>
  <si>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</si>
  <si>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</si>
  <si>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</si>
  <si>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</si>
  <si>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</si>
  <si>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</si>
  <si>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</si>
  <si>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</si>
  <si>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</si>
  <si>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</si>
  <si>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</si>
  <si>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</si>
  <si>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</si>
  <si>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</si>
  <si>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</si>
  <si>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</si>
  <si>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</si>
  <si>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</si>
  <si>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</si>
  <si>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</si>
  <si>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</si>
  <si>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</si>
  <si>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</si>
  <si>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</si>
  <si>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</si>
  <si>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</si>
  <si>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</si>
  <si>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</si>
  <si>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</si>
  <si>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</si>
  <si>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</si>
  <si>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</si>
  <si>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</si>
  <si>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</si>
  <si>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</si>
  <si>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</si>
  <si>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</si>
  <si>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</si>
  <si>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</si>
  <si>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</si>
  <si>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</si>
  <si>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</si>
  <si>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</si>
  <si>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</si>
  <si>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</si>
  <si>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</si>
  <si>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</si>
  <si>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</si>
  <si>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</si>
  <si>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</si>
  <si>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</si>
  <si>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</si>
  <si>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</si>
  <si>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</si>
  <si>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</si>
  <si>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</si>
  <si>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</si>
  <si>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</si>
  <si>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</si>
  <si>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</si>
  <si>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</si>
  <si>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</si>
  <si>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</si>
  <si>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</si>
  <si>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</si>
  <si>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</si>
  <si>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</si>
  <si>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</si>
  <si>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</si>
  <si>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</si>
  <si>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</si>
  <si>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</si>
  <si>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</si>
  <si>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</si>
  <si>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</si>
  <si>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</si>
  <si>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</si>
  <si>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</si>
  <si>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</si>
  <si>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</si>
  <si>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</si>
  <si>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</si>
  <si>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</si>
  <si>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</si>
  <si>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</si>
  <si>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</si>
  <si>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</si>
  <si>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</si>
  <si>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</si>
  <si>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</si>
  <si>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</si>
  <si>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</si>
  <si>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</si>
  <si>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</si>
  <si>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</si>
  <si>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</si>
  <si>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</si>
  <si>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</si>
  <si>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</si>
  <si>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</si>
  <si>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</si>
  <si>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</si>
  <si>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</si>
  <si>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</si>
  <si>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</si>
  <si>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</si>
  <si>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</si>
  <si>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</si>
  <si>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</si>
  <si>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</si>
  <si>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</si>
  <si>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</si>
  <si>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</si>
  <si>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</si>
  <si>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</si>
  <si>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</si>
  <si>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</si>
  <si>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</si>
  <si>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</si>
  <si>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</si>
  <si>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</si>
  <si>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</si>
  <si>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</si>
  <si>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</si>
  <si>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</si>
  <si>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</si>
  <si>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</si>
  <si>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</si>
  <si>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</si>
  <si>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</si>
  <si>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</si>
  <si>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</si>
  <si>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</si>
  <si>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</si>
  <si>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</si>
  <si>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</si>
  <si>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</si>
  <si>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</si>
  <si>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</si>
  <si>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</si>
  <si>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</si>
  <si>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</si>
  <si>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</si>
  <si>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</si>
  <si>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</si>
  <si>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</si>
  <si>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</si>
  <si>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</si>
  <si>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</si>
  <si>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</si>
  <si>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</si>
  <si>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</si>
  <si>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</si>
  <si>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</si>
  <si>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</si>
  <si>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</si>
  <si>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</si>
  <si>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</si>
  <si>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</si>
  <si>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</si>
  <si>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</si>
  <si>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</si>
  <si>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</si>
  <si>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</si>
  <si>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</si>
  <si>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</si>
  <si>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</si>
  <si>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</si>
  <si>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</si>
  <si>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</si>
  <si>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</si>
  <si>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</si>
  <si>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</si>
  <si>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</si>
  <si>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</si>
  <si>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</si>
  <si>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</si>
  <si>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</si>
  <si>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</si>
  <si>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</si>
  <si>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</si>
  <si>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</si>
  <si>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</si>
  <si>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</si>
  <si>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</si>
  <si>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</si>
  <si>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</si>
  <si>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</si>
  <si>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</si>
  <si>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</si>
  <si>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</si>
  <si>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</si>
  <si>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</si>
  <si>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</si>
  <si>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</si>
  <si>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</si>
  <si>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</si>
  <si>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</si>
  <si>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</si>
  <si>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</si>
  <si>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</si>
  <si>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</si>
  <si>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</si>
  <si>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</si>
  <si>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</si>
  <si>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</si>
  <si>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</si>
  <si>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</si>
  <si>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</si>
  <si>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</si>
  <si>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</si>
  <si>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</si>
  <si>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</si>
  <si>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</si>
  <si>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</si>
  <si>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</si>
  <si>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</si>
  <si>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</si>
  <si>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</si>
  <si>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</si>
  <si>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</si>
  <si>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</si>
  <si>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</si>
  <si>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</si>
  <si>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</si>
  <si>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</si>
  <si>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</si>
  <si>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</si>
  <si>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</si>
  <si>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</si>
  <si>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</si>
  <si>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</si>
  <si>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</si>
  <si>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</si>
  <si>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</si>
  <si>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</si>
  <si>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</si>
  <si>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</si>
  <si>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</si>
  <si>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</si>
  <si>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</si>
  <si>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</si>
  <si>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</si>
  <si>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</si>
  <si>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</si>
  <si>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</si>
  <si>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</si>
  <si>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</si>
  <si>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</si>
  <si>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</si>
  <si>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</si>
  <si>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</si>
  <si>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</si>
  <si>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</si>
  <si>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</si>
  <si>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</si>
  <si>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</si>
  <si>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</si>
  <si>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</si>
  <si>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</si>
  <si>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</si>
  <si>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</si>
  <si>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</si>
  <si>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</si>
  <si>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</si>
  <si>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</si>
  <si>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</si>
  <si>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</si>
  <si>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</si>
  <si>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</si>
  <si>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</si>
  <si>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</si>
  <si>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</si>
  <si>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</si>
  <si>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</si>
  <si>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</si>
  <si>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</si>
  <si>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</si>
  <si>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</si>
  <si>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</si>
  <si>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</si>
  <si>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</si>
  <si>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</si>
  <si>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</si>
  <si>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</si>
  <si>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</si>
  <si>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</si>
  <si>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</si>
  <si>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</si>
  <si>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</si>
  <si>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</si>
  <si>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</si>
  <si>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</si>
  <si>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</si>
  <si>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</si>
  <si>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</si>
  <si>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</si>
  <si>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</si>
  <si>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</si>
  <si>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</si>
  <si>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</si>
  <si>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</si>
  <si>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</si>
  <si>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</si>
  <si>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</si>
  <si>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</si>
  <si>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</si>
  <si>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</si>
  <si>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</si>
  <si>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</si>
  <si>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</si>
  <si>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</si>
  <si>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</si>
  <si>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</si>
  <si>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</si>
  <si>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</si>
  <si>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</si>
  <si>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</si>
  <si>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</si>
  <si>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</si>
  <si>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</si>
  <si>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</si>
  <si>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</si>
  <si>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</si>
  <si>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</si>
  <si>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</si>
  <si>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</si>
  <si>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</si>
  <si>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</si>
  <si>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</si>
  <si>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</si>
  <si>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</si>
  <si>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</si>
  <si>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</si>
  <si>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</si>
  <si>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</si>
  <si>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</si>
  <si>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</si>
  <si>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</si>
  <si>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</si>
  <si>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</si>
  <si>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</si>
  <si>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</si>
  <si>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</si>
  <si>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</si>
  <si>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</si>
  <si>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</si>
  <si>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</si>
  <si>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</si>
  <si>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</si>
  <si>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</si>
  <si>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</si>
  <si>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</si>
  <si>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</si>
  <si>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</si>
  <si>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</si>
  <si>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</si>
  <si>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</si>
  <si>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</si>
  <si>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</si>
  <si>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</si>
  <si>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</si>
  <si>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</si>
  <si>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</si>
  <si>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</si>
  <si>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</si>
  <si>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</si>
  <si>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</si>
  <si>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</si>
  <si>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</si>
  <si>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</si>
  <si>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</si>
  <si>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</si>
  <si>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</si>
  <si>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</si>
  <si>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</si>
  <si>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</si>
  <si>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</si>
  <si>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</si>
  <si>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</si>
  <si>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</si>
  <si>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</si>
  <si>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</si>
  <si>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</si>
  <si>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</si>
  <si>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</si>
  <si>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</si>
  <si>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</si>
  <si>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</si>
  <si>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</si>
  <si>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</si>
  <si>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</si>
  <si>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</si>
  <si>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</si>
  <si>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</si>
  <si>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</si>
  <si>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</si>
  <si>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</si>
  <si>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</si>
  <si>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</si>
  <si>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</si>
  <si>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</si>
  <si>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</si>
  <si>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</si>
  <si>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</si>
  <si>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</si>
  <si>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</si>
  <si>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</si>
  <si>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</si>
  <si>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</si>
  <si>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</si>
  <si>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</si>
  <si>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</si>
  <si>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</si>
  <si>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</si>
  <si>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</si>
  <si>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</si>
  <si>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</si>
  <si>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</si>
  <si>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</si>
  <si>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</si>
  <si>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</si>
  <si>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</si>
  <si>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</si>
  <si>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</si>
  <si>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</si>
  <si>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</si>
  <si>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</si>
  <si>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</si>
  <si>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</si>
  <si>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</si>
  <si>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</si>
  <si>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</si>
  <si>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</si>
  <si>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</si>
  <si>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</si>
  <si>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</si>
  <si>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</si>
  <si>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</si>
  <si>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</si>
  <si>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</si>
  <si>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</si>
  <si>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</si>
  <si>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</si>
  <si>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</si>
  <si>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</si>
  <si>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</si>
  <si>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</si>
  <si>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</si>
  <si>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</si>
  <si>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</si>
  <si>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</si>
  <si>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</si>
  <si>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</si>
  <si>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</si>
  <si>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</si>
  <si>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</si>
  <si>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</si>
  <si>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</si>
  <si>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</si>
  <si>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</si>
  <si>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</si>
  <si>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</si>
  <si>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</si>
  <si>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</si>
  <si>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</si>
  <si>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</si>
  <si>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</si>
  <si>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</si>
  <si>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</si>
  <si>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</si>
  <si>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</si>
  <si>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</si>
  <si>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</si>
  <si>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</si>
  <si>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</si>
  <si>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</si>
  <si>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</si>
  <si>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</si>
  <si>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</si>
  <si>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</si>
  <si>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</si>
  <si>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</si>
  <si>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</si>
  <si>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</si>
  <si>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</si>
  <si>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</si>
  <si>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</si>
  <si>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</si>
  <si>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</si>
  <si>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</si>
  <si>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</si>
  <si>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</si>
  <si>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</si>
  <si>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</si>
  <si>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</si>
  <si>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</si>
  <si>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</si>
  <si>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</si>
  <si>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</si>
  <si>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</si>
  <si>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</si>
  <si>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</si>
  <si>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</si>
  <si>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</si>
  <si>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</si>
  <si>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</si>
  <si>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</si>
  <si>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</si>
  <si>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</si>
  <si>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</si>
  <si>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</si>
  <si>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</si>
  <si>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</si>
  <si>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</si>
  <si>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</si>
  <si>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</si>
  <si>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</si>
  <si>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</si>
  <si>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</si>
  <si>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</si>
  <si>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</si>
  <si>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</si>
  <si>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</si>
  <si>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</si>
  <si>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</si>
  <si>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</si>
  <si>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</si>
  <si>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</si>
  <si>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</si>
  <si>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</si>
  <si>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</si>
  <si>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</si>
  <si>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</si>
  <si>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</si>
  <si>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</si>
  <si>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</si>
  <si>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</si>
  <si>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</si>
  <si>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</si>
  <si>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</si>
  <si>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</si>
  <si>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</si>
  <si>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</si>
  <si>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</si>
  <si>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</si>
  <si>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</si>
  <si>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</si>
  <si>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</si>
  <si>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</si>
  <si>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</si>
  <si>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</si>
  <si>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</si>
  <si>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</si>
  <si>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</si>
  <si>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</si>
  <si>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</si>
  <si>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</si>
  <si>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</si>
  <si>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</si>
  <si>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</si>
  <si>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</si>
  <si>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</si>
  <si>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</si>
  <si>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</si>
  <si>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</si>
  <si>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</si>
  <si>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</si>
  <si>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</si>
  <si>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</si>
  <si>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</si>
  <si>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</si>
  <si>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</si>
  <si>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</si>
  <si>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</si>
  <si>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</si>
  <si>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</si>
  <si>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</si>
  <si>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</si>
  <si>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</si>
  <si>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</si>
  <si>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</si>
  <si>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</si>
  <si>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</si>
  <si>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</si>
  <si>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</si>
  <si>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</si>
  <si>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</si>
  <si>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</si>
  <si>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</si>
  <si>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</si>
  <si>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</si>
  <si>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</si>
  <si>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</si>
  <si>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</si>
  <si>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</si>
  <si>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</si>
  <si>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</si>
  <si>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</si>
  <si>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</si>
  <si>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</si>
  <si>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</si>
  <si>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</si>
  <si>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</si>
  <si>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</si>
  <si>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</si>
  <si>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</si>
  <si>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</si>
  <si>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</si>
  <si>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</si>
  <si>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</si>
  <si>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</si>
  <si>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</si>
  <si>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</si>
  <si>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</si>
  <si>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</si>
  <si>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</si>
  <si>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</si>
  <si>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</si>
  <si>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</si>
  <si>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</si>
  <si>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</si>
  <si>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</si>
  <si>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</si>
  <si>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</si>
  <si>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</si>
  <si>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</si>
  <si>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</si>
  <si>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</si>
  <si>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</si>
  <si>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</si>
  <si>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</si>
  <si>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</si>
  <si>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</si>
  <si>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</si>
  <si>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</si>
  <si>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</si>
  <si>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</si>
  <si>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</si>
  <si>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</si>
  <si>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</si>
  <si>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</si>
  <si>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</si>
  <si>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</si>
  <si>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</si>
  <si>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</si>
  <si>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</si>
  <si>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</si>
  <si>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</si>
  <si>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</si>
  <si>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</si>
  <si>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</si>
  <si>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</si>
  <si>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</si>
  <si>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</si>
  <si>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</si>
  <si>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</si>
  <si>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</si>
  <si>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</si>
  <si>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</si>
  <si>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</si>
  <si>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</si>
  <si>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</si>
  <si>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</si>
  <si>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</si>
  <si>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</si>
  <si>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</si>
  <si>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</si>
  <si>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</si>
  <si>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</si>
  <si>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</si>
  <si>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</si>
  <si>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</si>
  <si>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</si>
  <si>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</si>
  <si>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</si>
  <si>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</si>
  <si>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</si>
  <si>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</si>
  <si>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</si>
  <si>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</si>
  <si>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</si>
  <si>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</si>
  <si>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</si>
  <si>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</si>
  <si>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</si>
  <si>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</si>
  <si>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</si>
  <si>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</si>
  <si>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</si>
  <si>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</si>
  <si>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</si>
  <si>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</si>
  <si>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</si>
  <si>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</si>
  <si>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</si>
  <si>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</si>
  <si>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</si>
  <si>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</si>
  <si>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</si>
  <si>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</si>
  <si>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</si>
  <si>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</si>
  <si>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</si>
  <si>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</si>
  <si>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</si>
  <si>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</si>
  <si>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</si>
  <si>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</si>
  <si>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</si>
  <si>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</si>
  <si>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</si>
  <si>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</si>
  <si>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</si>
  <si>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</si>
  <si>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</si>
  <si>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</si>
  <si>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</si>
  <si>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</si>
  <si>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</si>
  <si>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</si>
  <si>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</si>
  <si>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</si>
  <si>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</si>
  <si>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</si>
  <si>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</si>
  <si>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</si>
  <si>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</si>
  <si>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</si>
  <si>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</si>
  <si>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</si>
  <si>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</si>
  <si>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</si>
  <si>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</si>
  <si>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</si>
  <si>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</si>
  <si>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</si>
  <si>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</si>
  <si>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</si>
  <si>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</si>
  <si>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</si>
  <si>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</si>
  <si>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</si>
  <si>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</si>
  <si>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</si>
  <si>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</si>
  <si>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</si>
  <si>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</si>
  <si>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</si>
  <si>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</si>
  <si>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</si>
  <si>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</si>
  <si>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</si>
  <si>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</si>
  <si>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</si>
  <si>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</si>
  <si>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</si>
  <si>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</si>
  <si>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</si>
  <si>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</si>
  <si>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</si>
  <si>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</si>
  <si>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</si>
  <si>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</si>
  <si>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</si>
  <si>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</si>
  <si>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</si>
  <si>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</si>
  <si>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</si>
  <si>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</si>
  <si>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</si>
  <si>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</si>
  <si>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</si>
  <si>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</si>
  <si>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</si>
  <si>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</si>
  <si>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</si>
  <si>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</si>
  <si>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</si>
  <si>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</si>
  <si>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</si>
  <si>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</si>
  <si>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</si>
  <si>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</si>
  <si>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</si>
  <si>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</si>
  <si>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</si>
  <si>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</si>
  <si>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</si>
  <si>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</si>
  <si>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</si>
  <si>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</si>
  <si>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</si>
  <si>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</si>
  <si>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</si>
  <si>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</si>
  <si>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</si>
  <si>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</si>
  <si>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</si>
  <si>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</si>
  <si>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</si>
  <si>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</si>
  <si>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</si>
  <si>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</si>
  <si>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</si>
  <si>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</si>
  <si>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</si>
  <si>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</si>
  <si>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</si>
  <si>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</si>
  <si>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</si>
  <si>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</si>
  <si>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</si>
  <si>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</si>
  <si>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</si>
  <si>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</si>
  <si>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</si>
  <si>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</si>
  <si>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</si>
  <si>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</si>
  <si>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</si>
  <si>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</si>
  <si>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</si>
  <si>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</si>
  <si>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</si>
  <si>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</si>
  <si>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</si>
  <si>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</si>
  <si>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</si>
  <si>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</si>
  <si>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</si>
  <si>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</si>
  <si>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</si>
  <si>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</si>
  <si>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</si>
  <si>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</si>
  <si>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</si>
  <si>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</si>
  <si>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</si>
  <si>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</si>
  <si>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</si>
  <si>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</si>
  <si>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</si>
  <si>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</si>
  <si>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</si>
  <si>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</si>
  <si>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</si>
  <si>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</si>
  <si>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</si>
  <si>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</si>
  <si>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</si>
  <si>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</si>
  <si>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</si>
  <si>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</si>
  <si>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</si>
  <si>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</si>
  <si>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</si>
  <si>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</si>
  <si>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</si>
  <si>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</si>
  <si>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</si>
  <si>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</si>
  <si>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</si>
  <si>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</si>
  <si>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</si>
  <si>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</si>
  <si>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</si>
  <si>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</si>
  <si>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</si>
  <si>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</si>
  <si>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</si>
  <si>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</si>
  <si>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</si>
  <si>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</si>
  <si>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</si>
  <si>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</si>
  <si>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</si>
  <si>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</si>
  <si>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</si>
  <si>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</si>
  <si>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</si>
  <si>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</si>
  <si>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</si>
  <si>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</si>
  <si>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</si>
  <si>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</si>
  <si>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</si>
  <si>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</si>
  <si>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</si>
  <si>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</si>
  <si>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</si>
  <si>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</si>
  <si>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</si>
  <si>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</si>
  <si>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</si>
  <si>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</si>
  <si>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</si>
  <si>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</si>
  <si>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</si>
  <si>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</si>
  <si>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</si>
  <si>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</si>
  <si>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</si>
  <si>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</si>
  <si>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</si>
  <si>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</si>
  <si>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</si>
  <si>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</si>
  <si>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</si>
  <si>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</si>
  <si>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</si>
  <si>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</si>
  <si>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</si>
  <si>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</si>
  <si>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</si>
  <si>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</si>
  <si>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</si>
  <si>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</si>
  <si>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</si>
  <si>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</si>
  <si>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</si>
  <si>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</si>
  <si>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</si>
  <si>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</si>
  <si>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</si>
  <si>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</si>
  <si>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</si>
  <si>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</si>
  <si>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</si>
  <si>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</si>
  <si>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</si>
  <si>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</si>
  <si>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</si>
  <si>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</si>
  <si>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</si>
  <si>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</si>
  <si>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</si>
  <si>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</si>
  <si>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</si>
  <si>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</si>
  <si>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</si>
  <si>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</si>
  <si>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</si>
  <si>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</si>
  <si>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</si>
  <si>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</si>
  <si>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</si>
  <si>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</si>
  <si>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</si>
  <si>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</si>
  <si>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</si>
  <si>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</si>
  <si>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</si>
  <si>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</si>
  <si>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</si>
  <si>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</si>
  <si>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</si>
  <si>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</si>
  <si>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</si>
  <si>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</si>
  <si>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</si>
  <si>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</si>
  <si>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</si>
  <si>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</si>
  <si>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</si>
  <si>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</si>
  <si>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</si>
  <si>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</si>
  <si>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</si>
  <si>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</si>
  <si>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</si>
  <si>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</si>
  <si>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</si>
  <si>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</si>
  <si>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</si>
  <si>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</si>
  <si>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</si>
  <si>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</si>
  <si>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</si>
  <si>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</si>
  <si>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</si>
  <si>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</si>
  <si>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</si>
  <si>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</si>
  <si>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</si>
  <si>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</si>
  <si>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</si>
  <si>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</si>
  <si>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</si>
  <si>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</si>
  <si>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</si>
  <si>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</si>
  <si>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</si>
  <si>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</si>
  <si>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</si>
  <si>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</si>
  <si>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</si>
  <si>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</si>
  <si>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</si>
  <si>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</si>
  <si>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</si>
  <si>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</si>
  <si>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</si>
  <si>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</si>
  <si>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</si>
  <si>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</si>
  <si>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</si>
  <si>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</si>
  <si>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</si>
  <si>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</si>
  <si>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</si>
  <si>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</si>
  <si>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</si>
  <si>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</si>
  <si>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</si>
  <si>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</si>
  <si>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</si>
  <si>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</si>
  <si>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</si>
  <si>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</si>
  <si>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</si>
  <si>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</si>
  <si>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</si>
  <si>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</si>
  <si>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</si>
  <si>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</si>
  <si>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</si>
  <si>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</si>
  <si>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</si>
  <si>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</si>
  <si>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</si>
  <si>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</si>
  <si>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</si>
  <si>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</si>
  <si>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</si>
  <si>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</si>
  <si>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</si>
  <si>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</si>
  <si>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</si>
  <si>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</si>
  <si>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</si>
  <si>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</si>
  <si>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</si>
  <si>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</si>
  <si>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</si>
  <si>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</si>
  <si>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</si>
  <si>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</si>
  <si>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</si>
  <si>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</si>
  <si>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</si>
  <si>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</si>
  <si>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</si>
  <si>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</si>
  <si>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</si>
  <si>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</si>
  <si>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</si>
  <si>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</si>
  <si>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</si>
  <si>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</si>
  <si>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</si>
  <si>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</si>
  <si>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</si>
  <si>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</si>
  <si>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</si>
  <si>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</si>
  <si>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</si>
  <si>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</si>
  <si>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</si>
  <si>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</si>
  <si>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</si>
  <si>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</si>
  <si>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</si>
  <si>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</si>
  <si>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</si>
  <si>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</si>
  <si>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</si>
  <si>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</si>
  <si>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</si>
  <si>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</si>
  <si>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</si>
  <si>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</si>
  <si>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</si>
  <si>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</si>
  <si>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</si>
  <si>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</si>
  <si>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</si>
  <si>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</si>
  <si>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</si>
  <si>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</si>
  <si>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</si>
  <si>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</si>
  <si>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</si>
  <si>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</si>
  <si>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</si>
  <si>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</si>
  <si>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</si>
  <si>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</si>
  <si>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</si>
  <si>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</si>
  <si>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</si>
  <si>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</si>
  <si>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</si>
  <si>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</si>
  <si>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</si>
  <si>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</si>
  <si>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</si>
  <si>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</si>
  <si>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</si>
  <si>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</si>
  <si>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</si>
  <si>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</si>
  <si>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</si>
  <si>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</si>
  <si>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</si>
  <si>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</si>
  <si>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</si>
  <si>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</si>
  <si>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</si>
  <si>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</si>
  <si>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</si>
  <si>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</si>
  <si>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</si>
  <si>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</si>
  <si>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</si>
  <si>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</si>
  <si>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</si>
  <si>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</si>
  <si>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</si>
  <si>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</si>
  <si>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</si>
  <si>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</si>
  <si>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</si>
  <si>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</si>
  <si>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</si>
  <si>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</si>
  <si>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</si>
  <si>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</si>
  <si>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</si>
  <si>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</si>
  <si>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</si>
  <si>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</si>
  <si>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</si>
  <si>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</si>
  <si>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</si>
  <si>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</si>
  <si>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</si>
  <si>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</si>
  <si>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</si>
  <si>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</si>
  <si>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</si>
  <si>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</si>
  <si>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</si>
  <si>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</si>
  <si>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</si>
  <si>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</si>
  <si>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</si>
  <si>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</si>
  <si>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</si>
  <si>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</si>
  <si>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</si>
  <si>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</si>
  <si>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</si>
  <si>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</si>
  <si>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</si>
  <si>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</si>
  <si>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</si>
  <si>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</si>
  <si>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</si>
  <si>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</si>
  <si>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</si>
  <si>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</si>
  <si>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</si>
  <si>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</si>
  <si>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</si>
  <si>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</si>
  <si>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</si>
  <si>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</si>
  <si>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</si>
  <si>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</si>
  <si>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</si>
  <si>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</si>
  <si>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</si>
  <si>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</si>
  <si>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</si>
  <si>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</si>
  <si>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</si>
  <si>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</si>
  <si>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</si>
  <si>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</si>
  <si>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</si>
  <si>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</si>
  <si>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</si>
  <si>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</si>
  <si>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</si>
  <si>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</si>
  <si>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</si>
  <si>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</si>
  <si>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</si>
  <si>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</si>
  <si>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</si>
  <si>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</si>
  <si>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</si>
  <si>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</si>
  <si>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</si>
  <si>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</si>
  <si>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</si>
  <si>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</si>
  <si>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</si>
  <si>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</si>
  <si>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</si>
  <si>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</si>
  <si>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</si>
  <si>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</si>
  <si>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</si>
  <si>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</si>
  <si>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</si>
  <si>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</si>
  <si>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</si>
  <si>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</si>
  <si>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</si>
  <si>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</si>
  <si>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</si>
  <si>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</si>
  <si>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</si>
  <si>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</si>
  <si>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</si>
  <si>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</si>
  <si>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</si>
  <si>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</si>
  <si>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</si>
  <si>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</si>
  <si>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</si>
  <si>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</si>
  <si>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</si>
  <si>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</si>
  <si>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</si>
  <si>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</si>
  <si>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</si>
  <si>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</si>
  <si>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</si>
  <si>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</si>
  <si>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</si>
  <si>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</si>
  <si>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</si>
  <si>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</si>
  <si>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</si>
  <si>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</si>
  <si>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</si>
  <si>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</si>
  <si>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</si>
  <si>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</si>
  <si>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</si>
  <si>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</si>
  <si>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</si>
  <si>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</si>
  <si>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</si>
  <si>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</si>
  <si>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</si>
  <si>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</si>
  <si>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</si>
  <si>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</si>
  <si>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</si>
  <si>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</si>
  <si>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</si>
  <si>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</si>
  <si>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</si>
  <si>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</si>
  <si>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</si>
  <si>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</si>
  <si>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</si>
  <si>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</si>
  <si>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</si>
  <si>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</si>
  <si>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</si>
  <si>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</si>
  <si>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</si>
  <si>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</si>
  <si>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</si>
  <si>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</si>
  <si>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</si>
  <si>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</si>
  <si>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</si>
  <si>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</si>
  <si>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</si>
  <si>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</si>
  <si>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</si>
  <si>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</si>
  <si>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</si>
  <si>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</si>
  <si>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</si>
  <si>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</si>
  <si>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</si>
  <si>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</si>
  <si>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</si>
  <si>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</si>
  <si>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</si>
  <si>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</si>
  <si>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</si>
  <si>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</si>
  <si>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</si>
  <si>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</si>
  <si>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</si>
  <si>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</si>
  <si>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</si>
  <si>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</si>
  <si>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</si>
  <si>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</si>
  <si>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</si>
  <si>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</si>
  <si>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</si>
  <si>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</si>
  <si>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</si>
  <si>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</si>
  <si>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</si>
  <si>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</si>
  <si>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</si>
  <si>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</si>
  <si>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</si>
  <si>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</si>
  <si>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</si>
  <si>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</si>
  <si>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</si>
  <si>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</si>
  <si>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</si>
  <si>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</si>
  <si>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</si>
  <si>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</si>
  <si>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</si>
  <si>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</si>
  <si>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</si>
  <si>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</si>
  <si>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</si>
  <si>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</si>
  <si>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</si>
  <si>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</si>
  <si>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</si>
  <si>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</si>
  <si>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</si>
  <si>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</si>
  <si>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</si>
  <si>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</si>
  <si>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</si>
  <si>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</si>
  <si>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</si>
  <si>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</si>
  <si>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</si>
  <si>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</si>
  <si>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</si>
  <si>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</si>
  <si>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</si>
  <si>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</si>
  <si>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</si>
  <si>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</si>
  <si>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</si>
  <si>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</si>
  <si>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</si>
  <si>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</si>
  <si>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</si>
  <si>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</si>
  <si>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</si>
  <si>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</si>
  <si>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</si>
  <si>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</si>
  <si>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</si>
  <si>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</si>
  <si>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</si>
  <si>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</si>
  <si>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</si>
  <si>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</si>
  <si>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</si>
  <si>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</si>
  <si>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</si>
  <si>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</si>
  <si>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</si>
  <si>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</si>
  <si>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</si>
  <si>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</si>
  <si>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</si>
  <si>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</si>
  <si>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</si>
  <si>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</si>
  <si>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</si>
  <si>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</si>
  <si>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</si>
  <si>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</si>
  <si>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</si>
  <si>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</si>
  <si>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</si>
  <si>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</si>
  <si>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</si>
  <si>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</si>
  <si>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</si>
  <si>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</si>
  <si>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</si>
  <si>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</si>
  <si>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</si>
  <si>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</si>
  <si>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</si>
  <si>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</si>
  <si>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</si>
  <si>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</si>
  <si>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</si>
  <si>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</si>
  <si>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</si>
  <si>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</si>
  <si>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</si>
  <si>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</si>
  <si>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</si>
  <si>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</si>
  <si>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</si>
  <si>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</si>
  <si>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</si>
  <si>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</si>
  <si>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</si>
  <si>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</si>
  <si>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</si>
  <si>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</si>
  <si>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</si>
  <si>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</si>
  <si>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</si>
  <si>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</si>
  <si>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</si>
  <si>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</si>
  <si>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</si>
  <si>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</si>
  <si>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</si>
  <si>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</si>
  <si>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</si>
  <si>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</si>
  <si>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</si>
  <si>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</si>
  <si>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</si>
  <si>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</si>
  <si>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</si>
  <si>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</si>
  <si>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</si>
  <si>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</si>
  <si>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</si>
  <si>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</si>
  <si>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</si>
  <si>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</si>
  <si>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</si>
  <si>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</si>
  <si>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</si>
  <si>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</si>
  <si>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</si>
  <si>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</si>
  <si>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</si>
  <si>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</si>
  <si>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</si>
  <si>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</si>
  <si>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</si>
  <si>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</si>
  <si>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</si>
  <si>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</si>
  <si>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</si>
  <si>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</si>
  <si>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</si>
  <si>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</si>
  <si>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</si>
  <si>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</si>
  <si>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</si>
  <si>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</si>
  <si>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</si>
  <si>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</si>
  <si>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</si>
  <si>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</si>
  <si>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</si>
  <si>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</si>
  <si>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</si>
  <si>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</si>
  <si>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</si>
  <si>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</si>
  <si>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</si>
  <si>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</si>
  <si>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</si>
  <si>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</si>
  <si>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</si>
  <si>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</si>
  <si>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</si>
  <si>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</si>
  <si>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</si>
  <si>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</si>
  <si>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</si>
  <si>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</si>
  <si>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</si>
  <si>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</si>
  <si>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</si>
  <si>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</si>
  <si>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</si>
  <si>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</si>
  <si>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</si>
  <si>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</si>
  <si>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</si>
  <si>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</si>
  <si>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</si>
  <si>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</si>
  <si>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</si>
  <si>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</si>
  <si>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</si>
  <si>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</si>
  <si>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</si>
  <si>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</si>
  <si>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</si>
  <si>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</si>
  <si>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</si>
  <si>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</si>
  <si>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</si>
  <si>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</si>
  <si>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</si>
  <si>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</si>
  <si>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</si>
  <si>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</si>
  <si>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</si>
  <si>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</si>
  <si>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</si>
  <si>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</si>
  <si>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</si>
  <si>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</si>
  <si>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</si>
  <si>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</si>
  <si>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</si>
  <si>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</si>
  <si>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</si>
  <si>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</si>
  <si>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</si>
  <si>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</si>
  <si>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</si>
  <si>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</si>
  <si>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</si>
  <si>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</si>
  <si>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</si>
  <si>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</si>
  <si>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</si>
  <si>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</si>
  <si>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</si>
  <si>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</si>
  <si>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</si>
  <si>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</si>
  <si>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</si>
  <si>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</si>
  <si>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</si>
  <si>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</si>
  <si>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</si>
  <si>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</si>
  <si>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</si>
  <si>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</si>
  <si>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</si>
  <si>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</si>
  <si>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</si>
  <si>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</si>
  <si>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</si>
  <si>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</si>
  <si>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</si>
  <si>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</si>
  <si>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</si>
  <si>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</si>
  <si>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</si>
  <si>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</si>
  <si>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</si>
  <si>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</si>
  <si>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</si>
  <si>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</si>
  <si>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</si>
  <si>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</si>
  <si>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</si>
  <si>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</si>
  <si>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</si>
  <si>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</si>
  <si>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</si>
  <si>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</si>
  <si>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</si>
  <si>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</si>
  <si>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</si>
  <si>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</si>
  <si>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</si>
  <si>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</si>
  <si>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</si>
  <si>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</si>
  <si>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</si>
  <si>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</si>
  <si>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</si>
  <si>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</si>
  <si>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</si>
  <si>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</si>
  <si>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</si>
  <si>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</si>
  <si>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</si>
  <si>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</si>
  <si>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</si>
  <si>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</si>
  <si>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</si>
  <si>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</si>
  <si>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</si>
  <si>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</si>
  <si>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</si>
  <si>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</si>
  <si>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</si>
  <si>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</si>
  <si>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</si>
  <si>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</si>
  <si>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</si>
  <si>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</si>
  <si>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</si>
  <si>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</si>
  <si>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</si>
  <si>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</si>
  <si>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</si>
  <si>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</si>
  <si>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</si>
  <si>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</si>
  <si>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</si>
  <si>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</si>
  <si>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</si>
  <si>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</si>
  <si>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</si>
  <si>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</si>
  <si>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</si>
  <si>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</si>
  <si>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</si>
  <si>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</si>
  <si>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</si>
  <si>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</si>
  <si>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</si>
  <si>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</si>
  <si>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</si>
  <si>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</si>
  <si>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</si>
  <si>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</si>
  <si>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</si>
  <si>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</si>
  <si>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</si>
  <si>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</si>
  <si>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</si>
  <si>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</si>
  <si>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</si>
  <si>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</si>
  <si>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</si>
  <si>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</si>
  <si>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</si>
  <si>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</si>
  <si>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</si>
  <si>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</si>
  <si>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</si>
  <si>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</si>
  <si>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</si>
  <si>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</si>
  <si>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</si>
  <si>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</si>
  <si>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</si>
  <si>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</si>
  <si>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</si>
  <si>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</si>
  <si>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</si>
  <si>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</si>
  <si>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</si>
  <si>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</si>
  <si>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</si>
  <si>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</si>
  <si>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</si>
  <si>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</si>
  <si>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</si>
  <si>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</si>
  <si>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</si>
  <si>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</si>
  <si>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</si>
  <si>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</si>
  <si>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</si>
  <si>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</si>
  <si>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</si>
  <si>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</si>
  <si>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</si>
  <si>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</si>
  <si>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</si>
  <si>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</si>
  <si>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</si>
  <si>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</si>
  <si>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</si>
  <si>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</si>
  <si>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</si>
  <si>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</si>
  <si>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</si>
  <si>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</si>
  <si>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</si>
  <si>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</si>
  <si>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</si>
  <si>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</si>
  <si>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</si>
  <si>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</si>
  <si>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</si>
  <si>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</si>
  <si>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</si>
  <si>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</si>
  <si>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</si>
  <si>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</si>
  <si>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</si>
  <si>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</si>
  <si>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</si>
  <si>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</si>
  <si>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</si>
  <si>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</si>
  <si>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</si>
  <si>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</si>
  <si>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</si>
  <si>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</si>
  <si>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</si>
  <si>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</si>
  <si>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</si>
  <si>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</si>
  <si>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</si>
  <si>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</si>
  <si>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</si>
  <si>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</si>
  <si>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</si>
  <si>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</si>
  <si>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</si>
  <si>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</si>
  <si>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</si>
  <si>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</si>
  <si>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</si>
  <si>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</si>
  <si>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</si>
  <si>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</si>
  <si>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</si>
  <si>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</si>
  <si>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</si>
  <si>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</si>
  <si>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</si>
  <si>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</si>
  <si>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</si>
  <si>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</si>
  <si>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</si>
  <si>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</si>
  <si>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</si>
  <si>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</si>
  <si>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</si>
  <si>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</si>
  <si>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</si>
  <si>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</si>
  <si>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</si>
  <si>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</si>
  <si>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</si>
  <si>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</si>
  <si>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</si>
  <si>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</si>
  <si>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</si>
  <si>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</si>
  <si>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</si>
  <si>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</si>
  <si>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</si>
  <si>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</si>
  <si>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</si>
  <si>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</si>
  <si>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</si>
  <si>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</si>
  <si>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</si>
  <si>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</si>
  <si>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</si>
  <si>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</si>
  <si>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</si>
  <si>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</si>
  <si>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</si>
  <si>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</si>
  <si>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</si>
  <si>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</si>
  <si>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</si>
  <si>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</si>
  <si>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</si>
  <si>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</si>
  <si>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</si>
  <si>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</si>
  <si>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</si>
  <si>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</si>
  <si>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</si>
  <si>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</si>
  <si>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</si>
  <si>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</si>
  <si>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</si>
  <si>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</si>
  <si>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</si>
  <si>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</si>
  <si>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</si>
  <si>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</si>
  <si>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</si>
  <si>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</si>
  <si>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</si>
  <si>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</si>
  <si>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</si>
  <si>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</si>
  <si>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</si>
  <si>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</si>
  <si>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</si>
  <si>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</si>
  <si>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</si>
  <si>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</si>
  <si>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</si>
  <si>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</si>
  <si>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</si>
  <si>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</si>
  <si>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</si>
  <si>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</si>
  <si>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</si>
  <si>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</si>
  <si>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</si>
  <si>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</si>
  <si>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</si>
  <si>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</si>
  <si>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</si>
  <si>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</si>
  <si>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</si>
  <si>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</si>
  <si>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</si>
  <si>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</si>
  <si>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</si>
  <si>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</si>
  <si>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</si>
  <si>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</si>
  <si>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</si>
  <si>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</si>
  <si>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</si>
  <si>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</si>
  <si>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</si>
  <si>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</si>
  <si>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</si>
  <si>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</si>
  <si>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</si>
  <si>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</si>
  <si>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</si>
  <si>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</si>
  <si>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</si>
  <si>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</si>
  <si>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</si>
  <si>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</si>
  <si>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</si>
  <si>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</si>
  <si>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</si>
  <si>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</si>
  <si>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</si>
  <si>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</si>
  <si>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</si>
  <si>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</si>
  <si>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</si>
  <si>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</si>
  <si>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</si>
  <si>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</si>
  <si>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</si>
  <si>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</si>
  <si>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</si>
  <si>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</si>
  <si>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</si>
  <si>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</si>
  <si>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</si>
  <si>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</si>
  <si>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</si>
  <si>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</si>
  <si>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</si>
  <si>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</si>
  <si>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</si>
  <si>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</si>
  <si>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</si>
  <si>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</si>
  <si>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</si>
  <si>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</si>
  <si>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</si>
  <si>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</si>
  <si>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</si>
  <si>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</si>
  <si>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</si>
  <si>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</si>
  <si>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</si>
  <si>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</si>
  <si>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</si>
  <si>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</si>
  <si>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</si>
  <si>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</si>
  <si>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</si>
  <si>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</si>
  <si>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</si>
  <si>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</si>
  <si>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</si>
  <si>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</si>
  <si>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</si>
  <si>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</si>
  <si>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</si>
  <si>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</si>
  <si>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</si>
  <si>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</si>
  <si>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</si>
  <si>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</si>
  <si>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</si>
  <si>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</si>
  <si>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</si>
  <si>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</si>
  <si>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</si>
  <si>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</si>
  <si>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</si>
  <si>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</si>
  <si>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</si>
  <si>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</si>
  <si>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</si>
  <si>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</si>
  <si>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</si>
  <si>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</si>
  <si>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</si>
  <si>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</si>
  <si>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</si>
  <si>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</si>
  <si>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</si>
  <si>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</si>
  <si>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</si>
  <si>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</si>
  <si>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</si>
  <si>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</si>
  <si>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</si>
  <si>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</si>
  <si>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</si>
  <si>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</si>
  <si>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</si>
  <si>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</si>
  <si>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</si>
  <si>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</si>
  <si>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</si>
  <si>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</si>
  <si>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</si>
  <si>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</si>
  <si>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</si>
  <si>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</si>
  <si>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</si>
  <si>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</si>
  <si>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</si>
  <si>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</si>
  <si>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</si>
  <si>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</si>
  <si>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</si>
  <si>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</si>
  <si>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</si>
  <si>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</si>
  <si>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</si>
  <si>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</si>
  <si>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</si>
  <si>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</si>
  <si>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</si>
  <si>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</si>
  <si>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</si>
  <si>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</si>
  <si>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</si>
  <si>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</si>
  <si>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</si>
  <si>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</si>
  <si>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</si>
  <si>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</si>
  <si>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</si>
  <si>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</si>
  <si>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</si>
  <si>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</si>
  <si>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</si>
  <si>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</si>
  <si>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</si>
  <si>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</si>
  <si>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</si>
  <si>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</si>
  <si>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</si>
  <si>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</si>
  <si>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</si>
  <si>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</si>
  <si>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</si>
  <si>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</si>
  <si>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</si>
  <si>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</si>
  <si>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</si>
  <si>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</si>
  <si>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</si>
  <si>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</si>
  <si>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</si>
  <si>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</si>
  <si>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</si>
  <si>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</si>
  <si>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</si>
  <si>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</si>
  <si>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</si>
  <si>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</si>
  <si>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</si>
  <si>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</si>
  <si>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</si>
  <si>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</si>
  <si>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</si>
  <si>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</si>
  <si>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</si>
  <si>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</si>
  <si>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</si>
  <si>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</si>
  <si>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</si>
  <si>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</si>
  <si>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</si>
  <si>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</si>
  <si>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</si>
  <si>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</si>
  <si>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</si>
  <si>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</si>
  <si>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</si>
  <si>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</si>
  <si>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</si>
  <si>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</si>
  <si>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</si>
  <si>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</si>
  <si>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</si>
  <si>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</si>
  <si>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</si>
  <si>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</si>
  <si>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</si>
  <si>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</si>
  <si>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</si>
  <si>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</si>
  <si>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</si>
  <si>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</si>
  <si>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</si>
  <si>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</si>
  <si>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</si>
  <si>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</si>
  <si>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</si>
  <si>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</si>
  <si>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</si>
  <si>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</si>
  <si>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</si>
  <si>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</si>
  <si>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</si>
  <si>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</si>
  <si>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</si>
  <si>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</si>
  <si>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</si>
  <si>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</si>
  <si>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</si>
  <si>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</si>
  <si>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</si>
  <si>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</si>
  <si>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</si>
  <si>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</si>
  <si>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</si>
  <si>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</si>
  <si>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</si>
  <si>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</si>
  <si>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</si>
  <si>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</si>
  <si>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</si>
  <si>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</si>
  <si>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</si>
  <si>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</si>
  <si>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</si>
  <si>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</si>
  <si>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</si>
  <si>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</si>
  <si>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</si>
  <si>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</si>
  <si>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</si>
  <si>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</si>
  <si>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</si>
  <si>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</si>
  <si>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</si>
  <si>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</si>
  <si>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</si>
  <si>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</si>
  <si>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</si>
  <si>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</si>
  <si>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</si>
  <si>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</si>
  <si>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</si>
  <si>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</si>
  <si>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</si>
  <si>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</si>
  <si>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</si>
  <si>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</si>
  <si>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</si>
  <si>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</si>
  <si>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</si>
  <si>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</si>
  <si>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</si>
  <si>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</si>
  <si>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</si>
  <si>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</si>
  <si>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</si>
  <si>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</si>
  <si>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</si>
  <si>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</si>
  <si>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</si>
  <si>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</si>
  <si>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</si>
  <si>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</si>
  <si>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</si>
  <si>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</si>
  <si>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</si>
  <si>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</si>
  <si>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</si>
  <si>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</si>
  <si>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</si>
  <si>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</si>
  <si>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</si>
  <si>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</si>
  <si>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</si>
  <si>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</si>
  <si>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</si>
  <si>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</si>
  <si>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</si>
  <si>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</si>
  <si>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</si>
  <si>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</si>
  <si>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</si>
  <si>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</si>
  <si>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</si>
  <si>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</si>
  <si>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</si>
  <si>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</si>
  <si>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</si>
  <si>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</si>
  <si>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</si>
  <si>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</si>
  <si>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</si>
  <si>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</si>
  <si>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</si>
  <si>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</si>
  <si>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</si>
  <si>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</si>
  <si>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</si>
  <si>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</si>
  <si>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</si>
  <si>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</si>
  <si>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</si>
  <si>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</si>
  <si>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</si>
  <si>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</si>
  <si>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</si>
  <si>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#N/A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</si>
  <si>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</si>
  <si>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</si>
  <si>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</si>
  <si>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</si>
  <si>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</si>
  <si>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</si>
  <si>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</si>
  <si>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</si>
  <si>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</si>
  <si>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</si>
  <si>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</si>
  <si>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</si>
  <si>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</si>
  <si>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</si>
  <si>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</si>
  <si>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</si>
  <si>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</si>
  <si>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</si>
  <si>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</si>
  <si>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</si>
  <si>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</si>
  <si>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</si>
  <si>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</si>
  <si>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</si>
  <si>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</si>
  <si>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</si>
  <si>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</si>
  <si>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</si>
  <si>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</si>
  <si>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</si>
  <si>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</si>
  <si>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</si>
  <si>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</si>
  <si>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</si>
  <si>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</si>
  <si>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</si>
  <si>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</si>
  <si>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</si>
  <si>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</si>
  <si>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</si>
  <si>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</si>
  <si>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</si>
  <si>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</si>
  <si>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</si>
  <si>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</si>
  <si>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</si>
  <si>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</si>
  <si>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</si>
  <si>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</si>
  <si>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</si>
  <si>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</si>
  <si>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</si>
  <si>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</si>
  <si>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</si>
  <si>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</si>
  <si>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</si>
  <si>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</si>
  <si>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</si>
  <si>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</si>
  <si>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</si>
  <si>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</si>
  <si>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</si>
  <si>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</si>
  <si>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</si>
  <si>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</si>
  <si>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</si>
  <si>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</si>
  <si>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</si>
  <si>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</si>
  <si>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</si>
  <si>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</si>
  <si>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</si>
  <si>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</si>
  <si>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</si>
  <si>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</si>
  <si>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</si>
  <si>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</si>
  <si>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</si>
  <si>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</si>
  <si>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</si>
  <si>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</si>
  <si>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</si>
  <si>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</si>
  <si>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</si>
  <si>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</si>
  <si>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</si>
  <si>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</si>
  <si>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</si>
  <si>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</si>
  <si>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</si>
  <si>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</si>
  <si>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</si>
  <si>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</si>
  <si>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</si>
  <si>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</si>
  <si>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</si>
  <si>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</si>
  <si>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</si>
  <si>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</si>
  <si>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</si>
  <si>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</si>
  <si>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</si>
  <si>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</si>
  <si>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P000000425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</si>
  <si>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</si>
  <si>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</si>
  <si>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</si>
  <si>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</si>
  <si>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</si>
  <si>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</si>
  <si>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</si>
  <si>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</si>
  <si>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</si>
  <si>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</si>
  <si>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</si>
  <si>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</si>
  <si>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</si>
  <si>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</si>
  <si>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</si>
  <si>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</si>
  <si>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</si>
  <si>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</si>
  <si>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</si>
  <si>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</si>
  <si>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</si>
  <si>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</si>
  <si>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</si>
  <si>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</si>
  <si>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</si>
  <si>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</si>
  <si>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</si>
  <si>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</si>
  <si>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</si>
  <si>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</si>
  <si>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</si>
  <si>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</si>
  <si>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</si>
  <si>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</si>
  <si>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</si>
  <si>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</si>
  <si>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</si>
  <si>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</si>
  <si>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</si>
  <si>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</si>
  <si>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</si>
  <si>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</si>
  <si>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</si>
  <si>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</si>
  <si>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</si>
  <si>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</si>
  <si>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</si>
  <si>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</si>
  <si>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</si>
  <si>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</si>
  <si>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</si>
  <si>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</si>
  <si>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</si>
  <si>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</si>
  <si>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</si>
  <si>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</si>
  <si>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</si>
  <si>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</si>
  <si>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</si>
  <si>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</si>
  <si>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</si>
  <si>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</si>
  <si>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</si>
  <si>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</si>
  <si>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</si>
  <si>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</si>
  <si>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</si>
  <si>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</si>
  <si>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</si>
  <si>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</si>
  <si>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</si>
  <si>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</si>
  <si>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</si>
  <si>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</si>
  <si>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</si>
  <si>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</si>
  <si>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</si>
  <si>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</si>
  <si>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</si>
  <si>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</si>
  <si>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</si>
  <si>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</si>
  <si>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</si>
  <si>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</si>
  <si>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</si>
  <si>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</si>
  <si>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</si>
  <si>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</si>
  <si>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</si>
  <si>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</si>
  <si>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</si>
  <si>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</si>
  <si>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</si>
  <si>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</si>
  <si>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</si>
  <si>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</si>
  <si>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</si>
  <si>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</si>
  <si>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</si>
  <si>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</si>
  <si>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</si>
  <si>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</si>
  <si>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</si>
  <si>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</si>
  <si>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EMERAL_6403F2026890101</t>
  </si>
  <si>
    <t>EMERAL_6403G2026990108</t>
  </si>
  <si>
    <t>EMERAL_6403G2026990112</t>
  </si>
  <si>
    <t>EMERAL_6403G7013270509</t>
  </si>
  <si>
    <t>EMERAL_6403G7013270510</t>
  </si>
  <si>
    <t>EMERAL_6403G7013270512</t>
  </si>
  <si>
    <t>EMERAL_6403H2018040201</t>
  </si>
  <si>
    <t>EMERAL_6403H2026401801</t>
  </si>
  <si>
    <t>H000000714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</si>
  <si>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</si>
  <si>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</si>
  <si>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</si>
  <si>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</si>
  <si>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</si>
  <si>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</si>
  <si>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</si>
  <si>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</si>
  <si>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</si>
  <si>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</si>
  <si>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</si>
  <si>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</si>
  <si>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</si>
  <si>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</si>
  <si>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</si>
  <si>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</si>
  <si>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</si>
  <si>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</si>
  <si>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</si>
  <si>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</si>
  <si>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</si>
  <si>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CLFF_7210$$$2102L80001 MFG ERP BPO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</si>
  <si>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</si>
  <si>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</si>
  <si>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</si>
  <si>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</si>
  <si>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</si>
  <si>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</si>
  <si>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</si>
  <si>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</si>
  <si>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</si>
  <si>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</si>
  <si>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</si>
  <si>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</si>
  <si>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</si>
  <si>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</si>
  <si>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</si>
  <si>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</si>
  <si>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</si>
  <si>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</si>
  <si>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</si>
  <si>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</si>
  <si>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</si>
  <si>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</si>
  <si>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</si>
  <si>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</si>
  <si>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</si>
  <si>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</si>
  <si>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</si>
  <si>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</si>
  <si>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</si>
  <si>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CORAERP_MMOR1975.9977 BMS &amp; Business Partnering LS - HO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</si>
  <si>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</si>
  <si>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</si>
  <si>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</si>
  <si>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</si>
  <si>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</si>
  <si>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</si>
  <si>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</si>
  <si>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</si>
  <si>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</si>
  <si>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</si>
  <si>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</si>
  <si>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</si>
  <si>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</si>
  <si>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</si>
  <si>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</si>
  <si>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</si>
  <si>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</si>
  <si>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</si>
  <si>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</si>
  <si>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</si>
  <si>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</si>
  <si>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</si>
  <si>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</si>
  <si>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</si>
  <si>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</si>
  <si>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</si>
  <si>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</si>
  <si>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</si>
  <si>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</si>
  <si>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</si>
  <si>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</si>
  <si>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</si>
  <si>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</si>
  <si>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</si>
  <si>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</si>
  <si>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</si>
  <si>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</si>
  <si>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</si>
  <si>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</si>
  <si>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</si>
  <si>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</si>
  <si>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</si>
  <si>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</si>
  <si>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</si>
  <si>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</si>
  <si>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</si>
  <si>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</si>
  <si>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</si>
  <si>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</si>
  <si>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</si>
  <si>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</si>
  <si>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</si>
  <si>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</si>
  <si>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</si>
  <si>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</si>
  <si>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</si>
  <si>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</si>
  <si>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</si>
  <si>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</si>
  <si>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</si>
  <si>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RP000006    000000 DssRev RtrftStckr 5%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</si>
  <si>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</si>
  <si>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</si>
  <si>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</si>
  <si>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</si>
  <si>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RP000012    000000 DssKr Rev Gk Anlzr N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</si>
  <si>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</si>
  <si>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</si>
  <si>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</si>
  <si>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</si>
  <si>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</si>
  <si>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</si>
  <si>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</si>
  <si>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</si>
  <si>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</si>
  <si>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</si>
  <si>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</si>
  <si>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</si>
  <si>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</si>
  <si>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</si>
  <si>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</si>
  <si>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</si>
  <si>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</si>
  <si>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</si>
  <si>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</si>
  <si>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</si>
  <si>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</si>
  <si>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</si>
  <si>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</si>
  <si>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</si>
  <si>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</si>
  <si>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</si>
  <si>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</si>
  <si>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</si>
  <si>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</si>
  <si>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</si>
  <si>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</si>
  <si>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</si>
  <si>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</si>
  <si>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</si>
  <si>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</si>
  <si>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</si>
  <si>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</si>
  <si>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</si>
  <si>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</si>
  <si>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</si>
  <si>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</si>
  <si>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</si>
  <si>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</si>
  <si>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</si>
  <si>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</si>
  <si>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</si>
  <si>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</si>
  <si>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</si>
  <si>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</si>
  <si>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</si>
  <si>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</si>
  <si>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</si>
  <si>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</si>
  <si>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</si>
  <si>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</si>
  <si>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</si>
  <si>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</si>
  <si>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</si>
  <si>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</si>
  <si>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</si>
  <si>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</si>
  <si>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</si>
  <si>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</si>
  <si>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</si>
  <si>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</si>
  <si>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</si>
  <si>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</si>
  <si>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</si>
  <si>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</si>
  <si>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</si>
  <si>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</si>
  <si>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</si>
  <si>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</si>
  <si>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</si>
  <si>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</si>
  <si>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</si>
  <si>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</si>
  <si>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</si>
  <si>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</si>
  <si>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</si>
  <si>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</si>
  <si>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</si>
  <si>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</si>
  <si>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</si>
  <si>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</si>
  <si>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</si>
  <si>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</si>
  <si>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</si>
  <si>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</si>
  <si>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</si>
  <si>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</si>
  <si>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</si>
  <si>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</si>
  <si>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</si>
  <si>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</si>
  <si>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</si>
  <si>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</si>
  <si>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</si>
  <si>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</si>
  <si>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</si>
  <si>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</si>
  <si>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</si>
  <si>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</si>
  <si>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</si>
  <si>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</si>
  <si>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</si>
  <si>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</si>
  <si>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</si>
  <si>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</si>
  <si>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</si>
  <si>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</si>
  <si>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</si>
  <si>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</si>
  <si>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</si>
  <si>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</si>
  <si>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</si>
  <si>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</si>
  <si>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</si>
  <si>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</si>
  <si>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</si>
  <si>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</si>
  <si>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</si>
  <si>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</si>
  <si>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</si>
  <si>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</si>
  <si>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</si>
  <si>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</si>
  <si>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</si>
  <si>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</si>
  <si>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</si>
  <si>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</si>
  <si>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</si>
  <si>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</si>
  <si>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</si>
  <si>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</si>
  <si>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</si>
  <si>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</si>
  <si>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</si>
  <si>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</si>
  <si>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</si>
  <si>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</si>
  <si>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</si>
  <si>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</si>
  <si>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</si>
  <si>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</si>
  <si>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</si>
  <si>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</si>
  <si>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</si>
  <si>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</si>
  <si>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</si>
  <si>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</si>
  <si>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</si>
  <si>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</si>
  <si>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</si>
  <si>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</si>
  <si>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</si>
  <si>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</si>
  <si>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</si>
  <si>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</si>
  <si>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</si>
  <si>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</si>
  <si>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</si>
  <si>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</si>
  <si>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</si>
  <si>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</si>
  <si>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</si>
  <si>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</si>
  <si>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</si>
  <si>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</si>
  <si>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</si>
  <si>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</si>
  <si>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</si>
  <si>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</si>
  <si>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</si>
  <si>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</si>
  <si>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</si>
  <si>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</si>
  <si>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</si>
  <si>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</si>
  <si>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</si>
  <si>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</si>
  <si>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</si>
  <si>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</si>
  <si>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</si>
  <si>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</si>
  <si>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</si>
  <si>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</si>
  <si>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</si>
  <si>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</si>
  <si>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</si>
  <si>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</si>
  <si>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</si>
  <si>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</si>
  <si>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</si>
  <si>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</si>
  <si>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</si>
  <si>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</si>
  <si>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</si>
  <si>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</si>
  <si>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</si>
  <si>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</si>
  <si>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</si>
  <si>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</si>
  <si>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</si>
  <si>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</si>
  <si>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</si>
  <si>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</si>
  <si>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</si>
  <si>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</si>
  <si>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</si>
  <si>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</si>
  <si>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</si>
  <si>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</si>
  <si>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</si>
  <si>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</si>
  <si>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</si>
  <si>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</si>
  <si>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</si>
  <si>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</si>
  <si>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</si>
  <si>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</si>
  <si>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</si>
  <si>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</si>
  <si>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</si>
  <si>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</si>
  <si>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</si>
  <si>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</si>
  <si>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</si>
  <si>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</si>
  <si>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</si>
  <si>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</si>
  <si>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</si>
  <si>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</si>
  <si>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</si>
  <si>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</si>
  <si>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</si>
  <si>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</si>
  <si>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</si>
  <si>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</si>
  <si>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</si>
  <si>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</si>
  <si>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</si>
  <si>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</si>
  <si>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</si>
  <si>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</si>
  <si>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</si>
  <si>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</si>
  <si>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</si>
  <si>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</si>
  <si>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</si>
  <si>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</si>
  <si>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</si>
  <si>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</si>
  <si>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</si>
  <si>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</si>
  <si>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</si>
  <si>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</si>
  <si>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</si>
  <si>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</si>
  <si>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</si>
  <si>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</si>
  <si>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</si>
  <si>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</si>
  <si>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</si>
  <si>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</si>
  <si>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</si>
  <si>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</si>
  <si>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</si>
  <si>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</si>
  <si>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</si>
  <si>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</si>
  <si>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</si>
  <si>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</si>
  <si>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</si>
  <si>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</si>
  <si>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</si>
  <si>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</si>
  <si>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</si>
  <si>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</si>
  <si>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</si>
  <si>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</si>
  <si>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</si>
  <si>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</si>
  <si>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</si>
  <si>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</si>
  <si>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</si>
  <si>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</si>
  <si>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</si>
  <si>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</si>
  <si>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</si>
  <si>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</si>
  <si>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</si>
  <si>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</si>
  <si>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</si>
  <si>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</si>
  <si>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</si>
  <si>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</si>
  <si>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</si>
  <si>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</si>
  <si>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</si>
  <si>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</si>
  <si>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</si>
  <si>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</si>
  <si>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</si>
  <si>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</si>
  <si>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</si>
  <si>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</si>
  <si>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</si>
  <si>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</si>
  <si>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</si>
  <si>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</si>
  <si>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</si>
  <si>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</si>
  <si>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</si>
  <si>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</si>
  <si>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</si>
  <si>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</si>
  <si>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</si>
  <si>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</si>
  <si>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</si>
  <si>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</si>
  <si>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</si>
  <si>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</si>
  <si>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</si>
  <si>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</si>
  <si>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</si>
  <si>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</si>
  <si>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</si>
  <si>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</si>
  <si>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</si>
  <si>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</si>
  <si>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</si>
  <si>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</si>
  <si>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</si>
  <si>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</si>
  <si>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</si>
  <si>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</si>
  <si>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</si>
  <si>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</si>
  <si>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</si>
  <si>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</si>
  <si>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</si>
  <si>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</si>
  <si>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</si>
  <si>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</si>
  <si>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</si>
  <si>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</si>
  <si>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</si>
  <si>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</si>
  <si>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</si>
  <si>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</si>
  <si>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</si>
  <si>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</si>
  <si>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</si>
  <si>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</si>
  <si>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</si>
  <si>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</si>
  <si>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</si>
  <si>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</si>
  <si>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</si>
  <si>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</si>
  <si>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Standard</t>
  </si>
  <si>
    <t>CN01C00471</t>
  </si>
  <si>
    <t>CN01C00412</t>
  </si>
  <si>
    <t>CN01C00415</t>
  </si>
  <si>
    <t>CN02C00412</t>
  </si>
  <si>
    <t>DE10B02070</t>
  </si>
  <si>
    <t>DE10B02075</t>
  </si>
  <si>
    <t>DE10O05103</t>
  </si>
  <si>
    <t>DE10O05203</t>
  </si>
  <si>
    <t>BE10O05103</t>
  </si>
  <si>
    <t>BE10O05203</t>
  </si>
  <si>
    <t>CN09O05103</t>
  </si>
  <si>
    <t>CN09O05203</t>
  </si>
  <si>
    <t>CN10O05103</t>
  </si>
  <si>
    <t>CN10O05203</t>
  </si>
  <si>
    <t>CN43O05103</t>
  </si>
  <si>
    <t>CN43O05203</t>
  </si>
  <si>
    <t>GB10O05103</t>
  </si>
  <si>
    <t>GB10O05203</t>
  </si>
  <si>
    <t>IE10O05103</t>
  </si>
  <si>
    <t>IE10O05203</t>
  </si>
  <si>
    <t>IL10O05103</t>
  </si>
  <si>
    <t>IL10O05203</t>
  </si>
  <si>
    <t>IT07O05103</t>
  </si>
  <si>
    <t>IT07O05203</t>
  </si>
  <si>
    <t>KR07O05103</t>
  </si>
  <si>
    <t>KR07O05203</t>
  </si>
  <si>
    <t>KR08O05103</t>
  </si>
  <si>
    <t>KR08O05203</t>
  </si>
  <si>
    <t>KR11O05103</t>
  </si>
  <si>
    <t>KR11O05203</t>
  </si>
  <si>
    <t>KR15O05103</t>
  </si>
  <si>
    <t>KR15O05203</t>
  </si>
  <si>
    <t>KR16O05103</t>
  </si>
  <si>
    <t>KR16O05203</t>
  </si>
  <si>
    <t>NL10O05103</t>
  </si>
  <si>
    <t>NL10O05203</t>
  </si>
  <si>
    <t>SG10O05103</t>
  </si>
  <si>
    <t>SG10O05203</t>
  </si>
  <si>
    <t>TW10O05103</t>
  </si>
  <si>
    <t>TW10O05203</t>
  </si>
  <si>
    <t>TW91O05103</t>
  </si>
  <si>
    <t>TW91O05203</t>
  </si>
  <si>
    <t>US10O05103</t>
  </si>
  <si>
    <t>US10O05203</t>
  </si>
  <si>
    <t>SA80O00002</t>
  </si>
  <si>
    <t>SA80O00001</t>
  </si>
  <si>
    <t>SA80O00003</t>
  </si>
  <si>
    <t>US95O05001</t>
  </si>
  <si>
    <t>LU80O05001</t>
  </si>
  <si>
    <t>2057O05001</t>
  </si>
  <si>
    <t>2137O05003</t>
  </si>
  <si>
    <t>ZA50O05941</t>
  </si>
  <si>
    <t>TN60O05003</t>
  </si>
  <si>
    <t>TN50O05003</t>
  </si>
  <si>
    <t>CN95O05000</t>
  </si>
  <si>
    <t>SA50O05000</t>
  </si>
  <si>
    <t>DE20700080</t>
  </si>
  <si>
    <t>CN96O05000</t>
  </si>
  <si>
    <t>CN01O03001</t>
  </si>
  <si>
    <t>CN02O03001</t>
  </si>
  <si>
    <t>CN03O03001</t>
  </si>
  <si>
    <t>CN58O05000</t>
  </si>
  <si>
    <t>CN60O05000</t>
  </si>
  <si>
    <t>CN90O05000</t>
  </si>
  <si>
    <t>DE04O05001</t>
  </si>
  <si>
    <t>DE04O05002</t>
  </si>
  <si>
    <t>DE04O05003</t>
  </si>
  <si>
    <t>DE04O05004</t>
  </si>
  <si>
    <t>DE50O05001</t>
  </si>
  <si>
    <t>DE50O05002</t>
  </si>
  <si>
    <t>VN50O05002</t>
  </si>
  <si>
    <t>DE50O05003</t>
  </si>
  <si>
    <t>DE50O05004</t>
  </si>
  <si>
    <t>DE50O05009</t>
  </si>
  <si>
    <t>DE62O05003</t>
  </si>
  <si>
    <t>DE62OF1079</t>
  </si>
  <si>
    <t>DE62OF1241</t>
  </si>
  <si>
    <t>DE62OF1261</t>
  </si>
  <si>
    <t>DE62OF1401</t>
  </si>
  <si>
    <t>DE62OF1891</t>
  </si>
  <si>
    <t>HK01O03001</t>
  </si>
  <si>
    <t>JP02O05000</t>
  </si>
  <si>
    <t>JP02O05001</t>
  </si>
  <si>
    <t>JP02O05002</t>
  </si>
  <si>
    <t>JP02O05003</t>
  </si>
  <si>
    <t>JP02O05004</t>
  </si>
  <si>
    <t>MT82O05003</t>
  </si>
  <si>
    <t>NL90O05003</t>
  </si>
  <si>
    <t>DE07O05002</t>
  </si>
  <si>
    <t>TW02GBT299</t>
  </si>
  <si>
    <t>DE65GIT021</t>
  </si>
  <si>
    <t>DE01O05000</t>
  </si>
  <si>
    <t>IN01GBT001</t>
  </si>
  <si>
    <t>US01GBT408</t>
  </si>
  <si>
    <t>KR02GIS009</t>
  </si>
  <si>
    <t>CN70O05000</t>
  </si>
  <si>
    <t>CN50O05000</t>
  </si>
  <si>
    <t>TW03GBT299</t>
  </si>
  <si>
    <t>BE50O05001</t>
  </si>
  <si>
    <t>BE50O05002</t>
  </si>
  <si>
    <t>BE50O05003</t>
  </si>
  <si>
    <t>BE50O05004</t>
  </si>
  <si>
    <t>CN68O05000</t>
  </si>
  <si>
    <t>NL50O05002</t>
  </si>
  <si>
    <t>NL50O05003</t>
  </si>
  <si>
    <t>NL50O05004</t>
  </si>
  <si>
    <t>ES50O05001</t>
  </si>
  <si>
    <t>ES50O05002</t>
  </si>
  <si>
    <t>ES50O05003</t>
  </si>
  <si>
    <t>CH75O05000</t>
  </si>
  <si>
    <t>IT50O05005</t>
  </si>
  <si>
    <t>CH50O05000</t>
  </si>
  <si>
    <t>CH50O05001</t>
  </si>
  <si>
    <t>CH50O05003</t>
  </si>
  <si>
    <t>CH50O05004</t>
  </si>
  <si>
    <t>CH65O05004</t>
  </si>
  <si>
    <t>CH65O05005</t>
  </si>
  <si>
    <t>CH65O05006</t>
  </si>
  <si>
    <t>CH65O05007</t>
  </si>
  <si>
    <t>CH75O05002</t>
  </si>
  <si>
    <t>CH75O05003</t>
  </si>
  <si>
    <t>CH75O05004</t>
  </si>
  <si>
    <t>IT60O05004</t>
  </si>
  <si>
    <t>AE50O05000</t>
  </si>
  <si>
    <t>AE50O05005</t>
  </si>
  <si>
    <t>CH01O05000</t>
  </si>
  <si>
    <t>FR01GIS510</t>
  </si>
  <si>
    <t>SA80O05000</t>
  </si>
  <si>
    <t>SG09L70001</t>
  </si>
  <si>
    <t>DK50O05003</t>
  </si>
  <si>
    <t>CZ50O05002</t>
  </si>
  <si>
    <t>LT50O05003</t>
  </si>
  <si>
    <t>NO50O05003</t>
  </si>
  <si>
    <t>LV50O05003</t>
  </si>
  <si>
    <t>EE50O05003</t>
  </si>
  <si>
    <t>FI50O05003</t>
  </si>
  <si>
    <t>SE50O05003</t>
  </si>
  <si>
    <t>JP01O05001</t>
  </si>
  <si>
    <t>JP01O05000</t>
  </si>
  <si>
    <t>JP01O05002</t>
  </si>
  <si>
    <t>JP01O05003</t>
  </si>
  <si>
    <t>JP01O05004</t>
  </si>
  <si>
    <t>2123O05004</t>
  </si>
  <si>
    <t>2128O05001</t>
  </si>
  <si>
    <t>2128O05002</t>
  </si>
  <si>
    <t>2128O05003</t>
  </si>
  <si>
    <t>2131O05003</t>
  </si>
  <si>
    <t>2148O05001</t>
  </si>
  <si>
    <t>2148O05002</t>
  </si>
  <si>
    <t>2148O05003</t>
  </si>
  <si>
    <t>2148O05004</t>
  </si>
  <si>
    <t>1376O05002</t>
  </si>
  <si>
    <t>1756O05002</t>
  </si>
  <si>
    <t>1756O05004</t>
  </si>
  <si>
    <t>1919O05003</t>
  </si>
  <si>
    <t>1937O05002</t>
  </si>
  <si>
    <t>2010O05001</t>
  </si>
  <si>
    <t>2011O05003</t>
  </si>
  <si>
    <t>2012O05002</t>
  </si>
  <si>
    <t>2013O05002</t>
  </si>
  <si>
    <t>2018O05002</t>
  </si>
  <si>
    <t>2022O05001</t>
  </si>
  <si>
    <t>2023O05003</t>
  </si>
  <si>
    <t>2025O05002</t>
  </si>
  <si>
    <t>2025O05005</t>
  </si>
  <si>
    <t>2029O05001</t>
  </si>
  <si>
    <t>2031O05002</t>
  </si>
  <si>
    <t>2032GM6600</t>
  </si>
  <si>
    <t>2034GIT201</t>
  </si>
  <si>
    <t>2053O05002</t>
  </si>
  <si>
    <t>2063O05001</t>
  </si>
  <si>
    <t>2063O05002</t>
  </si>
  <si>
    <t>2063O05003</t>
  </si>
  <si>
    <t>2068O05001</t>
  </si>
  <si>
    <t>2088O05001</t>
  </si>
  <si>
    <t>2102O05001</t>
  </si>
  <si>
    <t>2103O05001</t>
  </si>
  <si>
    <t>2118O05002</t>
  </si>
  <si>
    <t>2123O05001</t>
  </si>
  <si>
    <t>2123O05002</t>
  </si>
  <si>
    <t>KR03GIS009</t>
  </si>
  <si>
    <t>CN09O05009</t>
  </si>
  <si>
    <t>CN10O05001</t>
  </si>
  <si>
    <t>CN43O05003</t>
  </si>
  <si>
    <t>GB10O05004</t>
  </si>
  <si>
    <t>GB10O05005</t>
  </si>
  <si>
    <t>IE10O05003</t>
  </si>
  <si>
    <t>IE10O05004</t>
  </si>
  <si>
    <t>IL10O05003</t>
  </si>
  <si>
    <t>IT07O05003</t>
  </si>
  <si>
    <t>KR07O05017</t>
  </si>
  <si>
    <t>KR07O05018</t>
  </si>
  <si>
    <t>KR07O05019</t>
  </si>
  <si>
    <t>KR07O05020</t>
  </si>
  <si>
    <t>KR08O05004</t>
  </si>
  <si>
    <t>KR08O05005</t>
  </si>
  <si>
    <t>KR08O05006</t>
  </si>
  <si>
    <t>KR11O05003</t>
  </si>
  <si>
    <t>KR11O05004</t>
  </si>
  <si>
    <t>KR15O05003</t>
  </si>
  <si>
    <t>KR15O05004</t>
  </si>
  <si>
    <t>KR16O05003</t>
  </si>
  <si>
    <t>KR16O05004</t>
  </si>
  <si>
    <t>NL10O05008</t>
  </si>
  <si>
    <t>NL10O05009</t>
  </si>
  <si>
    <t>NL10O05010</t>
  </si>
  <si>
    <t>SG10O05015</t>
  </si>
  <si>
    <t>SG10O05016</t>
  </si>
  <si>
    <t>SG10O05017</t>
  </si>
  <si>
    <t>TW10GIT007</t>
  </si>
  <si>
    <t>TW10GIT020</t>
  </si>
  <si>
    <t>TW10O05009</t>
  </si>
  <si>
    <t>TW10O05010</t>
  </si>
  <si>
    <t>TW10O05011</t>
  </si>
  <si>
    <t>TW91GIT020</t>
  </si>
  <si>
    <t>TW91O05007</t>
  </si>
  <si>
    <t>TW91O05008</t>
  </si>
  <si>
    <t>TW91O05009</t>
  </si>
  <si>
    <t>TW91O05010</t>
  </si>
  <si>
    <t>US10O05064</t>
  </si>
  <si>
    <t>US10O05065</t>
  </si>
  <si>
    <t>US10O05066</t>
  </si>
  <si>
    <t>US10O05067</t>
  </si>
  <si>
    <t>DE10514400</t>
  </si>
  <si>
    <t>2123O05003</t>
  </si>
  <si>
    <t>DE10O05003</t>
  </si>
  <si>
    <t>DE10O05004</t>
  </si>
  <si>
    <t>P000001108</t>
  </si>
  <si>
    <t>O000000010</t>
  </si>
  <si>
    <t>DFLTPGCOH_001243</t>
  </si>
  <si>
    <t>CORAERP_MMOR1975.9977</t>
  </si>
  <si>
    <t>L000010608</t>
  </si>
  <si>
    <t>L000005348</t>
  </si>
  <si>
    <t>L000009147</t>
  </si>
  <si>
    <t>P000000062</t>
  </si>
  <si>
    <t>O000000000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</si>
</sst>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84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57.972451620371" createdVersion="7" refreshedVersion="7" minRefreshableVersion="3" recordCount="6109" xr:uid="{11839AE3-6158-4318-87AD-2C711D0BF451}">
  <cacheSource type="worksheet">
    <worksheetSource name="Proc"/>
  </cacheSource>
  <cacheFields count="19">
    <cacheField name="App" numFmtId="0">
      <sharedItems containsBlank="1" count="1689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2-05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9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0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9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6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6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6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6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6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6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6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6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6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6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6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6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6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6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6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6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6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6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6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6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6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6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6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6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6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6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6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6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6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6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6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6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6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6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6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6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6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6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6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6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6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6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6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6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6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6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6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6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5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5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5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5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5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5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5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5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5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5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5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5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5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5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5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5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5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5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5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5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5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5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5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5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4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4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4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4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4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4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4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4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4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4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4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3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3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3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3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3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3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3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1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1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1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1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1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0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9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9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9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9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9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9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9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9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9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9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9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9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9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9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9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9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9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9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9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9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8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8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8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8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8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8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8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8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8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8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8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8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8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8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8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8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8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8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8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8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8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8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8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7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7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7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7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6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6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6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6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6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6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6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6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6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6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6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6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6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6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6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6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6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6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6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6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6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5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5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5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5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5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5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5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5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5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5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5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5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5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5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5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5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5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5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5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5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5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5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5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5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5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5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5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5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5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5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5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4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4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4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4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4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4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4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4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4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4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4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4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4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4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4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4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4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4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4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4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4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4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4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4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4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4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4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4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4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4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4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4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4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4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4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4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4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4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4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4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4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3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3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3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3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3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3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3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3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3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3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3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3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3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3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3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3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3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3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3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3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3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3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3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3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3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3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3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3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3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3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3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3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3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3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3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3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3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3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3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3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3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3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3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3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3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3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3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3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3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3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3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3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3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3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3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3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3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3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3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3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3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3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3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3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3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3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3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3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3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3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3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3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3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3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3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3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3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3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3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3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3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3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3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3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3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3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3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3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3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3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3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3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3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3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3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3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3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3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3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3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3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3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3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3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3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3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3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3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3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3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3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3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3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3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3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3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3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3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3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3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3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3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3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3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3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3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3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3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3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3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2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2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2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2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2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2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2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2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2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2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2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2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2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2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2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2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2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2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2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2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2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2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2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2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2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2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2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2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2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2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2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2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2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2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2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2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2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2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2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2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2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2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2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2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2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2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2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2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2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2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2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2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2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2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2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2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2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2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2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2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2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2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2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2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2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2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2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2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2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2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2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2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2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2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2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2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2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2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2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2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2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1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1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1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1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1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1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1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1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1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1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1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1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1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1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1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1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1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1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1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1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1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1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1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1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1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1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1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1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1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1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1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1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1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1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1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1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1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1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1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1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1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1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1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1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1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1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1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1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1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1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1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1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1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1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1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1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1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1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1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1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1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1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1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1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1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1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1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1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1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1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1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1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1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1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1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1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1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1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1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1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1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1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1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1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1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1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1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1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1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1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1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1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1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1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1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1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1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1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1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1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1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1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1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1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1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1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1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1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1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1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1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1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1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1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1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1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1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1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1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1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1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1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1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1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1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1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1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1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1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1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1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1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1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1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1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1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1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1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1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1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1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1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1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1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1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1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1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1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1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1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1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1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1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1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1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1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1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1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1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1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1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1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1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1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1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1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1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1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1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1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1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1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1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1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1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1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1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1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1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1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1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1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1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1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1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1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1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1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1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1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1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1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1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1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1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1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1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1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1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1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1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1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1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1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1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1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1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1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1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1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1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1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1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1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1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1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1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1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1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1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1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1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1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1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1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1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1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1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1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1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1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1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1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1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1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1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1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1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1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1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1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1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1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1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1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1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1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1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1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1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1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1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1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1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1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1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1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1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1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1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1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1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1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1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1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1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1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1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1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1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1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1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1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1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1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1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1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1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1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1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1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1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1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1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1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1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1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0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0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0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0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0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0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0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0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0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0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0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0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0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0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0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0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0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0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0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0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0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0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0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0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0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0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0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0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0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0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0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0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0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0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0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0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0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0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0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0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0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0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0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0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0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0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0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0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0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0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0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0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0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0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0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0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9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9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9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9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9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9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9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9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9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9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9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9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9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9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9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9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9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9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9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9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9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9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9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9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9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9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9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9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9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9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9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9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9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9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9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9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9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9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9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9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9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9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9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9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9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9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9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9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9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9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9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9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9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9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9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9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9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9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9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8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8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8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8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8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8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8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8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8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8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8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8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8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8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8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8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8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8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8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8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8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8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8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8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8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8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8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8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8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8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8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8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8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8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8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8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8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8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8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8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8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8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8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7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7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7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7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7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7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7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7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7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7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7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7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7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7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7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7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7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7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7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7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7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7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7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7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7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7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7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7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7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7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7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7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7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7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7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7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7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7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7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7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7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7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7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7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7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7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7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7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7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7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7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7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7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7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7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7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7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7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7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7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7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7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7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7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7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7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7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7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7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7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7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7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7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7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7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7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7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7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7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7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7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7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7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7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7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7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7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7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7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7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7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7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70"/>
    <s v="Ruby Grace Garcia"/>
    <m/>
  </r>
  <r>
    <x v="408"/>
    <x v="0"/>
    <x v="2"/>
    <s v="ITEMPEU_001700006137"/>
    <s v="H000004596"/>
    <e v="#N/A"/>
    <s v="Non-LFF"/>
    <s v=""/>
    <m/>
    <e v="#N/A"/>
    <x v="1"/>
    <x v="0"/>
    <d v="2025-10-24T00:00:00"/>
    <m/>
    <m/>
    <x v="1"/>
    <n v="73"/>
    <s v="Anna Glab"/>
    <m/>
  </r>
  <r>
    <x v="408"/>
    <x v="0"/>
    <x v="2"/>
    <s v="ITEMPEU_001700006138"/>
    <s v="H000004597"/>
    <e v="#N/A"/>
    <s v="Non-LFF"/>
    <s v=""/>
    <m/>
    <e v="#N/A"/>
    <x v="1"/>
    <x v="0"/>
    <d v="2025-10-24T00:00:00"/>
    <m/>
    <m/>
    <x v="1"/>
    <n v="7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6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6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6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6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6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6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6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6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6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6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6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6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6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6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6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6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6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6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6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6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6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6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6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6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6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6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6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6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6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6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6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6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6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6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6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6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6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6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6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6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6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6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6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6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6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6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6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6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6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6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6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6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6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63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6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6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6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6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6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6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6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6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6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6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6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6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5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5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5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5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5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5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5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5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5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5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5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5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5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5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5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5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5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5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5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5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5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5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5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5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5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5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52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52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52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52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52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52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52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52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52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52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52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52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52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52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52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52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52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52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52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52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52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52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52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52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52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5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5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52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51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51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51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51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51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51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51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51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51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51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49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49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49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49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49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49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49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49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49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49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49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49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49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49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49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49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49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49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49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49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49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49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49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49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49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49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49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49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49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49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49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49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49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49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48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48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48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48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48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48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48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48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48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48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48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48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48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48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48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48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48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48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48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48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48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48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48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48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48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48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48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48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48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48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48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48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48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48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48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48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48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48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48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48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48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48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48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48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47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47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47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47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47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47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47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47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47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47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46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46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46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46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46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46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46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46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46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46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46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45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45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45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44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44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43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42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42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42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42"/>
    <s v="Ruby Grace Garcia"/>
    <m/>
  </r>
  <r>
    <x v="463"/>
    <x v="0"/>
    <x v="8"/>
    <s v="RDC0000095"/>
    <s v="H000004396"/>
    <e v="#N/A"/>
    <s v="Non-LFF"/>
    <s v=""/>
    <m/>
    <e v="#N/A"/>
    <x v="1"/>
    <x v="0"/>
    <d v="2025-12-08T00:00:00"/>
    <m/>
    <m/>
    <x v="1"/>
    <n v="42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42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42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42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42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42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40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40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38"/>
    <s v="Roselle Delos Angeles"/>
    <m/>
  </r>
  <r>
    <x v="466"/>
    <x v="0"/>
    <x v="2"/>
    <s v="CFLTFLE_2152IMIPPCRD01"/>
    <s v="P000000540"/>
    <e v="#N/A"/>
    <s v="Non-LFF"/>
    <s v=""/>
    <m/>
    <e v="#N/A"/>
    <x v="3"/>
    <x v="0"/>
    <d v="2025-12-12T00:00:00"/>
    <m/>
    <m/>
    <x v="1"/>
    <n v="38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38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38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38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37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37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37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4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4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34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34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34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34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34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34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34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34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30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27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27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27"/>
    <s v="Ruby Grace Garcia"/>
    <m/>
  </r>
  <r>
    <x v="474"/>
    <x v="0"/>
    <x v="2"/>
    <s v="CNOW_7210$$$0000020055"/>
    <s v="L000011321"/>
    <s v="L000011321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20981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15480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ROW$$$$0000095644"/>
    <s v="L000013119"/>
    <s v="L000013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9617"/>
    <s v="L000013119"/>
    <s v="L000013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266012"/>
    <s v="L000007229"/>
    <s v="L00000722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8852"/>
    <s v="L000011239"/>
    <s v="L00001123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8853"/>
    <s v="L000011239"/>
    <s v="L00001123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8854"/>
    <s v="L000011239"/>
    <s v="L00001123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2122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20942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20426"/>
    <s v="L000013905"/>
    <s v="L000013905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7600"/>
    <s v="L000012219"/>
    <s v="L0000122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7605"/>
    <s v="L000009119"/>
    <s v="L000009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25538"/>
    <s v="L000009119"/>
    <s v="L000009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AUS0$$$0000092080"/>
    <s v="L000009119"/>
    <s v="L000009119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ROW$$$$K17B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40182"/>
    <s v="L000013315"/>
    <s v="L000013315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2123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7905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7210$$$0000057906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NOW_AUS0$$$0000091769"/>
    <s v="L000012141"/>
    <s v="L000012141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ORAERP_MMOR1945.9114"/>
    <s v="L000013905"/>
    <s v="L000013905"/>
    <s v="Non-LFF"/>
    <s v=""/>
    <m/>
    <b v="1"/>
    <x v="2"/>
    <x v="0"/>
    <d v="2026-01-02T00:00:00"/>
    <m/>
    <m/>
    <x v="1"/>
    <n v="23"/>
    <s v="Ruby Grace Garcia"/>
    <m/>
  </r>
  <r>
    <x v="474"/>
    <x v="0"/>
    <x v="2"/>
    <s v="CEMERAL_64010010861301"/>
    <s v="L000011157"/>
    <s v="L000011157"/>
    <s v="Non-LFF"/>
    <s v=""/>
    <m/>
    <b v="1"/>
    <x v="2"/>
    <x v="0"/>
    <d v="2026-01-02T00:00:00"/>
    <m/>
    <m/>
    <x v="1"/>
    <n v="23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0"/>
    <d v="2026-01-02T00:00:00"/>
    <m/>
    <m/>
    <x v="1"/>
    <n v="23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TEMPEU_001500004649 M207"/>
    <s v="L000011451"/>
    <s v="L000011451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0"/>
    <d v="2026-01-02T00:00:00"/>
    <m/>
    <m/>
    <x v="1"/>
    <n v="23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0"/>
    <d v="2026-01-02T00:00:00"/>
    <m/>
    <m/>
    <x v="1"/>
    <n v="23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0"/>
    <d v="2026-01-02T00:00:00"/>
    <m/>
    <m/>
    <x v="1"/>
    <n v="23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1"/>
    <n v="23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0"/>
    <d v="2026-01-02T00:00:00"/>
    <m/>
    <m/>
    <x v="1"/>
    <n v="23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0"/>
    <d v="2026-01-02T00:00:00"/>
    <m/>
    <m/>
    <x v="1"/>
    <n v="23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0"/>
    <d v="2026-01-02T00:00:00"/>
    <m/>
    <m/>
    <x v="1"/>
    <n v="23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0"/>
    <d v="2026-01-02T00:00:00"/>
    <m/>
    <m/>
    <x v="1"/>
    <n v="23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0"/>
    <d v="2026-01-02T00:00:00"/>
    <m/>
    <m/>
    <x v="1"/>
    <n v="23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0"/>
    <d v="2026-01-02T00:00:00"/>
    <m/>
    <m/>
    <x v="1"/>
    <n v="23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0"/>
    <d v="2026-01-02T00:00:00"/>
    <m/>
    <m/>
    <x v="1"/>
    <n v="23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0"/>
    <d v="2026-01-02T00:00:00"/>
    <m/>
    <m/>
    <x v="1"/>
    <n v="23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0"/>
    <d v="2026-01-02T00:00:00"/>
    <m/>
    <m/>
    <x v="1"/>
    <n v="23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0"/>
    <d v="2026-01-02T00:00:00"/>
    <m/>
    <m/>
    <x v="1"/>
    <n v="23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0"/>
    <d v="2026-01-02T00:00:00"/>
    <m/>
    <m/>
    <x v="1"/>
    <n v="23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0"/>
    <d v="2026-01-02T00:00:00"/>
    <m/>
    <m/>
    <x v="1"/>
    <n v="23"/>
    <s v="Analyn Ayson"/>
    <m/>
  </r>
  <r>
    <x v="479"/>
    <x v="0"/>
    <x v="2"/>
    <s v="ITEMPNA_009004000207"/>
    <s v="G000000193"/>
    <s v="G000000193"/>
    <s v="Non-LFF"/>
    <s v=""/>
    <m/>
    <b v="1"/>
    <x v="0"/>
    <x v="0"/>
    <d v="2026-01-06T00:00:00"/>
    <m/>
    <m/>
    <x v="1"/>
    <n v="21"/>
    <s v="Joshua De Guzman"/>
    <m/>
  </r>
  <r>
    <x v="479"/>
    <x v="0"/>
    <x v="2"/>
    <s v="ITEMPNA_009004000177"/>
    <s v="G000000193"/>
    <s v="G000000193"/>
    <s v="Non-LFF"/>
    <s v=""/>
    <m/>
    <b v="1"/>
    <x v="0"/>
    <x v="0"/>
    <d v="2026-01-06T00:00:00"/>
    <m/>
    <m/>
    <x v="1"/>
    <n v="21"/>
    <s v="Joshua De Guzman"/>
    <m/>
  </r>
  <r>
    <x v="479"/>
    <x v="0"/>
    <x v="2"/>
    <s v="ITEMPNA_009004000074"/>
    <s v="G000000193"/>
    <s v="G000000193"/>
    <s v="Non-LFF"/>
    <s v=""/>
    <m/>
    <b v="1"/>
    <x v="0"/>
    <x v="0"/>
    <d v="2026-01-06T00:00:00"/>
    <m/>
    <m/>
    <x v="1"/>
    <n v="21"/>
    <s v="Joshua De Guzman"/>
    <m/>
  </r>
  <r>
    <x v="479"/>
    <x v="0"/>
    <x v="2"/>
    <s v="ITEMPNA_009004000206"/>
    <s v="G000000193"/>
    <s v="G000000193"/>
    <s v="Non-LFF"/>
    <s v=""/>
    <m/>
    <b v="1"/>
    <x v="0"/>
    <x v="0"/>
    <d v="2026-01-06T00:00:00"/>
    <m/>
    <m/>
    <x v="1"/>
    <n v="21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0"/>
    <d v="2026-01-06T00:00:00"/>
    <m/>
    <m/>
    <x v="1"/>
    <n v="21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0"/>
    <d v="2026-01-06T00:00:00"/>
    <m/>
    <m/>
    <x v="1"/>
    <n v="21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0"/>
    <d v="2026-01-06T00:00:00"/>
    <m/>
    <m/>
    <x v="1"/>
    <n v="21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0"/>
    <d v="2026-01-06T00:00:00"/>
    <m/>
    <m/>
    <x v="1"/>
    <n v="21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0"/>
    <d v="2026-01-06T00:00:00"/>
    <m/>
    <m/>
    <x v="1"/>
    <n v="21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0"/>
    <d v="2026-01-15T00:00:00"/>
    <m/>
    <m/>
    <x v="1"/>
    <n v="14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0"/>
    <d v="2026-01-15T00:00:00"/>
    <m/>
    <m/>
    <x v="1"/>
    <n v="14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0"/>
    <d v="2026-01-15T00:00:00"/>
    <m/>
    <m/>
    <x v="1"/>
    <n v="14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0"/>
    <d v="2026-01-15T00:00:00"/>
    <m/>
    <m/>
    <x v="1"/>
    <n v="14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0"/>
    <d v="2026-01-15T00:00:00"/>
    <m/>
    <m/>
    <x v="1"/>
    <n v="14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0"/>
    <d v="2026-01-15T00:00:00"/>
    <m/>
    <m/>
    <x v="1"/>
    <n v="14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QUATRO_I500613US01700000 Opex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0"/>
    <d v="2026-01-15T00:00:00"/>
    <m/>
    <m/>
    <x v="1"/>
    <n v="14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0"/>
    <d v="2026-01-15T00:00:00"/>
    <m/>
    <m/>
    <x v="1"/>
    <n v="14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0"/>
    <d v="2026-01-15T00:00:00"/>
    <m/>
    <m/>
    <x v="1"/>
    <n v="14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0"/>
    <d v="2026-01-15T00:00:00"/>
    <m/>
    <m/>
    <x v="1"/>
    <n v="14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0"/>
    <d v="2026-01-15T00:00:00"/>
    <m/>
    <m/>
    <x v="1"/>
    <n v="14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0"/>
    <d v="2026-01-15T00:00:00"/>
    <m/>
    <m/>
    <x v="1"/>
    <n v="14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0"/>
    <d v="2026-01-15T00:00:00"/>
    <m/>
    <m/>
    <x v="1"/>
    <n v="14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0"/>
    <d v="2026-01-15T00:00:00"/>
    <m/>
    <m/>
    <x v="1"/>
    <n v="14"/>
    <s v="John Rowie Del Rosario"/>
    <m/>
  </r>
  <r>
    <x v="482"/>
    <x v="0"/>
    <x v="2"/>
    <s v="CFLTFLE_23960000000460"/>
    <s v="L000009196"/>
    <e v="#N/A"/>
    <s v="Non-LFF"/>
    <s v=""/>
    <s v="To be done in 2025"/>
    <e v="#N/A"/>
    <x v="2"/>
    <x v="0"/>
    <d v="2026-01-15T00:00:00"/>
    <m/>
    <m/>
    <x v="1"/>
    <n v="14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0"/>
    <d v="2026-01-15T00:00:00"/>
    <m/>
    <m/>
    <x v="1"/>
    <n v="14"/>
    <s v="Jay-R Lizardo"/>
    <m/>
  </r>
  <r>
    <x v="484"/>
    <x v="0"/>
    <x v="2"/>
    <s v="CFLTFLE_22450000004827"/>
    <s v="L000011451"/>
    <e v="#N/A"/>
    <s v="Non-LFF"/>
    <s v=""/>
    <m/>
    <e v="#N/A"/>
    <x v="2"/>
    <x v="0"/>
    <d v="2026-01-19T00:00:00"/>
    <m/>
    <m/>
    <x v="1"/>
    <n v="12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0"/>
    <d v="2026-01-19T00:00:00"/>
    <m/>
    <m/>
    <x v="1"/>
    <n v="12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0"/>
    <d v="2026-01-22T00:00:00"/>
    <m/>
    <m/>
    <x v="1"/>
    <n v="9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0"/>
    <d v="2026-01-22T00:00:00"/>
    <m/>
    <m/>
    <x v="1"/>
    <n v="9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0"/>
    <d v="2026-01-22T00:00:00"/>
    <m/>
    <m/>
    <x v="1"/>
    <n v="9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0"/>
    <d v="2026-01-22T00:00:00"/>
    <m/>
    <m/>
    <x v="1"/>
    <n v="9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0"/>
    <d v="2026-01-22T00:00:00"/>
    <m/>
    <m/>
    <x v="1"/>
    <n v="9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0"/>
    <d v="2026-01-22T00:00:00"/>
    <m/>
    <m/>
    <x v="1"/>
    <n v="9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0"/>
    <d v="2026-01-22T00:00:00"/>
    <m/>
    <m/>
    <x v="1"/>
    <n v="9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0"/>
    <d v="2026-01-22T00:00:00"/>
    <m/>
    <m/>
    <x v="1"/>
    <n v="9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0"/>
    <d v="2026-01-22T00:00:00"/>
    <m/>
    <m/>
    <x v="1"/>
    <n v="9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0"/>
    <d v="2026-01-22T00:00:00"/>
    <m/>
    <m/>
    <x v="1"/>
    <n v="9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0"/>
    <d v="2026-01-22T00:00:00"/>
    <m/>
    <m/>
    <x v="1"/>
    <n v="9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0"/>
    <d v="2026-01-22T00:00:00"/>
    <m/>
    <m/>
    <x v="1"/>
    <n v="9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0"/>
    <d v="2026-01-22T00:00:00"/>
    <m/>
    <m/>
    <x v="1"/>
    <n v="9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0"/>
    <d v="2026-01-22T00:00:00"/>
    <m/>
    <m/>
    <x v="1"/>
    <n v="9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0"/>
    <d v="2026-01-22T00:00:00"/>
    <m/>
    <m/>
    <x v="1"/>
    <n v="9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0"/>
    <d v="2026-01-22T00:00:00"/>
    <m/>
    <m/>
    <x v="1"/>
    <n v="9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0"/>
    <d v="2026-01-22T00:00:00"/>
    <m/>
    <m/>
    <x v="1"/>
    <n v="9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0"/>
    <d v="2026-01-22T00:00:00"/>
    <m/>
    <m/>
    <x v="1"/>
    <n v="9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0"/>
    <d v="2026-01-22T00:00:00"/>
    <m/>
    <m/>
    <x v="1"/>
    <n v="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9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0"/>
    <d v="2026-01-22T00:00:00"/>
    <m/>
    <m/>
    <x v="1"/>
    <n v="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0"/>
    <d v="2026-01-22T00:00:00"/>
    <m/>
    <m/>
    <x v="1"/>
    <n v="9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9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0"/>
    <d v="2026-01-22T00:00:00"/>
    <m/>
    <m/>
    <x v="1"/>
    <n v="9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0"/>
    <d v="2026-01-22T00:00:00"/>
    <m/>
    <m/>
    <x v="1"/>
    <n v="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0"/>
    <d v="2026-01-22T00:00:00"/>
    <m/>
    <m/>
    <x v="1"/>
    <n v="9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0"/>
    <d v="2026-01-22T00:00:00"/>
    <m/>
    <m/>
    <x v="1"/>
    <n v="9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9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0"/>
    <d v="2026-01-22T00:00:00"/>
    <m/>
    <m/>
    <x v="1"/>
    <n v="9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0"/>
    <d v="2026-01-22T00:00:00"/>
    <m/>
    <m/>
    <x v="1"/>
    <n v="9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0"/>
    <d v="2026-01-22T00:00:00"/>
    <m/>
    <m/>
    <x v="1"/>
    <n v="9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0"/>
    <d v="2026-01-22T00:00:00"/>
    <m/>
    <m/>
    <x v="1"/>
    <n v="9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9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0"/>
    <d v="2026-01-22T00:00:00"/>
    <m/>
    <m/>
    <x v="1"/>
    <n v="9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0"/>
    <d v="2026-01-22T00:00:00"/>
    <m/>
    <m/>
    <x v="1"/>
    <n v="9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0"/>
    <d v="2026-01-22T00:00:00"/>
    <m/>
    <m/>
    <x v="1"/>
    <n v="9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0"/>
    <d v="2026-01-22T00:00:00"/>
    <m/>
    <m/>
    <x v="1"/>
    <n v="9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0"/>
    <d v="2026-01-22T00:00:00"/>
    <m/>
    <m/>
    <x v="1"/>
    <n v="9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0"/>
    <d v="2026-01-22T00:00:00"/>
    <m/>
    <m/>
    <x v="1"/>
    <n v="9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0"/>
    <d v="2026-01-22T00:00:00"/>
    <m/>
    <m/>
    <x v="1"/>
    <n v="9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0"/>
    <d v="2026-01-22T00:00:00"/>
    <m/>
    <m/>
    <x v="1"/>
    <n v="9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0"/>
    <d v="2026-01-22T00:00:00"/>
    <m/>
    <m/>
    <x v="1"/>
    <n v="9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0"/>
    <d v="2026-01-22T00:00:00"/>
    <m/>
    <m/>
    <x v="1"/>
    <n v="9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0"/>
    <d v="2026-01-22T00:00:00"/>
    <m/>
    <m/>
    <x v="1"/>
    <n v="9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0"/>
    <d v="2026-01-22T00:00:00"/>
    <m/>
    <m/>
    <x v="1"/>
    <n v="9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0"/>
    <d v="2026-01-22T00:00:00"/>
    <m/>
    <m/>
    <x v="1"/>
    <n v="9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0"/>
    <d v="2026-01-22T00:00:00"/>
    <m/>
    <m/>
    <x v="1"/>
    <n v="9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0"/>
    <d v="2026-01-22T00:00:00"/>
    <m/>
    <m/>
    <x v="1"/>
    <n v="9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0"/>
    <d v="2026-01-22T00:00:00"/>
    <m/>
    <m/>
    <x v="1"/>
    <n v="9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0"/>
    <d v="2026-01-22T00:00:00"/>
    <m/>
    <m/>
    <x v="1"/>
    <n v="9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0"/>
    <d v="2026-01-22T00:00:00"/>
    <m/>
    <m/>
    <x v="1"/>
    <n v="9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0"/>
    <d v="2026-01-22T00:00:00"/>
    <m/>
    <m/>
    <x v="1"/>
    <n v="9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0"/>
    <d v="2026-01-22T00:00:00"/>
    <m/>
    <m/>
    <x v="1"/>
    <n v="9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0"/>
    <d v="2026-01-22T00:00:00"/>
    <m/>
    <m/>
    <x v="1"/>
    <n v="9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0"/>
    <d v="2026-01-22T00:00:00"/>
    <m/>
    <m/>
    <x v="1"/>
    <n v="9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0"/>
    <d v="2026-01-22T00:00:00"/>
    <m/>
    <m/>
    <x v="1"/>
    <n v="9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0"/>
    <d v="2026-01-22T00:00:00"/>
    <m/>
    <m/>
    <x v="1"/>
    <n v="9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0"/>
    <d v="2026-01-22T00:00:00"/>
    <m/>
    <m/>
    <x v="1"/>
    <n v="9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0"/>
    <d v="2026-01-22T00:00:00"/>
    <m/>
    <m/>
    <x v="1"/>
    <n v="9"/>
    <s v="Anna Maria Urbano"/>
    <m/>
  </r>
  <r>
    <x v="486"/>
    <x v="0"/>
    <x v="2"/>
    <s v="CTEMPEU_1000IT10B05A11"/>
    <s v="H000004871"/>
    <s v="H000004871"/>
    <s v="Non-LFF"/>
    <s v=""/>
    <m/>
    <b v="1"/>
    <x v="6"/>
    <x v="0"/>
    <d v="2026-01-22T00:00:00"/>
    <m/>
    <m/>
    <x v="1"/>
    <n v="9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0"/>
    <d v="2026-01-22T00:00:00"/>
    <m/>
    <m/>
    <x v="1"/>
    <n v="9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0"/>
    <d v="2026-01-22T00:00:00"/>
    <m/>
    <m/>
    <x v="1"/>
    <n v="9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0"/>
    <d v="2026-01-22T00:00:00"/>
    <m/>
    <m/>
    <x v="1"/>
    <n v="9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0"/>
    <d v="2026-01-22T00:00:00"/>
    <m/>
    <m/>
    <x v="1"/>
    <n v="9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0"/>
    <d v="2026-01-22T00:00:00"/>
    <m/>
    <m/>
    <x v="1"/>
    <n v="9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0"/>
    <d v="2026-01-22T00:00:00"/>
    <m/>
    <m/>
    <x v="1"/>
    <n v="9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0"/>
    <d v="2026-01-22T00:00:00"/>
    <m/>
    <m/>
    <x v="1"/>
    <n v="9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0"/>
    <d v="2026-01-22T00:00:00"/>
    <m/>
    <m/>
    <x v="1"/>
    <n v="9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0"/>
    <d v="2026-01-22T00:00:00"/>
    <m/>
    <m/>
    <x v="1"/>
    <n v="9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0"/>
    <d v="2026-01-22T00:00:00"/>
    <m/>
    <m/>
    <x v="1"/>
    <n v="9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0"/>
    <d v="2026-01-22T00:00:00"/>
    <m/>
    <m/>
    <x v="1"/>
    <n v="9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0"/>
    <d v="2026-01-23T00:00:00"/>
    <m/>
    <m/>
    <x v="1"/>
    <n v="8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6"/>
    <x v="0"/>
    <d v="2026-01-23T00:00:00"/>
    <m/>
    <m/>
    <x v="1"/>
    <n v="8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0"/>
    <d v="2026-01-28T00:00:00"/>
    <m/>
    <m/>
    <x v="0"/>
    <n v="5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0"/>
    <d v="2026-01-28T00:00:00"/>
    <m/>
    <m/>
    <x v="0"/>
    <n v="5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0"/>
    <d v="2026-01-28T00:00:00"/>
    <m/>
    <m/>
    <x v="0"/>
    <n v="5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0"/>
    <d v="2026-01-28T00:00:00"/>
    <m/>
    <m/>
    <x v="0"/>
    <n v="5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0"/>
    <d v="2026-01-28T00:00:00"/>
    <m/>
    <m/>
    <x v="0"/>
    <n v="5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0"/>
    <d v="2026-01-28T00:00:00"/>
    <m/>
    <m/>
    <x v="0"/>
    <n v="5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0"/>
    <d v="2026-01-28T00:00:00"/>
    <m/>
    <m/>
    <x v="0"/>
    <n v="5"/>
    <s v="Roselle Delos Angeles"/>
    <m/>
  </r>
  <r>
    <x v="493"/>
    <x v="1"/>
    <x v="2"/>
    <s v="CFLTFLE_12950000000104 Production/Operations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05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0 Quality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1 Metals Processing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2 Organics Manufacturing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3 Paste blending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FLTFLE_12950000000114 Packaging"/>
    <s v="P000000575"/>
    <s v="P00000057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ITEMPEU_009000001337 BE40IC1500RG3212100000"/>
    <s v="P000000963"/>
    <s v="P000000963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LFF_1000$$$US01R00506 R&amp;D IC cross charges"/>
    <s v="P000000963"/>
    <s v="P000000963"/>
    <s v="LFF (MDG-F)"/>
    <s v="US01R00506"/>
    <m/>
    <b v="1"/>
    <x v="3"/>
    <x v="0"/>
    <d v="2026-01-29T00:00:00"/>
    <m/>
    <m/>
    <x v="0"/>
    <n v="4"/>
    <s v="Roselle Delos Angeles"/>
    <m/>
  </r>
  <r>
    <x v="493"/>
    <x v="1"/>
    <x v="2"/>
    <s v="CLFF_1000$$$KR02R00103 R&amp;D IC Cross Charge Spinfil"/>
    <s v="P000000963"/>
    <s v="P000000963"/>
    <s v="LFF (MDG-F)"/>
    <s v="KR02R00103"/>
    <m/>
    <b v="1"/>
    <x v="3"/>
    <x v="0"/>
    <d v="2026-01-29T00:00:00"/>
    <m/>
    <m/>
    <x v="0"/>
    <n v="4"/>
    <s v="Roselle Delos Angeles"/>
    <m/>
  </r>
  <r>
    <x v="493"/>
    <x v="1"/>
    <x v="2"/>
    <s v="CLFF_VMCA$$$CN09L80000 Local Insurance"/>
    <s v="P000001335"/>
    <s v="P000001335"/>
    <s v="LFF (MDG-F)"/>
    <s v="CN09L80000"/>
    <m/>
    <b v="1"/>
    <x v="3"/>
    <x v="0"/>
    <d v="2026-01-29T00:00:00"/>
    <m/>
    <m/>
    <x v="0"/>
    <n v="4"/>
    <s v="Roselle Delos Angeles"/>
    <m/>
  </r>
  <r>
    <x v="493"/>
    <x v="1"/>
    <x v="2"/>
    <s v="CLFF_VMCA$$$CN10L80000 Local Insurance"/>
    <s v="P000001335"/>
    <s v="P000001335"/>
    <s v="LFF (MDG-F)"/>
    <s v="CN10L80000"/>
    <m/>
    <b v="1"/>
    <x v="3"/>
    <x v="0"/>
    <d v="2026-01-29T00:00:00"/>
    <m/>
    <m/>
    <x v="0"/>
    <n v="4"/>
    <s v="Roselle Delos Angeles"/>
    <m/>
  </r>
  <r>
    <x v="493"/>
    <x v="1"/>
    <x v="2"/>
    <s v="CLFF_VMCA$$$CN43L80000 Local Insurance"/>
    <s v="P000001335"/>
    <s v="P000001335"/>
    <s v="LFF (MDG-F)"/>
    <s v="CN43L80000"/>
    <m/>
    <b v="1"/>
    <x v="3"/>
    <x v="0"/>
    <d v="2026-01-29T00:00:00"/>
    <m/>
    <m/>
    <x v="0"/>
    <n v="4"/>
    <s v="Roselle Delos Angeles"/>
    <m/>
  </r>
  <r>
    <x v="493"/>
    <x v="1"/>
    <x v="2"/>
    <s v="CLFF_1000$$$SG09GIN004 XX_IN- Local Insurance"/>
    <s v="P000001335"/>
    <s v="P000001335"/>
    <s v="LFF (MDG-F)"/>
    <s v="SG09GIN004"/>
    <m/>
    <b v="1"/>
    <x v="3"/>
    <x v="0"/>
    <d v="2026-01-29T00:00:00"/>
    <m/>
    <m/>
    <x v="0"/>
    <n v="4"/>
    <s v="Roselle Delos Angeles"/>
    <m/>
  </r>
  <r>
    <x v="493"/>
    <x v="1"/>
    <x v="2"/>
    <s v="CLFF_1000$$$CN01GIN004 Local Insurance"/>
    <s v="P000001335"/>
    <s v="P000001335"/>
    <s v="LFF (MDG-F)"/>
    <s v="CN01GIN004"/>
    <m/>
    <b v="1"/>
    <x v="3"/>
    <x v="0"/>
    <d v="2026-01-29T00:00:00"/>
    <m/>
    <m/>
    <x v="0"/>
    <n v="4"/>
    <s v="Roselle Delos Angeles"/>
    <m/>
  </r>
  <r>
    <x v="493"/>
    <x v="1"/>
    <x v="2"/>
    <s v="CLFF_1000$$$CN02GIN005 Local Insurance"/>
    <s v="P000001335"/>
    <s v="P000001335"/>
    <s v="LFF (MDG-F)"/>
    <s v="CN02GIN005"/>
    <m/>
    <b v="1"/>
    <x v="3"/>
    <x v="0"/>
    <d v="2026-01-29T00:00:00"/>
    <m/>
    <m/>
    <x v="0"/>
    <n v="4"/>
    <s v="Roselle Delos Angeles"/>
    <m/>
  </r>
  <r>
    <x v="493"/>
    <x v="1"/>
    <x v="2"/>
    <s v="CLFF_1000$$$CN03OF0502 Local Insurance"/>
    <s v="P000001335"/>
    <s v="P000001335"/>
    <s v="LFF (MDG-F)"/>
    <s v="CN03OF0502"/>
    <m/>
    <b v="1"/>
    <x v="3"/>
    <x v="0"/>
    <d v="2026-01-29T00:00:00"/>
    <m/>
    <m/>
    <x v="0"/>
    <n v="4"/>
    <s v="Roselle Delos Angeles"/>
    <m/>
  </r>
  <r>
    <x v="493"/>
    <x v="1"/>
    <x v="2"/>
    <s v="CLFF_1000$$$HK01GIN005 XX_IN-Local Insurance"/>
    <s v="P000001335"/>
    <s v="P000001335"/>
    <s v="LFF (MDG-F)"/>
    <s v="HK01GIN005"/>
    <m/>
    <b v="1"/>
    <x v="3"/>
    <x v="0"/>
    <d v="2026-01-29T00:00:00"/>
    <m/>
    <m/>
    <x v="0"/>
    <n v="4"/>
    <s v="Roselle Delos Angeles"/>
    <m/>
  </r>
  <r>
    <x v="493"/>
    <x v="1"/>
    <x v="2"/>
    <s v="CLFF_1000$$$US01GIN101 PM-Local Insurance"/>
    <s v="P000001335"/>
    <s v="P000001335"/>
    <s v="LFF (MDG-F)"/>
    <s v="US01GIN101"/>
    <m/>
    <b v="1"/>
    <x v="3"/>
    <x v="0"/>
    <d v="2026-01-29T00:00:00"/>
    <m/>
    <m/>
    <x v="0"/>
    <n v="4"/>
    <s v="Roselle Delos Angeles"/>
    <m/>
  </r>
  <r>
    <x v="493"/>
    <x v="1"/>
    <x v="2"/>
    <s v="CLFF_1000$$$IN01Z02185 XX_Prem/con/fees Oth"/>
    <s v="P000001335"/>
    <s v="P000001335"/>
    <s v="LFF (MDG-F)"/>
    <s v="IN01Z02185"/>
    <m/>
    <b v="1"/>
    <x v="3"/>
    <x v="0"/>
    <d v="2026-01-29T00:00:00"/>
    <m/>
    <m/>
    <x v="0"/>
    <n v="4"/>
    <s v="Roselle Delos Angeles"/>
    <m/>
  </r>
  <r>
    <x v="493"/>
    <x v="1"/>
    <x v="2"/>
    <s v="CLFF_1000$$$JP01Z02182 XX_Prem/con/fees M&amp;S"/>
    <s v="P000001335"/>
    <s v="P000001335"/>
    <s v="LFF (MDG-F)"/>
    <s v="JP01Z02182"/>
    <m/>
    <b v="1"/>
    <x v="3"/>
    <x v="0"/>
    <d v="2026-01-29T00:00:00"/>
    <m/>
    <m/>
    <x v="0"/>
    <n v="4"/>
    <s v="Roselle Delos Angeles"/>
    <m/>
  </r>
  <r>
    <x v="493"/>
    <x v="1"/>
    <x v="2"/>
    <s v="ITEMPEU_ES40AA0017 Premium/Contributions/Fees 3122105000"/>
    <s v="P000001335"/>
    <s v="P00000133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ITEMPEU_IT41AA0017 Premium/Contributions/Fees 3122105000"/>
    <s v="P000001335"/>
    <s v="P000001335"/>
    <s v="Non-LFF"/>
    <s v=""/>
    <m/>
    <b v="1"/>
    <x v="3"/>
    <x v="0"/>
    <d v="2026-01-29T00:00:00"/>
    <m/>
    <m/>
    <x v="0"/>
    <n v="4"/>
    <s v="Roselle Delos Angeles"/>
    <m/>
  </r>
  <r>
    <x v="493"/>
    <x v="1"/>
    <x v="2"/>
    <s v="CLFF_1000$$$KR02Z02185 Prem/con/fees Oth"/>
    <s v="P000001335"/>
    <s v="P000001335"/>
    <s v="LFF (MDG-F)"/>
    <s v="KR02Z02185"/>
    <m/>
    <b v="1"/>
    <x v="3"/>
    <x v="0"/>
    <d v="2026-01-29T00:00:00"/>
    <m/>
    <m/>
    <x v="0"/>
    <n v="4"/>
    <s v="Roselle Delos Angeles"/>
    <m/>
  </r>
  <r>
    <x v="493"/>
    <x v="1"/>
    <x v="2"/>
    <s v="CLFF_KR00$$$KR03Z02185 Prem/con/fees Oth"/>
    <s v="P000001335"/>
    <s v="P000001335"/>
    <s v="LFF (MDG-F)"/>
    <s v="KR03Z02185"/>
    <m/>
    <b v="1"/>
    <x v="3"/>
    <x v="0"/>
    <d v="2026-01-29T00:00:00"/>
    <m/>
    <m/>
    <x v="0"/>
    <n v="4"/>
    <s v="Roselle Delos Angeles"/>
    <m/>
  </r>
  <r>
    <x v="493"/>
    <x v="1"/>
    <x v="2"/>
    <s v="CLFF_1000$$$DE04L80000 EL AP Accruals_1188"/>
    <s v="P000001379"/>
    <s v="P000001379"/>
    <s v="LFF (MDG-F)"/>
    <s v="DE04L80000"/>
    <m/>
    <b v="1"/>
    <x v="3"/>
    <x v="0"/>
    <d v="2026-01-29T00:00:00"/>
    <m/>
    <m/>
    <x v="0"/>
    <n v="4"/>
    <s v="Roselle Delos Angeles"/>
    <m/>
  </r>
  <r>
    <x v="493"/>
    <x v="1"/>
    <x v="2"/>
    <s v="CLFF_1000$$$DE10L80000 EL AP Accruals_1500"/>
    <s v="P000001379"/>
    <s v="P000001379"/>
    <s v="LFF (MDG-F)"/>
    <s v="DE10L80000"/>
    <m/>
    <b v="1"/>
    <x v="3"/>
    <x v="0"/>
    <d v="2026-01-29T00:00:00"/>
    <m/>
    <m/>
    <x v="0"/>
    <n v="4"/>
    <s v="Roselle Delos Angeles"/>
    <m/>
  </r>
  <r>
    <x v="493"/>
    <x v="1"/>
    <x v="2"/>
    <s v="CLFF_1000$$$US01L80000 EL AP Accruals_1283"/>
    <s v="P000001379"/>
    <s v="P000001379"/>
    <s v="LFF (MDG-F)"/>
    <s v="US01L80000"/>
    <m/>
    <b v="1"/>
    <x v="3"/>
    <x v="0"/>
    <d v="2026-01-29T00:00:00"/>
    <m/>
    <m/>
    <x v="0"/>
    <n v="4"/>
    <s v="Roselle Delos Angeles"/>
    <m/>
  </r>
  <r>
    <x v="493"/>
    <x v="1"/>
    <x v="6"/>
    <s v="CLFF_VMCA$$$DE10L80001 EL AP Accruals_2319"/>
    <s v="P000001379"/>
    <s v="P000000425"/>
    <s v="LFF (MDG-F)"/>
    <s v="DE10L80001"/>
    <s v="NOT IN MDGF"/>
    <b v="0"/>
    <x v="3"/>
    <x v="0"/>
    <d v="2026-01-29T00:00:00"/>
    <m/>
    <m/>
    <x v="0"/>
    <n v="4"/>
    <s v="Roselle Delos Angeles"/>
    <m/>
  </r>
  <r>
    <x v="493"/>
    <x v="1"/>
    <x v="2"/>
    <s v="CLFF_1000$$$DE10B06200 EL-OP-SDPN NPI Transfer"/>
    <s v="P000000084"/>
    <s v="P000000084"/>
    <s v="LFF (MDG-F)"/>
    <s v="DE10B06200"/>
    <m/>
    <b v="1"/>
    <x v="3"/>
    <x v="0"/>
    <d v="2026-01-29T00:00:00"/>
    <m/>
    <m/>
    <x v="0"/>
    <n v="4"/>
    <s v="Roselle Delos Angeles"/>
    <m/>
  </r>
  <r>
    <x v="493"/>
    <x v="1"/>
    <x v="2"/>
    <s v="CLFF_1000$$$DE10B06210 EL-OP-SDPN NPI Transfer-A"/>
    <s v="P000000084"/>
    <s v="P000000084"/>
    <s v="LFF (MDG-F)"/>
    <s v="DE10B06210"/>
    <m/>
    <b v="1"/>
    <x v="3"/>
    <x v="0"/>
    <d v="2026-01-29T00:00:00"/>
    <m/>
    <m/>
    <x v="0"/>
    <n v="4"/>
    <s v="Roselle Delos Angeles"/>
    <m/>
  </r>
  <r>
    <x v="493"/>
    <x v="1"/>
    <x v="2"/>
    <s v="CPHOENX_01010000608800 EL-OP-SDPP Production Planning"/>
    <s v="P000001172"/>
    <s v="P000001172"/>
    <s v="Non-LFF"/>
    <s v=""/>
    <m/>
    <b v="1"/>
    <x v="3"/>
    <x v="0"/>
    <d v="2026-01-29T00:00:00"/>
    <m/>
    <m/>
    <x v="0"/>
    <n v="4"/>
    <s v="Roselle Delos Angeles"/>
    <m/>
  </r>
  <r>
    <x v="494"/>
    <x v="0"/>
    <x v="2"/>
    <s v="CFLTFLE_1798C38"/>
    <s v="G000000179"/>
    <s v="G000000179"/>
    <s v="Non-LFF"/>
    <s v=""/>
    <m/>
    <b v="1"/>
    <x v="6"/>
    <x v="0"/>
    <d v="2026-01-29T00:00:00"/>
    <m/>
    <m/>
    <x v="0"/>
    <n v="4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0"/>
    <d v="2026-01-29T00:00:00"/>
    <m/>
    <m/>
    <x v="0"/>
    <n v="4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0"/>
    <d v="2026-01-29T00:00:00"/>
    <m/>
    <m/>
    <x v="0"/>
    <n v="4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0"/>
    <d v="2026-01-29T00:00:00"/>
    <m/>
    <m/>
    <x v="0"/>
    <n v="4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0"/>
    <d v="2026-01-29T00:00:00"/>
    <m/>
    <m/>
    <x v="0"/>
    <n v="4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0"/>
    <d v="2026-01-29T00:00:00"/>
    <m/>
    <m/>
    <x v="0"/>
    <n v="4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0"/>
    <d v="2026-01-29T00:00:00"/>
    <m/>
    <m/>
    <x v="0"/>
    <n v="4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0"/>
    <d v="2026-01-29T00:00:00"/>
    <m/>
    <m/>
    <x v="0"/>
    <n v="4"/>
    <s v="John Rowie Del Rosario"/>
    <m/>
  </r>
  <r>
    <x v="497"/>
    <x v="0"/>
    <x v="8"/>
    <s v="CSCALA_1042$EQ_P15"/>
    <s v="O000000003"/>
    <s v="Trash"/>
    <s v="Non-LFF"/>
    <s v=""/>
    <m/>
    <b v="0"/>
    <x v="3"/>
    <x v="0"/>
    <d v="2026-01-29T00:00:00"/>
    <m/>
    <m/>
    <x v="0"/>
    <n v="4"/>
    <s v="John Rowie Del Rosario"/>
    <m/>
  </r>
  <r>
    <x v="497"/>
    <x v="0"/>
    <x v="2"/>
    <s v="CSCALA_1042$EQ_P39"/>
    <s v="O000000003"/>
    <s v="O000000003"/>
    <s v="Non-LFF"/>
    <s v=""/>
    <m/>
    <b v="1"/>
    <x v="3"/>
    <x v="0"/>
    <d v="2026-01-29T00:00:00"/>
    <m/>
    <m/>
    <x v="0"/>
    <n v="4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0"/>
    <d v="2026-01-29T00:00:00"/>
    <m/>
    <m/>
    <x v="0"/>
    <n v="4"/>
    <s v="John Rowie Del Rosario"/>
    <m/>
  </r>
  <r>
    <x v="497"/>
    <x v="0"/>
    <x v="2"/>
    <s v="CSCALA_1042$GADM_999"/>
    <s v="O000000003"/>
    <s v="O000000003"/>
    <s v="Non-LFF"/>
    <s v=""/>
    <m/>
    <b v="1"/>
    <x v="3"/>
    <x v="0"/>
    <d v="2026-01-29T00:00:00"/>
    <m/>
    <m/>
    <x v="0"/>
    <n v="4"/>
    <s v="John Rowie Del Rosario"/>
    <m/>
  </r>
  <r>
    <x v="498"/>
    <x v="0"/>
    <x v="2"/>
    <s v="CTEMPLA_1000BR10303113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4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5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6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8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19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1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2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5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6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5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9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0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1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3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5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6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7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8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9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1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3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7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8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61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62"/>
    <s v="H000004910"/>
    <s v="H00000491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M10"/>
    <s v="H000004911"/>
    <s v="H00000491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M20"/>
    <s v="H000004911"/>
    <s v="H00000491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M99"/>
    <s v="H000004909"/>
    <s v="H000004909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MM1"/>
    <s v="H000004912"/>
    <s v="H000004912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LRP20"/>
    <s v="H000004915"/>
    <s v="H000004915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8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29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0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1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2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3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6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7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38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42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2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4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55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60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303170"/>
    <s v="H000004914"/>
    <s v="H000004914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P10"/>
    <s v="H000004915"/>
    <s v="H000004915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P99"/>
    <s v="H000004913"/>
    <s v="H000004913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P00"/>
    <s v="H000004916"/>
    <s v="H00000491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CRS41"/>
    <s v="H000004900"/>
    <s v="H00000490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CRS42"/>
    <s v="H000004900"/>
    <s v="H00000490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CRS44"/>
    <s v="H000004900"/>
    <s v="H000004900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IRS10"/>
    <s v="H000004902"/>
    <s v="H000004902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IRS51"/>
    <s v="H000004902"/>
    <s v="H000004902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LRS22"/>
    <s v="H000004902"/>
    <s v="H000004902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ARS21"/>
    <s v="H000004901"/>
    <s v="H00000490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KRS31"/>
    <s v="H000004901"/>
    <s v="H00000490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KRS88"/>
    <s v="H000004901"/>
    <s v="H000004901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BRQ10"/>
    <s v="H000004896"/>
    <s v="H00000489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BRQ20"/>
    <s v="H000004896"/>
    <s v="H00000489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01"/>
    <s v="H000004905"/>
    <s v="H000004905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21"/>
    <s v="H000004903"/>
    <s v="H000004903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29"/>
    <s v="H000004903"/>
    <s v="H000004903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1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2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3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4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5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6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7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8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49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0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1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2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3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5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6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7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8"/>
    <x v="0"/>
    <x v="2"/>
    <s v="CTEMPLA_1000BR10TGRI58"/>
    <s v="H000004906"/>
    <s v="H000004906"/>
    <s v="Non-LFF"/>
    <s v=""/>
    <m/>
    <b v="1"/>
    <x v="6"/>
    <x v="0"/>
    <d v="2026-01-30T00:00:00"/>
    <m/>
    <m/>
    <x v="0"/>
    <n v="3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0"/>
    <d v="2026-01-30T00:00:00"/>
    <m/>
    <m/>
    <x v="0"/>
    <n v="3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0"/>
    <d v="2026-01-30T00:00:00"/>
    <m/>
    <m/>
    <x v="0"/>
    <n v="3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0"/>
    <d v="2026-01-30T00:00:00"/>
    <m/>
    <m/>
    <x v="0"/>
    <n v="3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0"/>
    <d v="2026-01-30T00:00:00"/>
    <m/>
    <m/>
    <x v="0"/>
    <n v="3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0"/>
    <d v="2026-01-30T00:00:00"/>
    <m/>
    <m/>
    <x v="0"/>
    <n v="3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0"/>
    <d v="2026-01-30T00:00:00"/>
    <m/>
    <m/>
    <x v="0"/>
    <n v="3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0"/>
    <d v="2026-02-03T00:00:00"/>
    <m/>
    <m/>
    <x v="0"/>
    <n v="1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0"/>
    <d v="2026-02-03T00:00:00"/>
    <m/>
    <m/>
    <x v="0"/>
    <n v="1"/>
    <s v="Erjo Miguel Tagle"/>
    <m/>
  </r>
  <r>
    <x v="500"/>
    <x v="0"/>
    <x v="2"/>
    <s v="CSCALA_1248$A350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0_L05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0_L09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0_L11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0_L33"/>
    <s v="H000004863"/>
    <s v="H000004863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_L05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_L12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_L33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1_L34"/>
    <s v="H000004864"/>
    <s v="H000004864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 LPSO GPS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_L05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_L12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_L33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0"/>
    <x v="0"/>
    <x v="2"/>
    <s v="CSCALA_1248$A353_L34"/>
    <s v="H000004865"/>
    <s v="H000004865"/>
    <s v="Non-LFF"/>
    <s v=""/>
    <m/>
    <b v="1"/>
    <x v="1"/>
    <x v="0"/>
    <d v="2026-02-03T00:00:00"/>
    <m/>
    <m/>
    <x v="0"/>
    <n v="1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0"/>
    <d v="2026-02-03T00:00:00"/>
    <m/>
    <m/>
    <x v="0"/>
    <n v="1"/>
    <s v="Nikolaos Antonopoulos"/>
    <m/>
  </r>
  <r>
    <x v="502"/>
    <x v="1"/>
    <x v="6"/>
    <s v="CLFF_1000$$$CH65R00014"/>
    <s v="H000000912"/>
    <s v="H000000714"/>
    <s v="LFF (MDG-F)"/>
    <s v="CH65R00014"/>
    <m/>
    <b v="0"/>
    <x v="1"/>
    <x v="0"/>
    <d v="2026-02-03T00:00:00"/>
    <m/>
    <m/>
    <x v="0"/>
    <n v="1"/>
    <s v="Erjo Miguel Tagle"/>
    <m/>
  </r>
  <r>
    <x v="503"/>
    <x v="1"/>
    <x v="2"/>
    <s v="CTEMPNA_1000CA20176100 Field Force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200 ISS Marketing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210 Sales Promo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220 Sales Promo Advertising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230 Sales Promo Congress events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240 Sales Promo Other promo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600 Medical Affairs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500 Med Non-R&amp;D Medical education Pimi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510 Med Non R&amp;D Medical donations Pimi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520 Med Non-R&amp;D Medical consultants Pimi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530 Med Non-R&amp;D Other medical non R&amp;D Pimi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76540 Med Non-R&amp;D Medical education Pimi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3"/>
    <x v="1"/>
    <x v="2"/>
    <s v="CTEMPNA_1000CA20199272 Market Access Pimicotinib"/>
    <s v="H000004396"/>
    <s v="H000004396"/>
    <s v="Non-LFF"/>
    <s v=""/>
    <m/>
    <b v="1"/>
    <x v="1"/>
    <x v="0"/>
    <d v="2026-02-03T00:00:00"/>
    <m/>
    <m/>
    <x v="0"/>
    <n v="1"/>
    <s v="Rizza Tolentino"/>
    <m/>
  </r>
  <r>
    <x v="504"/>
    <x v="1"/>
    <x v="2"/>
    <s v="CNOW_7210$$$0000056007 Mobius Warehouse-Distri"/>
    <s v="L000012185"/>
    <s v="L00001218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6057 Mobius Warehouse-Dist"/>
    <s v="L000012185"/>
    <s v="L00001218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9933 WUXI DISTRIBUTION for FG OUTPUT"/>
    <s v="L000009359"/>
    <s v="L000009359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9983 WUXI DISTRIBUTION for FG OUTPUT"/>
    <s v="L000009359"/>
    <s v="L000009359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2349"/>
    <s v="L000013422"/>
    <s v="L000013422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9748"/>
    <s v="L000013923"/>
    <s v="L000013923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PHOENX_01010000669795 LS-OHC-S Projects"/>
    <s v="L000013923"/>
    <s v="L000013923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PHOENX_01010000669610 External Manufacturing Quality Darmstadt"/>
    <s v="L000013923"/>
    <s v="L000013923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25522 Quality Assurance - Serum"/>
    <s v="L000013923"/>
    <s v="L000013923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08099 Continuing Laramie Costs"/>
    <s v="L000009645"/>
    <s v="L000009645"/>
    <s v="Non-LFF"/>
    <s v=""/>
    <m/>
    <b v="1"/>
    <x v="2"/>
    <x v="0"/>
    <d v="2026-02-03T00:00:00"/>
    <m/>
    <m/>
    <x v="0"/>
    <n v="1"/>
    <s v="Ruby Grace Garcia"/>
    <m/>
  </r>
  <r>
    <x v="504"/>
    <x v="1"/>
    <x v="6"/>
    <s v="CLFF_7210$$$2102L80001 MFG ERP BPO"/>
    <s v="L000013930"/>
    <m/>
    <s v="LFF (MDG-F)"/>
    <s v="2102L80001"/>
    <m/>
    <b v="0"/>
    <x v="2"/>
    <x v="0"/>
    <d v="2026-02-03T00:00:00"/>
    <m/>
    <m/>
    <x v="0"/>
    <n v="1"/>
    <s v="Ruby Grace Garcia"/>
    <m/>
  </r>
  <r>
    <x v="504"/>
    <x v="1"/>
    <x v="6"/>
    <s v="CLFF_7210$$$2102TFSZ63 STL RS SPRING BUILDING"/>
    <s v="L000013932"/>
    <m/>
    <s v="LFF (MDG-F)"/>
    <s v="2102TFSZ63"/>
    <m/>
    <b v="0"/>
    <x v="2"/>
    <x v="0"/>
    <d v="2026-02-03T00:00:00"/>
    <m/>
    <m/>
    <x v="0"/>
    <n v="1"/>
    <s v="Ruby Grace Garcia"/>
    <m/>
  </r>
  <r>
    <x v="504"/>
    <x v="1"/>
    <x v="6"/>
    <s v="CLFF_7210$$$2102TMSZ92 STL RS MISC EXPENSES - COGS 2110"/>
    <s v="L000013932"/>
    <m/>
    <s v="LFF (MDG-F)"/>
    <s v="2102TMSZ92"/>
    <m/>
    <b v="0"/>
    <x v="2"/>
    <x v="0"/>
    <d v="2026-02-03T00:00:00"/>
    <m/>
    <m/>
    <x v="0"/>
    <n v="1"/>
    <s v="Ruby Grace Garcia"/>
    <m/>
  </r>
  <r>
    <x v="504"/>
    <x v="1"/>
    <x v="6"/>
    <s v="CLFF_7210$$$2102TMSZ95 STL RS MISCELLANEOUS EXPENSE G&amp;A"/>
    <s v="L000013932"/>
    <m/>
    <s v="LFF (MDG-F)"/>
    <s v="2102TMSZ95"/>
    <m/>
    <b v="0"/>
    <x v="2"/>
    <x v="0"/>
    <d v="2026-02-03T00:00:00"/>
    <m/>
    <m/>
    <x v="0"/>
    <n v="1"/>
    <s v="Ruby Grace Garcia"/>
    <m/>
  </r>
  <r>
    <x v="504"/>
    <x v="1"/>
    <x v="6"/>
    <s v="CLFF_7210$$$2102TMCZ94 Decarbonization Strategy"/>
    <s v="L000013932"/>
    <m/>
    <s v="LFF (MDG-F)"/>
    <s v="2102TMCZ94"/>
    <m/>
    <b v="0"/>
    <x v="2"/>
    <x v="0"/>
    <d v="2026-02-03T00:00:00"/>
    <m/>
    <m/>
    <x v="0"/>
    <n v="1"/>
    <s v="Ruby Grace Garcia"/>
    <m/>
  </r>
  <r>
    <x v="504"/>
    <x v="1"/>
    <x v="2"/>
    <s v="CNOW_7210$$$0000020223 STL RS SIGMA REDEVELOPMENT CORP (SPRUCE)"/>
    <s v="L000013932"/>
    <s v="L000013932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20249 STL RS SECURITY BUILDING-OLIVE ST"/>
    <s v="L000013932"/>
    <s v="L000013932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20251 STL RS SPRUCE BUILDING"/>
    <s v="L000013932"/>
    <s v="L000013932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22109 RBI APP APPI ASSETS CO"/>
    <s v="L000013932"/>
    <s v="L000013932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23303 STL BT 2230 PACKAGING DEPR"/>
    <s v="L000013932"/>
    <s v="L000013932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9667 LS Transformation Office - M&amp;A"/>
    <s v="L000013933"/>
    <s v="L000013933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9923 BD BP PS"/>
    <s v="L000013735"/>
    <s v="L00001373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PHOENX_01010000697906 BD BP PS"/>
    <s v="L000013735"/>
    <s v="L00001373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22408 BD BP SLS"/>
    <s v="L000013940"/>
    <s v="L000013940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9924 BD BP SLS"/>
    <s v="L000013735"/>
    <s v="L000013735"/>
    <s v="Non-LFF"/>
    <s v=""/>
    <m/>
    <b v="1"/>
    <x v="2"/>
    <x v="0"/>
    <d v="2026-02-03T00:00:00"/>
    <m/>
    <m/>
    <x v="0"/>
    <n v="1"/>
    <s v="Ruby Grace Garcia"/>
    <m/>
  </r>
  <r>
    <x v="504"/>
    <x v="1"/>
    <x v="6"/>
    <s v="CLFF_7210$$$1756C05742 WW Business Development - AS"/>
    <s v="L000013933"/>
    <m/>
    <s v="LFF (MDG-F)"/>
    <s v="1756C05742"/>
    <m/>
    <b v="0"/>
    <x v="2"/>
    <x v="0"/>
    <d v="2026-02-03T00:00:00"/>
    <m/>
    <m/>
    <x v="0"/>
    <n v="1"/>
    <s v="Ruby Grace Garcia"/>
    <m/>
  </r>
  <r>
    <x v="504"/>
    <x v="1"/>
    <x v="6"/>
    <s v="CLFF_7210$$$2148C00002 AS Business Develp"/>
    <s v="L000013935"/>
    <m/>
    <s v="LFF (MDG-F)"/>
    <s v="2148C00002"/>
    <m/>
    <b v="0"/>
    <x v="2"/>
    <x v="0"/>
    <d v="2026-02-03T00:00:00"/>
    <m/>
    <m/>
    <x v="0"/>
    <n v="1"/>
    <s v="Ruby Grace Garcia"/>
    <m/>
  </r>
  <r>
    <x v="504"/>
    <x v="1"/>
    <x v="2"/>
    <s v="CNOW_7210$$$0000020347 STL APPLED BUSINESS DEVELOPMENT"/>
    <s v="L000013935"/>
    <s v="L00001393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1420 Business Development"/>
    <s v="L000013940"/>
    <s v="L000013940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6729 SLS Business Development"/>
    <s v="L000013933"/>
    <s v="L000013933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EMERAL_70007001581588 SLS Business Development Singapore"/>
    <s v="L000013937"/>
    <s v="L000013937"/>
    <s v="Non-LFF"/>
    <s v=""/>
    <m/>
    <b v="1"/>
    <x v="2"/>
    <x v="0"/>
    <d v="2026-02-03T00:00:00"/>
    <m/>
    <m/>
    <x v="0"/>
    <n v="1"/>
    <s v="Ruby Grace Garcia"/>
    <m/>
  </r>
  <r>
    <x v="504"/>
    <x v="1"/>
    <x v="6"/>
    <s v="CLFF_7210$$$1919R05630 RS R&amp;D Business Dev. EMEA"/>
    <s v="L000013940"/>
    <m/>
    <s v="LFF (MDG-F)"/>
    <s v="1919R05630"/>
    <m/>
    <b v="0"/>
    <x v="2"/>
    <x v="0"/>
    <d v="2026-02-03T00:00:00"/>
    <m/>
    <m/>
    <x v="0"/>
    <n v="1"/>
    <s v="Ruby Grace Garcia"/>
    <m/>
  </r>
  <r>
    <x v="504"/>
    <x v="1"/>
    <x v="6"/>
    <s v="CLFF_7210$$$2118R00001 Research Solutions - BD China"/>
    <s v="L000013937"/>
    <m/>
    <s v="LFF (MDG-F)"/>
    <s v="2118R00001"/>
    <m/>
    <b v="0"/>
    <x v="2"/>
    <x v="0"/>
    <d v="2026-02-03T00:00:00"/>
    <m/>
    <m/>
    <x v="0"/>
    <n v="1"/>
    <s v="Ruby Grace Garcia"/>
    <m/>
  </r>
  <r>
    <x v="504"/>
    <x v="1"/>
    <x v="2"/>
    <s v="CNOW_7210$$$0000040178 R&amp;D LSC Licensing"/>
    <s v="L000013934"/>
    <s v="L000013934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40271 MWK RS Business Development"/>
    <s v="L000013934"/>
    <s v="L000013934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40542 MWK RS CHEMISTRY BD"/>
    <s v="L000013935"/>
    <s v="L00001393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1569 RS R&amp;D Business Dev. Head of"/>
    <s v="L000013935"/>
    <s v="L00001393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NOW_7210$$$0000051869 RS R&amp;D Business Dev. Head of"/>
    <s v="L000013940"/>
    <s v="L000013940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6097 MWK RS Business Development"/>
    <s v="L000013940"/>
    <s v="L000013940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6713 Business Development Manager US"/>
    <s v="L000013935"/>
    <s v="L000013935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PHOENX_01010000697907 BD BP LSS"/>
    <s v="L000013940"/>
    <s v="L000013940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ORAERP_MMOR1975.9871 LS Business Development"/>
    <s v="L000013940"/>
    <s v="L000013940"/>
    <s v="Non-LFF"/>
    <s v=""/>
    <m/>
    <b v="1"/>
    <x v="2"/>
    <x v="0"/>
    <d v="2026-02-03T00:00:00"/>
    <m/>
    <m/>
    <x v="0"/>
    <n v="1"/>
    <s v="Ruby Grace Garcia"/>
    <m/>
  </r>
  <r>
    <x v="504"/>
    <x v="1"/>
    <x v="2"/>
    <s v="CPHOENX_01010000636710 Business Development"/>
    <s v="L000013933"/>
    <s v="L000013933"/>
    <s v="Non-LFF"/>
    <s v=""/>
    <m/>
    <b v="1"/>
    <x v="2"/>
    <x v="0"/>
    <d v="2026-02-03T00:00:00"/>
    <m/>
    <m/>
    <x v="0"/>
    <n v="1"/>
    <s v="Ruby Grace Garcia"/>
    <m/>
  </r>
  <r>
    <x v="504"/>
    <x v="1"/>
    <x v="5"/>
    <s v="CORAERP_MMOR1975.9977 BMS &amp; Business Partnering LS - HO"/>
    <s v="L000013734"/>
    <n v="0"/>
    <s v="Non-LFF"/>
    <s v=""/>
    <m/>
    <b v="0"/>
    <x v="2"/>
    <x v="0"/>
    <d v="2026-02-03T00:00:00"/>
    <m/>
    <m/>
    <x v="0"/>
    <n v="1"/>
    <s v="Ruby Grace Garcia"/>
    <m/>
  </r>
  <r>
    <x v="504"/>
    <x v="1"/>
    <x v="2"/>
    <s v="CPHOENX_01010000697998 LS Change Management"/>
    <s v="L000013956"/>
    <s v="L000013956"/>
    <s v="Non-LFF"/>
    <s v=""/>
    <m/>
    <b v="1"/>
    <x v="2"/>
    <x v="0"/>
    <d v="2026-02-03T00:00:00"/>
    <m/>
    <m/>
    <x v="0"/>
    <n v="1"/>
    <s v="Ruby Grace Garcia"/>
    <m/>
  </r>
  <r>
    <x v="505"/>
    <x v="1"/>
    <x v="6"/>
    <s v="CLFF_1000$$$CN01C00471 PMI Management"/>
    <s v="P000000572"/>
    <m/>
    <s v="LFF (MDG-F)"/>
    <s v="CN01C00471"/>
    <m/>
    <b v="0"/>
    <x v="3"/>
    <x v="0"/>
    <d v="2026-02-03T00:00:00"/>
    <m/>
    <m/>
    <x v="0"/>
    <n v="1"/>
    <s v="John Rowie Del Rosario"/>
    <m/>
  </r>
  <r>
    <x v="505"/>
    <x v="1"/>
    <x v="6"/>
    <s v="CLFF_1000$$$CN01C00412 PMI Sales Specialty Accounts"/>
    <s v="P000000574"/>
    <m/>
    <s v="LFF (MDG-F)"/>
    <s v="CN01C00412"/>
    <m/>
    <b v="0"/>
    <x v="3"/>
    <x v="0"/>
    <d v="2026-02-03T00:00:00"/>
    <m/>
    <m/>
    <x v="0"/>
    <n v="1"/>
    <s v="John Rowie Del Rosario"/>
    <m/>
  </r>
  <r>
    <x v="505"/>
    <x v="1"/>
    <x v="6"/>
    <s v="CLFF_1000$$$CN01C00415 PMI Tech Service Specialty Accounts"/>
    <s v="P000001423"/>
    <m/>
    <s v="LFF (MDG-F)"/>
    <s v="CN01C00415"/>
    <m/>
    <b v="0"/>
    <x v="3"/>
    <x v="0"/>
    <d v="2026-02-03T00:00:00"/>
    <m/>
    <m/>
    <x v="0"/>
    <n v="1"/>
    <s v="John Rowie Del Rosario"/>
    <m/>
  </r>
  <r>
    <x v="505"/>
    <x v="1"/>
    <x v="6"/>
    <s v="CLFF_1000$$$CN02C00412 PMI Sales Specialty Accounts"/>
    <s v="P000000574"/>
    <m/>
    <s v="LFF (MDG-F)"/>
    <s v="CN02C00412"/>
    <m/>
    <b v="0"/>
    <x v="3"/>
    <x v="0"/>
    <d v="2026-02-03T00:00:00"/>
    <m/>
    <m/>
    <x v="0"/>
    <n v="1"/>
    <s v="John Rowie Del Rosario"/>
    <m/>
  </r>
  <r>
    <x v="505"/>
    <x v="1"/>
    <x v="2"/>
    <s v="CFLTFLE_12950000000104 Production/Operations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FLTFLE_12950000000105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FLTFLE_12950000000110 Quality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FLTFLE_12950000000111 Metals Processing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FLTFLE_12950000000112 Organics Manufacturing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FLTFLE_12950000000113 Paste blending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FLTFLE_12950000000114 Packaging"/>
    <s v="P000000575"/>
    <s v="P000000575"/>
    <s v="Non-LFF"/>
    <s v=""/>
    <m/>
    <b v="1"/>
    <x v="3"/>
    <x v="0"/>
    <d v="2026-02-03T00:00:00"/>
    <m/>
    <m/>
    <x v="0"/>
    <n v="1"/>
    <s v="John Rowie Del Rosario"/>
    <m/>
  </r>
  <r>
    <x v="505"/>
    <x v="1"/>
    <x v="6"/>
    <s v="CLFF_1000$$$DE10B02070 EL-OP-SDP2 G1 Small Scale"/>
    <s v="P000001418"/>
    <m/>
    <s v="LFF (MDG-F)"/>
    <s v="DE10B02070"/>
    <m/>
    <b v="0"/>
    <x v="3"/>
    <x v="0"/>
    <d v="2026-02-03T00:00:00"/>
    <m/>
    <m/>
    <x v="0"/>
    <n v="1"/>
    <s v="John Rowie Del Rosario"/>
    <m/>
  </r>
  <r>
    <x v="505"/>
    <x v="1"/>
    <x v="6"/>
    <s v="CLFF_1000$$$DE10B02075 EL-OP-SDP2 N5 Small Scale"/>
    <s v="P000001418"/>
    <m/>
    <s v="LFF (MDG-F)"/>
    <s v="DE10B02075"/>
    <m/>
    <b v="0"/>
    <x v="3"/>
    <x v="0"/>
    <d v="2026-02-03T00:00:00"/>
    <m/>
    <m/>
    <x v="0"/>
    <n v="1"/>
    <s v="John Rowie Del Rosario"/>
    <m/>
  </r>
  <r>
    <x v="505"/>
    <x v="1"/>
    <x v="2"/>
    <s v="CPHOENX_01010000602070 EL-OP-SDP2 G1 Small Scale 1"/>
    <s v="P000001418"/>
    <s v="P00000141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CPHOENX_01010000602075 EL-OP-SDP2 N5 Small Scale 2"/>
    <s v="P000001418"/>
    <s v="P00000141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190030 DSS_REVENUE_YMTC_24K_GG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20072 DS REV MIT GAS EQ-GCS-FSE SVC Q-15860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20079 DS REV INTEL F34MOD1 SICL4 INSTL Q-21005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20086 DSS REVENUE EFP_TSMC12P6 SC070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20104 DS_Revenue_CG Intel DL Bluesea CGX52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20117 DSS_Revenue_CG_Kingway_2302Projec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30016 DS REV MEMC TURNKEY Q-20130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30024 DSS REVENUE EFP/BSGS/GasSTAR_SAFC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30049 DS REV SAMSUNG TAYLOR TECH TRANS Q-24022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30059 DS REV INTEL F24 CG400 COMMMISSION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30069 DSS REVENUE EFP_tsmcAP3-BP-CoW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30070 DS_Revenue_EFP_AMAT_Xi'an_Qmac of SMR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16 DS_Revenue_AMAT_Xi'an SMRT Project 24032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18 DS_Revenue_CG_SMSC 15sets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19 DS_Revenue_CG/GC_SIEN_29sets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21 DS_Revenue_Chuxing_CG&amp;EFP_CG2000*1se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24 DS_Revenue_CG_EVER DIRECT 7SETS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25 DSS REVENUE EFP-TSA BSGS utilities_SAFC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29 DS REV INTEL F38 SPARROW MOD 1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32 DSS Revenue_CG/EFP_XMC_CG2000_CG100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33 DS_Revenue_CG_EVER DIRECT 12SETS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34 DS_Revenue_CG_CXMT_Beijing&amp;Hefei_14se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36 DS_Revenue_CG_EFP_HHG Chengdu_10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43 DS_Revenue_CG_HHG WUXI_6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46 DSS REVENUE EFP_TSMC6 Controller upgrade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47 DS REV LAM FSE STARTUP SUPPOR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51 DS REV INTEL AZ FSE FW UPGRADE SUPP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53 DS_Revenue_CG/EFP_CXMT_88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54 DSS revenue_CG_Intel_5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56 DSS Revenue_BSGS/GC/EFP_Guangmao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61 DS REV INTEL OH CARDINAL QMAC REPLACEMEN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63 DSS REVENUE EFP_TSMC12P6 SC112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DS240064 DS REV INTEL OR HCL QMAC ANALYZER MOD 2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01000000 DS REV TSMC FSE COORDINATOR &amp; REPAIR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02000000 DS_Revenue_CG_EFP_DongGuan-19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03000000 DSS revenue_CG/EFP_Intel_6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04000000 DS REV P3 HP CO2 Capacity-up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05000000 DS REV INTEL IRELAND 2025 PROJEC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5"/>
    <s v="RP000006    000000 DssRev RtrftStckr 5%"/>
    <s v="P000001108"/>
    <s v="DFLTPGCOH_000000"/>
    <s v="Non-LFF"/>
    <s v=""/>
    <m/>
    <b v="0"/>
    <x v="3"/>
    <x v="0"/>
    <d v="2026-02-03T00:00:00"/>
    <m/>
    <m/>
    <x v="0"/>
    <n v="1"/>
    <s v="John Rowie Del Rosario"/>
    <m/>
  </r>
  <r>
    <x v="505"/>
    <x v="1"/>
    <x v="2"/>
    <s v="RP000008000000 DS REV INTEL AZ SPEC GAS FSE SUPPOR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09000000 DssKr Rev GkTrcHtr SKhynix Chungju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0000000 DS_Revenue_EFP_AMAT XI'an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1000000 DS REV INTEL AZ TOOL TIE-IN Q-28350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5"/>
    <s v="RP000012    000000 DssKr Rev Gk Anlzr N"/>
    <s v="P000001108"/>
    <s v="DFLTPGCOH_000000"/>
    <s v="Non-LFF"/>
    <s v=""/>
    <m/>
    <b v="0"/>
    <x v="3"/>
    <x v="0"/>
    <d v="2026-02-03T00:00:00"/>
    <m/>
    <m/>
    <x v="0"/>
    <n v="1"/>
    <s v="John Rowie Del Rosario"/>
    <m/>
  </r>
  <r>
    <x v="505"/>
    <x v="1"/>
    <x v="2"/>
    <s v="RP000014000000 DS REV INTEL F14 GCS UPGRADE Q-27689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5000000 DS REV INTEL NM PF CONV FSE SUPPOR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6000000 DS_Revenue_CG/EFP_SMIC GROUP_9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7000000 DS REV ANALOG DEV GCS UPGRADE Q-26931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8000000 DS_Revenue_CG/EFP_Huali Fab8_21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19000000 DssRev Gk Gc RtrftCntlr 12set SecS1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20000000 DS_Revenue_CG/EFP_Huali Fab8_4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21000000 DS REV MICRON ID1 PHASE 1 Q-28126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24000000 DS_Revenue_CG/EFP_Fullsemi_3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26000000 DS REV LAM CA FSE SUPPOR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29000000 DSS-Revenue GCR/BSGS/EFP-YouMeng-19EA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5"/>
    <x v="1"/>
    <x v="2"/>
    <s v="RP000033000000 DS REV MICRON VA FSE SUPPORT"/>
    <s v="P000001108"/>
    <s v="P000001108"/>
    <s v="Non-LFF"/>
    <s v=""/>
    <m/>
    <b v="1"/>
    <x v="3"/>
    <x v="0"/>
    <d v="2026-02-03T00:00:00"/>
    <m/>
    <m/>
    <x v="0"/>
    <n v="1"/>
    <s v="John Rowie Del Rosario"/>
    <m/>
  </r>
  <r>
    <x v="506"/>
    <x v="1"/>
    <x v="6"/>
    <s v="CLFF_1000$$$DE10O05103"/>
    <s v="O000000013"/>
    <m/>
    <s v="LFF (MDG-F)"/>
    <s v="DE10O05103"/>
    <m/>
    <b v="0"/>
    <x v="0"/>
    <x v="0"/>
    <d v="2026-02-04T00:00:00"/>
    <m/>
    <m/>
    <x v="0"/>
    <n v="0"/>
    <s v="Joshua Cachola"/>
    <m/>
  </r>
  <r>
    <x v="506"/>
    <x v="1"/>
    <x v="6"/>
    <s v="CLFF_1000$$$DE10O05203"/>
    <s v="O000000013"/>
    <m/>
    <s v="LFF (MDG-F)"/>
    <s v="DE10O05203"/>
    <m/>
    <b v="0"/>
    <x v="0"/>
    <x v="0"/>
    <d v="2026-02-04T00:00:00"/>
    <m/>
    <m/>
    <x v="0"/>
    <n v="0"/>
    <s v="Joshua Cachola"/>
    <m/>
  </r>
  <r>
    <x v="506"/>
    <x v="1"/>
    <x v="6"/>
    <s v="CLFF_VMCA$$$BE10O05103"/>
    <s v="O000000013"/>
    <m/>
    <s v="LFF (MDG-F)"/>
    <s v="BE10O05103"/>
    <m/>
    <b v="0"/>
    <x v="0"/>
    <x v="0"/>
    <d v="2026-02-04T00:00:00"/>
    <m/>
    <m/>
    <x v="0"/>
    <n v="0"/>
    <s v="Joshua Cachola"/>
    <m/>
  </r>
  <r>
    <x v="506"/>
    <x v="1"/>
    <x v="6"/>
    <s v="CLFF_VMCA$$$BE10O05203"/>
    <s v="O000000013"/>
    <m/>
    <s v="LFF (MDG-F)"/>
    <s v="BE10O05203"/>
    <m/>
    <b v="0"/>
    <x v="0"/>
    <x v="0"/>
    <d v="2026-02-04T00:00:00"/>
    <m/>
    <m/>
    <x v="0"/>
    <n v="0"/>
    <s v="Joshua Cachola"/>
    <m/>
  </r>
  <r>
    <x v="506"/>
    <x v="1"/>
    <x v="6"/>
    <s v="CLFF_VMCA$$$CN09O05103"/>
    <s v="O000000013"/>
    <m/>
    <s v="LFF (MDG-F)"/>
    <s v="CN09O05103"/>
    <m/>
    <b v="0"/>
    <x v="0"/>
    <x v="0"/>
    <d v="2026-02-04T00:00:00"/>
    <m/>
    <m/>
    <x v="0"/>
    <n v="0"/>
    <s v="Joshua Cachola"/>
    <m/>
  </r>
  <r>
    <x v="506"/>
    <x v="1"/>
    <x v="6"/>
    <s v="CLFF_VMCA$$$CN09O05203"/>
    <s v="O000000013"/>
    <m/>
    <s v="LFF (MDG-F)"/>
    <s v="CN09O05203"/>
    <m/>
    <b v="0"/>
    <x v="0"/>
    <x v="0"/>
    <d v="2026-02-04T00:00:00"/>
    <m/>
    <m/>
    <x v="0"/>
    <n v="0"/>
    <s v="Joshua Cachola"/>
    <m/>
  </r>
  <r>
    <x v="506"/>
    <x v="1"/>
    <x v="6"/>
    <s v="CLFF_VMCA$$$CN10O05103"/>
    <s v="O000000013"/>
    <m/>
    <s v="LFF (MDG-F)"/>
    <s v="CN10O05103"/>
    <m/>
    <b v="0"/>
    <x v="0"/>
    <x v="0"/>
    <d v="2026-02-04T00:00:00"/>
    <m/>
    <m/>
    <x v="0"/>
    <n v="0"/>
    <s v="Joshua Cachola"/>
    <m/>
  </r>
  <r>
    <x v="506"/>
    <x v="1"/>
    <x v="6"/>
    <s v="CLFF_VMCA$$$CN10O05203"/>
    <s v="O000000013"/>
    <m/>
    <s v="LFF (MDG-F)"/>
    <s v="CN10O05203"/>
    <m/>
    <b v="0"/>
    <x v="0"/>
    <x v="0"/>
    <d v="2026-02-04T00:00:00"/>
    <m/>
    <m/>
    <x v="0"/>
    <n v="0"/>
    <s v="Joshua Cachola"/>
    <m/>
  </r>
  <r>
    <x v="506"/>
    <x v="1"/>
    <x v="6"/>
    <s v="CLFF_VMCA$$$CN43O05103"/>
    <s v="O000000013"/>
    <m/>
    <s v="LFF (MDG-F)"/>
    <s v="CN43O05103"/>
    <m/>
    <b v="0"/>
    <x v="0"/>
    <x v="0"/>
    <d v="2026-02-04T00:00:00"/>
    <m/>
    <m/>
    <x v="0"/>
    <n v="0"/>
    <s v="Joshua Cachola"/>
    <m/>
  </r>
  <r>
    <x v="506"/>
    <x v="1"/>
    <x v="6"/>
    <s v="CLFF_VMCA$$$CN43O05203"/>
    <s v="O000000013"/>
    <m/>
    <s v="LFF (MDG-F)"/>
    <s v="CN43O05203"/>
    <m/>
    <b v="0"/>
    <x v="0"/>
    <x v="0"/>
    <d v="2026-02-04T00:00:00"/>
    <m/>
    <m/>
    <x v="0"/>
    <n v="0"/>
    <s v="Joshua Cachola"/>
    <m/>
  </r>
  <r>
    <x v="506"/>
    <x v="1"/>
    <x v="6"/>
    <s v="CLFF_VMCA$$$GB10O05103"/>
    <s v="O000000013"/>
    <m/>
    <s v="LFF (MDG-F)"/>
    <s v="GB10O05103"/>
    <m/>
    <b v="0"/>
    <x v="0"/>
    <x v="0"/>
    <d v="2026-02-04T00:00:00"/>
    <m/>
    <m/>
    <x v="0"/>
    <n v="0"/>
    <s v="Joshua Cachola"/>
    <m/>
  </r>
  <r>
    <x v="506"/>
    <x v="1"/>
    <x v="6"/>
    <s v="CLFF_VMCA$$$GB10O05203"/>
    <s v="O000000013"/>
    <m/>
    <s v="LFF (MDG-F)"/>
    <s v="GB10O05203"/>
    <m/>
    <b v="0"/>
    <x v="0"/>
    <x v="0"/>
    <d v="2026-02-04T00:00:00"/>
    <m/>
    <m/>
    <x v="0"/>
    <n v="0"/>
    <s v="Joshua Cachola"/>
    <m/>
  </r>
  <r>
    <x v="506"/>
    <x v="1"/>
    <x v="6"/>
    <s v="CLFF_VMCA$$$IE10O05103"/>
    <s v="O000000013"/>
    <m/>
    <s v="LFF (MDG-F)"/>
    <s v="IE10O05103"/>
    <m/>
    <b v="0"/>
    <x v="0"/>
    <x v="0"/>
    <d v="2026-02-04T00:00:00"/>
    <m/>
    <m/>
    <x v="0"/>
    <n v="0"/>
    <s v="Joshua Cachola"/>
    <m/>
  </r>
  <r>
    <x v="506"/>
    <x v="1"/>
    <x v="6"/>
    <s v="CLFF_VMCA$$$IE10O05203"/>
    <s v="O000000013"/>
    <m/>
    <s v="LFF (MDG-F)"/>
    <s v="IE10O05203"/>
    <m/>
    <b v="0"/>
    <x v="0"/>
    <x v="0"/>
    <d v="2026-02-04T00:00:00"/>
    <m/>
    <m/>
    <x v="0"/>
    <n v="0"/>
    <s v="Joshua Cachola"/>
    <m/>
  </r>
  <r>
    <x v="506"/>
    <x v="1"/>
    <x v="6"/>
    <s v="CLFF_VMCA$$$IL10O05103"/>
    <s v="O000000013"/>
    <m/>
    <s v="LFF (MDG-F)"/>
    <s v="IL10O05103"/>
    <m/>
    <b v="0"/>
    <x v="0"/>
    <x v="0"/>
    <d v="2026-02-04T00:00:00"/>
    <m/>
    <m/>
    <x v="0"/>
    <n v="0"/>
    <s v="Joshua Cachola"/>
    <m/>
  </r>
  <r>
    <x v="506"/>
    <x v="1"/>
    <x v="6"/>
    <s v="CLFF_VMCA$$$IL10O05203"/>
    <s v="O000000013"/>
    <m/>
    <s v="LFF (MDG-F)"/>
    <s v="IL10O05203"/>
    <m/>
    <b v="0"/>
    <x v="0"/>
    <x v="0"/>
    <d v="2026-02-04T00:00:00"/>
    <m/>
    <m/>
    <x v="0"/>
    <n v="0"/>
    <s v="Joshua Cachola"/>
    <m/>
  </r>
  <r>
    <x v="506"/>
    <x v="1"/>
    <x v="6"/>
    <s v="CLFF_VMCA$$$IT07O05103"/>
    <s v="O000000013"/>
    <m/>
    <s v="LFF (MDG-F)"/>
    <s v="IT07O05103"/>
    <m/>
    <b v="0"/>
    <x v="0"/>
    <x v="0"/>
    <d v="2026-02-04T00:00:00"/>
    <m/>
    <m/>
    <x v="0"/>
    <n v="0"/>
    <s v="Joshua Cachola"/>
    <m/>
  </r>
  <r>
    <x v="506"/>
    <x v="1"/>
    <x v="6"/>
    <s v="CLFF_VMCA$$$IT07O05203"/>
    <s v="O000000013"/>
    <m/>
    <s v="LFF (MDG-F)"/>
    <s v="IT07O05203"/>
    <m/>
    <b v="0"/>
    <x v="0"/>
    <x v="0"/>
    <d v="2026-02-04T00:00:00"/>
    <m/>
    <m/>
    <x v="0"/>
    <n v="0"/>
    <s v="Joshua Cachola"/>
    <m/>
  </r>
  <r>
    <x v="506"/>
    <x v="1"/>
    <x v="6"/>
    <s v="CLFF_VMCA$$$KR07O05103"/>
    <s v="O000000013"/>
    <m/>
    <s v="LFF (MDG-F)"/>
    <s v="KR07O05103"/>
    <m/>
    <b v="0"/>
    <x v="0"/>
    <x v="0"/>
    <d v="2026-02-04T00:00:00"/>
    <m/>
    <m/>
    <x v="0"/>
    <n v="0"/>
    <s v="Joshua Cachola"/>
    <m/>
  </r>
  <r>
    <x v="506"/>
    <x v="1"/>
    <x v="6"/>
    <s v="CLFF_VMCA$$$KR07O05203"/>
    <s v="O000000013"/>
    <m/>
    <s v="LFF (MDG-F)"/>
    <s v="KR07O05203"/>
    <m/>
    <b v="0"/>
    <x v="0"/>
    <x v="0"/>
    <d v="2026-02-04T00:00:00"/>
    <m/>
    <m/>
    <x v="0"/>
    <n v="0"/>
    <s v="Joshua Cachola"/>
    <m/>
  </r>
  <r>
    <x v="506"/>
    <x v="1"/>
    <x v="6"/>
    <s v="CLFF_VMCA$$$KR08O05103"/>
    <s v="O000000013"/>
    <m/>
    <s v="LFF (MDG-F)"/>
    <s v="KR08O05103"/>
    <m/>
    <b v="0"/>
    <x v="0"/>
    <x v="0"/>
    <d v="2026-02-04T00:00:00"/>
    <m/>
    <m/>
    <x v="0"/>
    <n v="0"/>
    <s v="Joshua Cachola"/>
    <m/>
  </r>
  <r>
    <x v="506"/>
    <x v="1"/>
    <x v="6"/>
    <s v="CLFF_VMCA$$$KR08O05203"/>
    <s v="O000000013"/>
    <m/>
    <s v="LFF (MDG-F)"/>
    <s v="KR08O05203"/>
    <m/>
    <b v="0"/>
    <x v="0"/>
    <x v="0"/>
    <d v="2026-02-04T00:00:00"/>
    <m/>
    <m/>
    <x v="0"/>
    <n v="0"/>
    <s v="Joshua Cachola"/>
    <m/>
  </r>
  <r>
    <x v="506"/>
    <x v="1"/>
    <x v="6"/>
    <s v="CLFF_VMCA$$$KR11O05103"/>
    <s v="O000000013"/>
    <m/>
    <s v="LFF (MDG-F)"/>
    <s v="KR11O05103"/>
    <m/>
    <b v="0"/>
    <x v="0"/>
    <x v="0"/>
    <d v="2026-02-04T00:00:00"/>
    <m/>
    <m/>
    <x v="0"/>
    <n v="0"/>
    <s v="Joshua Cachola"/>
    <m/>
  </r>
  <r>
    <x v="506"/>
    <x v="1"/>
    <x v="6"/>
    <s v="CLFF_VMCA$$$KR11O05203"/>
    <s v="O000000013"/>
    <m/>
    <s v="LFF (MDG-F)"/>
    <s v="KR11O05203"/>
    <m/>
    <b v="0"/>
    <x v="0"/>
    <x v="0"/>
    <d v="2026-02-04T00:00:00"/>
    <m/>
    <m/>
    <x v="0"/>
    <n v="0"/>
    <s v="Joshua Cachola"/>
    <m/>
  </r>
  <r>
    <x v="506"/>
    <x v="1"/>
    <x v="6"/>
    <s v="CLFF_VMCA$$$KR15O05103"/>
    <s v="O000000013"/>
    <m/>
    <s v="LFF (MDG-F)"/>
    <s v="KR15O05103"/>
    <m/>
    <b v="0"/>
    <x v="0"/>
    <x v="0"/>
    <d v="2026-02-04T00:00:00"/>
    <m/>
    <m/>
    <x v="0"/>
    <n v="0"/>
    <s v="Joshua Cachola"/>
    <m/>
  </r>
  <r>
    <x v="506"/>
    <x v="1"/>
    <x v="6"/>
    <s v="CLFF_VMCA$$$KR15O05203"/>
    <s v="O000000013"/>
    <m/>
    <s v="LFF (MDG-F)"/>
    <s v="KR15O05203"/>
    <m/>
    <b v="0"/>
    <x v="0"/>
    <x v="0"/>
    <d v="2026-02-04T00:00:00"/>
    <m/>
    <m/>
    <x v="0"/>
    <n v="0"/>
    <s v="Joshua Cachola"/>
    <m/>
  </r>
  <r>
    <x v="506"/>
    <x v="1"/>
    <x v="6"/>
    <s v="CLFF_VMCA$$$KR16O05103"/>
    <s v="O000000013"/>
    <m/>
    <s v="LFF (MDG-F)"/>
    <s v="KR16O05103"/>
    <m/>
    <b v="0"/>
    <x v="0"/>
    <x v="0"/>
    <d v="2026-02-04T00:00:00"/>
    <m/>
    <m/>
    <x v="0"/>
    <n v="0"/>
    <s v="Joshua Cachola"/>
    <m/>
  </r>
  <r>
    <x v="506"/>
    <x v="1"/>
    <x v="6"/>
    <s v="CLFF_VMCA$$$KR16O05203"/>
    <s v="O000000013"/>
    <m/>
    <s v="LFF (MDG-F)"/>
    <s v="KR16O05203"/>
    <m/>
    <b v="0"/>
    <x v="0"/>
    <x v="0"/>
    <d v="2026-02-04T00:00:00"/>
    <m/>
    <m/>
    <x v="0"/>
    <n v="0"/>
    <s v="Joshua Cachola"/>
    <m/>
  </r>
  <r>
    <x v="506"/>
    <x v="1"/>
    <x v="6"/>
    <s v="CLFF_VMCA$$$NL10O05103"/>
    <s v="O000000013"/>
    <m/>
    <s v="LFF (MDG-F)"/>
    <s v="NL10O05103"/>
    <m/>
    <b v="0"/>
    <x v="0"/>
    <x v="0"/>
    <d v="2026-02-04T00:00:00"/>
    <m/>
    <m/>
    <x v="0"/>
    <n v="0"/>
    <s v="Joshua Cachola"/>
    <m/>
  </r>
  <r>
    <x v="506"/>
    <x v="1"/>
    <x v="6"/>
    <s v="CLFF_VMCA$$$NL10O05203"/>
    <s v="O000000013"/>
    <m/>
    <s v="LFF (MDG-F)"/>
    <s v="NL10O05203"/>
    <m/>
    <b v="0"/>
    <x v="0"/>
    <x v="0"/>
    <d v="2026-02-04T00:00:00"/>
    <m/>
    <m/>
    <x v="0"/>
    <n v="0"/>
    <s v="Joshua Cachola"/>
    <m/>
  </r>
  <r>
    <x v="506"/>
    <x v="1"/>
    <x v="6"/>
    <s v="CLFF_VMCA$$$SG10O05103"/>
    <s v="O000000013"/>
    <m/>
    <s v="LFF (MDG-F)"/>
    <s v="SG10O05103"/>
    <m/>
    <b v="0"/>
    <x v="0"/>
    <x v="0"/>
    <d v="2026-02-04T00:00:00"/>
    <m/>
    <m/>
    <x v="0"/>
    <n v="0"/>
    <s v="Joshua Cachola"/>
    <m/>
  </r>
  <r>
    <x v="506"/>
    <x v="1"/>
    <x v="6"/>
    <s v="CLFF_VMCA$$$SG10O05203"/>
    <s v="O000000013"/>
    <m/>
    <s v="LFF (MDG-F)"/>
    <s v="SG10O05203"/>
    <m/>
    <b v="0"/>
    <x v="0"/>
    <x v="0"/>
    <d v="2026-02-04T00:00:00"/>
    <m/>
    <m/>
    <x v="0"/>
    <n v="0"/>
    <s v="Joshua Cachola"/>
    <m/>
  </r>
  <r>
    <x v="506"/>
    <x v="1"/>
    <x v="6"/>
    <s v="CLFF_VMCA$$$TW10O05103"/>
    <s v="O000000013"/>
    <m/>
    <s v="LFF (MDG-F)"/>
    <s v="TW10O05103"/>
    <m/>
    <b v="0"/>
    <x v="0"/>
    <x v="0"/>
    <d v="2026-02-04T00:00:00"/>
    <m/>
    <m/>
    <x v="0"/>
    <n v="0"/>
    <s v="Joshua Cachola"/>
    <m/>
  </r>
  <r>
    <x v="506"/>
    <x v="1"/>
    <x v="6"/>
    <s v="CLFF_VMCA$$$TW10O05203"/>
    <s v="O000000013"/>
    <m/>
    <s v="LFF (MDG-F)"/>
    <s v="TW10O05203"/>
    <m/>
    <b v="0"/>
    <x v="0"/>
    <x v="0"/>
    <d v="2026-02-04T00:00:00"/>
    <m/>
    <m/>
    <x v="0"/>
    <n v="0"/>
    <s v="Joshua Cachola"/>
    <m/>
  </r>
  <r>
    <x v="506"/>
    <x v="1"/>
    <x v="6"/>
    <s v="CLFF_VMCA$$$TW91O05103"/>
    <s v="O000000013"/>
    <m/>
    <s v="LFF (MDG-F)"/>
    <s v="TW91O05103"/>
    <m/>
    <b v="0"/>
    <x v="0"/>
    <x v="0"/>
    <d v="2026-02-04T00:00:00"/>
    <m/>
    <m/>
    <x v="0"/>
    <n v="0"/>
    <s v="Joshua Cachola"/>
    <m/>
  </r>
  <r>
    <x v="506"/>
    <x v="1"/>
    <x v="6"/>
    <s v="CLFF_VMCA$$$TW91O05203"/>
    <s v="O000000013"/>
    <m/>
    <s v="LFF (MDG-F)"/>
    <s v="TW91O05203"/>
    <m/>
    <b v="0"/>
    <x v="0"/>
    <x v="0"/>
    <d v="2026-02-04T00:00:00"/>
    <m/>
    <m/>
    <x v="0"/>
    <n v="0"/>
    <s v="Joshua Cachola"/>
    <m/>
  </r>
  <r>
    <x v="506"/>
    <x v="1"/>
    <x v="6"/>
    <s v="CLFF_VMCA$$$US10O05103"/>
    <s v="O000000013"/>
    <m/>
    <s v="LFF (MDG-F)"/>
    <s v="US10O05103"/>
    <m/>
    <b v="0"/>
    <x v="0"/>
    <x v="0"/>
    <d v="2026-02-04T00:00:00"/>
    <m/>
    <m/>
    <x v="0"/>
    <n v="0"/>
    <s v="Joshua Cachola"/>
    <m/>
  </r>
  <r>
    <x v="506"/>
    <x v="1"/>
    <x v="6"/>
    <s v="CLFF_VMCA$$$US10O05203"/>
    <s v="O000000013"/>
    <m/>
    <s v="LFF (MDG-F)"/>
    <s v="US10O05203"/>
    <m/>
    <b v="0"/>
    <x v="0"/>
    <x v="0"/>
    <d v="2026-02-04T00:00:00"/>
    <m/>
    <m/>
    <x v="0"/>
    <n v="0"/>
    <s v="Joshua Cachola"/>
    <m/>
  </r>
  <r>
    <x v="506"/>
    <x v="1"/>
    <x v="5"/>
    <s v="CTEMPEU_1000PL80GBTL22"/>
    <s v="O000000013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6"/>
    <s v="CLFF_1000$$$SA80O00002"/>
    <s v="O000000012"/>
    <m/>
    <s v="LFF (MDG-F)"/>
    <s v="SA80O00002"/>
    <m/>
    <b v="0"/>
    <x v="0"/>
    <x v="0"/>
    <d v="2026-02-04T00:00:00"/>
    <m/>
    <m/>
    <x v="0"/>
    <n v="0"/>
    <s v="Joshua Cachola"/>
    <m/>
  </r>
  <r>
    <x v="506"/>
    <x v="1"/>
    <x v="6"/>
    <s v="CLFF_1000$$$SA80O00001"/>
    <s v="O000000012"/>
    <m/>
    <s v="LFF (MDG-F)"/>
    <s v="SA80O00001"/>
    <m/>
    <b v="0"/>
    <x v="0"/>
    <x v="0"/>
    <d v="2026-02-04T00:00:00"/>
    <m/>
    <m/>
    <x v="0"/>
    <n v="0"/>
    <s v="Joshua Cachola"/>
    <m/>
  </r>
  <r>
    <x v="506"/>
    <x v="1"/>
    <x v="6"/>
    <s v="CLFF_1000$$$SA80O00003"/>
    <s v="O000000012"/>
    <m/>
    <s v="LFF (MDG-F)"/>
    <s v="SA80O00003"/>
    <m/>
    <b v="0"/>
    <x v="0"/>
    <x v="0"/>
    <d v="2026-02-04T00:00:00"/>
    <m/>
    <m/>
    <x v="0"/>
    <n v="0"/>
    <s v="Joshua Cachola"/>
    <m/>
  </r>
  <r>
    <x v="506"/>
    <x v="1"/>
    <x v="6"/>
    <s v="CLFF_1000$$$US95O05001"/>
    <s v="O000000012"/>
    <m/>
    <s v="LFF (MDG-F)"/>
    <s v="US95O05001"/>
    <m/>
    <b v="0"/>
    <x v="0"/>
    <x v="0"/>
    <d v="2026-02-04T00:00:00"/>
    <m/>
    <m/>
    <x v="0"/>
    <n v="0"/>
    <s v="Joshua Cachola"/>
    <m/>
  </r>
  <r>
    <x v="506"/>
    <x v="1"/>
    <x v="6"/>
    <s v="CLFF_1000$$$LU80O05001"/>
    <s v="O000000012"/>
    <m/>
    <s v="LFF (MDG-F)"/>
    <s v="LU80O05001"/>
    <m/>
    <b v="0"/>
    <x v="0"/>
    <x v="0"/>
    <d v="2026-02-04T00:00:00"/>
    <m/>
    <m/>
    <x v="0"/>
    <n v="0"/>
    <s v="Joshua Cachola"/>
    <m/>
  </r>
  <r>
    <x v="506"/>
    <x v="1"/>
    <x v="6"/>
    <s v="CLFF_7210$$$2057O05001"/>
    <s v="O000000012"/>
    <m/>
    <s v="LFF (MDG-F)"/>
    <s v="2057O05001"/>
    <m/>
    <b v="0"/>
    <x v="0"/>
    <x v="0"/>
    <d v="2026-02-04T00:00:00"/>
    <m/>
    <m/>
    <x v="0"/>
    <n v="0"/>
    <s v="Joshua Cachola"/>
    <m/>
  </r>
  <r>
    <x v="506"/>
    <x v="1"/>
    <x v="6"/>
    <s v="CLFF_7210$$$2137O05003"/>
    <s v="O000000012"/>
    <m/>
    <s v="LFF (MDG-F)"/>
    <s v="2137O05003"/>
    <m/>
    <b v="0"/>
    <x v="0"/>
    <x v="0"/>
    <d v="2026-02-04T00:00:00"/>
    <m/>
    <m/>
    <x v="0"/>
    <n v="0"/>
    <s v="Joshua Cachola"/>
    <m/>
  </r>
  <r>
    <x v="506"/>
    <x v="1"/>
    <x v="5"/>
    <s v="CEMERAL_70006502993C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102711405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102722412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102731820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102762498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ORAERP_MMOR1917.9MGE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AT40AD1D01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BE40AD0011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BE40AD0014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BE40AD0015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CH70ADBT01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DE40AD0013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DE90120020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ES40AD1E00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101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105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106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21E5888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21E6888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401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405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406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407883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607135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607136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608816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GB10005627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NL40AD0011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PL10A05000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PL80GBTE02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PT10A5250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AR10336002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BR10501111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CL10200001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CO10100132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EC10100126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MX10504014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UY10120062"/>
    <s v="O000000012"/>
    <s v="O000000010"/>
    <s v="Non-LFF"/>
    <s v=""/>
    <m/>
    <b v="0"/>
    <x v="0"/>
    <x v="0"/>
    <d v="2026-02-04T00:00:00"/>
    <m/>
    <m/>
    <x v="0"/>
    <n v="0"/>
    <s v="Joshua Cachola"/>
    <m/>
  </r>
  <r>
    <x v="506"/>
    <x v="1"/>
    <x v="6"/>
    <s v="CLFF_1000$$$ZA50O05941"/>
    <s v="O000000012"/>
    <m/>
    <s v="LFF (MDG-F)"/>
    <s v="ZA50O05941"/>
    <m/>
    <b v="0"/>
    <x v="0"/>
    <x v="0"/>
    <d v="2026-02-04T00:00:00"/>
    <m/>
    <m/>
    <x v="0"/>
    <n v="0"/>
    <s v="Joshua Cachola"/>
    <m/>
  </r>
  <r>
    <x v="506"/>
    <x v="1"/>
    <x v="6"/>
    <s v="CLFF_1000$$$TN60O05003"/>
    <s v="O000000012"/>
    <m/>
    <s v="LFF (MDG-F)"/>
    <s v="TN60O05003"/>
    <m/>
    <b v="0"/>
    <x v="0"/>
    <x v="0"/>
    <d v="2026-02-04T00:00:00"/>
    <m/>
    <m/>
    <x v="0"/>
    <n v="0"/>
    <s v="Joshua Cachola"/>
    <m/>
  </r>
  <r>
    <x v="506"/>
    <x v="1"/>
    <x v="6"/>
    <s v="CLFF_1000$$$TN50O05003"/>
    <s v="O000000012"/>
    <m/>
    <s v="LFF (MDG-F)"/>
    <s v="TN50O05003"/>
    <m/>
    <b v="0"/>
    <x v="0"/>
    <x v="0"/>
    <d v="2026-02-04T00:00:00"/>
    <m/>
    <m/>
    <x v="0"/>
    <n v="0"/>
    <s v="Joshua Cachola"/>
    <m/>
  </r>
  <r>
    <x v="506"/>
    <x v="1"/>
    <x v="6"/>
    <s v="CLFF_1000$$$CN95O05000"/>
    <s v="O000000012"/>
    <m/>
    <s v="LFF (MDG-F)"/>
    <s v="CN95O05000"/>
    <m/>
    <b v="0"/>
    <x v="0"/>
    <x v="0"/>
    <d v="2026-02-04T00:00:00"/>
    <m/>
    <m/>
    <x v="0"/>
    <n v="0"/>
    <s v="Joshua Cachola"/>
    <m/>
  </r>
  <r>
    <x v="506"/>
    <x v="1"/>
    <x v="6"/>
    <s v="CLFF_1000$$$SA50O05000"/>
    <s v="O000000012"/>
    <m/>
    <s v="LFF (MDG-F)"/>
    <s v="SA50O05000"/>
    <m/>
    <b v="0"/>
    <x v="0"/>
    <x v="0"/>
    <d v="2026-02-04T00:00:00"/>
    <m/>
    <m/>
    <x v="0"/>
    <n v="0"/>
    <s v="Joshua Cachola"/>
    <m/>
  </r>
  <r>
    <x v="506"/>
    <x v="1"/>
    <x v="6"/>
    <s v="CLFF_1000$$$DE20700080"/>
    <s v="O000000012"/>
    <m/>
    <s v="LFF (MDG-F)"/>
    <s v="DE20700080"/>
    <m/>
    <b v="0"/>
    <x v="0"/>
    <x v="0"/>
    <d v="2026-02-04T00:00:00"/>
    <m/>
    <m/>
    <x v="0"/>
    <n v="0"/>
    <s v="Joshua Cachola"/>
    <m/>
  </r>
  <r>
    <x v="506"/>
    <x v="1"/>
    <x v="6"/>
    <s v="CLFF_1000$$$CN96O05000"/>
    <s v="O000000012"/>
    <m/>
    <s v="LFF (MDG-F)"/>
    <s v="CN96O05000"/>
    <m/>
    <b v="0"/>
    <x v="0"/>
    <x v="0"/>
    <d v="2026-02-04T00:00:00"/>
    <m/>
    <m/>
    <x v="0"/>
    <n v="0"/>
    <s v="Joshua Cachola"/>
    <m/>
  </r>
  <r>
    <x v="506"/>
    <x v="1"/>
    <x v="6"/>
    <s v="CLFF_1000$$$CN01O03001"/>
    <s v="O000000012"/>
    <m/>
    <s v="LFF (MDG-F)"/>
    <s v="CN01O03001"/>
    <m/>
    <b v="0"/>
    <x v="0"/>
    <x v="0"/>
    <d v="2026-02-04T00:00:00"/>
    <m/>
    <m/>
    <x v="0"/>
    <n v="0"/>
    <s v="Joshua Cachola"/>
    <m/>
  </r>
  <r>
    <x v="506"/>
    <x v="1"/>
    <x v="6"/>
    <s v="CLFF_1000$$$CN02O03001"/>
    <s v="O000000012"/>
    <m/>
    <s v="LFF (MDG-F)"/>
    <s v="CN02O03001"/>
    <m/>
    <b v="0"/>
    <x v="0"/>
    <x v="0"/>
    <d v="2026-02-04T00:00:00"/>
    <m/>
    <m/>
    <x v="0"/>
    <n v="0"/>
    <s v="Joshua Cachola"/>
    <m/>
  </r>
  <r>
    <x v="506"/>
    <x v="1"/>
    <x v="6"/>
    <s v="CLFF_1000$$$CN03O03001"/>
    <s v="O000000012"/>
    <m/>
    <s v="LFF (MDG-F)"/>
    <s v="CN03O03001"/>
    <m/>
    <b v="0"/>
    <x v="0"/>
    <x v="0"/>
    <d v="2026-02-04T00:00:00"/>
    <m/>
    <m/>
    <x v="0"/>
    <n v="0"/>
    <s v="Joshua Cachola"/>
    <m/>
  </r>
  <r>
    <x v="506"/>
    <x v="1"/>
    <x v="6"/>
    <s v="CLFF_1000$$$CN58O05000"/>
    <s v="O000000012"/>
    <m/>
    <s v="LFF (MDG-F)"/>
    <s v="CN58O05000"/>
    <m/>
    <b v="0"/>
    <x v="0"/>
    <x v="0"/>
    <d v="2026-02-04T00:00:00"/>
    <m/>
    <m/>
    <x v="0"/>
    <n v="0"/>
    <s v="Joshua Cachola"/>
    <m/>
  </r>
  <r>
    <x v="506"/>
    <x v="1"/>
    <x v="6"/>
    <s v="CLFF_1000$$$CN60O05000"/>
    <s v="O000000012"/>
    <m/>
    <s v="LFF (MDG-F)"/>
    <s v="CN60O05000"/>
    <m/>
    <b v="0"/>
    <x v="0"/>
    <x v="0"/>
    <d v="2026-02-04T00:00:00"/>
    <m/>
    <m/>
    <x v="0"/>
    <n v="0"/>
    <s v="Joshua Cachola"/>
    <m/>
  </r>
  <r>
    <x v="506"/>
    <x v="1"/>
    <x v="6"/>
    <s v="CLFF_1000$$$CN90O05000"/>
    <s v="O000000012"/>
    <m/>
    <s v="LFF (MDG-F)"/>
    <s v="CN90O05000"/>
    <m/>
    <b v="0"/>
    <x v="0"/>
    <x v="0"/>
    <d v="2026-02-04T00:00:00"/>
    <m/>
    <m/>
    <x v="0"/>
    <n v="0"/>
    <s v="Joshua Cachola"/>
    <m/>
  </r>
  <r>
    <x v="506"/>
    <x v="1"/>
    <x v="6"/>
    <s v="CLFF_1000$$$DE04O05001"/>
    <s v="O000000012"/>
    <m/>
    <s v="LFF (MDG-F)"/>
    <s v="DE04O05001"/>
    <m/>
    <b v="0"/>
    <x v="0"/>
    <x v="0"/>
    <d v="2026-02-04T00:00:00"/>
    <m/>
    <m/>
    <x v="0"/>
    <n v="0"/>
    <s v="Joshua Cachola"/>
    <m/>
  </r>
  <r>
    <x v="506"/>
    <x v="1"/>
    <x v="6"/>
    <s v="CLFF_1000$$$DE04O05002"/>
    <s v="O000000012"/>
    <m/>
    <s v="LFF (MDG-F)"/>
    <s v="DE04O05002"/>
    <m/>
    <b v="0"/>
    <x v="0"/>
    <x v="0"/>
    <d v="2026-02-04T00:00:00"/>
    <m/>
    <m/>
    <x v="0"/>
    <n v="0"/>
    <s v="Joshua Cachola"/>
    <m/>
  </r>
  <r>
    <x v="506"/>
    <x v="1"/>
    <x v="6"/>
    <s v="CLFF_1000$$$DE04O05003"/>
    <s v="O000000012"/>
    <m/>
    <s v="LFF (MDG-F)"/>
    <s v="DE04O05003"/>
    <m/>
    <b v="0"/>
    <x v="0"/>
    <x v="0"/>
    <d v="2026-02-04T00:00:00"/>
    <m/>
    <m/>
    <x v="0"/>
    <n v="0"/>
    <s v="Joshua Cachola"/>
    <m/>
  </r>
  <r>
    <x v="506"/>
    <x v="1"/>
    <x v="6"/>
    <s v="CLFF_1000$$$DE04O05004"/>
    <s v="O000000012"/>
    <m/>
    <s v="LFF (MDG-F)"/>
    <s v="DE04O05004"/>
    <m/>
    <b v="0"/>
    <x v="0"/>
    <x v="0"/>
    <d v="2026-02-04T00:00:00"/>
    <m/>
    <m/>
    <x v="0"/>
    <n v="0"/>
    <s v="Joshua Cachola"/>
    <m/>
  </r>
  <r>
    <x v="506"/>
    <x v="1"/>
    <x v="6"/>
    <s v="CLFF_1000$$$DE50O05001"/>
    <s v="O000000012"/>
    <m/>
    <s v="LFF (MDG-F)"/>
    <s v="DE50O05001"/>
    <m/>
    <b v="0"/>
    <x v="0"/>
    <x v="0"/>
    <d v="2026-02-04T00:00:00"/>
    <m/>
    <m/>
    <x v="0"/>
    <n v="0"/>
    <s v="Joshua Cachola"/>
    <m/>
  </r>
  <r>
    <x v="506"/>
    <x v="1"/>
    <x v="6"/>
    <s v="CLFF_1000$$$DE50O05002"/>
    <s v="O000000012"/>
    <m/>
    <s v="LFF (MDG-F)"/>
    <s v="DE50O05002"/>
    <m/>
    <b v="0"/>
    <x v="0"/>
    <x v="0"/>
    <d v="2026-02-04T00:00:00"/>
    <m/>
    <m/>
    <x v="0"/>
    <n v="0"/>
    <s v="Joshua Cachola"/>
    <m/>
  </r>
  <r>
    <x v="506"/>
    <x v="1"/>
    <x v="6"/>
    <s v="CLFF_1000$$$VN50O05002"/>
    <s v="O000000012"/>
    <m/>
    <s v="LFF (MDG-F)"/>
    <s v="VN50O05002"/>
    <m/>
    <b v="0"/>
    <x v="0"/>
    <x v="0"/>
    <d v="2026-02-04T00:00:00"/>
    <m/>
    <m/>
    <x v="0"/>
    <n v="0"/>
    <s v="Joshua Cachola"/>
    <m/>
  </r>
  <r>
    <x v="506"/>
    <x v="1"/>
    <x v="6"/>
    <s v="CLFF_1000$$$DE50O05003"/>
    <s v="O000000012"/>
    <m/>
    <s v="LFF (MDG-F)"/>
    <s v="DE50O05003"/>
    <m/>
    <b v="0"/>
    <x v="0"/>
    <x v="0"/>
    <d v="2026-02-04T00:00:00"/>
    <m/>
    <m/>
    <x v="0"/>
    <n v="0"/>
    <s v="Joshua Cachola"/>
    <m/>
  </r>
  <r>
    <x v="506"/>
    <x v="1"/>
    <x v="6"/>
    <s v="CLFF_1000$$$DE50O05004"/>
    <s v="O000000012"/>
    <m/>
    <s v="LFF (MDG-F)"/>
    <s v="DE50O05004"/>
    <m/>
    <b v="0"/>
    <x v="0"/>
    <x v="0"/>
    <d v="2026-02-04T00:00:00"/>
    <m/>
    <m/>
    <x v="0"/>
    <n v="0"/>
    <s v="Joshua Cachola"/>
    <m/>
  </r>
  <r>
    <x v="506"/>
    <x v="1"/>
    <x v="6"/>
    <s v="CLFF_1000$$$DE50O05009"/>
    <s v="O000000012"/>
    <m/>
    <s v="LFF (MDG-F)"/>
    <s v="DE50O05009"/>
    <m/>
    <b v="0"/>
    <x v="0"/>
    <x v="0"/>
    <d v="2026-02-04T00:00:00"/>
    <m/>
    <m/>
    <x v="0"/>
    <n v="0"/>
    <s v="Joshua Cachola"/>
    <m/>
  </r>
  <r>
    <x v="506"/>
    <x v="1"/>
    <x v="6"/>
    <s v="CLFF_1000$$$DE62O05003"/>
    <s v="O000000012"/>
    <m/>
    <s v="LFF (MDG-F)"/>
    <s v="DE62O05003"/>
    <m/>
    <b v="0"/>
    <x v="0"/>
    <x v="0"/>
    <d v="2026-02-04T00:00:00"/>
    <m/>
    <m/>
    <x v="0"/>
    <n v="0"/>
    <s v="Joshua Cachola"/>
    <m/>
  </r>
  <r>
    <x v="506"/>
    <x v="1"/>
    <x v="6"/>
    <s v="CLFF_1000$$$DE62OF1079"/>
    <s v="O000000012"/>
    <m/>
    <s v="LFF (MDG-F)"/>
    <s v="DE62OF1079"/>
    <m/>
    <b v="0"/>
    <x v="0"/>
    <x v="0"/>
    <d v="2026-02-04T00:00:00"/>
    <m/>
    <m/>
    <x v="0"/>
    <n v="0"/>
    <s v="Joshua Cachola"/>
    <m/>
  </r>
  <r>
    <x v="506"/>
    <x v="1"/>
    <x v="6"/>
    <s v="CLFF_1000$$$DE62OF1241"/>
    <s v="O000000012"/>
    <m/>
    <s v="LFF (MDG-F)"/>
    <s v="DE62OF1241"/>
    <m/>
    <b v="0"/>
    <x v="0"/>
    <x v="0"/>
    <d v="2026-02-04T00:00:00"/>
    <m/>
    <m/>
    <x v="0"/>
    <n v="0"/>
    <s v="Joshua Cachola"/>
    <m/>
  </r>
  <r>
    <x v="506"/>
    <x v="1"/>
    <x v="6"/>
    <s v="CLFF_1000$$$DE62OF1261"/>
    <s v="O000000012"/>
    <m/>
    <s v="LFF (MDG-F)"/>
    <s v="DE62OF1261"/>
    <m/>
    <b v="0"/>
    <x v="0"/>
    <x v="0"/>
    <d v="2026-02-04T00:00:00"/>
    <m/>
    <m/>
    <x v="0"/>
    <n v="0"/>
    <s v="Joshua Cachola"/>
    <m/>
  </r>
  <r>
    <x v="506"/>
    <x v="1"/>
    <x v="6"/>
    <s v="CLFF_1000$$$DE62OF1401"/>
    <s v="O000000012"/>
    <m/>
    <s v="LFF (MDG-F)"/>
    <s v="DE62OF1401"/>
    <m/>
    <b v="0"/>
    <x v="0"/>
    <x v="0"/>
    <d v="2026-02-04T00:00:00"/>
    <m/>
    <m/>
    <x v="0"/>
    <n v="0"/>
    <s v="Joshua Cachola"/>
    <m/>
  </r>
  <r>
    <x v="506"/>
    <x v="1"/>
    <x v="6"/>
    <s v="CLFF_1000$$$DE62OF1891"/>
    <s v="O000000012"/>
    <m/>
    <s v="LFF (MDG-F)"/>
    <s v="DE62OF1891"/>
    <m/>
    <b v="0"/>
    <x v="0"/>
    <x v="0"/>
    <d v="2026-02-04T00:00:00"/>
    <m/>
    <m/>
    <x v="0"/>
    <n v="0"/>
    <s v="Joshua Cachola"/>
    <m/>
  </r>
  <r>
    <x v="506"/>
    <x v="1"/>
    <x v="6"/>
    <s v="CLFF_1000$$$HK01O03001"/>
    <s v="O000000012"/>
    <m/>
    <s v="LFF (MDG-F)"/>
    <s v="HK01O03001"/>
    <m/>
    <b v="0"/>
    <x v="0"/>
    <x v="0"/>
    <d v="2026-02-04T00:00:00"/>
    <m/>
    <m/>
    <x v="0"/>
    <n v="0"/>
    <s v="Joshua Cachola"/>
    <m/>
  </r>
  <r>
    <x v="506"/>
    <x v="1"/>
    <x v="6"/>
    <s v="CLFF_1000$$$JP02O05000"/>
    <s v="O000000012"/>
    <m/>
    <s v="LFF (MDG-F)"/>
    <s v="JP02O05000"/>
    <m/>
    <b v="0"/>
    <x v="0"/>
    <x v="0"/>
    <d v="2026-02-04T00:00:00"/>
    <m/>
    <m/>
    <x v="0"/>
    <n v="0"/>
    <s v="Joshua Cachola"/>
    <m/>
  </r>
  <r>
    <x v="506"/>
    <x v="1"/>
    <x v="6"/>
    <s v="CLFF_1000$$$JP02O05001"/>
    <s v="O000000012"/>
    <m/>
    <s v="LFF (MDG-F)"/>
    <s v="JP02O05001"/>
    <m/>
    <b v="0"/>
    <x v="0"/>
    <x v="0"/>
    <d v="2026-02-04T00:00:00"/>
    <m/>
    <m/>
    <x v="0"/>
    <n v="0"/>
    <s v="Joshua Cachola"/>
    <m/>
  </r>
  <r>
    <x v="506"/>
    <x v="1"/>
    <x v="6"/>
    <s v="CLFF_1000$$$JP02O05002"/>
    <s v="O000000012"/>
    <m/>
    <s v="LFF (MDG-F)"/>
    <s v="JP02O05002"/>
    <m/>
    <b v="0"/>
    <x v="0"/>
    <x v="0"/>
    <d v="2026-02-04T00:00:00"/>
    <m/>
    <m/>
    <x v="0"/>
    <n v="0"/>
    <s v="Joshua Cachola"/>
    <m/>
  </r>
  <r>
    <x v="506"/>
    <x v="1"/>
    <x v="6"/>
    <s v="CLFF_1000$$$JP02O05003"/>
    <s v="O000000012"/>
    <m/>
    <s v="LFF (MDG-F)"/>
    <s v="JP02O05003"/>
    <m/>
    <b v="0"/>
    <x v="0"/>
    <x v="0"/>
    <d v="2026-02-04T00:00:00"/>
    <m/>
    <m/>
    <x v="0"/>
    <n v="0"/>
    <s v="Joshua Cachola"/>
    <m/>
  </r>
  <r>
    <x v="506"/>
    <x v="1"/>
    <x v="6"/>
    <s v="CLFF_1000$$$JP02O05004"/>
    <s v="O000000012"/>
    <m/>
    <s v="LFF (MDG-F)"/>
    <s v="JP02O05004"/>
    <m/>
    <b v="0"/>
    <x v="0"/>
    <x v="0"/>
    <d v="2026-02-04T00:00:00"/>
    <m/>
    <m/>
    <x v="0"/>
    <n v="0"/>
    <s v="Joshua Cachola"/>
    <m/>
  </r>
  <r>
    <x v="506"/>
    <x v="1"/>
    <x v="6"/>
    <s v="CLFF_1000$$$MT82O05003"/>
    <s v="O000000012"/>
    <m/>
    <s v="LFF (MDG-F)"/>
    <s v="MT82O05003"/>
    <m/>
    <b v="0"/>
    <x v="0"/>
    <x v="0"/>
    <d v="2026-02-04T00:00:00"/>
    <m/>
    <m/>
    <x v="0"/>
    <n v="0"/>
    <s v="Joshua Cachola"/>
    <m/>
  </r>
  <r>
    <x v="506"/>
    <x v="1"/>
    <x v="6"/>
    <s v="CLFF_1000$$$NL90O05003"/>
    <s v="O000000012"/>
    <m/>
    <s v="LFF (MDG-F)"/>
    <s v="NL90O05003"/>
    <m/>
    <b v="0"/>
    <x v="0"/>
    <x v="0"/>
    <d v="2026-02-04T00:00:00"/>
    <m/>
    <m/>
    <x v="0"/>
    <n v="0"/>
    <s v="Joshua Cachola"/>
    <m/>
  </r>
  <r>
    <x v="506"/>
    <x v="1"/>
    <x v="6"/>
    <s v="CLFF_1000$$$DE07O05002"/>
    <s v="O000000012"/>
    <m/>
    <s v="LFF (MDG-F)"/>
    <s v="DE07O05002"/>
    <m/>
    <b v="0"/>
    <x v="0"/>
    <x v="0"/>
    <d v="2026-02-04T00:00:00"/>
    <m/>
    <m/>
    <x v="0"/>
    <n v="0"/>
    <s v="Joshua Cachola"/>
    <m/>
  </r>
  <r>
    <x v="506"/>
    <x v="1"/>
    <x v="6"/>
    <s v="CLFF_1000$$$TW02GBT299"/>
    <s v="O000000012"/>
    <m/>
    <s v="LFF (MDG-F)"/>
    <s v="TW02GBT299"/>
    <m/>
    <b v="0"/>
    <x v="0"/>
    <x v="0"/>
    <d v="2026-02-04T00:00:00"/>
    <m/>
    <m/>
    <x v="0"/>
    <n v="0"/>
    <s v="Joshua Cachola"/>
    <m/>
  </r>
  <r>
    <x v="506"/>
    <x v="1"/>
    <x v="6"/>
    <s v="CLFF_1000$$$DE65GIT021"/>
    <s v="O000000012"/>
    <m/>
    <s v="LFF (MDG-F)"/>
    <s v="DE65GIT021"/>
    <m/>
    <b v="0"/>
    <x v="0"/>
    <x v="0"/>
    <d v="2026-02-04T00:00:00"/>
    <m/>
    <m/>
    <x v="0"/>
    <n v="0"/>
    <s v="Joshua Cachola"/>
    <m/>
  </r>
  <r>
    <x v="506"/>
    <x v="1"/>
    <x v="6"/>
    <s v="CLFF_1000$$$DE01O05000"/>
    <s v="O000000012"/>
    <m/>
    <s v="LFF (MDG-F)"/>
    <s v="DE01O05000"/>
    <m/>
    <b v="0"/>
    <x v="0"/>
    <x v="0"/>
    <d v="2026-02-04T00:00:00"/>
    <m/>
    <m/>
    <x v="0"/>
    <n v="0"/>
    <s v="Joshua Cachola"/>
    <m/>
  </r>
  <r>
    <x v="506"/>
    <x v="1"/>
    <x v="6"/>
    <s v="CLFF_1000$$$IN01GBT001"/>
    <s v="O000000012"/>
    <m/>
    <s v="LFF (MDG-F)"/>
    <s v="IN01GBT001"/>
    <m/>
    <b v="0"/>
    <x v="0"/>
    <x v="0"/>
    <d v="2026-02-04T00:00:00"/>
    <m/>
    <m/>
    <x v="0"/>
    <n v="0"/>
    <s v="Joshua Cachola"/>
    <m/>
  </r>
  <r>
    <x v="506"/>
    <x v="1"/>
    <x v="6"/>
    <s v="CLFF_1000$$$US01GBT408"/>
    <s v="O000000012"/>
    <m/>
    <s v="LFF (MDG-F)"/>
    <s v="US01GBT408"/>
    <m/>
    <b v="0"/>
    <x v="0"/>
    <x v="0"/>
    <d v="2026-02-04T00:00:00"/>
    <m/>
    <m/>
    <x v="0"/>
    <n v="0"/>
    <s v="Joshua Cachola"/>
    <m/>
  </r>
  <r>
    <x v="506"/>
    <x v="1"/>
    <x v="6"/>
    <s v="CLFF_1000$$$KR02GIS009"/>
    <s v="O000000012"/>
    <m/>
    <s v="LFF (MDG-F)"/>
    <s v="KR02GIS009"/>
    <m/>
    <b v="0"/>
    <x v="0"/>
    <x v="0"/>
    <d v="2026-02-04T00:00:00"/>
    <m/>
    <m/>
    <x v="0"/>
    <n v="0"/>
    <s v="Joshua Cachola"/>
    <m/>
  </r>
  <r>
    <x v="506"/>
    <x v="1"/>
    <x v="6"/>
    <s v="CLFF_1000$$$CN70O05000"/>
    <s v="O000000012"/>
    <m/>
    <s v="LFF (MDG-F)"/>
    <s v="CN70O05000"/>
    <m/>
    <b v="0"/>
    <x v="0"/>
    <x v="0"/>
    <d v="2026-02-04T00:00:00"/>
    <m/>
    <m/>
    <x v="0"/>
    <n v="0"/>
    <s v="Joshua Cachola"/>
    <m/>
  </r>
  <r>
    <x v="506"/>
    <x v="1"/>
    <x v="6"/>
    <s v="CLFF_1000$$$CN50O05000"/>
    <s v="O000000012"/>
    <m/>
    <s v="LFF (MDG-F)"/>
    <s v="CN50O05000"/>
    <m/>
    <b v="0"/>
    <x v="0"/>
    <x v="0"/>
    <d v="2026-02-04T00:00:00"/>
    <m/>
    <m/>
    <x v="0"/>
    <n v="0"/>
    <s v="Joshua Cachola"/>
    <m/>
  </r>
  <r>
    <x v="506"/>
    <x v="1"/>
    <x v="6"/>
    <s v="CLFF_1000$$$TW03GBT299"/>
    <s v="O000000012"/>
    <m/>
    <s v="LFF (MDG-F)"/>
    <s v="TW03GBT299"/>
    <m/>
    <b v="0"/>
    <x v="0"/>
    <x v="0"/>
    <d v="2026-02-04T00:00:00"/>
    <m/>
    <m/>
    <x v="0"/>
    <n v="0"/>
    <s v="Joshua Cachola"/>
    <m/>
  </r>
  <r>
    <x v="506"/>
    <x v="1"/>
    <x v="6"/>
    <s v="CLFF_1000$$$BE50O05001"/>
    <s v="O000000012"/>
    <m/>
    <s v="LFF (MDG-F)"/>
    <s v="BE50O05001"/>
    <m/>
    <b v="0"/>
    <x v="0"/>
    <x v="0"/>
    <d v="2026-02-04T00:00:00"/>
    <m/>
    <m/>
    <x v="0"/>
    <n v="0"/>
    <s v="Joshua Cachola"/>
    <m/>
  </r>
  <r>
    <x v="506"/>
    <x v="1"/>
    <x v="6"/>
    <s v="CLFF_1000$$$BE50O05002"/>
    <s v="O000000012"/>
    <m/>
    <s v="LFF (MDG-F)"/>
    <s v="BE50O05002"/>
    <m/>
    <b v="0"/>
    <x v="0"/>
    <x v="0"/>
    <d v="2026-02-04T00:00:00"/>
    <m/>
    <m/>
    <x v="0"/>
    <n v="0"/>
    <s v="Joshua Cachola"/>
    <m/>
  </r>
  <r>
    <x v="506"/>
    <x v="1"/>
    <x v="6"/>
    <s v="CLFF_1000$$$BE50O05003"/>
    <s v="O000000012"/>
    <m/>
    <s v="LFF (MDG-F)"/>
    <s v="BE50O05003"/>
    <m/>
    <b v="0"/>
    <x v="0"/>
    <x v="0"/>
    <d v="2026-02-04T00:00:00"/>
    <m/>
    <m/>
    <x v="0"/>
    <n v="0"/>
    <s v="Joshua Cachola"/>
    <m/>
  </r>
  <r>
    <x v="506"/>
    <x v="1"/>
    <x v="6"/>
    <s v="CLFF_1000$$$BE50O05004"/>
    <s v="O000000012"/>
    <m/>
    <s v="LFF (MDG-F)"/>
    <s v="BE50O05004"/>
    <m/>
    <b v="0"/>
    <x v="0"/>
    <x v="0"/>
    <d v="2026-02-04T00:00:00"/>
    <m/>
    <m/>
    <x v="0"/>
    <n v="0"/>
    <s v="Joshua Cachola"/>
    <m/>
  </r>
  <r>
    <x v="506"/>
    <x v="1"/>
    <x v="6"/>
    <s v="CLFF_1000$$$CN68O05000"/>
    <s v="O000000012"/>
    <m/>
    <s v="LFF (MDG-F)"/>
    <s v="CN68O05000"/>
    <m/>
    <b v="0"/>
    <x v="0"/>
    <x v="0"/>
    <d v="2026-02-04T00:00:00"/>
    <m/>
    <m/>
    <x v="0"/>
    <n v="0"/>
    <s v="Joshua Cachola"/>
    <m/>
  </r>
  <r>
    <x v="506"/>
    <x v="1"/>
    <x v="6"/>
    <s v="CLFF_1000$$$NL50O05002"/>
    <s v="O000000012"/>
    <m/>
    <s v="LFF (MDG-F)"/>
    <s v="NL50O05002"/>
    <m/>
    <b v="0"/>
    <x v="0"/>
    <x v="0"/>
    <d v="2026-02-04T00:00:00"/>
    <m/>
    <m/>
    <x v="0"/>
    <n v="0"/>
    <s v="Joshua Cachola"/>
    <m/>
  </r>
  <r>
    <x v="506"/>
    <x v="1"/>
    <x v="6"/>
    <s v="CLFF_1000$$$NL50O05003"/>
    <s v="O000000012"/>
    <m/>
    <s v="LFF (MDG-F)"/>
    <s v="NL50O05003"/>
    <m/>
    <b v="0"/>
    <x v="0"/>
    <x v="0"/>
    <d v="2026-02-04T00:00:00"/>
    <m/>
    <m/>
    <x v="0"/>
    <n v="0"/>
    <s v="Joshua Cachola"/>
    <m/>
  </r>
  <r>
    <x v="506"/>
    <x v="1"/>
    <x v="6"/>
    <s v="CLFF_1000$$$NL50O05004"/>
    <s v="O000000012"/>
    <m/>
    <s v="LFF (MDG-F)"/>
    <s v="NL50O05004"/>
    <m/>
    <b v="0"/>
    <x v="0"/>
    <x v="0"/>
    <d v="2026-02-04T00:00:00"/>
    <m/>
    <m/>
    <x v="0"/>
    <n v="0"/>
    <s v="Joshua Cachola"/>
    <m/>
  </r>
  <r>
    <x v="506"/>
    <x v="1"/>
    <x v="6"/>
    <s v="CLFF_1000$$$ES50O05001"/>
    <s v="O000000012"/>
    <m/>
    <s v="LFF (MDG-F)"/>
    <s v="ES50O05001"/>
    <m/>
    <b v="0"/>
    <x v="0"/>
    <x v="0"/>
    <d v="2026-02-04T00:00:00"/>
    <m/>
    <m/>
    <x v="0"/>
    <n v="0"/>
    <s v="Joshua Cachola"/>
    <m/>
  </r>
  <r>
    <x v="506"/>
    <x v="1"/>
    <x v="6"/>
    <s v="CLFF_1000$$$ES50O05002"/>
    <s v="O000000012"/>
    <m/>
    <s v="LFF (MDG-F)"/>
    <s v="ES50O05002"/>
    <m/>
    <b v="0"/>
    <x v="0"/>
    <x v="0"/>
    <d v="2026-02-04T00:00:00"/>
    <m/>
    <m/>
    <x v="0"/>
    <n v="0"/>
    <s v="Joshua Cachola"/>
    <m/>
  </r>
  <r>
    <x v="506"/>
    <x v="1"/>
    <x v="6"/>
    <s v="CLFF_1000$$$ES50O05003"/>
    <s v="O000000012"/>
    <m/>
    <s v="LFF (MDG-F)"/>
    <s v="ES50O05003"/>
    <m/>
    <b v="0"/>
    <x v="0"/>
    <x v="0"/>
    <d v="2026-02-04T00:00:00"/>
    <m/>
    <m/>
    <x v="0"/>
    <n v="0"/>
    <s v="Joshua Cachola"/>
    <m/>
  </r>
  <r>
    <x v="506"/>
    <x v="1"/>
    <x v="6"/>
    <s v="CLFF_1000$$$CH75O05000"/>
    <s v="O000000012"/>
    <m/>
    <s v="LFF (MDG-F)"/>
    <s v="CH75O05000"/>
    <m/>
    <b v="0"/>
    <x v="0"/>
    <x v="0"/>
    <d v="2026-02-04T00:00:00"/>
    <m/>
    <m/>
    <x v="0"/>
    <n v="0"/>
    <s v="Joshua Cachola"/>
    <m/>
  </r>
  <r>
    <x v="506"/>
    <x v="1"/>
    <x v="6"/>
    <s v="CLFF_1000$$$IT50O05005"/>
    <s v="O000000012"/>
    <m/>
    <s v="LFF (MDG-F)"/>
    <s v="IT50O05005"/>
    <m/>
    <b v="0"/>
    <x v="0"/>
    <x v="0"/>
    <d v="2026-02-04T00:00:00"/>
    <m/>
    <m/>
    <x v="0"/>
    <n v="0"/>
    <s v="Joshua Cachola"/>
    <m/>
  </r>
  <r>
    <x v="506"/>
    <x v="1"/>
    <x v="6"/>
    <s v="CLFF_1000$$$CH50O05000"/>
    <s v="O000000012"/>
    <m/>
    <s v="LFF (MDG-F)"/>
    <s v="CH50O05000"/>
    <m/>
    <b v="0"/>
    <x v="0"/>
    <x v="0"/>
    <d v="2026-02-04T00:00:00"/>
    <m/>
    <m/>
    <x v="0"/>
    <n v="0"/>
    <s v="Joshua Cachola"/>
    <m/>
  </r>
  <r>
    <x v="506"/>
    <x v="1"/>
    <x v="6"/>
    <s v="CLFF_1000$$$CH50O05001"/>
    <s v="O000000012"/>
    <m/>
    <s v="LFF (MDG-F)"/>
    <s v="CH50O05001"/>
    <m/>
    <b v="0"/>
    <x v="0"/>
    <x v="0"/>
    <d v="2026-02-04T00:00:00"/>
    <m/>
    <m/>
    <x v="0"/>
    <n v="0"/>
    <s v="Joshua Cachola"/>
    <m/>
  </r>
  <r>
    <x v="506"/>
    <x v="1"/>
    <x v="6"/>
    <s v="CLFF_1000$$$CH50O05003"/>
    <s v="O000000012"/>
    <m/>
    <s v="LFF (MDG-F)"/>
    <s v="CH50O05003"/>
    <m/>
    <b v="0"/>
    <x v="0"/>
    <x v="0"/>
    <d v="2026-02-04T00:00:00"/>
    <m/>
    <m/>
    <x v="0"/>
    <n v="0"/>
    <s v="Joshua Cachola"/>
    <m/>
  </r>
  <r>
    <x v="506"/>
    <x v="1"/>
    <x v="6"/>
    <s v="CLFF_1000$$$CH50O05004"/>
    <s v="O000000012"/>
    <m/>
    <s v="LFF (MDG-F)"/>
    <s v="CH50O05004"/>
    <m/>
    <b v="0"/>
    <x v="0"/>
    <x v="0"/>
    <d v="2026-02-04T00:00:00"/>
    <m/>
    <m/>
    <x v="0"/>
    <n v="0"/>
    <s v="Joshua Cachola"/>
    <m/>
  </r>
  <r>
    <x v="506"/>
    <x v="1"/>
    <x v="6"/>
    <s v="CLFF_1000$$$CH65O05004"/>
    <s v="O000000012"/>
    <m/>
    <s v="LFF (MDG-F)"/>
    <s v="CH65O05004"/>
    <m/>
    <b v="0"/>
    <x v="0"/>
    <x v="0"/>
    <d v="2026-02-04T00:00:00"/>
    <m/>
    <m/>
    <x v="0"/>
    <n v="0"/>
    <s v="Joshua Cachola"/>
    <m/>
  </r>
  <r>
    <x v="506"/>
    <x v="1"/>
    <x v="6"/>
    <s v="CLFF_1000$$$CH65O05005"/>
    <s v="O000000012"/>
    <m/>
    <s v="LFF (MDG-F)"/>
    <s v="CH65O05005"/>
    <m/>
    <b v="0"/>
    <x v="0"/>
    <x v="0"/>
    <d v="2026-02-04T00:00:00"/>
    <m/>
    <m/>
    <x v="0"/>
    <n v="0"/>
    <s v="Joshua Cachola"/>
    <m/>
  </r>
  <r>
    <x v="506"/>
    <x v="1"/>
    <x v="6"/>
    <s v="CLFF_1000$$$CH65O05006"/>
    <s v="O000000012"/>
    <m/>
    <s v="LFF (MDG-F)"/>
    <s v="CH65O05006"/>
    <m/>
    <b v="0"/>
    <x v="0"/>
    <x v="0"/>
    <d v="2026-02-04T00:00:00"/>
    <m/>
    <m/>
    <x v="0"/>
    <n v="0"/>
    <s v="Joshua Cachola"/>
    <m/>
  </r>
  <r>
    <x v="506"/>
    <x v="1"/>
    <x v="6"/>
    <s v="CLFF_1000$$$CH65O05007"/>
    <s v="O000000012"/>
    <m/>
    <s v="LFF (MDG-F)"/>
    <s v="CH65O05007"/>
    <m/>
    <b v="0"/>
    <x v="0"/>
    <x v="0"/>
    <d v="2026-02-04T00:00:00"/>
    <m/>
    <m/>
    <x v="0"/>
    <n v="0"/>
    <s v="Joshua Cachola"/>
    <m/>
  </r>
  <r>
    <x v="506"/>
    <x v="1"/>
    <x v="6"/>
    <s v="CLFF_1000$$$CH75O05002"/>
    <s v="O000000012"/>
    <m/>
    <s v="LFF (MDG-F)"/>
    <s v="CH75O05002"/>
    <m/>
    <b v="0"/>
    <x v="0"/>
    <x v="0"/>
    <d v="2026-02-04T00:00:00"/>
    <m/>
    <m/>
    <x v="0"/>
    <n v="0"/>
    <s v="Joshua Cachola"/>
    <m/>
  </r>
  <r>
    <x v="506"/>
    <x v="1"/>
    <x v="6"/>
    <s v="CLFF_1000$$$CH75O05003"/>
    <s v="O000000012"/>
    <m/>
    <s v="LFF (MDG-F)"/>
    <s v="CH75O05003"/>
    <m/>
    <b v="0"/>
    <x v="0"/>
    <x v="0"/>
    <d v="2026-02-04T00:00:00"/>
    <m/>
    <m/>
    <x v="0"/>
    <n v="0"/>
    <s v="Joshua Cachola"/>
    <m/>
  </r>
  <r>
    <x v="506"/>
    <x v="1"/>
    <x v="6"/>
    <s v="CLFF_1000$$$CH75O05004"/>
    <s v="O000000012"/>
    <m/>
    <s v="LFF (MDG-F)"/>
    <s v="CH75O05004"/>
    <m/>
    <b v="0"/>
    <x v="0"/>
    <x v="0"/>
    <d v="2026-02-04T00:00:00"/>
    <m/>
    <m/>
    <x v="0"/>
    <n v="0"/>
    <s v="Joshua Cachola"/>
    <m/>
  </r>
  <r>
    <x v="506"/>
    <x v="1"/>
    <x v="6"/>
    <s v="CLFF_1000$$$IT60O05004"/>
    <s v="O000000012"/>
    <m/>
    <s v="LFF (MDG-F)"/>
    <s v="IT60O05004"/>
    <m/>
    <b v="0"/>
    <x v="0"/>
    <x v="0"/>
    <d v="2026-02-04T00:00:00"/>
    <m/>
    <m/>
    <x v="0"/>
    <n v="0"/>
    <s v="Joshua Cachola"/>
    <m/>
  </r>
  <r>
    <x v="506"/>
    <x v="1"/>
    <x v="6"/>
    <s v="CLFF_1000$$$AE50O05000"/>
    <s v="O000000012"/>
    <m/>
    <s v="LFF (MDG-F)"/>
    <s v="AE50O05000"/>
    <m/>
    <b v="0"/>
    <x v="0"/>
    <x v="0"/>
    <d v="2026-02-04T00:00:00"/>
    <m/>
    <m/>
    <x v="0"/>
    <n v="0"/>
    <s v="Joshua Cachola"/>
    <m/>
  </r>
  <r>
    <x v="506"/>
    <x v="1"/>
    <x v="6"/>
    <s v="CLFF_1000$$$AE50O05005"/>
    <s v="O000000012"/>
    <m/>
    <s v="LFF (MDG-F)"/>
    <s v="AE50O05005"/>
    <m/>
    <b v="0"/>
    <x v="0"/>
    <x v="0"/>
    <d v="2026-02-04T00:00:00"/>
    <m/>
    <m/>
    <x v="0"/>
    <n v="0"/>
    <s v="Joshua Cachola"/>
    <m/>
  </r>
  <r>
    <x v="506"/>
    <x v="1"/>
    <x v="6"/>
    <s v="CLFF_1000$$$CH01O05000"/>
    <s v="O000000012"/>
    <m/>
    <s v="LFF (MDG-F)"/>
    <s v="CH01O05000"/>
    <m/>
    <b v="0"/>
    <x v="0"/>
    <x v="0"/>
    <d v="2026-02-04T00:00:00"/>
    <m/>
    <m/>
    <x v="0"/>
    <n v="0"/>
    <s v="Joshua Cachola"/>
    <m/>
  </r>
  <r>
    <x v="506"/>
    <x v="1"/>
    <x v="6"/>
    <s v="CLFF_1000$$$FR01GIS510"/>
    <s v="O000000012"/>
    <m/>
    <s v="LFF (MDG-F)"/>
    <s v="FR01GIS510"/>
    <m/>
    <b v="0"/>
    <x v="0"/>
    <x v="0"/>
    <d v="2026-02-04T00:00:00"/>
    <m/>
    <m/>
    <x v="0"/>
    <n v="0"/>
    <s v="Joshua Cachola"/>
    <m/>
  </r>
  <r>
    <x v="506"/>
    <x v="1"/>
    <x v="6"/>
    <s v="CLFF_1000$$$SA80O05000"/>
    <s v="O000000012"/>
    <m/>
    <s v="LFF (MDG-F)"/>
    <s v="SA80O05000"/>
    <m/>
    <b v="0"/>
    <x v="0"/>
    <x v="0"/>
    <d v="2026-02-04T00:00:00"/>
    <m/>
    <m/>
    <x v="0"/>
    <n v="0"/>
    <s v="Joshua Cachola"/>
    <m/>
  </r>
  <r>
    <x v="506"/>
    <x v="1"/>
    <x v="6"/>
    <s v="CLFF_1000$$$SG09L70001"/>
    <s v="O000000012"/>
    <m/>
    <s v="LFF (MDG-F)"/>
    <s v="SG09L70001"/>
    <m/>
    <b v="0"/>
    <x v="0"/>
    <x v="0"/>
    <d v="2026-02-04T00:00:00"/>
    <m/>
    <m/>
    <x v="0"/>
    <n v="0"/>
    <s v="Joshua Cachola"/>
    <m/>
  </r>
  <r>
    <x v="506"/>
    <x v="1"/>
    <x v="6"/>
    <s v="CLFF_1000$$$DK50O05003"/>
    <s v="O000000012"/>
    <m/>
    <s v="LFF (MDG-F)"/>
    <s v="DK50O05003"/>
    <m/>
    <b v="0"/>
    <x v="0"/>
    <x v="0"/>
    <d v="2026-02-04T00:00:00"/>
    <m/>
    <m/>
    <x v="0"/>
    <n v="0"/>
    <s v="Joshua Cachola"/>
    <m/>
  </r>
  <r>
    <x v="506"/>
    <x v="1"/>
    <x v="6"/>
    <s v="CLFF_1000$$$CZ50O05002"/>
    <s v="O000000012"/>
    <m/>
    <s v="LFF (MDG-F)"/>
    <s v="CZ50O05002"/>
    <m/>
    <b v="0"/>
    <x v="0"/>
    <x v="0"/>
    <d v="2026-02-04T00:00:00"/>
    <m/>
    <m/>
    <x v="0"/>
    <n v="0"/>
    <s v="Joshua Cachola"/>
    <m/>
  </r>
  <r>
    <x v="506"/>
    <x v="1"/>
    <x v="6"/>
    <s v="CLFF_1000$$$LT50O05003"/>
    <s v="O000000012"/>
    <m/>
    <s v="LFF (MDG-F)"/>
    <s v="LT50O05003"/>
    <m/>
    <b v="0"/>
    <x v="0"/>
    <x v="0"/>
    <d v="2026-02-04T00:00:00"/>
    <m/>
    <m/>
    <x v="0"/>
    <n v="0"/>
    <s v="Joshua Cachola"/>
    <m/>
  </r>
  <r>
    <x v="506"/>
    <x v="1"/>
    <x v="6"/>
    <s v="CLFF_1000$$$NO50O05003"/>
    <s v="O000000012"/>
    <m/>
    <s v="LFF (MDG-F)"/>
    <s v="NO50O05003"/>
    <m/>
    <b v="0"/>
    <x v="0"/>
    <x v="0"/>
    <d v="2026-02-04T00:00:00"/>
    <m/>
    <m/>
    <x v="0"/>
    <n v="0"/>
    <s v="Joshua Cachola"/>
    <m/>
  </r>
  <r>
    <x v="506"/>
    <x v="1"/>
    <x v="6"/>
    <s v="CLFF_1000$$$LV50O05003"/>
    <s v="O000000012"/>
    <m/>
    <s v="LFF (MDG-F)"/>
    <s v="LV50O05003"/>
    <m/>
    <b v="0"/>
    <x v="0"/>
    <x v="0"/>
    <d v="2026-02-04T00:00:00"/>
    <m/>
    <m/>
    <x v="0"/>
    <n v="0"/>
    <s v="Joshua Cachola"/>
    <m/>
  </r>
  <r>
    <x v="506"/>
    <x v="1"/>
    <x v="6"/>
    <s v="CLFF_1000$$$EE50O05003"/>
    <s v="O000000012"/>
    <m/>
    <s v="LFF (MDG-F)"/>
    <s v="EE50O05003"/>
    <m/>
    <b v="0"/>
    <x v="0"/>
    <x v="0"/>
    <d v="2026-02-04T00:00:00"/>
    <m/>
    <m/>
    <x v="0"/>
    <n v="0"/>
    <s v="Joshua Cachola"/>
    <m/>
  </r>
  <r>
    <x v="506"/>
    <x v="1"/>
    <x v="6"/>
    <s v="CLFF_1000$$$FI50O05003"/>
    <s v="O000000012"/>
    <m/>
    <s v="LFF (MDG-F)"/>
    <s v="FI50O05003"/>
    <m/>
    <b v="0"/>
    <x v="0"/>
    <x v="0"/>
    <d v="2026-02-04T00:00:00"/>
    <m/>
    <m/>
    <x v="0"/>
    <n v="0"/>
    <s v="Joshua Cachola"/>
    <m/>
  </r>
  <r>
    <x v="506"/>
    <x v="1"/>
    <x v="6"/>
    <s v="CLFF_1000$$$SE50O05003"/>
    <s v="O000000012"/>
    <m/>
    <s v="LFF (MDG-F)"/>
    <s v="SE50O05003"/>
    <m/>
    <b v="0"/>
    <x v="0"/>
    <x v="0"/>
    <d v="2026-02-04T00:00:00"/>
    <m/>
    <m/>
    <x v="0"/>
    <n v="0"/>
    <s v="Joshua Cachola"/>
    <m/>
  </r>
  <r>
    <x v="506"/>
    <x v="1"/>
    <x v="6"/>
    <s v="CLFF_1000$$$JP01O05001"/>
    <s v="O000000012"/>
    <m/>
    <s v="LFF (MDG-F)"/>
    <s v="JP01O05001"/>
    <m/>
    <b v="0"/>
    <x v="0"/>
    <x v="0"/>
    <d v="2026-02-04T00:00:00"/>
    <m/>
    <m/>
    <x v="0"/>
    <n v="0"/>
    <s v="Joshua Cachola"/>
    <m/>
  </r>
  <r>
    <x v="506"/>
    <x v="1"/>
    <x v="6"/>
    <s v="CLFF_1000$$$JP01O05000"/>
    <s v="O000000012"/>
    <m/>
    <s v="LFF (MDG-F)"/>
    <s v="JP01O05000"/>
    <m/>
    <b v="0"/>
    <x v="0"/>
    <x v="0"/>
    <d v="2026-02-04T00:00:00"/>
    <m/>
    <m/>
    <x v="0"/>
    <n v="0"/>
    <s v="Joshua Cachola"/>
    <m/>
  </r>
  <r>
    <x v="506"/>
    <x v="1"/>
    <x v="6"/>
    <s v="CLFF_1000$$$JP01O05002"/>
    <s v="O000000012"/>
    <m/>
    <s v="LFF (MDG-F)"/>
    <s v="JP01O05002"/>
    <m/>
    <b v="0"/>
    <x v="0"/>
    <x v="0"/>
    <d v="2026-02-04T00:00:00"/>
    <m/>
    <m/>
    <x v="0"/>
    <n v="0"/>
    <s v="Joshua Cachola"/>
    <m/>
  </r>
  <r>
    <x v="506"/>
    <x v="1"/>
    <x v="6"/>
    <s v="CLFF_1000$$$JP01O05003"/>
    <s v="O000000012"/>
    <m/>
    <s v="LFF (MDG-F)"/>
    <s v="JP01O05003"/>
    <m/>
    <b v="0"/>
    <x v="0"/>
    <x v="0"/>
    <d v="2026-02-04T00:00:00"/>
    <m/>
    <m/>
    <x v="0"/>
    <n v="0"/>
    <s v="Joshua Cachola"/>
    <m/>
  </r>
  <r>
    <x v="506"/>
    <x v="1"/>
    <x v="6"/>
    <s v="CLFF_1000$$$JP01O05004"/>
    <s v="O000000012"/>
    <m/>
    <s v="LFF (MDG-F)"/>
    <s v="JP01O05004"/>
    <m/>
    <b v="0"/>
    <x v="0"/>
    <x v="0"/>
    <d v="2026-02-04T00:00:00"/>
    <m/>
    <m/>
    <x v="0"/>
    <n v="0"/>
    <s v="Joshua Cachola"/>
    <m/>
  </r>
  <r>
    <x v="506"/>
    <x v="1"/>
    <x v="6"/>
    <s v="CLFF_7210$$$2123O05004"/>
    <s v="O000000012"/>
    <m/>
    <s v="LFF (MDG-F)"/>
    <s v="2123O05004"/>
    <m/>
    <b v="0"/>
    <x v="0"/>
    <x v="0"/>
    <d v="2026-02-04T00:00:00"/>
    <m/>
    <m/>
    <x v="0"/>
    <n v="0"/>
    <s v="Joshua Cachola"/>
    <m/>
  </r>
  <r>
    <x v="506"/>
    <x v="1"/>
    <x v="6"/>
    <s v="CLFF_7210$$$2128O05001"/>
    <s v="O000000012"/>
    <m/>
    <s v="LFF (MDG-F)"/>
    <s v="2128O05001"/>
    <m/>
    <b v="0"/>
    <x v="0"/>
    <x v="0"/>
    <d v="2026-02-04T00:00:00"/>
    <m/>
    <m/>
    <x v="0"/>
    <n v="0"/>
    <s v="Joshua Cachola"/>
    <m/>
  </r>
  <r>
    <x v="506"/>
    <x v="1"/>
    <x v="6"/>
    <s v="CLFF_7210$$$2128O05002"/>
    <s v="O000000012"/>
    <m/>
    <s v="LFF (MDG-F)"/>
    <s v="2128O05002"/>
    <m/>
    <b v="0"/>
    <x v="0"/>
    <x v="0"/>
    <d v="2026-02-04T00:00:00"/>
    <m/>
    <m/>
    <x v="0"/>
    <n v="0"/>
    <s v="Joshua Cachola"/>
    <m/>
  </r>
  <r>
    <x v="506"/>
    <x v="1"/>
    <x v="6"/>
    <s v="CLFF_7210$$$2128O05003"/>
    <s v="O000000012"/>
    <m/>
    <s v="LFF (MDG-F)"/>
    <s v="2128O05003"/>
    <m/>
    <b v="0"/>
    <x v="0"/>
    <x v="0"/>
    <d v="2026-02-04T00:00:00"/>
    <m/>
    <m/>
    <x v="0"/>
    <n v="0"/>
    <s v="Joshua Cachola"/>
    <m/>
  </r>
  <r>
    <x v="506"/>
    <x v="1"/>
    <x v="6"/>
    <s v="CLFF_7210$$$2131O05003"/>
    <s v="O000000012"/>
    <m/>
    <s v="LFF (MDG-F)"/>
    <s v="2131O05003"/>
    <m/>
    <b v="0"/>
    <x v="0"/>
    <x v="0"/>
    <d v="2026-02-04T00:00:00"/>
    <m/>
    <m/>
    <x v="0"/>
    <n v="0"/>
    <s v="Joshua Cachola"/>
    <m/>
  </r>
  <r>
    <x v="506"/>
    <x v="1"/>
    <x v="6"/>
    <s v="CLFF_7210$$$2148O05001"/>
    <s v="O000000012"/>
    <m/>
    <s v="LFF (MDG-F)"/>
    <s v="2148O05001"/>
    <m/>
    <b v="0"/>
    <x v="0"/>
    <x v="0"/>
    <d v="2026-02-04T00:00:00"/>
    <m/>
    <m/>
    <x v="0"/>
    <n v="0"/>
    <s v="Joshua Cachola"/>
    <m/>
  </r>
  <r>
    <x v="506"/>
    <x v="1"/>
    <x v="6"/>
    <s v="CLFF_7210$$$2148O05002"/>
    <s v="O000000012"/>
    <m/>
    <s v="LFF (MDG-F)"/>
    <s v="2148O05002"/>
    <m/>
    <b v="0"/>
    <x v="0"/>
    <x v="0"/>
    <d v="2026-02-04T00:00:00"/>
    <m/>
    <m/>
    <x v="0"/>
    <n v="0"/>
    <s v="Joshua Cachola"/>
    <m/>
  </r>
  <r>
    <x v="506"/>
    <x v="1"/>
    <x v="6"/>
    <s v="CLFF_7210$$$2148O05003"/>
    <s v="O000000012"/>
    <m/>
    <s v="LFF (MDG-F)"/>
    <s v="2148O05003"/>
    <m/>
    <b v="0"/>
    <x v="0"/>
    <x v="0"/>
    <d v="2026-02-04T00:00:00"/>
    <m/>
    <m/>
    <x v="0"/>
    <n v="0"/>
    <s v="Joshua Cachola"/>
    <m/>
  </r>
  <r>
    <x v="506"/>
    <x v="1"/>
    <x v="6"/>
    <s v="CLFF_7210$$$2148O05004"/>
    <s v="O000000012"/>
    <m/>
    <s v="LFF (MDG-F)"/>
    <s v="2148O05004"/>
    <m/>
    <b v="0"/>
    <x v="0"/>
    <x v="0"/>
    <d v="2026-02-04T00:00:00"/>
    <m/>
    <m/>
    <x v="0"/>
    <n v="0"/>
    <s v="Joshua Cachola"/>
    <m/>
  </r>
  <r>
    <x v="506"/>
    <x v="1"/>
    <x v="6"/>
    <s v="CLFF_7210$$$1376O05002"/>
    <s v="O000000012"/>
    <m/>
    <s v="LFF (MDG-F)"/>
    <s v="1376O05002"/>
    <m/>
    <b v="0"/>
    <x v="0"/>
    <x v="0"/>
    <d v="2026-02-04T00:00:00"/>
    <m/>
    <m/>
    <x v="0"/>
    <n v="0"/>
    <s v="Joshua Cachola"/>
    <m/>
  </r>
  <r>
    <x v="506"/>
    <x v="1"/>
    <x v="6"/>
    <s v="CLFF_7210$$$1756O05002"/>
    <s v="O000000012"/>
    <m/>
    <s v="LFF (MDG-F)"/>
    <s v="1756O05002"/>
    <m/>
    <b v="0"/>
    <x v="0"/>
    <x v="0"/>
    <d v="2026-02-04T00:00:00"/>
    <m/>
    <m/>
    <x v="0"/>
    <n v="0"/>
    <s v="Joshua Cachola"/>
    <m/>
  </r>
  <r>
    <x v="506"/>
    <x v="1"/>
    <x v="6"/>
    <s v="CLFF_7210$$$1756O05004"/>
    <s v="O000000012"/>
    <m/>
    <s v="LFF (MDG-F)"/>
    <s v="1756O05004"/>
    <m/>
    <b v="0"/>
    <x v="0"/>
    <x v="0"/>
    <d v="2026-02-04T00:00:00"/>
    <m/>
    <m/>
    <x v="0"/>
    <n v="0"/>
    <s v="Joshua Cachola"/>
    <m/>
  </r>
  <r>
    <x v="506"/>
    <x v="1"/>
    <x v="6"/>
    <s v="CLFF_7210$$$1919O05003"/>
    <s v="O000000012"/>
    <m/>
    <s v="LFF (MDG-F)"/>
    <s v="1919O05003"/>
    <m/>
    <b v="0"/>
    <x v="0"/>
    <x v="0"/>
    <d v="2026-02-04T00:00:00"/>
    <m/>
    <m/>
    <x v="0"/>
    <n v="0"/>
    <s v="Joshua Cachola"/>
    <m/>
  </r>
  <r>
    <x v="506"/>
    <x v="1"/>
    <x v="6"/>
    <s v="CLFF_7210$$$1937O05002"/>
    <s v="O000000012"/>
    <m/>
    <s v="LFF (MDG-F)"/>
    <s v="1937O05002"/>
    <m/>
    <b v="0"/>
    <x v="0"/>
    <x v="0"/>
    <d v="2026-02-04T00:00:00"/>
    <m/>
    <m/>
    <x v="0"/>
    <n v="0"/>
    <s v="Joshua Cachola"/>
    <m/>
  </r>
  <r>
    <x v="506"/>
    <x v="1"/>
    <x v="6"/>
    <s v="CLFF_7210$$$2010O05001"/>
    <s v="O000000012"/>
    <m/>
    <s v="LFF (MDG-F)"/>
    <s v="2010O05001"/>
    <m/>
    <b v="0"/>
    <x v="0"/>
    <x v="0"/>
    <d v="2026-02-04T00:00:00"/>
    <m/>
    <m/>
    <x v="0"/>
    <n v="0"/>
    <s v="Joshua Cachola"/>
    <m/>
  </r>
  <r>
    <x v="506"/>
    <x v="1"/>
    <x v="6"/>
    <s v="CLFF_7210$$$2011O05003"/>
    <s v="O000000012"/>
    <m/>
    <s v="LFF (MDG-F)"/>
    <s v="2011O05003"/>
    <m/>
    <b v="0"/>
    <x v="0"/>
    <x v="0"/>
    <d v="2026-02-04T00:00:00"/>
    <m/>
    <m/>
    <x v="0"/>
    <n v="0"/>
    <s v="Joshua Cachola"/>
    <m/>
  </r>
  <r>
    <x v="506"/>
    <x v="1"/>
    <x v="6"/>
    <s v="CLFF_7210$$$2012O05002"/>
    <s v="O000000012"/>
    <m/>
    <s v="LFF (MDG-F)"/>
    <s v="2012O05002"/>
    <m/>
    <b v="0"/>
    <x v="0"/>
    <x v="0"/>
    <d v="2026-02-04T00:00:00"/>
    <m/>
    <m/>
    <x v="0"/>
    <n v="0"/>
    <s v="Joshua Cachola"/>
    <m/>
  </r>
  <r>
    <x v="506"/>
    <x v="1"/>
    <x v="6"/>
    <s v="CLFF_7210$$$2013O05002"/>
    <s v="O000000012"/>
    <m/>
    <s v="LFF (MDG-F)"/>
    <s v="2013O05002"/>
    <m/>
    <b v="0"/>
    <x v="0"/>
    <x v="0"/>
    <d v="2026-02-04T00:00:00"/>
    <m/>
    <m/>
    <x v="0"/>
    <n v="0"/>
    <s v="Joshua Cachola"/>
    <m/>
  </r>
  <r>
    <x v="506"/>
    <x v="1"/>
    <x v="6"/>
    <s v="CLFF_7210$$$2018O05002"/>
    <s v="O000000012"/>
    <m/>
    <s v="LFF (MDG-F)"/>
    <s v="2018O05002"/>
    <m/>
    <b v="0"/>
    <x v="0"/>
    <x v="0"/>
    <d v="2026-02-04T00:00:00"/>
    <m/>
    <m/>
    <x v="0"/>
    <n v="0"/>
    <s v="Joshua Cachola"/>
    <m/>
  </r>
  <r>
    <x v="506"/>
    <x v="1"/>
    <x v="6"/>
    <s v="CLFF_7210$$$2022O05001"/>
    <s v="O000000012"/>
    <m/>
    <s v="LFF (MDG-F)"/>
    <s v="2022O05001"/>
    <m/>
    <b v="0"/>
    <x v="0"/>
    <x v="0"/>
    <d v="2026-02-04T00:00:00"/>
    <m/>
    <m/>
    <x v="0"/>
    <n v="0"/>
    <s v="Joshua Cachola"/>
    <m/>
  </r>
  <r>
    <x v="506"/>
    <x v="1"/>
    <x v="6"/>
    <s v="CLFF_7210$$$2023O05003"/>
    <s v="O000000012"/>
    <m/>
    <s v="LFF (MDG-F)"/>
    <s v="2023O05003"/>
    <m/>
    <b v="0"/>
    <x v="0"/>
    <x v="0"/>
    <d v="2026-02-04T00:00:00"/>
    <m/>
    <m/>
    <x v="0"/>
    <n v="0"/>
    <s v="Joshua Cachola"/>
    <m/>
  </r>
  <r>
    <x v="506"/>
    <x v="1"/>
    <x v="6"/>
    <s v="CLFF_7210$$$2025O05002"/>
    <s v="O000000012"/>
    <m/>
    <s v="LFF (MDG-F)"/>
    <s v="2025O05002"/>
    <m/>
    <b v="0"/>
    <x v="0"/>
    <x v="0"/>
    <d v="2026-02-04T00:00:00"/>
    <m/>
    <m/>
    <x v="0"/>
    <n v="0"/>
    <s v="Joshua Cachola"/>
    <m/>
  </r>
  <r>
    <x v="506"/>
    <x v="1"/>
    <x v="6"/>
    <s v="CLFF_7210$$$2025O05005"/>
    <s v="O000000012"/>
    <m/>
    <s v="LFF (MDG-F)"/>
    <s v="2025O05005"/>
    <m/>
    <b v="0"/>
    <x v="0"/>
    <x v="0"/>
    <d v="2026-02-04T00:00:00"/>
    <m/>
    <m/>
    <x v="0"/>
    <n v="0"/>
    <s v="Joshua Cachola"/>
    <m/>
  </r>
  <r>
    <x v="506"/>
    <x v="1"/>
    <x v="6"/>
    <s v="CLFF_7210$$$2029O05001"/>
    <s v="O000000012"/>
    <m/>
    <s v="LFF (MDG-F)"/>
    <s v="2029O05001"/>
    <m/>
    <b v="0"/>
    <x v="0"/>
    <x v="0"/>
    <d v="2026-02-04T00:00:00"/>
    <m/>
    <m/>
    <x v="0"/>
    <n v="0"/>
    <s v="Joshua Cachola"/>
    <m/>
  </r>
  <r>
    <x v="506"/>
    <x v="1"/>
    <x v="6"/>
    <s v="CLFF_7210$$$2031O05002"/>
    <s v="O000000012"/>
    <m/>
    <s v="LFF (MDG-F)"/>
    <s v="2031O05002"/>
    <m/>
    <b v="0"/>
    <x v="0"/>
    <x v="0"/>
    <d v="2026-02-04T00:00:00"/>
    <m/>
    <m/>
    <x v="0"/>
    <n v="0"/>
    <s v="Joshua Cachola"/>
    <m/>
  </r>
  <r>
    <x v="506"/>
    <x v="1"/>
    <x v="6"/>
    <s v="CLFF_7210$$$2032GM6600"/>
    <s v="O000000012"/>
    <m/>
    <s v="LFF (MDG-F)"/>
    <s v="2032GM6600"/>
    <m/>
    <b v="0"/>
    <x v="0"/>
    <x v="0"/>
    <d v="2026-02-04T00:00:00"/>
    <m/>
    <m/>
    <x v="0"/>
    <n v="0"/>
    <s v="Joshua Cachola"/>
    <m/>
  </r>
  <r>
    <x v="506"/>
    <x v="1"/>
    <x v="6"/>
    <s v="CLFF_7210$$$2034GIT201"/>
    <s v="O000000012"/>
    <m/>
    <s v="LFF (MDG-F)"/>
    <s v="2034GIT201"/>
    <m/>
    <b v="0"/>
    <x v="0"/>
    <x v="0"/>
    <d v="2026-02-04T00:00:00"/>
    <m/>
    <m/>
    <x v="0"/>
    <n v="0"/>
    <s v="Joshua Cachola"/>
    <m/>
  </r>
  <r>
    <x v="506"/>
    <x v="1"/>
    <x v="6"/>
    <s v="CLFF_7210$$$2053O05002"/>
    <s v="O000000012"/>
    <m/>
    <s v="LFF (MDG-F)"/>
    <s v="2053O05002"/>
    <m/>
    <b v="0"/>
    <x v="0"/>
    <x v="0"/>
    <d v="2026-02-04T00:00:00"/>
    <m/>
    <m/>
    <x v="0"/>
    <n v="0"/>
    <s v="Joshua Cachola"/>
    <m/>
  </r>
  <r>
    <x v="506"/>
    <x v="1"/>
    <x v="6"/>
    <s v="CLFF_7210$$$2063O05001"/>
    <s v="O000000012"/>
    <m/>
    <s v="LFF (MDG-F)"/>
    <s v="2063O05001"/>
    <m/>
    <b v="0"/>
    <x v="0"/>
    <x v="0"/>
    <d v="2026-02-04T00:00:00"/>
    <m/>
    <m/>
    <x v="0"/>
    <n v="0"/>
    <s v="Joshua Cachola"/>
    <m/>
  </r>
  <r>
    <x v="506"/>
    <x v="1"/>
    <x v="6"/>
    <s v="CLFF_7210$$$2063O05002"/>
    <s v="O000000012"/>
    <m/>
    <s v="LFF (MDG-F)"/>
    <s v="2063O05002"/>
    <m/>
    <b v="0"/>
    <x v="0"/>
    <x v="0"/>
    <d v="2026-02-04T00:00:00"/>
    <m/>
    <m/>
    <x v="0"/>
    <n v="0"/>
    <s v="Joshua Cachola"/>
    <m/>
  </r>
  <r>
    <x v="506"/>
    <x v="1"/>
    <x v="6"/>
    <s v="CLFF_7210$$$2063O05003"/>
    <s v="O000000012"/>
    <m/>
    <s v="LFF (MDG-F)"/>
    <s v="2063O05003"/>
    <m/>
    <b v="0"/>
    <x v="0"/>
    <x v="0"/>
    <d v="2026-02-04T00:00:00"/>
    <m/>
    <m/>
    <x v="0"/>
    <n v="0"/>
    <s v="Joshua Cachola"/>
    <m/>
  </r>
  <r>
    <x v="506"/>
    <x v="1"/>
    <x v="6"/>
    <s v="CLFF_7210$$$2068O05001"/>
    <s v="O000000012"/>
    <m/>
    <s v="LFF (MDG-F)"/>
    <s v="2068O05001"/>
    <m/>
    <b v="0"/>
    <x v="0"/>
    <x v="0"/>
    <d v="2026-02-04T00:00:00"/>
    <m/>
    <m/>
    <x v="0"/>
    <n v="0"/>
    <s v="Joshua Cachola"/>
    <m/>
  </r>
  <r>
    <x v="506"/>
    <x v="1"/>
    <x v="6"/>
    <s v="CLFF_7210$$$2088O05001"/>
    <s v="O000000012"/>
    <m/>
    <s v="LFF (MDG-F)"/>
    <s v="2088O05001"/>
    <m/>
    <b v="0"/>
    <x v="0"/>
    <x v="0"/>
    <d v="2026-02-04T00:00:00"/>
    <m/>
    <m/>
    <x v="0"/>
    <n v="0"/>
    <s v="Joshua Cachola"/>
    <m/>
  </r>
  <r>
    <x v="506"/>
    <x v="1"/>
    <x v="6"/>
    <s v="CLFF_7210$$$2102O05001"/>
    <s v="O000000012"/>
    <m/>
    <s v="LFF (MDG-F)"/>
    <s v="2102O05001"/>
    <m/>
    <b v="0"/>
    <x v="0"/>
    <x v="0"/>
    <d v="2026-02-04T00:00:00"/>
    <m/>
    <m/>
    <x v="0"/>
    <n v="0"/>
    <s v="Joshua Cachola"/>
    <m/>
  </r>
  <r>
    <x v="506"/>
    <x v="1"/>
    <x v="6"/>
    <s v="CLFF_7210$$$2103O05001"/>
    <s v="O000000012"/>
    <m/>
    <s v="LFF (MDG-F)"/>
    <s v="2103O05001"/>
    <m/>
    <b v="0"/>
    <x v="0"/>
    <x v="0"/>
    <d v="2026-02-04T00:00:00"/>
    <m/>
    <m/>
    <x v="0"/>
    <n v="0"/>
    <s v="Joshua Cachola"/>
    <m/>
  </r>
  <r>
    <x v="506"/>
    <x v="1"/>
    <x v="6"/>
    <s v="CLFF_7210$$$2118O05002"/>
    <s v="O000000012"/>
    <m/>
    <s v="LFF (MDG-F)"/>
    <s v="2118O05002"/>
    <m/>
    <b v="0"/>
    <x v="0"/>
    <x v="0"/>
    <d v="2026-02-04T00:00:00"/>
    <m/>
    <m/>
    <x v="0"/>
    <n v="0"/>
    <s v="Joshua Cachola"/>
    <m/>
  </r>
  <r>
    <x v="506"/>
    <x v="1"/>
    <x v="6"/>
    <s v="CLFF_7210$$$2123O05001"/>
    <s v="O000000012"/>
    <m/>
    <s v="LFF (MDG-F)"/>
    <s v="2123O05001"/>
    <m/>
    <b v="0"/>
    <x v="0"/>
    <x v="0"/>
    <d v="2026-02-04T00:00:00"/>
    <m/>
    <m/>
    <x v="0"/>
    <n v="0"/>
    <s v="Joshua Cachola"/>
    <m/>
  </r>
  <r>
    <x v="506"/>
    <x v="1"/>
    <x v="6"/>
    <s v="CLFF_7210$$$2123O05002"/>
    <s v="O000000012"/>
    <m/>
    <s v="LFF (MDG-F)"/>
    <s v="2123O05002"/>
    <m/>
    <b v="0"/>
    <x v="0"/>
    <x v="0"/>
    <d v="2026-02-04T00:00:00"/>
    <m/>
    <m/>
    <x v="0"/>
    <n v="0"/>
    <s v="Joshua Cachola"/>
    <m/>
  </r>
  <r>
    <x v="506"/>
    <x v="1"/>
    <x v="3"/>
    <s v="CLFF_KR00$$$KR03GIS009"/>
    <s v="O000000012"/>
    <m/>
    <s v="LFF (MDG-F)"/>
    <s v="KR03GIS009"/>
    <m/>
    <b v="0"/>
    <x v="0"/>
    <x v="0"/>
    <d v="2026-02-04T00:00:00"/>
    <m/>
    <m/>
    <x v="0"/>
    <n v="0"/>
    <s v="Joshua Cachola"/>
    <m/>
  </r>
  <r>
    <x v="506"/>
    <x v="1"/>
    <x v="6"/>
    <s v="CLFF_VMCA$$$CN09O05009"/>
    <s v="O000000012"/>
    <m/>
    <s v="LFF (MDG-F)"/>
    <s v="CN09O05009"/>
    <m/>
    <b v="0"/>
    <x v="0"/>
    <x v="0"/>
    <d v="2026-02-04T00:00:00"/>
    <m/>
    <m/>
    <x v="0"/>
    <n v="0"/>
    <s v="Joshua Cachola"/>
    <m/>
  </r>
  <r>
    <x v="506"/>
    <x v="1"/>
    <x v="6"/>
    <s v="CLFF_VMCA$$$CN10O05001"/>
    <s v="O000000012"/>
    <m/>
    <s v="LFF (MDG-F)"/>
    <s v="CN10O05001"/>
    <m/>
    <b v="0"/>
    <x v="0"/>
    <x v="0"/>
    <d v="2026-02-04T00:00:00"/>
    <m/>
    <m/>
    <x v="0"/>
    <n v="0"/>
    <s v="Joshua Cachola"/>
    <m/>
  </r>
  <r>
    <x v="506"/>
    <x v="1"/>
    <x v="6"/>
    <s v="CLFF_VMCA$$$CN43O05003"/>
    <s v="O000000012"/>
    <m/>
    <s v="LFF (MDG-F)"/>
    <s v="CN43O05003"/>
    <m/>
    <b v="0"/>
    <x v="0"/>
    <x v="0"/>
    <d v="2026-02-04T00:00:00"/>
    <m/>
    <m/>
    <x v="0"/>
    <n v="0"/>
    <s v="Joshua Cachola"/>
    <m/>
  </r>
  <r>
    <x v="506"/>
    <x v="1"/>
    <x v="6"/>
    <s v="CLFF_VMCA$$$GB10O05004"/>
    <s v="O000000012"/>
    <m/>
    <s v="LFF (MDG-F)"/>
    <s v="GB10O05004"/>
    <m/>
    <b v="0"/>
    <x v="0"/>
    <x v="0"/>
    <d v="2026-02-04T00:00:00"/>
    <m/>
    <m/>
    <x v="0"/>
    <n v="0"/>
    <s v="Joshua Cachola"/>
    <m/>
  </r>
  <r>
    <x v="506"/>
    <x v="1"/>
    <x v="6"/>
    <s v="CLFF_VMCA$$$GB10O05005"/>
    <s v="O000000012"/>
    <m/>
    <s v="LFF (MDG-F)"/>
    <s v="GB10O05005"/>
    <m/>
    <b v="0"/>
    <x v="0"/>
    <x v="0"/>
    <d v="2026-02-04T00:00:00"/>
    <m/>
    <m/>
    <x v="0"/>
    <n v="0"/>
    <s v="Joshua Cachola"/>
    <m/>
  </r>
  <r>
    <x v="506"/>
    <x v="1"/>
    <x v="6"/>
    <s v="CLFF_VMCA$$$IE10O05003"/>
    <s v="O000000012"/>
    <m/>
    <s v="LFF (MDG-F)"/>
    <s v="IE10O05003"/>
    <m/>
    <b v="0"/>
    <x v="0"/>
    <x v="0"/>
    <d v="2026-02-04T00:00:00"/>
    <m/>
    <m/>
    <x v="0"/>
    <n v="0"/>
    <s v="Joshua Cachola"/>
    <m/>
  </r>
  <r>
    <x v="506"/>
    <x v="1"/>
    <x v="6"/>
    <s v="CLFF_VMCA$$$IE10O05004"/>
    <s v="O000000012"/>
    <m/>
    <s v="LFF (MDG-F)"/>
    <s v="IE10O05004"/>
    <m/>
    <b v="0"/>
    <x v="0"/>
    <x v="0"/>
    <d v="2026-02-04T00:00:00"/>
    <m/>
    <m/>
    <x v="0"/>
    <n v="0"/>
    <s v="Joshua Cachola"/>
    <m/>
  </r>
  <r>
    <x v="506"/>
    <x v="1"/>
    <x v="6"/>
    <s v="CLFF_VMCA$$$IL10O05003"/>
    <s v="O000000012"/>
    <m/>
    <s v="LFF (MDG-F)"/>
    <s v="IL10O05003"/>
    <m/>
    <b v="0"/>
    <x v="0"/>
    <x v="0"/>
    <d v="2026-02-04T00:00:00"/>
    <m/>
    <m/>
    <x v="0"/>
    <n v="0"/>
    <s v="Joshua Cachola"/>
    <m/>
  </r>
  <r>
    <x v="506"/>
    <x v="1"/>
    <x v="6"/>
    <s v="CLFF_VMCA$$$IT07O05003"/>
    <s v="O000000012"/>
    <m/>
    <s v="LFF (MDG-F)"/>
    <s v="IT07O05003"/>
    <m/>
    <b v="0"/>
    <x v="0"/>
    <x v="0"/>
    <d v="2026-02-04T00:00:00"/>
    <m/>
    <m/>
    <x v="0"/>
    <n v="0"/>
    <s v="Joshua Cachola"/>
    <m/>
  </r>
  <r>
    <x v="506"/>
    <x v="1"/>
    <x v="6"/>
    <s v="CLFF_VMCA$$$KR07O05017"/>
    <s v="O000000012"/>
    <m/>
    <s v="LFF (MDG-F)"/>
    <s v="KR07O05017"/>
    <m/>
    <b v="0"/>
    <x v="0"/>
    <x v="0"/>
    <d v="2026-02-04T00:00:00"/>
    <m/>
    <m/>
    <x v="0"/>
    <n v="0"/>
    <s v="Joshua Cachola"/>
    <m/>
  </r>
  <r>
    <x v="506"/>
    <x v="1"/>
    <x v="6"/>
    <s v="CLFF_VMCA$$$KR07O05018"/>
    <s v="O000000012"/>
    <m/>
    <s v="LFF (MDG-F)"/>
    <s v="KR07O05018"/>
    <m/>
    <b v="0"/>
    <x v="0"/>
    <x v="0"/>
    <d v="2026-02-04T00:00:00"/>
    <m/>
    <m/>
    <x v="0"/>
    <n v="0"/>
    <s v="Joshua Cachola"/>
    <m/>
  </r>
  <r>
    <x v="506"/>
    <x v="1"/>
    <x v="6"/>
    <s v="CLFF_VMCA$$$KR07O05019"/>
    <s v="O000000012"/>
    <m/>
    <s v="LFF (MDG-F)"/>
    <s v="KR07O05019"/>
    <m/>
    <b v="0"/>
    <x v="0"/>
    <x v="0"/>
    <d v="2026-02-04T00:00:00"/>
    <m/>
    <m/>
    <x v="0"/>
    <n v="0"/>
    <s v="Joshua Cachola"/>
    <m/>
  </r>
  <r>
    <x v="506"/>
    <x v="1"/>
    <x v="6"/>
    <s v="CLFF_VMCA$$$KR07O05020"/>
    <s v="O000000012"/>
    <m/>
    <s v="LFF (MDG-F)"/>
    <s v="KR07O05020"/>
    <m/>
    <b v="0"/>
    <x v="0"/>
    <x v="0"/>
    <d v="2026-02-04T00:00:00"/>
    <m/>
    <m/>
    <x v="0"/>
    <n v="0"/>
    <s v="Joshua Cachola"/>
    <m/>
  </r>
  <r>
    <x v="506"/>
    <x v="1"/>
    <x v="6"/>
    <s v="CLFF_VMCA$$$KR08O05004"/>
    <s v="O000000012"/>
    <m/>
    <s v="LFF (MDG-F)"/>
    <s v="KR08O05004"/>
    <m/>
    <b v="0"/>
    <x v="0"/>
    <x v="0"/>
    <d v="2026-02-04T00:00:00"/>
    <m/>
    <m/>
    <x v="0"/>
    <n v="0"/>
    <s v="Joshua Cachola"/>
    <m/>
  </r>
  <r>
    <x v="506"/>
    <x v="1"/>
    <x v="6"/>
    <s v="CLFF_VMCA$$$KR08O05005"/>
    <s v="O000000012"/>
    <m/>
    <s v="LFF (MDG-F)"/>
    <s v="KR08O05005"/>
    <m/>
    <b v="0"/>
    <x v="0"/>
    <x v="0"/>
    <d v="2026-02-04T00:00:00"/>
    <m/>
    <m/>
    <x v="0"/>
    <n v="0"/>
    <s v="Joshua Cachola"/>
    <m/>
  </r>
  <r>
    <x v="506"/>
    <x v="1"/>
    <x v="6"/>
    <s v="CLFF_VMCA$$$KR08O05006"/>
    <s v="O000000012"/>
    <m/>
    <s v="LFF (MDG-F)"/>
    <s v="KR08O05006"/>
    <m/>
    <b v="0"/>
    <x v="0"/>
    <x v="0"/>
    <d v="2026-02-04T00:00:00"/>
    <m/>
    <m/>
    <x v="0"/>
    <n v="0"/>
    <s v="Joshua Cachola"/>
    <m/>
  </r>
  <r>
    <x v="506"/>
    <x v="1"/>
    <x v="6"/>
    <s v="CLFF_VMCA$$$KR11O05003"/>
    <s v="O000000012"/>
    <m/>
    <s v="LFF (MDG-F)"/>
    <s v="KR11O05003"/>
    <m/>
    <b v="0"/>
    <x v="0"/>
    <x v="0"/>
    <d v="2026-02-04T00:00:00"/>
    <m/>
    <m/>
    <x v="0"/>
    <n v="0"/>
    <s v="Joshua Cachola"/>
    <m/>
  </r>
  <r>
    <x v="506"/>
    <x v="1"/>
    <x v="6"/>
    <s v="CLFF_VMCA$$$KR11O05004"/>
    <s v="O000000012"/>
    <m/>
    <s v="LFF (MDG-F)"/>
    <s v="KR11O05004"/>
    <m/>
    <b v="0"/>
    <x v="0"/>
    <x v="0"/>
    <d v="2026-02-04T00:00:00"/>
    <m/>
    <m/>
    <x v="0"/>
    <n v="0"/>
    <s v="Joshua Cachola"/>
    <m/>
  </r>
  <r>
    <x v="506"/>
    <x v="1"/>
    <x v="6"/>
    <s v="CLFF_VMCA$$$KR15O05003"/>
    <s v="O000000012"/>
    <m/>
    <s v="LFF (MDG-F)"/>
    <s v="KR15O05003"/>
    <m/>
    <b v="0"/>
    <x v="0"/>
    <x v="0"/>
    <d v="2026-02-04T00:00:00"/>
    <m/>
    <m/>
    <x v="0"/>
    <n v="0"/>
    <s v="Joshua Cachola"/>
    <m/>
  </r>
  <r>
    <x v="506"/>
    <x v="1"/>
    <x v="6"/>
    <s v="CLFF_VMCA$$$KR15O05004"/>
    <s v="O000000012"/>
    <m/>
    <s v="LFF (MDG-F)"/>
    <s v="KR15O05004"/>
    <m/>
    <b v="0"/>
    <x v="0"/>
    <x v="0"/>
    <d v="2026-02-04T00:00:00"/>
    <m/>
    <m/>
    <x v="0"/>
    <n v="0"/>
    <s v="Joshua Cachola"/>
    <m/>
  </r>
  <r>
    <x v="506"/>
    <x v="1"/>
    <x v="6"/>
    <s v="CLFF_VMCA$$$KR16O05003"/>
    <s v="O000000012"/>
    <m/>
    <s v="LFF (MDG-F)"/>
    <s v="KR16O05003"/>
    <m/>
    <b v="0"/>
    <x v="0"/>
    <x v="0"/>
    <d v="2026-02-04T00:00:00"/>
    <m/>
    <m/>
    <x v="0"/>
    <n v="0"/>
    <s v="Joshua Cachola"/>
    <m/>
  </r>
  <r>
    <x v="506"/>
    <x v="1"/>
    <x v="6"/>
    <s v="CLFF_VMCA$$$KR16O05004"/>
    <s v="O000000012"/>
    <m/>
    <s v="LFF (MDG-F)"/>
    <s v="KR16O05004"/>
    <m/>
    <b v="0"/>
    <x v="0"/>
    <x v="0"/>
    <d v="2026-02-04T00:00:00"/>
    <m/>
    <m/>
    <x v="0"/>
    <n v="0"/>
    <s v="Joshua Cachola"/>
    <m/>
  </r>
  <r>
    <x v="506"/>
    <x v="1"/>
    <x v="6"/>
    <s v="CLFF_VMCA$$$NL10O05008"/>
    <s v="O000000012"/>
    <m/>
    <s v="LFF (MDG-F)"/>
    <s v="NL10O05008"/>
    <m/>
    <b v="0"/>
    <x v="0"/>
    <x v="0"/>
    <d v="2026-02-04T00:00:00"/>
    <m/>
    <m/>
    <x v="0"/>
    <n v="0"/>
    <s v="Joshua Cachola"/>
    <m/>
  </r>
  <r>
    <x v="506"/>
    <x v="1"/>
    <x v="6"/>
    <s v="CLFF_VMCA$$$NL10O05009"/>
    <s v="O000000012"/>
    <m/>
    <s v="LFF (MDG-F)"/>
    <s v="NL10O05009"/>
    <m/>
    <b v="0"/>
    <x v="0"/>
    <x v="0"/>
    <d v="2026-02-04T00:00:00"/>
    <m/>
    <m/>
    <x v="0"/>
    <n v="0"/>
    <s v="Joshua Cachola"/>
    <m/>
  </r>
  <r>
    <x v="506"/>
    <x v="1"/>
    <x v="6"/>
    <s v="CLFF_VMCA$$$NL10O05010"/>
    <s v="O000000012"/>
    <m/>
    <s v="LFF (MDG-F)"/>
    <s v="NL10O05010"/>
    <m/>
    <b v="0"/>
    <x v="0"/>
    <x v="0"/>
    <d v="2026-02-04T00:00:00"/>
    <m/>
    <m/>
    <x v="0"/>
    <n v="0"/>
    <s v="Joshua Cachola"/>
    <m/>
  </r>
  <r>
    <x v="506"/>
    <x v="1"/>
    <x v="6"/>
    <s v="CLFF_VMCA$$$SG10O05015"/>
    <s v="O000000012"/>
    <m/>
    <s v="LFF (MDG-F)"/>
    <s v="SG10O05015"/>
    <m/>
    <b v="0"/>
    <x v="0"/>
    <x v="0"/>
    <d v="2026-02-04T00:00:00"/>
    <m/>
    <m/>
    <x v="0"/>
    <n v="0"/>
    <s v="Joshua Cachola"/>
    <m/>
  </r>
  <r>
    <x v="506"/>
    <x v="1"/>
    <x v="6"/>
    <s v="CLFF_VMCA$$$SG10O05016"/>
    <s v="O000000012"/>
    <m/>
    <s v="LFF (MDG-F)"/>
    <s v="SG10O05016"/>
    <m/>
    <b v="0"/>
    <x v="0"/>
    <x v="0"/>
    <d v="2026-02-04T00:00:00"/>
    <m/>
    <m/>
    <x v="0"/>
    <n v="0"/>
    <s v="Joshua Cachola"/>
    <m/>
  </r>
  <r>
    <x v="506"/>
    <x v="1"/>
    <x v="6"/>
    <s v="CLFF_VMCA$$$SG10O05017"/>
    <s v="O000000012"/>
    <m/>
    <s v="LFF (MDG-F)"/>
    <s v="SG10O05017"/>
    <m/>
    <b v="0"/>
    <x v="0"/>
    <x v="0"/>
    <d v="2026-02-04T00:00:00"/>
    <m/>
    <m/>
    <x v="0"/>
    <n v="0"/>
    <s v="Joshua Cachola"/>
    <m/>
  </r>
  <r>
    <x v="506"/>
    <x v="1"/>
    <x v="6"/>
    <s v="CLFF_VMCA$$$TW10GIT007"/>
    <s v="O000000012"/>
    <m/>
    <s v="LFF (MDG-F)"/>
    <s v="TW10GIT007"/>
    <m/>
    <b v="0"/>
    <x v="0"/>
    <x v="0"/>
    <d v="2026-02-04T00:00:00"/>
    <m/>
    <m/>
    <x v="0"/>
    <n v="0"/>
    <s v="Joshua Cachola"/>
    <m/>
  </r>
  <r>
    <x v="506"/>
    <x v="1"/>
    <x v="6"/>
    <s v="CLFF_VMCA$$$TW10GIT020"/>
    <s v="O000000012"/>
    <m/>
    <s v="LFF (MDG-F)"/>
    <s v="TW10GIT020"/>
    <m/>
    <b v="0"/>
    <x v="0"/>
    <x v="0"/>
    <d v="2026-02-04T00:00:00"/>
    <m/>
    <m/>
    <x v="0"/>
    <n v="0"/>
    <s v="Joshua Cachola"/>
    <m/>
  </r>
  <r>
    <x v="506"/>
    <x v="1"/>
    <x v="6"/>
    <s v="CLFF_VMCA$$$TW10O05009"/>
    <s v="O000000012"/>
    <m/>
    <s v="LFF (MDG-F)"/>
    <s v="TW10O05009"/>
    <m/>
    <b v="0"/>
    <x v="0"/>
    <x v="0"/>
    <d v="2026-02-04T00:00:00"/>
    <m/>
    <m/>
    <x v="0"/>
    <n v="0"/>
    <s v="Joshua Cachola"/>
    <m/>
  </r>
  <r>
    <x v="506"/>
    <x v="1"/>
    <x v="6"/>
    <s v="CLFF_VMCA$$$TW10O05010"/>
    <s v="O000000012"/>
    <m/>
    <s v="LFF (MDG-F)"/>
    <s v="TW10O05010"/>
    <m/>
    <b v="0"/>
    <x v="0"/>
    <x v="0"/>
    <d v="2026-02-04T00:00:00"/>
    <m/>
    <m/>
    <x v="0"/>
    <n v="0"/>
    <s v="Joshua Cachola"/>
    <m/>
  </r>
  <r>
    <x v="506"/>
    <x v="1"/>
    <x v="6"/>
    <s v="CLFF_VMCA$$$TW10O05011"/>
    <s v="O000000012"/>
    <m/>
    <s v="LFF (MDG-F)"/>
    <s v="TW10O05011"/>
    <m/>
    <b v="0"/>
    <x v="0"/>
    <x v="0"/>
    <d v="2026-02-04T00:00:00"/>
    <m/>
    <m/>
    <x v="0"/>
    <n v="0"/>
    <s v="Joshua Cachola"/>
    <m/>
  </r>
  <r>
    <x v="506"/>
    <x v="1"/>
    <x v="6"/>
    <s v="CLFF_VMCA$$$TW91GIT020"/>
    <s v="O000000012"/>
    <m/>
    <s v="LFF (MDG-F)"/>
    <s v="TW91GIT020"/>
    <m/>
    <b v="0"/>
    <x v="0"/>
    <x v="0"/>
    <d v="2026-02-04T00:00:00"/>
    <m/>
    <m/>
    <x v="0"/>
    <n v="0"/>
    <s v="Joshua Cachola"/>
    <m/>
  </r>
  <r>
    <x v="506"/>
    <x v="1"/>
    <x v="6"/>
    <s v="CLFF_VMCA$$$TW91O05007"/>
    <s v="O000000012"/>
    <m/>
    <s v="LFF (MDG-F)"/>
    <s v="TW91O05007"/>
    <m/>
    <b v="0"/>
    <x v="0"/>
    <x v="0"/>
    <d v="2026-02-04T00:00:00"/>
    <m/>
    <m/>
    <x v="0"/>
    <n v="0"/>
    <s v="Joshua Cachola"/>
    <m/>
  </r>
  <r>
    <x v="506"/>
    <x v="1"/>
    <x v="6"/>
    <s v="CLFF_VMCA$$$TW91O05008"/>
    <s v="O000000012"/>
    <m/>
    <s v="LFF (MDG-F)"/>
    <s v="TW91O05008"/>
    <m/>
    <b v="0"/>
    <x v="0"/>
    <x v="0"/>
    <d v="2026-02-04T00:00:00"/>
    <m/>
    <m/>
    <x v="0"/>
    <n v="0"/>
    <s v="Joshua Cachola"/>
    <m/>
  </r>
  <r>
    <x v="506"/>
    <x v="1"/>
    <x v="6"/>
    <s v="CLFF_VMCA$$$TW91O05009"/>
    <s v="O000000012"/>
    <m/>
    <s v="LFF (MDG-F)"/>
    <s v="TW91O05009"/>
    <m/>
    <b v="0"/>
    <x v="0"/>
    <x v="0"/>
    <d v="2026-02-04T00:00:00"/>
    <m/>
    <m/>
    <x v="0"/>
    <n v="0"/>
    <s v="Joshua Cachola"/>
    <m/>
  </r>
  <r>
    <x v="506"/>
    <x v="1"/>
    <x v="6"/>
    <s v="CLFF_VMCA$$$TW91O05010"/>
    <s v="O000000012"/>
    <m/>
    <s v="LFF (MDG-F)"/>
    <s v="TW91O05010"/>
    <m/>
    <b v="0"/>
    <x v="0"/>
    <x v="0"/>
    <d v="2026-02-04T00:00:00"/>
    <m/>
    <m/>
    <x v="0"/>
    <n v="0"/>
    <s v="Joshua Cachola"/>
    <m/>
  </r>
  <r>
    <x v="506"/>
    <x v="1"/>
    <x v="6"/>
    <s v="CLFF_VMCA$$$US10O05064"/>
    <s v="O000000012"/>
    <m/>
    <s v="LFF (MDG-F)"/>
    <s v="US10O05064"/>
    <m/>
    <b v="0"/>
    <x v="0"/>
    <x v="0"/>
    <d v="2026-02-04T00:00:00"/>
    <m/>
    <m/>
    <x v="0"/>
    <n v="0"/>
    <s v="Joshua Cachola"/>
    <m/>
  </r>
  <r>
    <x v="506"/>
    <x v="1"/>
    <x v="6"/>
    <s v="CLFF_VMCA$$$US10O05065"/>
    <s v="O000000012"/>
    <m/>
    <s v="LFF (MDG-F)"/>
    <s v="US10O05065"/>
    <m/>
    <b v="0"/>
    <x v="0"/>
    <x v="0"/>
    <d v="2026-02-04T00:00:00"/>
    <m/>
    <m/>
    <x v="0"/>
    <n v="0"/>
    <s v="Joshua Cachola"/>
    <m/>
  </r>
  <r>
    <x v="506"/>
    <x v="1"/>
    <x v="6"/>
    <s v="CLFF_VMCA$$$US10O05066"/>
    <s v="O000000012"/>
    <m/>
    <s v="LFF (MDG-F)"/>
    <s v="US10O05066"/>
    <m/>
    <b v="0"/>
    <x v="0"/>
    <x v="0"/>
    <d v="2026-02-04T00:00:00"/>
    <m/>
    <m/>
    <x v="0"/>
    <n v="0"/>
    <s v="Joshua Cachola"/>
    <m/>
  </r>
  <r>
    <x v="506"/>
    <x v="1"/>
    <x v="6"/>
    <s v="CLFF_VMCA$$$US10O05067"/>
    <s v="O000000012"/>
    <m/>
    <s v="LFF (MDG-F)"/>
    <s v="US10O05067"/>
    <m/>
    <b v="0"/>
    <x v="0"/>
    <x v="0"/>
    <d v="2026-02-04T00:00:00"/>
    <m/>
    <m/>
    <x v="0"/>
    <n v="0"/>
    <s v="Joshua Cachola"/>
    <m/>
  </r>
  <r>
    <x v="506"/>
    <x v="1"/>
    <x v="6"/>
    <s v="CLFF_1000$$$DE10514400"/>
    <s v="O000000012"/>
    <m/>
    <s v="LFF (MDG-F)"/>
    <s v="DE10514400"/>
    <m/>
    <b v="0"/>
    <x v="0"/>
    <x v="0"/>
    <d v="2026-02-04T00:00:00"/>
    <m/>
    <m/>
    <x v="0"/>
    <n v="0"/>
    <s v="Joshua Cachola"/>
    <m/>
  </r>
  <r>
    <x v="506"/>
    <x v="1"/>
    <x v="6"/>
    <s v="CLFF_7210$$$2123O05003"/>
    <s v="O000000012"/>
    <m/>
    <s v="LFF (MDG-F)"/>
    <s v="2123O05003"/>
    <m/>
    <b v="0"/>
    <x v="0"/>
    <x v="0"/>
    <d v="2026-02-04T00:00:00"/>
    <m/>
    <m/>
    <x v="0"/>
    <n v="0"/>
    <s v="Joshua Cachola"/>
    <m/>
  </r>
  <r>
    <x v="506"/>
    <x v="1"/>
    <x v="5"/>
    <s v="CEMERAL_6401001099132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101AD1E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104AD1E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112AD1E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299133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299137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299137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299137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399131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3991387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3991388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203991389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30199228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301992297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301992298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301992299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302992297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40399ZZ0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650299306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0014360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00143600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0015850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00158500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EMERAL_7000700199305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1024312106000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1054312106000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1055000000594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1075IT1075FB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1076IT1076FB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1386000000074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2152IMIPGLIT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FLTFLE_2276IT1076FB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0065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0804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0804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1042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1508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1508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2094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2095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2096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2549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2699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3199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4061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001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2069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237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612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826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874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058848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7210$$$00004990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AUS0$$$0000091759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ROW$$$$000000630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ROW$$$$000009188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NOW_ROW$$$$000009567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PHOENX_0101000051440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PHOENX_0101918250000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PHOENX_01019183500006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042$ITCC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050$Q1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203$000000111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212$000000111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248$A83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721$TKG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758$ITGLO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785$0000000012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820$A83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826$000000083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826$000000085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872$000000083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872$000000085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SCALA_1923$Q1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FR4088160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GB4000811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IE10005627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EU_1000IT41AD001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MX31504014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PA20ZZ0A3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PE10753000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LA_1000UY10120063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NA_1000CA2019843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NA_1000PH80GBTW01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NA_1000US20CA8305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5"/>
    <s v="CTEMPNA_1000US30CA8305"/>
    <s v="O000000012"/>
    <s v="O000000005"/>
    <s v="Non-LFF"/>
    <s v=""/>
    <m/>
    <b v="0"/>
    <x v="0"/>
    <x v="0"/>
    <d v="2026-02-04T00:00:00"/>
    <m/>
    <m/>
    <x v="0"/>
    <n v="0"/>
    <s v="Joshua Cachola"/>
    <m/>
  </r>
  <r>
    <x v="506"/>
    <x v="1"/>
    <x v="6"/>
    <s v="CLFF_VMCA$$$DE10O05003"/>
    <s v="O000000012"/>
    <m/>
    <s v="LFF (MDG-F)"/>
    <s v="DE10O05003"/>
    <m/>
    <b v="0"/>
    <x v="0"/>
    <x v="0"/>
    <d v="2026-02-04T00:00:00"/>
    <m/>
    <m/>
    <x v="0"/>
    <n v="0"/>
    <s v="Joshua Cachola"/>
    <m/>
  </r>
  <r>
    <x v="506"/>
    <x v="1"/>
    <x v="6"/>
    <s v="CLFF_VMCA$$$DE10O05004"/>
    <s v="O000000012"/>
    <m/>
    <s v="LFF (MDG-F)"/>
    <s v="DE10O05004"/>
    <m/>
    <b v="0"/>
    <x v="0"/>
    <x v="0"/>
    <d v="2026-02-04T00:00:00"/>
    <m/>
    <m/>
    <x v="0"/>
    <n v="0"/>
    <s v="Joshua Cachola"/>
    <m/>
  </r>
  <r>
    <x v="507"/>
    <x v="1"/>
    <x v="5"/>
    <s v="CEMERAL_70006502600811"/>
    <s v="L000012392"/>
    <s v="DFLTPGCOH_001243"/>
    <s v="Non-LFF"/>
    <s v=""/>
    <m/>
    <b v="0"/>
    <x v="2"/>
    <x v="0"/>
    <d v="2026-02-04T00:00:00"/>
    <m/>
    <m/>
    <x v="0"/>
    <n v="0"/>
    <s v="Lakshmi Shree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3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4"/>
    </i>
    <i r="1">
      <x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1"/>
    </i>
    <i r="1">
      <x v="13"/>
    </i>
    <i>
      <x v="8"/>
    </i>
    <i r="1">
      <x/>
    </i>
    <i r="1">
      <x v="3"/>
    </i>
    <i r="1">
      <x v="10"/>
    </i>
    <i r="1">
      <x v="11"/>
    </i>
    <i r="1">
      <x v="13"/>
    </i>
    <i>
      <x v="9"/>
    </i>
    <i r="1">
      <x/>
    </i>
    <i>
      <x v="10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690">
        <item m="1" x="1074"/>
        <item x="0"/>
        <item m="1" x="1144"/>
        <item m="1" x="1565"/>
        <item m="1" x="727"/>
        <item m="1" x="1582"/>
        <item m="1" x="1104"/>
        <item m="1" x="1194"/>
        <item m="1" x="1615"/>
        <item m="1" x="1409"/>
        <item m="1" x="1097"/>
        <item m="1" x="1681"/>
        <item m="1" x="1427"/>
        <item m="1" x="1671"/>
        <item m="1" x="1045"/>
        <item m="1" x="946"/>
        <item m="1" x="650"/>
        <item m="1" x="911"/>
        <item m="1" x="1635"/>
        <item m="1" x="703"/>
        <item m="1" x="1011"/>
        <item m="1" x="1379"/>
        <item m="1" x="1094"/>
        <item m="1" x="1187"/>
        <item m="1" x="1483"/>
        <item m="1" x="1668"/>
        <item m="1" x="1129"/>
        <item m="1" x="1151"/>
        <item m="1" x="916"/>
        <item m="1" x="1317"/>
        <item m="1" x="1076"/>
        <item m="1" x="1622"/>
        <item m="1" x="1279"/>
        <item m="1" x="712"/>
        <item m="1" x="820"/>
        <item m="1" x="1607"/>
        <item m="1" x="1371"/>
        <item m="1" x="625"/>
        <item m="1" x="1457"/>
        <item m="1" x="1123"/>
        <item m="1" x="1418"/>
        <item m="1" x="1004"/>
        <item m="1" x="1356"/>
        <item m="1" x="615"/>
        <item m="1" x="645"/>
        <item m="1" x="1684"/>
        <item m="1" x="1363"/>
        <item m="1" x="1431"/>
        <item m="1" x="1538"/>
        <item m="1" x="1307"/>
        <item m="1" x="1405"/>
        <item m="1" x="1244"/>
        <item m="1" x="699"/>
        <item m="1" x="890"/>
        <item m="1" x="1666"/>
        <item m="1" x="1234"/>
        <item m="1" x="1374"/>
        <item m="1" x="902"/>
        <item m="1" x="863"/>
        <item m="1" x="1155"/>
        <item m="1" x="1047"/>
        <item m="1" x="1080"/>
        <item m="1" x="639"/>
        <item m="1" x="778"/>
        <item m="1" x="1440"/>
        <item m="1" x="1657"/>
        <item m="1" x="843"/>
        <item m="1" x="1248"/>
        <item m="1" x="1258"/>
        <item m="1" x="1435"/>
        <item m="1" x="1545"/>
        <item m="1" x="1423"/>
        <item m="1" x="718"/>
        <item m="1" x="1566"/>
        <item m="1" x="1296"/>
        <item m="1" x="1283"/>
        <item m="1" x="818"/>
        <item m="1" x="1171"/>
        <item m="1" x="1518"/>
        <item m="1" x="636"/>
        <item m="1" x="1215"/>
        <item m="1" x="1568"/>
        <item m="1" x="1406"/>
        <item m="1" x="1141"/>
        <item m="1" x="1183"/>
        <item m="1" x="1064"/>
        <item m="1" x="1299"/>
        <item m="1" x="1111"/>
        <item m="1" x="1343"/>
        <item m="1" x="827"/>
        <item m="1" x="1656"/>
        <item m="1" x="1181"/>
        <item m="1" x="1467"/>
        <item m="1" x="544"/>
        <item m="1" x="1672"/>
        <item m="1" x="1208"/>
        <item m="1" x="1497"/>
        <item m="1" x="1410"/>
        <item m="1" x="1188"/>
        <item m="1" x="698"/>
        <item m="1" x="705"/>
        <item m="1" x="745"/>
        <item m="1" x="927"/>
        <item m="1" x="1351"/>
        <item m="1" x="1112"/>
        <item m="1" x="1228"/>
        <item m="1" x="1291"/>
        <item m="1" x="1438"/>
        <item m="1" x="1521"/>
        <item m="1" x="1083"/>
        <item m="1" x="804"/>
        <item m="1" x="647"/>
        <item m="1" x="790"/>
        <item m="1" x="1665"/>
        <item m="1" x="822"/>
        <item m="1" x="1503"/>
        <item m="1" x="1432"/>
        <item m="1" x="1050"/>
        <item m="1" x="1122"/>
        <item m="1" x="988"/>
        <item m="1" x="1245"/>
        <item m="1" x="1620"/>
        <item m="1" x="796"/>
        <item m="1" x="744"/>
        <item m="1" x="679"/>
        <item m="1" x="1345"/>
        <item m="1" x="1605"/>
        <item m="1" x="1533"/>
        <item m="1" x="1190"/>
        <item m="1" x="714"/>
        <item m="1" x="1439"/>
        <item m="1" x="891"/>
        <item m="1" x="1145"/>
        <item m="1" x="1320"/>
        <item m="1" x="1428"/>
        <item m="1" x="548"/>
        <item m="1" x="1377"/>
        <item m="1" x="1340"/>
        <item m="1" x="781"/>
        <item m="1" x="1229"/>
        <item m="1" x="1117"/>
        <item m="1" x="1070"/>
        <item m="1" x="803"/>
        <item m="1" x="739"/>
        <item m="1" x="979"/>
        <item m="1" x="1166"/>
        <item m="1" x="573"/>
        <item m="1" x="912"/>
        <item m="1" x="771"/>
        <item m="1" x="513"/>
        <item m="1" x="1023"/>
        <item m="1" x="1224"/>
        <item m="1" x="1106"/>
        <item m="1" x="1152"/>
        <item m="1" x="1471"/>
        <item m="1" x="1053"/>
        <item m="1" x="1579"/>
        <item m="1" x="1303"/>
        <item m="1" x="1242"/>
        <item m="1" x="756"/>
        <item m="1" x="1389"/>
        <item m="1" x="1667"/>
        <item m="1" x="1355"/>
        <item m="1" x="1339"/>
        <item m="1" x="626"/>
        <item m="1" x="674"/>
        <item m="1" x="1209"/>
        <item m="1" x="715"/>
        <item m="1" x="1652"/>
        <item m="1" x="1318"/>
        <item m="1" x="1243"/>
        <item m="1" x="1195"/>
        <item m="1" x="996"/>
        <item m="1" x="624"/>
        <item m="1" x="724"/>
        <item m="1" x="830"/>
        <item m="1" x="1563"/>
        <item m="1" x="1595"/>
        <item m="1" x="1294"/>
        <item m="1" x="1021"/>
        <item m="1" x="1109"/>
        <item m="1" x="619"/>
        <item m="1" x="659"/>
        <item m="1" x="998"/>
        <item m="1" x="1223"/>
        <item m="1" x="1136"/>
        <item m="1" x="794"/>
        <item m="1" x="1027"/>
        <item m="1" x="741"/>
        <item m="1" x="936"/>
        <item m="1" x="858"/>
        <item m="1" x="693"/>
        <item m="1" x="829"/>
        <item m="1" x="1199"/>
        <item m="1" x="609"/>
        <item m="1" x="848"/>
        <item m="1" x="640"/>
        <item m="1" x="1333"/>
        <item m="1" x="1522"/>
        <item m="1" x="1132"/>
        <item m="1" x="776"/>
        <item m="1" x="1426"/>
        <item m="1" x="1271"/>
        <item m="1" x="788"/>
        <item m="1" x="789"/>
        <item m="1" x="974"/>
        <item m="1" x="664"/>
        <item m="1" x="853"/>
        <item m="1" x="648"/>
        <item m="1" x="834"/>
        <item m="1" x="1402"/>
        <item m="1" x="913"/>
        <item m="1" x="1280"/>
        <item m="1" x="1330"/>
        <item m="1" x="1464"/>
        <item m="1" x="1468"/>
        <item m="1" x="1185"/>
        <item m="1" x="1026"/>
        <item m="1" x="1065"/>
        <item m="1" x="1632"/>
        <item m="1" x="925"/>
        <item m="1" x="737"/>
        <item m="1" x="1115"/>
        <item m="1" x="572"/>
        <item m="1" x="1636"/>
        <item m="1" x="1099"/>
        <item m="1" x="533"/>
        <item m="1" x="1554"/>
        <item m="1" x="1597"/>
        <item m="1" x="1434"/>
        <item m="1" x="811"/>
        <item m="1" x="550"/>
        <item m="1" x="1484"/>
        <item m="1" x="875"/>
        <item m="1" x="511"/>
        <item m="1" x="1655"/>
        <item m="1" x="899"/>
        <item m="1" x="1054"/>
        <item m="1" x="1499"/>
        <item m="1" x="586"/>
        <item m="1" x="1411"/>
        <item m="1" x="1219"/>
        <item m="1" x="1084"/>
        <item m="1" x="954"/>
        <item m="1" x="701"/>
        <item m="1" x="1202"/>
        <item m="1" x="904"/>
        <item m="1" x="1442"/>
        <item m="1" x="764"/>
        <item m="1" x="1512"/>
        <item m="1" x="1519"/>
        <item m="1" x="1203"/>
        <item m="1" x="1393"/>
        <item m="1" x="810"/>
        <item m="1" x="1107"/>
        <item m="1" x="1396"/>
        <item m="1" x="980"/>
        <item m="1" x="1270"/>
        <item m="1" x="909"/>
        <item m="1" x="694"/>
        <item m="1" x="898"/>
        <item m="1" x="1664"/>
        <item m="1" x="1606"/>
        <item m="1" x="751"/>
        <item m="1" x="1552"/>
        <item m="1" x="558"/>
        <item m="1" x="1574"/>
        <item m="1" x="593"/>
        <item m="1" x="895"/>
        <item m="1" x="993"/>
        <item m="1" x="940"/>
        <item m="1" x="1547"/>
        <item m="1" x="1450"/>
        <item m="1" x="691"/>
        <item m="1" x="1261"/>
        <item m="1" x="1469"/>
        <item m="1" x="1603"/>
        <item m="1" x="1510"/>
        <item m="1" x="596"/>
        <item m="1" x="1676"/>
        <item m="1" x="747"/>
        <item m="1" x="1028"/>
        <item m="1" x="1472"/>
        <item m="1" x="595"/>
        <item m="1" x="1531"/>
        <item m="1" x="760"/>
        <item m="1" x="1404"/>
        <item m="1" x="1268"/>
        <item m="1" x="1246"/>
        <item m="1" x="825"/>
        <item m="1" x="787"/>
        <item m="1" x="1599"/>
        <item m="1" x="540"/>
        <item m="1" x="722"/>
        <item m="1" x="1381"/>
        <item m="1" x="1492"/>
        <item m="1" x="1419"/>
        <item m="1" x="1623"/>
        <item m="1" x="1127"/>
        <item m="1" x="754"/>
        <item m="1" x="874"/>
        <item m="1" x="1193"/>
        <item m="1" x="935"/>
        <item m="1" x="1263"/>
        <item m="1" x="876"/>
        <item m="1" x="678"/>
        <item m="1" x="1331"/>
        <item m="1" x="733"/>
        <item m="1" x="613"/>
        <item m="1" x="1465"/>
        <item m="1" x="1612"/>
        <item m="1" x="1313"/>
        <item m="1" x="578"/>
        <item m="1" x="1504"/>
        <item m="1" x="1302"/>
        <item m="1" x="1412"/>
        <item m="1" x="1551"/>
        <item m="1" x="779"/>
        <item m="1" x="971"/>
        <item m="1" x="809"/>
        <item m="1" x="1077"/>
        <item m="1" x="1001"/>
        <item m="1" x="1031"/>
        <item m="1" x="1567"/>
        <item m="1" x="1013"/>
        <item m="1" x="1216"/>
        <item m="1" x="748"/>
        <item m="1" x="947"/>
        <item m="1" x="921"/>
        <item m="1" x="1264"/>
        <item m="1" x="1167"/>
        <item m="1" x="1395"/>
        <item m="1" x="917"/>
        <item m="1" x="1553"/>
        <item m="1" x="755"/>
        <item m="1" x="681"/>
        <item m="1" x="937"/>
        <item m="1" x="1478"/>
        <item m="1" x="588"/>
        <item m="1" x="589"/>
        <item m="1" x="885"/>
        <item m="1" x="1558"/>
        <item m="1" x="952"/>
        <item m="1" x="597"/>
        <item m="1" x="757"/>
        <item m="1" x="999"/>
        <item m="1" x="1310"/>
        <item m="1" x="1282"/>
        <item m="1" x="953"/>
        <item m="1" x="534"/>
        <item m="1" x="672"/>
        <item m="1" x="884"/>
        <item m="1" x="772"/>
        <item m="1" x="529"/>
        <item m="1" x="1482"/>
        <item m="1" x="1611"/>
        <item m="1" x="1081"/>
        <item m="1" x="1511"/>
        <item m="1" x="1571"/>
        <item m="1" x="594"/>
        <item m="1" x="1609"/>
        <item m="1" x="1347"/>
        <item m="1" x="770"/>
        <item m="1" x="956"/>
        <item m="1" x="860"/>
        <item m="1" x="1222"/>
        <item m="1" x="793"/>
        <item m="1" x="1009"/>
        <item m="1" x="1304"/>
        <item m="1" x="1429"/>
        <item m="1" x="932"/>
        <item m="1" x="1060"/>
        <item m="1" x="872"/>
        <item m="1" x="798"/>
        <item m="1" x="1309"/>
        <item m="1" x="1424"/>
        <item m="1" x="1586"/>
        <item m="1" x="628"/>
        <item m="1" x="832"/>
        <item m="1" x="1272"/>
        <item m="1" x="673"/>
        <item m="1" x="960"/>
        <item m="1" x="1341"/>
        <item m="1" x="606"/>
        <item m="1" x="816"/>
        <item m="1" x="926"/>
        <item m="1" x="1532"/>
        <item m="1" x="765"/>
        <item m="1" x="1035"/>
        <item m="1" x="1588"/>
        <item m="1" x="716"/>
        <item m="1" x="905"/>
        <item m="1" x="1093"/>
        <item m="1" x="1430"/>
        <item m="1" x="728"/>
        <item m="1" x="984"/>
        <item m="1" x="826"/>
        <item m="1" x="1322"/>
        <item m="1" x="1508"/>
        <item m="1" x="634"/>
        <item m="1" x="854"/>
        <item m="1" x="1590"/>
        <item m="1" x="1555"/>
        <item m="1" x="655"/>
        <item m="1" x="972"/>
        <item m="1" x="1496"/>
        <item m="1" x="1627"/>
        <item m="1" x="1498"/>
        <item m="1" x="1473"/>
        <item m="1" x="604"/>
        <item m="1" x="780"/>
        <item m="1" x="862"/>
        <item m="1" x="851"/>
        <item m="1" x="1078"/>
        <item m="1" x="566"/>
        <item m="1" x="1265"/>
        <item m="1" x="1336"/>
        <item m="1" x="518"/>
        <item m="1" x="1596"/>
        <item m="1" x="1458"/>
        <item m="1" x="1587"/>
        <item m="1" x="1617"/>
        <item m="1" x="1653"/>
        <item m="1" x="1591"/>
        <item m="1" x="955"/>
        <item m="1" x="1315"/>
        <item m="1" x="922"/>
        <item m="1" x="1328"/>
        <item m="1" x="1293"/>
        <item m="1" x="731"/>
        <item m="1" x="769"/>
        <item m="1" x="907"/>
        <item m="1" x="1372"/>
        <item m="1" x="892"/>
        <item m="1" x="638"/>
        <item m="1" x="1637"/>
        <item m="1" x="1387"/>
        <item m="1" x="1220"/>
        <item m="1" x="1252"/>
        <item m="1" x="1301"/>
        <item m="1" x="726"/>
        <item m="1" x="1068"/>
        <item m="1" x="1413"/>
        <item m="1" x="564"/>
        <item m="1" x="807"/>
        <item m="1" x="707"/>
        <item m="1" x="704"/>
        <item m="1" x="708"/>
        <item m="1" x="509"/>
        <item m="1" x="730"/>
        <item m="1" x="1527"/>
        <item m="1" x="531"/>
        <item m="1" x="1177"/>
        <item m="1" x="1614"/>
        <item m="1" x="1425"/>
        <item m="1" x="685"/>
        <item m="1" x="1685"/>
        <item m="1" x="614"/>
        <item m="1" x="981"/>
        <item m="1" x="1204"/>
        <item m="1" x="660"/>
        <item m="1" x="1113"/>
        <item m="1" x="1273"/>
        <item m="1" x="1541"/>
        <item m="1" x="1443"/>
        <item m="1" x="522"/>
        <item m="1" x="1205"/>
        <item m="1" x="605"/>
        <item m="1" x="841"/>
        <item m="1" x="813"/>
        <item m="1" x="575"/>
        <item m="1" x="1168"/>
        <item m="1" x="1175"/>
        <item m="1" x="1275"/>
        <item m="1" x="1024"/>
        <item m="1" x="1524"/>
        <item m="1" x="933"/>
        <item m="1" x="1643"/>
        <item m="1" x="1278"/>
        <item m="1" x="1169"/>
        <item m="1" x="833"/>
        <item m="1" x="1241"/>
        <item m="1" x="1539"/>
        <item m="1" x="1604"/>
        <item m="1" x="1583"/>
        <item m="1" x="1513"/>
        <item m="1" x="1262"/>
        <item m="1" x="1375"/>
        <item m="1" x="888"/>
        <item m="1" x="1337"/>
        <item m="1" x="1162"/>
        <item m="1" x="1121"/>
        <item m="1" x="1119"/>
        <item m="1" x="1120"/>
        <item m="1" x="817"/>
        <item m="1" x="861"/>
        <item m="1" x="1474"/>
        <item m="1" x="1039"/>
        <item m="1" x="881"/>
        <item m="1" x="923"/>
        <item m="1" x="969"/>
        <item m="1" x="1221"/>
        <item m="1" x="1559"/>
        <item m="1" x="1648"/>
        <item m="1" x="766"/>
        <item m="1" x="717"/>
        <item m="1" x="554"/>
        <item m="1" x="576"/>
        <item m="1" x="873"/>
        <item m="1" x="661"/>
        <item m="1" x="989"/>
        <item m="1" x="1525"/>
        <item m="1" x="866"/>
        <item m="1" x="658"/>
        <item m="1" x="1417"/>
        <item m="1" x="535"/>
        <item m="1" x="1543"/>
        <item m="1" x="1618"/>
        <item m="1" x="1682"/>
        <item m="1" x="1557"/>
        <item m="1" x="800"/>
        <item m="1" x="577"/>
        <item m="1" x="1041"/>
        <item m="1" x="1125"/>
        <item m="1" x="1321"/>
        <item m="1" x="1289"/>
        <item m="1" x="1325"/>
        <item m="1" x="1102"/>
        <item m="1" x="1140"/>
        <item m="1" x="1581"/>
        <item m="1" x="1344"/>
        <item m="1" x="1314"/>
        <item m="1" x="1253"/>
        <item m="1" x="1326"/>
        <item m="1" x="527"/>
        <item m="1" x="532"/>
        <item m="1" x="1135"/>
        <item m="1" x="1520"/>
        <item m="1" x="1090"/>
        <item m="1" x="1660"/>
        <item m="1" x="1059"/>
        <item m="1" x="1235"/>
        <item m="1" x="1306"/>
        <item m="1" x="920"/>
        <item m="1" x="752"/>
        <item m="1" x="1128"/>
        <item m="1" x="814"/>
        <item m="1" x="1669"/>
        <item m="1" x="1584"/>
        <item m="1" x="1397"/>
        <item m="1" x="654"/>
        <item m="1" x="581"/>
        <item m="1" x="1154"/>
        <item m="1" x="1398"/>
        <item m="1" x="1687"/>
        <item m="1" x="1033"/>
        <item m="1" x="1634"/>
        <item m="1" x="568"/>
        <item m="1" x="682"/>
        <item m="1" x="994"/>
        <item m="1" x="1085"/>
        <item m="1" x="1514"/>
        <item m="1" x="838"/>
        <item m="1" x="1517"/>
        <item m="1" x="934"/>
        <item m="1" x="1506"/>
        <item m="1" x="1670"/>
        <item m="1" x="598"/>
        <item m="1" x="1654"/>
        <item m="1" x="545"/>
        <item m="1" x="1407"/>
        <item m="1" x="1025"/>
        <item m="1" x="856"/>
        <item m="1" x="819"/>
        <item m="1" x="963"/>
        <item m="1" x="562"/>
        <item m="1" x="1647"/>
        <item m="1" x="646"/>
        <item m="1" x="667"/>
        <item m="1" x="1540"/>
        <item m="1" x="1619"/>
        <item m="1" x="1133"/>
        <item m="1" x="1274"/>
        <item m="1" x="975"/>
        <item m="1" x="1088"/>
        <item m="1" x="1237"/>
        <item m="1" x="1354"/>
        <item m="1" x="941"/>
        <item m="1" x="1217"/>
        <item m="1" x="1036"/>
        <item m="1" x="1673"/>
        <item m="1" x="526"/>
        <item m="1" x="965"/>
        <item m="1" x="906"/>
        <item m="1" x="867"/>
        <item m="1" x="1661"/>
        <item m="1" x="1479"/>
        <item m="1" x="1610"/>
        <item m="1" x="623"/>
        <item m="1" x="1621"/>
        <item m="1" x="1608"/>
        <item m="1" x="1485"/>
        <item m="1" x="720"/>
        <item m="1" x="1089"/>
        <item m="1" x="1182"/>
        <item m="1" x="928"/>
        <item m="1" x="1526"/>
        <item m="1" x="1312"/>
        <item m="1" x="1332"/>
        <item m="1" x="1226"/>
        <item m="1" x="569"/>
        <item m="1" x="1399"/>
        <item m="1" x="1561"/>
        <item m="1" x="966"/>
        <item m="1" x="1680"/>
        <item m="1" x="1174"/>
        <item m="1" x="761"/>
        <item m="1" x="894"/>
        <item m="1" x="930"/>
        <item m="1" x="1589"/>
        <item m="1" x="1573"/>
        <item m="1" x="633"/>
        <item m="1" x="635"/>
        <item m="1" x="549"/>
        <item m="1" x="1509"/>
        <item m="1" x="551"/>
        <item m="1" x="968"/>
        <item m="1" x="868"/>
        <item m="1" x="1324"/>
        <item m="1" x="1267"/>
        <item m="1" x="1616"/>
        <item m="1" x="1548"/>
        <item m="1" x="1040"/>
        <item m="1" x="1254"/>
        <item m="1" x="1489"/>
        <item m="1" x="602"/>
        <item m="1" x="1034"/>
        <item m="1" x="964"/>
        <item m="1" x="1658"/>
        <item m="1" x="1625"/>
        <item m="1" x="1056"/>
        <item m="1" x="662"/>
        <item m="1" x="957"/>
        <item m="1" x="1130"/>
        <item m="1" x="584"/>
        <item m="1" x="1420"/>
        <item m="1" x="1014"/>
        <item m="1" x="824"/>
        <item m="1" x="918"/>
        <item m="1" x="1364"/>
        <item m="1" x="1663"/>
        <item m="1" x="742"/>
        <item m="1" x="1515"/>
        <item m="1" x="736"/>
        <item m="1" x="1300"/>
        <item m="1" x="1072"/>
        <item m="1" x="1003"/>
        <item m="1" x="725"/>
        <item m="1" x="792"/>
        <item m="1" x="580"/>
        <item m="1" x="1380"/>
        <item m="1" x="893"/>
        <item m="1" x="617"/>
        <item m="1" x="1231"/>
        <item m="1" x="1546"/>
        <item m="1" x="1086"/>
        <item m="1" x="1044"/>
        <item m="1" x="515"/>
        <item m="1" x="1651"/>
        <item m="1" x="901"/>
        <item m="1" x="961"/>
        <item m="1" x="1368"/>
        <item m="1" x="1645"/>
        <item m="1" x="1570"/>
        <item m="1" x="1421"/>
        <item m="1" x="1536"/>
        <item m="1" x="697"/>
        <item m="1" x="896"/>
        <item m="1" x="729"/>
        <item m="1" x="521"/>
        <item m="1" x="1134"/>
        <item m="1" x="583"/>
        <item m="1" x="805"/>
        <item m="1" x="749"/>
        <item m="1" x="695"/>
        <item m="1" x="1650"/>
        <item m="1" x="746"/>
        <item m="1" x="1348"/>
        <item m="1" x="1560"/>
        <item m="1" x="686"/>
        <item m="1" x="590"/>
        <item m="1" x="1383"/>
        <item m="1" x="1359"/>
        <item m="1" x="1400"/>
        <item m="1" x="1319"/>
        <item m="1" x="663"/>
        <item m="1" x="1019"/>
        <item m="1" x="1287"/>
        <item m="1" x="1537"/>
        <item m="1" x="1131"/>
        <item m="1" x="1249"/>
        <item m="1" x="1593"/>
        <item m="1" x="1005"/>
        <item m="1" x="849"/>
        <item m="1" x="1082"/>
        <item m="1" x="1029"/>
        <item m="1" x="959"/>
        <item m="1" x="1476"/>
        <item m="1" x="1163"/>
        <item m="1" x="1259"/>
        <item m="1" x="510"/>
        <item m="1" x="1055"/>
        <item m="1" x="657"/>
        <item m="1" x="924"/>
        <item m="1" x="1062"/>
        <item m="1" x="592"/>
        <item m="1" x="709"/>
        <item m="1" x="1164"/>
        <item m="1" x="1361"/>
        <item m="1" x="1631"/>
        <item m="1" x="1674"/>
        <item m="1" x="1284"/>
        <item m="1" x="632"/>
        <item m="1" x="560"/>
        <item m="1" x="1146"/>
        <item m="1" x="768"/>
        <item m="1" x="1042"/>
        <item m="1" x="670"/>
        <item m="1" x="773"/>
        <item m="1" x="1200"/>
        <item m="1" x="1556"/>
        <item m="1" x="1487"/>
        <item m="1" x="903"/>
        <item m="1" x="938"/>
        <item m="1" x="1214"/>
        <item m="1" x="1644"/>
        <item m="1" x="1370"/>
        <item m="1" x="536"/>
        <item m="1" x="1598"/>
        <item m="1" x="644"/>
        <item m="1" x="1290"/>
        <item m="1" x="1335"/>
        <item m="1" x="1338"/>
        <item m="1" x="1678"/>
        <item m="1" x="571"/>
        <item m="1" x="1349"/>
        <item m="1" x="1446"/>
        <item m="1" x="1218"/>
        <item m="1" x="1388"/>
        <item m="1" x="630"/>
        <item m="1" x="1022"/>
        <item m="1" x="869"/>
        <item m="1" x="1481"/>
        <item m="1" x="1576"/>
        <item m="1" x="1105"/>
        <item m="1" x="1544"/>
        <item m="1" x="1592"/>
        <item m="1" x="945"/>
        <item m="1" x="1448"/>
        <item m="1" x="1311"/>
        <item m="1" x="1594"/>
        <item m="1" x="1638"/>
        <item m="1" x="1376"/>
        <item m="1" x="986"/>
        <item m="1" x="791"/>
        <item m="1" x="1626"/>
        <item m="1" x="1173"/>
        <item m="1" x="1147"/>
        <item m="1" x="1156"/>
        <item m="1" x="1677"/>
        <item m="1" x="1401"/>
        <item m="1" x="1096"/>
        <item m="1" x="1365"/>
        <item m="1" x="1342"/>
        <item m="1" x="958"/>
        <item m="1" x="859"/>
        <item m="1" x="1358"/>
        <item m="1" x="753"/>
        <item m="1" x="710"/>
        <item m="1" x="652"/>
        <item m="1" x="1639"/>
        <item m="1" x="1255"/>
        <item m="1" x="990"/>
        <item m="1" x="1071"/>
        <item m="1" x="552"/>
        <item m="1" x="1628"/>
        <item m="1" x="1179"/>
        <item m="1" x="1327"/>
        <item m="1" x="775"/>
        <item m="1" x="1459"/>
        <item m="1" x="962"/>
        <item m="1" x="855"/>
        <item m="1" x="1683"/>
        <item m="1" x="985"/>
        <item m="1" x="1624"/>
        <item m="1" x="1210"/>
        <item m="1" x="886"/>
        <item m="1" x="677"/>
        <item m="1" x="620"/>
        <item m="1" x="914"/>
        <item m="1" x="611"/>
        <item m="1" x="582"/>
        <item m="1" x="599"/>
        <item m="1" x="878"/>
        <item m="1" x="723"/>
        <item m="1" x="1030"/>
        <item m="1" x="1087"/>
        <item m="1" x="1186"/>
        <item m="1" x="1057"/>
        <item m="1" x="1390"/>
        <item m="1" x="1454"/>
        <item m="1" x="666"/>
        <item m="1" x="676"/>
        <item m="1" x="865"/>
        <item m="1" x="1007"/>
        <item m="1" x="797"/>
        <item m="1" x="1350"/>
        <item m="1" x="1100"/>
        <item m="1" x="1017"/>
        <item m="1" x="1150"/>
        <item m="1" x="1456"/>
        <item m="1" x="1394"/>
        <item m="1" x="1480"/>
        <item m="1" x="1236"/>
        <item m="1" x="656"/>
        <item m="1" x="1662"/>
        <item m="1" x="1075"/>
        <item m="1" x="690"/>
        <item m="1" x="514"/>
        <item m="1" x="1659"/>
        <item m="1" x="1143"/>
        <item m="1" x="1110"/>
        <item m="1" x="882"/>
        <item m="1" x="762"/>
        <item m="1" x="846"/>
        <item m="1" x="1000"/>
        <item m="1" x="1575"/>
        <item m="1" x="1494"/>
        <item m="1" x="870"/>
        <item m="1" x="943"/>
        <item m="1" x="950"/>
        <item m="1" x="1488"/>
        <item m="1" x="1091"/>
        <item m="1" x="563"/>
        <item m="1" x="1124"/>
        <item m="1" x="1403"/>
        <item m="1" x="1529"/>
        <item m="1" x="1422"/>
        <item m="1" x="1230"/>
        <item m="1" x="1528"/>
        <item m="1" x="542"/>
        <item m="1" x="1445"/>
        <item m="1" x="524"/>
        <item m="1" x="864"/>
        <item m="1" x="528"/>
        <item m="1" x="687"/>
        <item m="1" x="777"/>
        <item m="1" x="783"/>
        <item m="1" x="1201"/>
        <item m="1" x="1455"/>
        <item m="1" x="982"/>
        <item m="1" x="553"/>
        <item m="1" x="759"/>
        <item m="1" x="547"/>
        <item m="1" x="1542"/>
        <item m="1" x="767"/>
        <item m="1" x="1103"/>
        <item m="1" x="1562"/>
        <item m="1" x="889"/>
        <item m="1" x="831"/>
        <item m="1" x="1227"/>
        <item m="1" x="784"/>
        <item m="1" x="1092"/>
        <item m="1" x="1386"/>
        <item m="1" x="525"/>
        <item m="1" x="1038"/>
        <item m="1" x="1157"/>
        <item m="1" x="649"/>
        <item m="1" x="991"/>
        <item m="1" x="1126"/>
        <item m="1" x="877"/>
        <item m="1" x="915"/>
        <item m="1" x="642"/>
        <item m="1" x="1048"/>
        <item m="1" x="512"/>
        <item m="1" x="1184"/>
        <item m="1" x="1577"/>
        <item m="1" x="1298"/>
        <item m="1" x="1292"/>
        <item m="1" x="1191"/>
        <item m="1" x="517"/>
        <item m="1" x="1323"/>
        <item m="1" x="1366"/>
        <item m="1" x="1172"/>
        <item m="1" x="516"/>
        <item m="1" x="1523"/>
        <item m="1" x="1490"/>
        <item m="1" x="520"/>
        <item m="1" x="799"/>
        <item m="1" x="1189"/>
        <item m="1" x="1444"/>
        <item m="1" x="641"/>
        <item m="1" x="537"/>
        <item m="1" x="696"/>
        <item m="1" x="587"/>
        <item m="1" x="995"/>
        <item m="1" x="808"/>
        <item m="1" x="806"/>
        <item m="1" x="977"/>
        <item m="1" x="1079"/>
        <item m="1" x="983"/>
        <item m="1" x="1180"/>
        <item m="1" x="1032"/>
        <item m="1" x="897"/>
        <item m="1" x="1012"/>
        <item m="1" x="1505"/>
        <item m="1" x="1600"/>
        <item m="1" x="857"/>
        <item m="1" x="1580"/>
        <item m="1" x="622"/>
        <item m="1" x="1569"/>
        <item m="1" x="1266"/>
        <item m="1" x="1437"/>
        <item m="1" x="1516"/>
        <item m="1" x="1196"/>
        <item m="1" x="1408"/>
        <item m="1" x="700"/>
        <item m="1" x="683"/>
        <item m="1" x="1305"/>
        <item m="1" x="1277"/>
        <item m="1" x="839"/>
        <item m="1" x="1675"/>
        <item m="1" x="1247"/>
        <item m="1" x="987"/>
        <item m="1" x="1061"/>
        <item m="1" x="1020"/>
        <item m="1" x="1530"/>
        <item m="1" x="1534"/>
        <item m="1" x="530"/>
        <item m="1" x="1414"/>
        <item m="1" x="1460"/>
        <item m="1" x="579"/>
        <item m="1" x="951"/>
        <item m="1" x="942"/>
        <item m="1" x="1449"/>
        <item m="1" x="1148"/>
        <item m="1" x="1352"/>
        <item m="1" x="1018"/>
        <item m="1" x="1369"/>
        <item m="1" x="557"/>
        <item m="1" x="680"/>
        <item m="1" x="1649"/>
        <item m="1" x="1269"/>
        <item m="1" x="1641"/>
        <item m="1" x="561"/>
        <item m="1" x="821"/>
        <item m="1" x="637"/>
        <item m="1" x="570"/>
        <item m="1" x="585"/>
        <item m="1" x="1137"/>
        <item m="1" x="1170"/>
        <item m="1" x="842"/>
        <item m="1" x="1260"/>
        <item m="1" x="1578"/>
        <item m="1" x="929"/>
        <item m="1" x="1008"/>
        <item m="1" x="1158"/>
        <item m="1" x="1646"/>
        <item m="1" x="823"/>
        <item m="1" x="835"/>
        <item m="1" x="845"/>
        <item m="1" x="1466"/>
        <item m="1" x="1602"/>
        <item m="1" x="519"/>
        <item m="1" x="1346"/>
        <item m="1" x="1642"/>
        <item m="1" x="743"/>
        <item m="1" x="1058"/>
        <item m="1" x="1679"/>
        <item m="1" x="1585"/>
        <item m="1" x="732"/>
        <item m="1" x="844"/>
        <item m="1" x="931"/>
        <item m="1" x="1256"/>
        <item m="1" x="1453"/>
        <item m="1" x="688"/>
        <item m="1" x="1159"/>
        <item m="1" x="684"/>
        <item m="1" x="653"/>
        <item m="1" x="601"/>
        <item m="1" x="1572"/>
        <item m="1" x="1165"/>
        <item m="1" x="1613"/>
        <item m="1" x="1006"/>
        <item m="1" x="1630"/>
        <item m="1" x="1382"/>
        <item m="1" x="671"/>
        <item m="1" x="1486"/>
        <item m="1" x="1500"/>
        <item m="1" x="1160"/>
        <item m="1" x="1535"/>
        <item m="1" x="1373"/>
        <item m="1" x="1238"/>
        <item m="1" x="555"/>
        <item m="1" x="1384"/>
        <item m="1" x="1116"/>
        <item m="1" x="1049"/>
        <item m="1" x="1392"/>
        <item m="1" x="976"/>
        <item m="1" x="610"/>
        <item m="1" x="782"/>
        <item m="1" x="559"/>
        <item m="1" x="908"/>
        <item m="1" x="1286"/>
        <item m="1" x="871"/>
        <item m="1" x="734"/>
        <item m="1" x="949"/>
        <item m="1" x="627"/>
        <item m="1" x="879"/>
        <item m="1" x="750"/>
        <item m="1" x="1101"/>
        <item m="1" x="1688"/>
        <item m="1" x="1142"/>
        <item m="1" x="738"/>
        <item m="1" x="1015"/>
        <item m="1" x="721"/>
        <item m="1" x="774"/>
        <item m="1" x="1066"/>
        <item m="1" x="1334"/>
        <item m="1" x="1051"/>
        <item m="1" x="1501"/>
        <item m="1" x="1063"/>
        <item m="1" x="1297"/>
        <item m="1" x="612"/>
        <item m="1" x="1095"/>
        <item m="1" x="735"/>
        <item m="1" x="665"/>
        <item m="1" x="1391"/>
        <item m="1" x="706"/>
        <item m="1" x="1415"/>
        <item m="1" x="607"/>
        <item m="1" x="1232"/>
        <item m="1" x="1239"/>
        <item m="1" x="643"/>
        <item m="1" x="1161"/>
        <item m="1" x="539"/>
        <item m="1" x="1362"/>
        <item m="1" x="1067"/>
        <item m="1" x="1288"/>
        <item m="1" x="1257"/>
        <item m="1" x="1477"/>
        <item m="1" x="1250"/>
        <item m="1" x="828"/>
        <item m="1" x="1329"/>
        <item m="1" x="1463"/>
        <item m="1" x="1153"/>
        <item m="1" x="1285"/>
        <item m="1" x="618"/>
        <item m="1" x="1451"/>
        <item m="1" x="1108"/>
        <item m="1" x="973"/>
        <item m="1" x="1357"/>
        <item m="1" x="883"/>
        <item m="1" x="1206"/>
        <item m="1" x="740"/>
        <item m="1" x="836"/>
        <item m="1" x="1233"/>
        <item m="1" x="1002"/>
        <item m="1" x="546"/>
        <item m="1" x="880"/>
        <item m="1" x="1360"/>
        <item m="1" x="1462"/>
        <item m="1" x="565"/>
        <item m="1" x="850"/>
        <item m="1" x="785"/>
        <item m="1" x="1118"/>
        <item m="1" x="1211"/>
        <item m="1" x="651"/>
        <item m="1" x="1633"/>
        <item m="1" x="616"/>
        <item m="1" x="689"/>
        <item m="1" x="1470"/>
        <item m="1" x="978"/>
        <item m="1" x="992"/>
        <item m="1" x="1046"/>
        <item m="1" x="621"/>
        <item m="1" x="900"/>
        <item m="1" x="1295"/>
        <item m="1" x="1207"/>
        <item m="1" x="997"/>
        <item m="1" x="944"/>
        <item m="1" x="574"/>
        <item m="1" x="812"/>
        <item m="1" x="1276"/>
        <item m="1" x="910"/>
        <item m="1" x="1073"/>
        <item m="1" x="1010"/>
        <item m="1" x="1192"/>
        <item m="1" x="556"/>
        <item m="1" x="1037"/>
        <item m="1" x="711"/>
        <item m="1" x="1114"/>
        <item m="1" x="1240"/>
        <item m="1" x="1316"/>
        <item m="1" x="1251"/>
        <item m="1" x="1212"/>
        <item m="1" x="1138"/>
        <item m="1" x="1549"/>
        <item m="1" x="1441"/>
        <item m="1" x="692"/>
        <item m="1" x="1433"/>
        <item m="1" x="887"/>
        <item m="1" x="1197"/>
        <item m="1" x="603"/>
        <item m="1" x="1176"/>
        <item m="1" x="1043"/>
        <item m="1" x="1475"/>
        <item m="1" x="629"/>
        <item m="1" x="1686"/>
        <item m="1" x="668"/>
        <item m="1" x="608"/>
        <item m="1" x="1178"/>
        <item m="1" x="1378"/>
        <item m="1" x="1281"/>
        <item m="1" x="567"/>
        <item m="1" x="719"/>
        <item m="1" x="1507"/>
        <item m="1" x="1447"/>
        <item m="1" x="702"/>
        <item m="1" x="675"/>
        <item m="1" x="970"/>
        <item m="1" x="591"/>
        <item m="1" x="1198"/>
        <item m="1" x="631"/>
        <item m="1" x="801"/>
        <item m="1" x="1098"/>
        <item m="1" x="1629"/>
        <item m="1" x="669"/>
        <item m="1" x="939"/>
        <item m="1" x="786"/>
        <item m="1" x="948"/>
        <item m="1" x="1502"/>
        <item m="1" x="1385"/>
        <item m="1" x="847"/>
        <item m="1" x="600"/>
        <item m="1" x="1550"/>
        <item m="1" x="713"/>
        <item m="1" x="1495"/>
        <item m="1" x="1052"/>
        <item m="1" x="1436"/>
        <item m="1" x="795"/>
        <item m="1" x="967"/>
        <item m="1" x="1452"/>
        <item m="1" x="1640"/>
        <item m="1" x="1416"/>
        <item m="1" x="815"/>
        <item m="1" x="758"/>
        <item m="1" x="1461"/>
        <item m="1" x="1225"/>
        <item m="1" x="1069"/>
        <item m="1" x="1493"/>
        <item m="1" x="541"/>
        <item m="1" x="538"/>
        <item m="1" x="1213"/>
        <item m="1" x="1353"/>
        <item m="1" x="1308"/>
        <item m="1" x="1491"/>
        <item m="1" x="1016"/>
        <item m="1" x="763"/>
        <item m="1" x="837"/>
        <item m="1" x="1367"/>
        <item m="1" x="919"/>
        <item m="1" x="1149"/>
        <item m="1" x="1564"/>
        <item m="1" x="802"/>
        <item m="1" x="1139"/>
        <item m="1" x="523"/>
        <item m="1" x="85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7"/>
        <item x="506"/>
        <item m="1" x="840"/>
        <item m="1" x="1601"/>
        <item m="1" x="543"/>
        <item m="1" x="508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671"/>
    </i>
    <i r="2">
      <x v="3"/>
    </i>
    <i r="2">
      <x v="11"/>
    </i>
    <i r="1">
      <x v="1679"/>
    </i>
    <i r="2">
      <x v="11"/>
    </i>
    <i r="1">
      <x v="1680"/>
    </i>
    <i r="2">
      <x v="3"/>
    </i>
    <i r="1">
      <x v="1681"/>
    </i>
    <i r="2">
      <x v="3"/>
    </i>
    <i r="2">
      <x v="8"/>
    </i>
    <i r="2">
      <x v="11"/>
    </i>
    <i r="1">
      <x v="1682"/>
    </i>
    <i r="2">
      <x v="3"/>
    </i>
    <i r="2">
      <x v="8"/>
    </i>
    <i r="2">
      <x v="11"/>
    </i>
    <i r="1">
      <x v="1683"/>
    </i>
    <i r="2">
      <x v="8"/>
    </i>
    <i r="1">
      <x v="1684"/>
    </i>
    <i r="2">
      <x v="4"/>
    </i>
    <i r="2">
      <x v="8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28" totalsRowShown="0" totalsRowDxfId="23">
  <autoFilter ref="A1:C1428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6110" totalsRowShown="0">
  <autoFilter ref="A1:S6110" xr:uid="{678037D6-A574-4B81-B392-ED766472D9FE}">
    <filterColumn colId="1">
      <filters>
        <filter val="open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6"/>
  <sheetViews>
    <sheetView workbookViewId="0">
      <selection activeCell="B24" sqref="B24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2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3">
        <v>634</v>
      </c>
    </row>
    <row r="5" spans="1:2">
      <c r="A5" s="111" t="s">
        <v>369</v>
      </c>
      <c r="B5" s="183">
        <v>284</v>
      </c>
    </row>
    <row r="6" spans="1:2">
      <c r="A6" s="111" t="s">
        <v>404</v>
      </c>
      <c r="B6" s="183">
        <v>1</v>
      </c>
    </row>
    <row r="7" spans="1:2">
      <c r="A7" s="111" t="s">
        <v>370</v>
      </c>
      <c r="B7" s="183">
        <v>125</v>
      </c>
    </row>
    <row r="8" spans="1:2">
      <c r="A8" s="111" t="s">
        <v>403</v>
      </c>
      <c r="B8" s="183"/>
    </row>
    <row r="9" spans="1:2">
      <c r="A9" s="111" t="s">
        <v>398</v>
      </c>
      <c r="B9" s="183"/>
    </row>
    <row r="10" spans="1:2">
      <c r="A10" s="111" t="s">
        <v>377</v>
      </c>
      <c r="B10" s="183">
        <v>3</v>
      </c>
    </row>
    <row r="11" spans="1:2">
      <c r="A11" s="111" t="s">
        <v>375</v>
      </c>
      <c r="B11" s="183">
        <v>220</v>
      </c>
    </row>
    <row r="12" spans="1:2">
      <c r="A12" s="111" t="s">
        <v>405</v>
      </c>
      <c r="B12" s="183"/>
    </row>
    <row r="13" spans="1:2">
      <c r="A13" s="111" t="s">
        <v>692</v>
      </c>
      <c r="B13" s="183">
        <v>1</v>
      </c>
    </row>
    <row r="14" spans="1:2">
      <c r="A14" s="17" t="s">
        <v>7787</v>
      </c>
      <c r="B14" s="183">
        <v>217</v>
      </c>
    </row>
    <row r="15" spans="1:2">
      <c r="A15" s="111" t="s">
        <v>369</v>
      </c>
      <c r="B15" s="183">
        <v>217</v>
      </c>
    </row>
    <row r="16" spans="1:2">
      <c r="A16" s="17" t="s">
        <v>568</v>
      </c>
      <c r="B16" s="183">
        <v>356</v>
      </c>
    </row>
    <row r="17" spans="1:2">
      <c r="A17" s="111" t="s">
        <v>369</v>
      </c>
      <c r="B17" s="183">
        <v>345</v>
      </c>
    </row>
    <row r="18" spans="1:2">
      <c r="A18" s="111" t="s">
        <v>370</v>
      </c>
      <c r="B18" s="183">
        <v>2</v>
      </c>
    </row>
    <row r="19" spans="1:2">
      <c r="A19" s="111" t="s">
        <v>375</v>
      </c>
      <c r="B19" s="183">
        <v>9</v>
      </c>
    </row>
    <row r="20" spans="1:2">
      <c r="A20" s="17" t="s">
        <v>569</v>
      </c>
      <c r="B20" s="183">
        <v>266</v>
      </c>
    </row>
    <row r="21" spans="1:2">
      <c r="A21" s="111" t="s">
        <v>369</v>
      </c>
      <c r="B21" s="183">
        <v>252</v>
      </c>
    </row>
    <row r="22" spans="1:2">
      <c r="A22" s="111" t="s">
        <v>377</v>
      </c>
      <c r="B22" s="183">
        <v>12</v>
      </c>
    </row>
    <row r="23" spans="1:2">
      <c r="A23" s="111" t="s">
        <v>375</v>
      </c>
      <c r="B23" s="183">
        <v>1</v>
      </c>
    </row>
    <row r="24" spans="1:2">
      <c r="A24" s="111" t="s">
        <v>692</v>
      </c>
      <c r="B24" s="183">
        <v>1</v>
      </c>
    </row>
    <row r="25" spans="1:2">
      <c r="A25" s="17" t="s">
        <v>570</v>
      </c>
      <c r="B25" s="183">
        <v>513</v>
      </c>
    </row>
    <row r="26" spans="1:2">
      <c r="A26" s="111" t="s">
        <v>369</v>
      </c>
      <c r="B26" s="183">
        <v>460</v>
      </c>
    </row>
    <row r="27" spans="1:2">
      <c r="A27" s="111" t="s">
        <v>370</v>
      </c>
      <c r="B27" s="183">
        <v>2</v>
      </c>
    </row>
    <row r="28" spans="1:2">
      <c r="A28" s="111" t="s">
        <v>377</v>
      </c>
      <c r="B28" s="183">
        <v>43</v>
      </c>
    </row>
    <row r="29" spans="1:2">
      <c r="A29" s="111" t="s">
        <v>375</v>
      </c>
      <c r="B29" s="183">
        <v>7</v>
      </c>
    </row>
    <row r="30" spans="1:2">
      <c r="A30" s="111" t="s">
        <v>692</v>
      </c>
      <c r="B30" s="183">
        <v>1</v>
      </c>
    </row>
    <row r="31" spans="1:2">
      <c r="A31" s="17" t="s">
        <v>6997</v>
      </c>
      <c r="B31" s="183">
        <v>4</v>
      </c>
    </row>
    <row r="32" spans="1:2">
      <c r="A32" s="111" t="s">
        <v>369</v>
      </c>
      <c r="B32" s="183">
        <v>4</v>
      </c>
    </row>
    <row r="33" spans="1:2">
      <c r="A33" s="17" t="s">
        <v>7193</v>
      </c>
      <c r="B33" s="183">
        <v>16</v>
      </c>
    </row>
    <row r="34" spans="1:2">
      <c r="A34" s="111" t="s">
        <v>369</v>
      </c>
      <c r="B34" s="183">
        <v>11</v>
      </c>
    </row>
    <row r="35" spans="1:2">
      <c r="A35" s="111" t="s">
        <v>377</v>
      </c>
      <c r="B35" s="183">
        <v>5</v>
      </c>
    </row>
    <row r="36" spans="1:2">
      <c r="A36" s="17" t="s">
        <v>381</v>
      </c>
      <c r="B36" s="183">
        <v>2006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1:K35"/>
  <sheetViews>
    <sheetView zoomScale="115" zoomScaleNormal="115" workbookViewId="0">
      <selection activeCell="A11" sqref="A11:B11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1" spans="1:6">
      <c r="B1" t="e">
        <f ca="1">ELPAR("rc-2025:mCostObject_2025",A25,1)</f>
        <v>#NAME?</v>
      </c>
      <c r="C1" s="46" t="e">
        <f ca="1">ELPAR("rc-2026:mCostObject_2026",A1,1)</f>
        <v>#NAME?</v>
      </c>
    </row>
    <row r="2" spans="1:6">
      <c r="A2" s="66" t="s">
        <v>365</v>
      </c>
      <c r="B2" s="182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3">
        <v>509</v>
      </c>
      <c r="C5"/>
      <c r="D5"/>
      <c r="E5"/>
    </row>
    <row r="6" spans="1:6">
      <c r="A6" s="111" t="s">
        <v>7810</v>
      </c>
      <c r="B6" s="183">
        <v>32</v>
      </c>
      <c r="C6" s="126"/>
      <c r="D6" s="124"/>
      <c r="E6" s="124"/>
    </row>
    <row r="7" spans="1:6">
      <c r="A7" s="112" t="s">
        <v>369</v>
      </c>
      <c r="B7" s="183">
        <v>31</v>
      </c>
      <c r="C7"/>
      <c r="D7"/>
      <c r="E7"/>
    </row>
    <row r="8" spans="1:6">
      <c r="A8" s="112" t="s">
        <v>375</v>
      </c>
      <c r="B8" s="183">
        <v>1</v>
      </c>
      <c r="C8" s="56"/>
      <c r="D8" s="124"/>
      <c r="E8" s="124"/>
    </row>
    <row r="9" spans="1:6">
      <c r="A9" s="111" t="s">
        <v>7995</v>
      </c>
      <c r="B9" s="183">
        <v>1</v>
      </c>
      <c r="C9"/>
      <c r="D9"/>
    </row>
    <row r="10" spans="1:6">
      <c r="A10" s="112" t="s">
        <v>375</v>
      </c>
      <c r="B10" s="183">
        <v>1</v>
      </c>
      <c r="C10" s="53"/>
      <c r="D10" s="124"/>
      <c r="E10" s="124"/>
    </row>
    <row r="11" spans="1:6">
      <c r="A11" s="111" t="s">
        <v>8005</v>
      </c>
      <c r="B11" s="183">
        <v>13</v>
      </c>
      <c r="C11"/>
      <c r="D11"/>
    </row>
    <row r="12" spans="1:6">
      <c r="A12" s="112" t="s">
        <v>369</v>
      </c>
      <c r="B12" s="183">
        <v>13</v>
      </c>
      <c r="C12" s="126"/>
      <c r="D12"/>
    </row>
    <row r="13" spans="1:6">
      <c r="A13" s="111" t="s">
        <v>8019</v>
      </c>
      <c r="B13" s="183">
        <v>45</v>
      </c>
      <c r="C13"/>
      <c r="D13"/>
    </row>
    <row r="14" spans="1:6">
      <c r="A14" s="112" t="s">
        <v>369</v>
      </c>
      <c r="B14" s="183">
        <v>35</v>
      </c>
      <c r="C14" s="126"/>
      <c r="D14"/>
    </row>
    <row r="15" spans="1:6">
      <c r="A15" s="112" t="s">
        <v>370</v>
      </c>
      <c r="B15" s="183">
        <v>1</v>
      </c>
      <c r="C15"/>
      <c r="D15" s="124"/>
      <c r="E15" s="124"/>
    </row>
    <row r="16" spans="1:6">
      <c r="A16" s="112" t="s">
        <v>375</v>
      </c>
      <c r="B16" s="183">
        <v>9</v>
      </c>
      <c r="C16"/>
      <c r="D16"/>
    </row>
    <row r="17" spans="1:5">
      <c r="A17" s="111" t="s">
        <v>8070</v>
      </c>
      <c r="B17" s="183">
        <v>71</v>
      </c>
      <c r="C17"/>
      <c r="D17" s="124"/>
      <c r="E17" s="124"/>
    </row>
    <row r="18" spans="1:5">
      <c r="A18" s="112" t="s">
        <v>369</v>
      </c>
      <c r="B18" s="183">
        <v>63</v>
      </c>
      <c r="C18" s="126"/>
      <c r="D18"/>
    </row>
    <row r="19" spans="1:5">
      <c r="A19" s="112" t="s">
        <v>370</v>
      </c>
      <c r="B19" s="183">
        <v>2</v>
      </c>
      <c r="C19" s="47"/>
      <c r="D19"/>
    </row>
    <row r="20" spans="1:5">
      <c r="A20" s="112" t="s">
        <v>375</v>
      </c>
      <c r="B20" s="183">
        <v>6</v>
      </c>
      <c r="C20" s="126"/>
    </row>
    <row r="21" spans="1:5" ht="17.25" customHeight="1">
      <c r="A21" s="111" t="s">
        <v>8482</v>
      </c>
      <c r="B21" s="183">
        <v>1</v>
      </c>
    </row>
    <row r="22" spans="1:5">
      <c r="A22" s="112" t="s">
        <v>370</v>
      </c>
      <c r="B22" s="183">
        <v>1</v>
      </c>
    </row>
    <row r="23" spans="1:5">
      <c r="A23" s="111" t="s">
        <v>8481</v>
      </c>
      <c r="B23" s="183">
        <v>346</v>
      </c>
    </row>
    <row r="24" spans="1:5">
      <c r="A24" s="112" t="s">
        <v>404</v>
      </c>
      <c r="B24" s="183">
        <v>1</v>
      </c>
    </row>
    <row r="25" spans="1:5">
      <c r="A25" s="112" t="s">
        <v>370</v>
      </c>
      <c r="B25" s="183">
        <v>125</v>
      </c>
      <c r="D25" s="124"/>
      <c r="E25" s="124"/>
    </row>
    <row r="26" spans="1:5">
      <c r="A26" s="112" t="s">
        <v>375</v>
      </c>
      <c r="B26" s="183">
        <v>220</v>
      </c>
      <c r="C26" s="126"/>
    </row>
    <row r="27" spans="1:5">
      <c r="A27" s="17" t="s">
        <v>381</v>
      </c>
      <c r="B27" s="183">
        <v>509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28"/>
  <sheetViews>
    <sheetView topLeftCell="A1389" workbookViewId="0">
      <selection activeCell="C1428" sqref="C1428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7792</v>
      </c>
      <c r="B1414">
        <v>2</v>
      </c>
      <c r="C1414" s="179" t="s">
        <v>4</v>
      </c>
    </row>
    <row r="1415" spans="1:3">
      <c r="A1415" t="s">
        <v>7793</v>
      </c>
      <c r="B1415">
        <v>1</v>
      </c>
      <c r="C1415" s="179" t="s">
        <v>4</v>
      </c>
    </row>
    <row r="1416" spans="1:3">
      <c r="A1416" t="s">
        <v>7795</v>
      </c>
      <c r="B1416">
        <v>2</v>
      </c>
      <c r="C1416" s="179" t="s">
        <v>4</v>
      </c>
    </row>
    <row r="1417" spans="1:3">
      <c r="A1417" t="s">
        <v>7799</v>
      </c>
      <c r="B1417">
        <v>2</v>
      </c>
      <c r="C1417" s="179" t="s">
        <v>4</v>
      </c>
    </row>
    <row r="1418" spans="1:3">
      <c r="A1418" t="s">
        <v>7843</v>
      </c>
      <c r="B1418">
        <v>1</v>
      </c>
      <c r="C1418" s="179" t="s">
        <v>4</v>
      </c>
    </row>
    <row r="1419" spans="1:3">
      <c r="A1419" t="s">
        <v>7850</v>
      </c>
      <c r="B1419">
        <v>2</v>
      </c>
      <c r="C1419" s="179" t="s">
        <v>4</v>
      </c>
    </row>
    <row r="1420" spans="1:3">
      <c r="A1420" t="s">
        <v>7854</v>
      </c>
      <c r="B1420">
        <v>4</v>
      </c>
      <c r="C1420" s="179" t="s">
        <v>4</v>
      </c>
    </row>
    <row r="1421" spans="1:3">
      <c r="A1421" t="s">
        <v>7860</v>
      </c>
      <c r="B1421">
        <v>5</v>
      </c>
      <c r="C1421" s="179" t="s">
        <v>4</v>
      </c>
    </row>
    <row r="1422" spans="1:3">
      <c r="A1422" t="s">
        <v>7882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7981</v>
      </c>
      <c r="B1425">
        <v>25</v>
      </c>
      <c r="C1425" s="180" t="s">
        <v>4</v>
      </c>
    </row>
    <row r="1426" spans="1:3">
      <c r="A1426" t="s">
        <v>7883</v>
      </c>
      <c r="B1426">
        <v>6</v>
      </c>
      <c r="C1426" s="180" t="s">
        <v>4</v>
      </c>
    </row>
    <row r="1427" spans="1:3">
      <c r="A1427" t="s">
        <v>7982</v>
      </c>
      <c r="B1427">
        <v>1</v>
      </c>
      <c r="C1427" s="180" t="s">
        <v>4</v>
      </c>
    </row>
    <row r="1428" spans="1:3">
      <c r="A1428" t="s">
        <v>8005</v>
      </c>
      <c r="B1428">
        <v>13</v>
      </c>
      <c r="C1428" s="182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6110"/>
  <sheetViews>
    <sheetView tabSelected="1" zoomScale="105" zoomScaleNormal="105" workbookViewId="0">
      <selection activeCell="F1" sqref="F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294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269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269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269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269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269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269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269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269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269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269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269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265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262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262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262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262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262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262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262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262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262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262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262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262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262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262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262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262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262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262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262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262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262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262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262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262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262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262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262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262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262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262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262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262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262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262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262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262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262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262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262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262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262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261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261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261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261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261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261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261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261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261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261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261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261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261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261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261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261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261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261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261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261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261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261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261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261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261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261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261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261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261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261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261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261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261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261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261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261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261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261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261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261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261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261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261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261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261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261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261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261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261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261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261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261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261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261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261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261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261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261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261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260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260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260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260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260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259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259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257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257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256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253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253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253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253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253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253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253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253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253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253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253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253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253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253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253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253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253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253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253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253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253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252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252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252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252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252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247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247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247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242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242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242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242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242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242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242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242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242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242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242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242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242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242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242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242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242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242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238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238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238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233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232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232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232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232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232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232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232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232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232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232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232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232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218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218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217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217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217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207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192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192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192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192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192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192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192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192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192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192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192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192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192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192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192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192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192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192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192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192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189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189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189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189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188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188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188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188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188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188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188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188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188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188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188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188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188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188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188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188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188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188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188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188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188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188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188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188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188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188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188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188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188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188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187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187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187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187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187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187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187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187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187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187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187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187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187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187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187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187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187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187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183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183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183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183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183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183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183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183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183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183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183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183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183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183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183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183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183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183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183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183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183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183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183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183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183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183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183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183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183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183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183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183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183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183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183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183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183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183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183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183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183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183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183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183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183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183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183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183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183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183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183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183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183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183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183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183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183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183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183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183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183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183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183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183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183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183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183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183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183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183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183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183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183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183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183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183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183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183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183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183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183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183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183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183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183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183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183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183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183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183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183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183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177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177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172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172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167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167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167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167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167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167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167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167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167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167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167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167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167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167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167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167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167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167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167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167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167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167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167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167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167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167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167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167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167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167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167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167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167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167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167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167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167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167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167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167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167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167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167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167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167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167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167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167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167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167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167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167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167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167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167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167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167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167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167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167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167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167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167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167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167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167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167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167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167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167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167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167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167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167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167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167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167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167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167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167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167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167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167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167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167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167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167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167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167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167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167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167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167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167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167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167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167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167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167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167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167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167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167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167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167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164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164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164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164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165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162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162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157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157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157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157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157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157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157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157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157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157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157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155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155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155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155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155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155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155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155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155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155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155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155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155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155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155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155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155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155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155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155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155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155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155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155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155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155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155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155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155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155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155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155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155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155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155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155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155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155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155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155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155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155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155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155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155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155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155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155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155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155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155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155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155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155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155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155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155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155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155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155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155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155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155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155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155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155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155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155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155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155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155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155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155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155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155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155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155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155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155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155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155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155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155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155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155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155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155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155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155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155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155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155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155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155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155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155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155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155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155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155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155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155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155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155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155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155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155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155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155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155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155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155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155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155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155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155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155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155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155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155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155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155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155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155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155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155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155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155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155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155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155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155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155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155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155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155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155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155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155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155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155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155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155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155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155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155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155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155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155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155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155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155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155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155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155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155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155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155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155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155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155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155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155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155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155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155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155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155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155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155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155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155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155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155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155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155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155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155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155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155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155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155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155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155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155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155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155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155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155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155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155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155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155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155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155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155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155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155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155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155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155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155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155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155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155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155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155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155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155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155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155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155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155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155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155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155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155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155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155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155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155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155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155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155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155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155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155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155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155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155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155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155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155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155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155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155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155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155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155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155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155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155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155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155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155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155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155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155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155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155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155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155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155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155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155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155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155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155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155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155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155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155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155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155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155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155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155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155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155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155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155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155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155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155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155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155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155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155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155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155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155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155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155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155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155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155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155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155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155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155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155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155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155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155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155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155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155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155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155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155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155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155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155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155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155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155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155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155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155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155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155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155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155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155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155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155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155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155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155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155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155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155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155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155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155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155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155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155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155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155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155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155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155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155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155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153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153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153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153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153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153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153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153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153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153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152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152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152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151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151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151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151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151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151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150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150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148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147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147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147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146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146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146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144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144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144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144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144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144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144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141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141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141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141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141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141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141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141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141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141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141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141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141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141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141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141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141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141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141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141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141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141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141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141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141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141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141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141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141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140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140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138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138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138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138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138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138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138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138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138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138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136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136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136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136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136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136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136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136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135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135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135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135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135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135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135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135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135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135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135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135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135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135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135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135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135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133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133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133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133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133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133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133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133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133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133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133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133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133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133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133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133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133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133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133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133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133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133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133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133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133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133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133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133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133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133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133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133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133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133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133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133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133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133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133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133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133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133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133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133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133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133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133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133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133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133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133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133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133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133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133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133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133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133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133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133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133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133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133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133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133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133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133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133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133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133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133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133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133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133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133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133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133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133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133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133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133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133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133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133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133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133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133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133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133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133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133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133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133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133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133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133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133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133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133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133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133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133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133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133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133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133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133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133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133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133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133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133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133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133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133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133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133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133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133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133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133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133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133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133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133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133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133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133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133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133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133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133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133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133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133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133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133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133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133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133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133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133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133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133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133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133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133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133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133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133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133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133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133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133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133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133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133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133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133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133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133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133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133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133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133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133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133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133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133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133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133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133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133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133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133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133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133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133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133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133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133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133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133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133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133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133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133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133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133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133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133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133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133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133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133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133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133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133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133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133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133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133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133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133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133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133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133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133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133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133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133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133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133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133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133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133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133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133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133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133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133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133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133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133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133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133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133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133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133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133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133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133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133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133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133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133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133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133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133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133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133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133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133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133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133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133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133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133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133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133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133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133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133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133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133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133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133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133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133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133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133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133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133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133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133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133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133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133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133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133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133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133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133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133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133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133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133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133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133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133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133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133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133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133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133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133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133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133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133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133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133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133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133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133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133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132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132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132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132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132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132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132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132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132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132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132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132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132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132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132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132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132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132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132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132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132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132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132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132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132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132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132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132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132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132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132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132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132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132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132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132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132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132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132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132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132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132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132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132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132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132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132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132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132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132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132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132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132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132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132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132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132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132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132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132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132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132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132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132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132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132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132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132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132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132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132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132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132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132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132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132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132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132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132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132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132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132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132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132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132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132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132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132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132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132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132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132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132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132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132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132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132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132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132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132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132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132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132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132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132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132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132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132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132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132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132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132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132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132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132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132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132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132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132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132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132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132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132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132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132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132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132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132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132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132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132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132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132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132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132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132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132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132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132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132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132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132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132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132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132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132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132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132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132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132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132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132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132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132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132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132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132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132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132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132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132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132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132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132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132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132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132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132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132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132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132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132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132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132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132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132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132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132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132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132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132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132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132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132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132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132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132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132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132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132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132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132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132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132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132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132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132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132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132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132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132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132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129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129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129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129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129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129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129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129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129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129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129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129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129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129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129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129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129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129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129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129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129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129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129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129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129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129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129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129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129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129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129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129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129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129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129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129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129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129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129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129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129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129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129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128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128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127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127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127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127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127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127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127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126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126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126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125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125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125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125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125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125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125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125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125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125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125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125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125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125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125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125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125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125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125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125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125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125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125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125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125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125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125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125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125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125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125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125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125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125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125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125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125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125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125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125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125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125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125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125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125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125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125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125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125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125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125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125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125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125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125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125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125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125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125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125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125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125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125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125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125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125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125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125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125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125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125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125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125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125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125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125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125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125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125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125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125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125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125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125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125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125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125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125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125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125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125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125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125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125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124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124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124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124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124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124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124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124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124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124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124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124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124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124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124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124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124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124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124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123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123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123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123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123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123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123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123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123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123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123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123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123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123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123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123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123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123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122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122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122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122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122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122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122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122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122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122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122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122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119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119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119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119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119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119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119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119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119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119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119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119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119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119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119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119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119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119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119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119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119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119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119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119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119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119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119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119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119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118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118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118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118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118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118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118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118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118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118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118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118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118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118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118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118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118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118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118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118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118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118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118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118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118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118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118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118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118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118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118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118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118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118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118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117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117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117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117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117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117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117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117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117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117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117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117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117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117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117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117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117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117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117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117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117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117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117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117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117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117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117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117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117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117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117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117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117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117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117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117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117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117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117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117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117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117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117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117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117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117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117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117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117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117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117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117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117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117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117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117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117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117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117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117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117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117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117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117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117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117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117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117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117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117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117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117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117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117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117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117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117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117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117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117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117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117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117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117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117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117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117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117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117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117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117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117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117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117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117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117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117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117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117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117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117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117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117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117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117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117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117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117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117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117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117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117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117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117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117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117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117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117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117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117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117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117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117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117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117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117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117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117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117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117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117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117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117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117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117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117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117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117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117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117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117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117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117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117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117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117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117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117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117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117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117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117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117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117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117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117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117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117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117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117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117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117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117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117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117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117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117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117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117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117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117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117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117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117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117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117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117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117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117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117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117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117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117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117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117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117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117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117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117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117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117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117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117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117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117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117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117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117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117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117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117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117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117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117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117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117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117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117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117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117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117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117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117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117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117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117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117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117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117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117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117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117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117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117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117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117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117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117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117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117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117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117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117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117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117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117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115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115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115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115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115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115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115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115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115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115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115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115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115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115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115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115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114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114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114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114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114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114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114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114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114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114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114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114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114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114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114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114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114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114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114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114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114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114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114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114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114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114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114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114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114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114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114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114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114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114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114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114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114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114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114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113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113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113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113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113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113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113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113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113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113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113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113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113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113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113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113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113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113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112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112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112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112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112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112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112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112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112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112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112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112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112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112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112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112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112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112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112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112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112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112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112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112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112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112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112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112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112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112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112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112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112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112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112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112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112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112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112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112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112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112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112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112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112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112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112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112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112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112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112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112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112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112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112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112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112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112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112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112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112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112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112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112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112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112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112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112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112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112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112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112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112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112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112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112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112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112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112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112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112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112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112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112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112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112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112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112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112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112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112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112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112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112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112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112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112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112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112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112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112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112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112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112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112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112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112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112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112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112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112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112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112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112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112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108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108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108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108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108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108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108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108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108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108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108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108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107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107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107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107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107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107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107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107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107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107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107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107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107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107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107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107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107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107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107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107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107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107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107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107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107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107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107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107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107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107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107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104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104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104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104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104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104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104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104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104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103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102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102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102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102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102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102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101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101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101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101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101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101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101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101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101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101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101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101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101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101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101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101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101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101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101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101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100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100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100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100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100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100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100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100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100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100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100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100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99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99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99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99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99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99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99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99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99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99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99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99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96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96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96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96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96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96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96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96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96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96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96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96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96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96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96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96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96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96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96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96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96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96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96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96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96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96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96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96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96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96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96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96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96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96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96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96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96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96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96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96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96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96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96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96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96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96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96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96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96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96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95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95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95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95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95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95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95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95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95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95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95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95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95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95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95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95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92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91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91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91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91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91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91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89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89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89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89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89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89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89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89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89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89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89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89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89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89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89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89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89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89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89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89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89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89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89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89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89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89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89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89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89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89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89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89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89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89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89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89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89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89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89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89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89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89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89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89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89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89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89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87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87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87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87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87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87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87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87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87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87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87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87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87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87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87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87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87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87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87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87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87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87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87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87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87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87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87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87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85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85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85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85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80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80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80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80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80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79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79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79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79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79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79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79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79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79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79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79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79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76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76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76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76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76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76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76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76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76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76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76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76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76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76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76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76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76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76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76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76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76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76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76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76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76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76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76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76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76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75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74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73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73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73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73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73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73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73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73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73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73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73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73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73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73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73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73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73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73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73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73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73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73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73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73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73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73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73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72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72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72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72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72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72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72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72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72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72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72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72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72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72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72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72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72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72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72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72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72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72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72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72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72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72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72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72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72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72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72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72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72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72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72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72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72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72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72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71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 t="e">
        <v>#N/A</v>
      </c>
      <c r="G4490" t="s">
        <v>400</v>
      </c>
      <c r="H4490" s="150" t="str">
        <f>IF(Proc[[#This Row],[type]]="LFF (MDG-F)",MID(Proc[[#This Row],[Obj]],13,10),"")</f>
        <v/>
      </c>
      <c r="J4490" s="150" t="e">
        <f>Proc[[#This Row],[Requested]]=Proc[[#This Row],[CurrentParent]]</f>
        <v>#N/A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74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 t="e">
        <v>#N/A</v>
      </c>
      <c r="G4491" t="s">
        <v>400</v>
      </c>
      <c r="H4491" s="150" t="str">
        <f>IF(Proc[[#This Row],[type]]="LFF (MDG-F)",MID(Proc[[#This Row],[Obj]],13,10),"")</f>
        <v/>
      </c>
      <c r="J4491" s="150" t="e">
        <f>Proc[[#This Row],[Requested]]=Proc[[#This Row],[CurrentParent]]</f>
        <v>#N/A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74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69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69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69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69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69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69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69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69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69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69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69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69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69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69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69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69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69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69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69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69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69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69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69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69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69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69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69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69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69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69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69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69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69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69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69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69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69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69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69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69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69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69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69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69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69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69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69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69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69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69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69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69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69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69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69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69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69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69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69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69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69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69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69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69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69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69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69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69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69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69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69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69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69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69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69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69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69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69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69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69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69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69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69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69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69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69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69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69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69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69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69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69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69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67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67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67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67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67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67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67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67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67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67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67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67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67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67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67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67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67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67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67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67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67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67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67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67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67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67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67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67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67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66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64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64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64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61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61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61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61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61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61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61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61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61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61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61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61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61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61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61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61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61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61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61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61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61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61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61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61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61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61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61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61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61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61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61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61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61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61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61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61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61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61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61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61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61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61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61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61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61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61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61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61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61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61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61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61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61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61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61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61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61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61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61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58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58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58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58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58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58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58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58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58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58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58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58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58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58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58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58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58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58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58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58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58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58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58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58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57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57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57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57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57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57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57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57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57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57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57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57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57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57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55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55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55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55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55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55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55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53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53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53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53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53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53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53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53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53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53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53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53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53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53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53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53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53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53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53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53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53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53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53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53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53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53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53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53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53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53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53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53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53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53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53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53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53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53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53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53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53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53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53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53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53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53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53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53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53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53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53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53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53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53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53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53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53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53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53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53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53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53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53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53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52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52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52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52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52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52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52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52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52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52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50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50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50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50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50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50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50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50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50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50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50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50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50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50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50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50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50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50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50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50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50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50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50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50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50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50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50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50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50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50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50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50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50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50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49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49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49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49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49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49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49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49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49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49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49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49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49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49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49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49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49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49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49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49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49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49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49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49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49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49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49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49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49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49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49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49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49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49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49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49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49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49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49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49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49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49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49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49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49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49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49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49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49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49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49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49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49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49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49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49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49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49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49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49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49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49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49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49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49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49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49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49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49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49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49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49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49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49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49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49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49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49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49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49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49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49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49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49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49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49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49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49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49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49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49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49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49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49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49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49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49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49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49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49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49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49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49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49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49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49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49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49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49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49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49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49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49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49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49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49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49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49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49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49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49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49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49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49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49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49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49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49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49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49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49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49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49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49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49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49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49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49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49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49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49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49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49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49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49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48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48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48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48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48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48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48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48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48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48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48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48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48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48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48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48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48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48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48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48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48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48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48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48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48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48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48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48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47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47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47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47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47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47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47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47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47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47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47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46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46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46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46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46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46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46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46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46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46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46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46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46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46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46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46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46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46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46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46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46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46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46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46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46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46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45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45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44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44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44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44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44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44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44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44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44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44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44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44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44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44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44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44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44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44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44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44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43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43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43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43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43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43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43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43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43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43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43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43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43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43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43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43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43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43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43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43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43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43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43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43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43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43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43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43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 t="e">
        <v>#N/A</v>
      </c>
      <c r="G5090" s="149" t="s">
        <v>400</v>
      </c>
      <c r="H5090" s="150" t="str">
        <f>IF(Proc[[#This Row],[type]]="LFF (MDG-F)",MID(Proc[[#This Row],[Obj]],13,10),"")</f>
        <v/>
      </c>
      <c r="J5090" s="150" t="e">
        <f>Proc[[#This Row],[Requested]]=Proc[[#This Row],[CurrentParent]]</f>
        <v>#N/A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43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43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43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43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43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43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41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41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41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41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41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41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41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41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39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 t="e">
        <v>#N/A</v>
      </c>
      <c r="G5105" s="149" t="s">
        <v>400</v>
      </c>
      <c r="H5105" s="150" t="str">
        <f>IF(Proc[[#This Row],[type]]="LFF (MDG-F)",MID(Proc[[#This Row],[Obj]],13,10),"")</f>
        <v/>
      </c>
      <c r="J5105" s="150" t="e">
        <f>Proc[[#This Row],[Requested]]=Proc[[#This Row],[CurrentParent]]</f>
        <v>#N/A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39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39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39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39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38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38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38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38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38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38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38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35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35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35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35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35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35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35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35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35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35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35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35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35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35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35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31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31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31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31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31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31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31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31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31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31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31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31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31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31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31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31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28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28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28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6434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24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6434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24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6434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24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6434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24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6434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24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6434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24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6434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24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6434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24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6434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24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6434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24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6434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24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6434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24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6434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24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6434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24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6434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24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6434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24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6434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24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6434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24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6434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24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6434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24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6434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24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6434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24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6434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24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6434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24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6434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24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6434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24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6434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24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6434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24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6434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24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6434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24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6434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24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6434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24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6434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24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6434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24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6434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24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6434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24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6434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24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6434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24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6434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24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6434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24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6434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24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6434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24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6434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24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6434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24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6434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24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6434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24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6434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24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6434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24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6434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24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6434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24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6434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24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6434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24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6434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24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6434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24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6434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24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6434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24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6434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24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6434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24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6434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24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6434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24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6434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24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6434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24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6434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24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6434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24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6434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24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6434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24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6434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24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6434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24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6434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24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6434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24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6434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24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6434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24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6434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24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6434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24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6434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24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6434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24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6434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24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6434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24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6434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24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6434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24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6434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24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6434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24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6434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24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6434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24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6434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24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6434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24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50" t="s">
        <v>6434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22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50" t="s">
        <v>6434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22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50" t="s">
        <v>6434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22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50" t="s">
        <v>6434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22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50" t="s">
        <v>6434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22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50" t="s">
        <v>6434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22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50" t="s">
        <v>6434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22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7809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50" t="s">
        <v>6434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22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7809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50" t="s">
        <v>6434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22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50" t="s">
        <v>6434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15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50" t="s">
        <v>6434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15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50" t="s">
        <v>6434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15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50" t="s">
        <v>6434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15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50" t="s">
        <v>6434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15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50" t="s">
        <v>6434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15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50" t="s">
        <v>6434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15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50" t="s">
        <v>6434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15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50" t="s">
        <v>6434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15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50" t="s">
        <v>6434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15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50" t="s">
        <v>6434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15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50" t="s">
        <v>6434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15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50" t="s">
        <v>6434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15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50" t="s">
        <v>6434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15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7803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50" t="s">
        <v>6434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15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50" t="s">
        <v>6434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15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50" t="s">
        <v>6434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15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7804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50" t="s">
        <v>6434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15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50" t="s">
        <v>6434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15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50" t="s">
        <v>6434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15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50" t="s">
        <v>6434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15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50" t="s">
        <v>6434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15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7805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50" t="s">
        <v>6434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15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50" t="s">
        <v>6434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15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50" t="s">
        <v>6434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15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50" t="s">
        <v>6434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15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50" t="s">
        <v>6434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15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50" t="s">
        <v>6434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15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50" t="s">
        <v>6434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15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50" t="s">
        <v>6434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15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50" t="s">
        <v>6434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15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50" t="s">
        <v>6434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15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50" t="s">
        <v>6434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15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50" t="s">
        <v>6434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15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50" t="s">
        <v>6434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15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50" t="s">
        <v>6434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15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50" t="s">
        <v>6434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15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50" t="s">
        <v>6434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15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50" t="s">
        <v>6434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15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50" t="s">
        <v>6434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15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50" t="s">
        <v>6434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15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50" t="s">
        <v>6434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15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50" t="s">
        <v>6434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15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50" t="s">
        <v>6434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15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50" t="s">
        <v>6434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15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50" t="s">
        <v>6434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15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50" t="s">
        <v>6434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15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50" t="s">
        <v>6434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15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50" t="s">
        <v>6434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15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7806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50" t="s">
        <v>6434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15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50" t="s">
        <v>6434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15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7807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50" t="s">
        <v>6434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15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50" t="s">
        <v>6434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15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50" t="s">
        <v>6434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15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50" t="s">
        <v>6434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15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50" t="s">
        <v>6434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15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50" t="s">
        <v>6434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15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50" t="s">
        <v>6434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15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50" t="s">
        <v>6434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15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50" t="s">
        <v>6434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15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50" t="s">
        <v>6434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15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7808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50" t="s">
        <v>6434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15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50" t="s">
        <v>6434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15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50" t="s">
        <v>6434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15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50" t="s">
        <v>6434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15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50" t="s">
        <v>6434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15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50" t="s">
        <v>6434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15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50" t="s">
        <v>6434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15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50" t="s">
        <v>6434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15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50" t="s">
        <v>6434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15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50" t="s">
        <v>6434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15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50" t="s">
        <v>6434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15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50" t="s">
        <v>6434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15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50" t="s">
        <v>6434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15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50" t="s">
        <v>6434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15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50" t="s">
        <v>6434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15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50" t="s">
        <v>6434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15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50" t="s">
        <v>6434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15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50" t="s">
        <v>6434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15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50" t="s">
        <v>6434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15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50" t="s">
        <v>6434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15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50" t="s">
        <v>6434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15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50" t="s">
        <v>6434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15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50" t="s">
        <v>6434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15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50" t="s">
        <v>6434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15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50" t="s">
        <v>6434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15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 t="e">
        <v>#N/A</v>
      </c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e">
        <f>Proc[[#This Row],[Requested]]=Proc[[#This Row],[CurrentParent]]</f>
        <v>#N/A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50" t="s">
        <v>6434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15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50" t="s">
        <v>6434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15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 t="e">
        <v>#N/A</v>
      </c>
      <c r="G5333" t="s">
        <v>400</v>
      </c>
      <c r="H5333" s="150" t="str">
        <f>IF(Proc[[#This Row],[type]]="LFF (MDG-F)",MID(Proc[[#This Row],[Obj]],13,10),"")</f>
        <v/>
      </c>
      <c r="J5333" s="150" t="e">
        <f>Proc[[#This Row],[Requested]]=Proc[[#This Row],[CurrentParent]]</f>
        <v>#N/A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50" t="s">
        <v>6434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13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50" t="s">
        <v>6434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13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50" t="s">
        <v>6434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10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50" t="s">
        <v>6434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10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50" t="s">
        <v>6434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10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50" t="s">
        <v>6434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10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50" t="s">
        <v>6434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10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50" t="s">
        <v>6434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10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50" t="s">
        <v>6434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10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50" t="s">
        <v>6434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10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50" t="s">
        <v>6434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10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50" t="s">
        <v>6434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10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50" t="s">
        <v>6434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10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50" t="s">
        <v>6434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10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50" t="s">
        <v>6434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10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50" t="s">
        <v>6434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10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50" t="s">
        <v>6434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10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50" t="s">
        <v>6434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10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50" t="s">
        <v>6434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10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50" t="s">
        <v>6434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10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50" t="s">
        <v>6434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10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50" t="s">
        <v>6434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10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50" t="s">
        <v>6434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10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50" t="s">
        <v>6434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10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50" t="s">
        <v>6434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10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50" t="s">
        <v>6434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10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50" t="s">
        <v>6434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10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50" t="s">
        <v>6434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10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50" t="s">
        <v>6434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10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50" t="s">
        <v>6434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10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50" t="s">
        <v>6434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10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50" t="s">
        <v>6434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10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50" t="s">
        <v>6434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10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50" t="s">
        <v>6434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10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50" t="s">
        <v>6434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10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50" t="s">
        <v>6434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10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50" t="s">
        <v>6434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10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50" t="s">
        <v>6434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10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50" t="s">
        <v>6434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10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50" t="s">
        <v>6434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10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50" t="s">
        <v>6434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10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50" t="s">
        <v>6434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10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50" t="s">
        <v>6434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10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50" t="s">
        <v>6434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10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50" t="s">
        <v>6434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10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50" t="s">
        <v>6434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10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50" t="s">
        <v>6434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10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50" t="s">
        <v>6434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10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50" t="s">
        <v>6434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10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50" t="s">
        <v>6434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10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50" t="s">
        <v>6434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10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50" t="s">
        <v>6434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10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50" t="s">
        <v>6434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10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50" t="s">
        <v>6434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10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50" t="s">
        <v>6434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10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50" t="s">
        <v>6434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10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50" t="s">
        <v>6434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10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50" t="s">
        <v>6434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10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50" t="s">
        <v>6434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10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50" t="s">
        <v>6434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10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50" t="s">
        <v>6434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10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50" t="s">
        <v>6434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10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50" t="s">
        <v>6434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10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50" t="s">
        <v>6434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10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50" t="s">
        <v>6434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10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50" t="s">
        <v>6434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10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50" t="s">
        <v>6434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10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7788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50" t="s">
        <v>6434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10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50" t="s">
        <v>6434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10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50" t="s">
        <v>6434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10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50" t="s">
        <v>6434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10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50" t="s">
        <v>6434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10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50" t="s">
        <v>6434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10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50" t="s">
        <v>6434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10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50" t="s">
        <v>6434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10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50" t="s">
        <v>6434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10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50" t="s">
        <v>6434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10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50" t="s">
        <v>6434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10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50" t="s">
        <v>6434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10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50" t="s">
        <v>6434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9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e">
        <f>IF(Proc[[#This Row],[Author]]="Marcela Urrego",VLOOKUP(LEFT(Proc[[#This Row],[Requested]],1),Table3[#All],2,0),VLOOKUP(Proc[[#This Row],[Author]],Table4[],2,0))</f>
        <v>#N/A</v>
      </c>
      <c r="L5413" s="150" t="s">
        <v>6434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9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e">
        <f>IF(Proc[[#This Row],[Author]]="Marcela Urrego",VLOOKUP(LEFT(Proc[[#This Row],[Requested]],1),Table3[#All],2,0),VLOOKUP(Proc[[#This Row],[Author]],Table4[],2,0))</f>
        <v>#N/A</v>
      </c>
      <c r="L5414" s="150" t="s">
        <v>6434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9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e">
        <f>IF(Proc[[#This Row],[Author]]="Marcela Urrego",VLOOKUP(LEFT(Proc[[#This Row],[Requested]],1),Table3[#All],2,0),VLOOKUP(Proc[[#This Row],[Author]],Table4[],2,0))</f>
        <v>#N/A</v>
      </c>
      <c r="L5415" s="150" t="s">
        <v>6434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9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e">
        <f>IF(Proc[[#This Row],[Author]]="Marcela Urrego",VLOOKUP(LEFT(Proc[[#This Row],[Requested]],1),Table3[#All],2,0),VLOOKUP(Proc[[#This Row],[Author]],Table4[],2,0))</f>
        <v>#N/A</v>
      </c>
      <c r="L5416" s="150" t="s">
        <v>6434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9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e">
        <f>IF(Proc[[#This Row],[Author]]="Marcela Urrego",VLOOKUP(LEFT(Proc[[#This Row],[Requested]],1),Table3[#All],2,0),VLOOKUP(Proc[[#This Row],[Author]],Table4[],2,0))</f>
        <v>#N/A</v>
      </c>
      <c r="L5417" s="150" t="s">
        <v>6434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9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e">
        <f>IF(Proc[[#This Row],[Author]]="Marcela Urrego",VLOOKUP(LEFT(Proc[[#This Row],[Requested]],1),Table3[#All],2,0),VLOOKUP(Proc[[#This Row],[Author]],Table4[],2,0))</f>
        <v>#N/A</v>
      </c>
      <c r="L5418" s="150" t="s">
        <v>6434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9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e">
        <f>IF(Proc[[#This Row],[Author]]="Marcela Urrego",VLOOKUP(LEFT(Proc[[#This Row],[Requested]],1),Table3[#All],2,0),VLOOKUP(Proc[[#This Row],[Author]],Table4[],2,0))</f>
        <v>#N/A</v>
      </c>
      <c r="L5419" s="150" t="s">
        <v>6434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9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e">
        <f>IF(Proc[[#This Row],[Author]]="Marcela Urrego",VLOOKUP(LEFT(Proc[[#This Row],[Requested]],1),Table3[#All],2,0),VLOOKUP(Proc[[#This Row],[Author]],Table4[],2,0))</f>
        <v>#N/A</v>
      </c>
      <c r="L5420" s="150" t="s">
        <v>6434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9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e">
        <f>IF(Proc[[#This Row],[Author]]="Marcela Urrego",VLOOKUP(LEFT(Proc[[#This Row],[Requested]],1),Table3[#All],2,0),VLOOKUP(Proc[[#This Row],[Author]],Table4[],2,0))</f>
        <v>#N/A</v>
      </c>
      <c r="L5421" s="150" t="s">
        <v>6434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9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e">
        <f>IF(Proc[[#This Row],[Author]]="Marcela Urrego",VLOOKUP(LEFT(Proc[[#This Row],[Requested]],1),Table3[#All],2,0),VLOOKUP(Proc[[#This Row],[Author]],Table4[],2,0))</f>
        <v>#N/A</v>
      </c>
      <c r="L5422" s="150" t="s">
        <v>6434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9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e">
        <f>IF(Proc[[#This Row],[Author]]="Marcela Urrego",VLOOKUP(LEFT(Proc[[#This Row],[Requested]],1),Table3[#All],2,0),VLOOKUP(Proc[[#This Row],[Author]],Table4[],2,0))</f>
        <v>#N/A</v>
      </c>
      <c r="L5423" s="150" t="s">
        <v>6434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9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e">
        <f>IF(Proc[[#This Row],[Author]]="Marcela Urrego",VLOOKUP(LEFT(Proc[[#This Row],[Requested]],1),Table3[#All],2,0),VLOOKUP(Proc[[#This Row],[Author]],Table4[],2,0))</f>
        <v>#N/A</v>
      </c>
      <c r="L5424" s="150" t="s">
        <v>6434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9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e">
        <f>IF(Proc[[#This Row],[Author]]="Marcela Urrego",VLOOKUP(LEFT(Proc[[#This Row],[Requested]],1),Table3[#All],2,0),VLOOKUP(Proc[[#This Row],[Author]],Table4[],2,0))</f>
        <v>#N/A</v>
      </c>
      <c r="L5425" s="150" t="s">
        <v>6434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9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e">
        <f>IF(Proc[[#This Row],[Author]]="Marcela Urrego",VLOOKUP(LEFT(Proc[[#This Row],[Requested]],1),Table3[#All],2,0),VLOOKUP(Proc[[#This Row],[Author]],Table4[],2,0))</f>
        <v>#N/A</v>
      </c>
      <c r="L5426" s="150" t="s">
        <v>6434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9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e">
        <f>IF(Proc[[#This Row],[Author]]="Marcela Urrego",VLOOKUP(LEFT(Proc[[#This Row],[Requested]],1),Table3[#All],2,0),VLOOKUP(Proc[[#This Row],[Author]],Table4[],2,0))</f>
        <v>#N/A</v>
      </c>
      <c r="L5427" s="150" t="s">
        <v>6434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9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e">
        <f>IF(Proc[[#This Row],[Author]]="Marcela Urrego",VLOOKUP(LEFT(Proc[[#This Row],[Requested]],1),Table3[#All],2,0),VLOOKUP(Proc[[#This Row],[Author]],Table4[],2,0))</f>
        <v>#N/A</v>
      </c>
      <c r="L5428" s="150" t="s">
        <v>6434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9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e">
        <f>IF(Proc[[#This Row],[Author]]="Marcela Urrego",VLOOKUP(LEFT(Proc[[#This Row],[Requested]],1),Table3[#All],2,0),VLOOKUP(Proc[[#This Row],[Author]],Table4[],2,0))</f>
        <v>#N/A</v>
      </c>
      <c r="L5429" s="150" t="s">
        <v>6434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9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e">
        <f>IF(Proc[[#This Row],[Author]]="Marcela Urrego",VLOOKUP(LEFT(Proc[[#This Row],[Requested]],1),Table3[#All],2,0),VLOOKUP(Proc[[#This Row],[Author]],Table4[],2,0))</f>
        <v>#N/A</v>
      </c>
      <c r="L5430" s="150" t="s">
        <v>6434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9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e">
        <f>IF(Proc[[#This Row],[Author]]="Marcela Urrego",VLOOKUP(LEFT(Proc[[#This Row],[Requested]],1),Table3[#All],2,0),VLOOKUP(Proc[[#This Row],[Author]],Table4[],2,0))</f>
        <v>#N/A</v>
      </c>
      <c r="L5431" s="150" t="s">
        <v>6434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9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e">
        <f>IF(Proc[[#This Row],[Author]]="Marcela Urrego",VLOOKUP(LEFT(Proc[[#This Row],[Requested]],1),Table3[#All],2,0),VLOOKUP(Proc[[#This Row],[Author]],Table4[],2,0))</f>
        <v>#N/A</v>
      </c>
      <c r="L5432" s="150" t="s">
        <v>6434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9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e">
        <f>IF(Proc[[#This Row],[Author]]="Marcela Urrego",VLOOKUP(LEFT(Proc[[#This Row],[Requested]],1),Table3[#All],2,0),VLOOKUP(Proc[[#This Row],[Author]],Table4[],2,0))</f>
        <v>#N/A</v>
      </c>
      <c r="L5433" s="150" t="s">
        <v>6434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9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e">
        <f>IF(Proc[[#This Row],[Author]]="Marcela Urrego",VLOOKUP(LEFT(Proc[[#This Row],[Requested]],1),Table3[#All],2,0),VLOOKUP(Proc[[#This Row],[Author]],Table4[],2,0))</f>
        <v>#N/A</v>
      </c>
      <c r="L5434" s="150" t="s">
        <v>6434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9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e">
        <f>IF(Proc[[#This Row],[Author]]="Marcela Urrego",VLOOKUP(LEFT(Proc[[#This Row],[Requested]],1),Table3[#All],2,0),VLOOKUP(Proc[[#This Row],[Author]],Table4[],2,0))</f>
        <v>#N/A</v>
      </c>
      <c r="L5435" s="150" t="s">
        <v>6434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9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e">
        <f>IF(Proc[[#This Row],[Author]]="Marcela Urrego",VLOOKUP(LEFT(Proc[[#This Row],[Requested]],1),Table3[#All],2,0),VLOOKUP(Proc[[#This Row],[Author]],Table4[],2,0))</f>
        <v>#N/A</v>
      </c>
      <c r="L5436" s="150" t="s">
        <v>6434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9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e">
        <f>IF(Proc[[#This Row],[Author]]="Marcela Urrego",VLOOKUP(LEFT(Proc[[#This Row],[Requested]],1),Table3[#All],2,0),VLOOKUP(Proc[[#This Row],[Author]],Table4[],2,0))</f>
        <v>#N/A</v>
      </c>
      <c r="L5437" s="150" t="s">
        <v>6434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9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e">
        <f>IF(Proc[[#This Row],[Author]]="Marcela Urrego",VLOOKUP(LEFT(Proc[[#This Row],[Requested]],1),Table3[#All],2,0),VLOOKUP(Proc[[#This Row],[Author]],Table4[],2,0))</f>
        <v>#N/A</v>
      </c>
      <c r="L5438" s="150" t="s">
        <v>6434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9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e">
        <f>IF(Proc[[#This Row],[Author]]="Marcela Urrego",VLOOKUP(LEFT(Proc[[#This Row],[Requested]],1),Table3[#All],2,0),VLOOKUP(Proc[[#This Row],[Author]],Table4[],2,0))</f>
        <v>#N/A</v>
      </c>
      <c r="L5439" s="150" t="s">
        <v>6434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9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e">
        <f>IF(Proc[[#This Row],[Author]]="Marcela Urrego",VLOOKUP(LEFT(Proc[[#This Row],[Requested]],1),Table3[#All],2,0),VLOOKUP(Proc[[#This Row],[Author]],Table4[],2,0))</f>
        <v>#N/A</v>
      </c>
      <c r="L5440" s="150" t="s">
        <v>6434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9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e">
        <f>IF(Proc[[#This Row],[Author]]="Marcela Urrego",VLOOKUP(LEFT(Proc[[#This Row],[Requested]],1),Table3[#All],2,0),VLOOKUP(Proc[[#This Row],[Author]],Table4[],2,0))</f>
        <v>#N/A</v>
      </c>
      <c r="L5441" s="150" t="s">
        <v>6434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9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e">
        <f>IF(Proc[[#This Row],[Author]]="Marcela Urrego",VLOOKUP(LEFT(Proc[[#This Row],[Requested]],1),Table3[#All],2,0),VLOOKUP(Proc[[#This Row],[Author]],Table4[],2,0))</f>
        <v>#N/A</v>
      </c>
      <c r="L5442" s="150" t="s">
        <v>6434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9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e">
        <f>IF(Proc[[#This Row],[Author]]="Marcela Urrego",VLOOKUP(LEFT(Proc[[#This Row],[Requested]],1),Table3[#All],2,0),VLOOKUP(Proc[[#This Row],[Author]],Table4[],2,0))</f>
        <v>#N/A</v>
      </c>
      <c r="L5443" s="150" t="s">
        <v>6434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9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e">
        <f>IF(Proc[[#This Row],[Author]]="Marcela Urrego",VLOOKUP(LEFT(Proc[[#This Row],[Requested]],1),Table3[#All],2,0),VLOOKUP(Proc[[#This Row],[Author]],Table4[],2,0))</f>
        <v>#N/A</v>
      </c>
      <c r="L5444" s="150" t="s">
        <v>6434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9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e">
        <f>IF(Proc[[#This Row],[Author]]="Marcela Urrego",VLOOKUP(LEFT(Proc[[#This Row],[Requested]],1),Table3[#All],2,0),VLOOKUP(Proc[[#This Row],[Author]],Table4[],2,0))</f>
        <v>#N/A</v>
      </c>
      <c r="L5445" s="150" t="s">
        <v>6434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9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e">
        <f>IF(Proc[[#This Row],[Author]]="Marcela Urrego",VLOOKUP(LEFT(Proc[[#This Row],[Requested]],1),Table3[#All],2,0),VLOOKUP(Proc[[#This Row],[Author]],Table4[],2,0))</f>
        <v>#N/A</v>
      </c>
      <c r="L5446" s="150" t="s">
        <v>6434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9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e">
        <f>IF(Proc[[#This Row],[Author]]="Marcela Urrego",VLOOKUP(LEFT(Proc[[#This Row],[Requested]],1),Table3[#All],2,0),VLOOKUP(Proc[[#This Row],[Author]],Table4[],2,0))</f>
        <v>#N/A</v>
      </c>
      <c r="L5447" s="150" t="s">
        <v>6434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9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e">
        <f>IF(Proc[[#This Row],[Author]]="Marcela Urrego",VLOOKUP(LEFT(Proc[[#This Row],[Requested]],1),Table3[#All],2,0),VLOOKUP(Proc[[#This Row],[Author]],Table4[],2,0))</f>
        <v>#N/A</v>
      </c>
      <c r="L5448" s="150" t="s">
        <v>6434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9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e">
        <f>IF(Proc[[#This Row],[Author]]="Marcela Urrego",VLOOKUP(LEFT(Proc[[#This Row],[Requested]],1),Table3[#All],2,0),VLOOKUP(Proc[[#This Row],[Author]],Table4[],2,0))</f>
        <v>#N/A</v>
      </c>
      <c r="L5449" s="150" t="s">
        <v>6434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9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e">
        <f>IF(Proc[[#This Row],[Author]]="Marcela Urrego",VLOOKUP(LEFT(Proc[[#This Row],[Requested]],1),Table3[#All],2,0),VLOOKUP(Proc[[#This Row],[Author]],Table4[],2,0))</f>
        <v>#N/A</v>
      </c>
      <c r="L5450" s="150" t="s">
        <v>6434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9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e">
        <f>IF(Proc[[#This Row],[Author]]="Marcela Urrego",VLOOKUP(LEFT(Proc[[#This Row],[Requested]],1),Table3[#All],2,0),VLOOKUP(Proc[[#This Row],[Author]],Table4[],2,0))</f>
        <v>#N/A</v>
      </c>
      <c r="L5451" s="150" t="s">
        <v>6434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9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e">
        <f>IF(Proc[[#This Row],[Author]]="Marcela Urrego",VLOOKUP(LEFT(Proc[[#This Row],[Requested]],1),Table3[#All],2,0),VLOOKUP(Proc[[#This Row],[Author]],Table4[],2,0))</f>
        <v>#N/A</v>
      </c>
      <c r="L5452" s="150" t="s">
        <v>6434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9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e">
        <f>IF(Proc[[#This Row],[Author]]="Marcela Urrego",VLOOKUP(LEFT(Proc[[#This Row],[Requested]],1),Table3[#All],2,0),VLOOKUP(Proc[[#This Row],[Author]],Table4[],2,0))</f>
        <v>#N/A</v>
      </c>
      <c r="L5453" s="150" t="s">
        <v>6434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9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e">
        <f>IF(Proc[[#This Row],[Author]]="Marcela Urrego",VLOOKUP(LEFT(Proc[[#This Row],[Requested]],1),Table3[#All],2,0),VLOOKUP(Proc[[#This Row],[Author]],Table4[],2,0))</f>
        <v>#N/A</v>
      </c>
      <c r="L5454" s="150" t="s">
        <v>6434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9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e">
        <f>IF(Proc[[#This Row],[Author]]="Marcela Urrego",VLOOKUP(LEFT(Proc[[#This Row],[Requested]],1),Table3[#All],2,0),VLOOKUP(Proc[[#This Row],[Author]],Table4[],2,0))</f>
        <v>#N/A</v>
      </c>
      <c r="L5455" s="150" t="s">
        <v>6434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9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e">
        <f>IF(Proc[[#This Row],[Author]]="Marcela Urrego",VLOOKUP(LEFT(Proc[[#This Row],[Requested]],1),Table3[#All],2,0),VLOOKUP(Proc[[#This Row],[Author]],Table4[],2,0))</f>
        <v>#N/A</v>
      </c>
      <c r="L5456" s="150" t="s">
        <v>6434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9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e">
        <f>IF(Proc[[#This Row],[Author]]="Marcela Urrego",VLOOKUP(LEFT(Proc[[#This Row],[Requested]],1),Table3[#All],2,0),VLOOKUP(Proc[[#This Row],[Author]],Table4[],2,0))</f>
        <v>#N/A</v>
      </c>
      <c r="L5457" s="150" t="s">
        <v>6434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9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e">
        <f>IF(Proc[[#This Row],[Author]]="Marcela Urrego",VLOOKUP(LEFT(Proc[[#This Row],[Requested]],1),Table3[#All],2,0),VLOOKUP(Proc[[#This Row],[Author]],Table4[],2,0))</f>
        <v>#N/A</v>
      </c>
      <c r="L5458" s="150" t="s">
        <v>6434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9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e">
        <f>IF(Proc[[#This Row],[Author]]="Marcela Urrego",VLOOKUP(LEFT(Proc[[#This Row],[Requested]],1),Table3[#All],2,0),VLOOKUP(Proc[[#This Row],[Author]],Table4[],2,0))</f>
        <v>#N/A</v>
      </c>
      <c r="L5459" s="150" t="s">
        <v>6434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9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e">
        <f>IF(Proc[[#This Row],[Author]]="Marcela Urrego",VLOOKUP(LEFT(Proc[[#This Row],[Requested]],1),Table3[#All],2,0),VLOOKUP(Proc[[#This Row],[Author]],Table4[],2,0))</f>
        <v>#N/A</v>
      </c>
      <c r="L5460" s="150" t="s">
        <v>6434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9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e">
        <f>IF(Proc[[#This Row],[Author]]="Marcela Urrego",VLOOKUP(LEFT(Proc[[#This Row],[Requested]],1),Table3[#All],2,0),VLOOKUP(Proc[[#This Row],[Author]],Table4[],2,0))</f>
        <v>#N/A</v>
      </c>
      <c r="L5461" s="150" t="s">
        <v>6434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9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e">
        <f>IF(Proc[[#This Row],[Author]]="Marcela Urrego",VLOOKUP(LEFT(Proc[[#This Row],[Requested]],1),Table3[#All],2,0),VLOOKUP(Proc[[#This Row],[Author]],Table4[],2,0))</f>
        <v>#N/A</v>
      </c>
      <c r="L5462" s="150" t="s">
        <v>6434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9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e">
        <f>IF(Proc[[#This Row],[Author]]="Marcela Urrego",VLOOKUP(LEFT(Proc[[#This Row],[Requested]],1),Table3[#All],2,0),VLOOKUP(Proc[[#This Row],[Author]],Table4[],2,0))</f>
        <v>#N/A</v>
      </c>
      <c r="L5463" s="150" t="s">
        <v>6434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9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e">
        <f>IF(Proc[[#This Row],[Author]]="Marcela Urrego",VLOOKUP(LEFT(Proc[[#This Row],[Requested]],1),Table3[#All],2,0),VLOOKUP(Proc[[#This Row],[Author]],Table4[],2,0))</f>
        <v>#N/A</v>
      </c>
      <c r="L5464" s="150" t="s">
        <v>6434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9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e">
        <f>IF(Proc[[#This Row],[Author]]="Marcela Urrego",VLOOKUP(LEFT(Proc[[#This Row],[Requested]],1),Table3[#All],2,0),VLOOKUP(Proc[[#This Row],[Author]],Table4[],2,0))</f>
        <v>#N/A</v>
      </c>
      <c r="L5465" s="150" t="s">
        <v>6434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9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e">
        <f>IF(Proc[[#This Row],[Author]]="Marcela Urrego",VLOOKUP(LEFT(Proc[[#This Row],[Requested]],1),Table3[#All],2,0),VLOOKUP(Proc[[#This Row],[Author]],Table4[],2,0))</f>
        <v>#N/A</v>
      </c>
      <c r="L5466" s="150" t="s">
        <v>6434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9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e">
        <f>IF(Proc[[#This Row],[Author]]="Marcela Urrego",VLOOKUP(LEFT(Proc[[#This Row],[Requested]],1),Table3[#All],2,0),VLOOKUP(Proc[[#This Row],[Author]],Table4[],2,0))</f>
        <v>#N/A</v>
      </c>
      <c r="L5467" s="150" t="s">
        <v>6434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9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e">
        <f>IF(Proc[[#This Row],[Author]]="Marcela Urrego",VLOOKUP(LEFT(Proc[[#This Row],[Requested]],1),Table3[#All],2,0),VLOOKUP(Proc[[#This Row],[Author]],Table4[],2,0))</f>
        <v>#N/A</v>
      </c>
      <c r="L5468" s="150" t="s">
        <v>6434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9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e">
        <f>IF(Proc[[#This Row],[Author]]="Marcela Urrego",VLOOKUP(LEFT(Proc[[#This Row],[Requested]],1),Table3[#All],2,0),VLOOKUP(Proc[[#This Row],[Author]],Table4[],2,0))</f>
        <v>#N/A</v>
      </c>
      <c r="L5469" s="150" t="s">
        <v>6434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9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e">
        <f>IF(Proc[[#This Row],[Author]]="Marcela Urrego",VLOOKUP(LEFT(Proc[[#This Row],[Requested]],1),Table3[#All],2,0),VLOOKUP(Proc[[#This Row],[Author]],Table4[],2,0))</f>
        <v>#N/A</v>
      </c>
      <c r="L5470" s="150" t="s">
        <v>6434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9</v>
      </c>
      <c r="R5470" s="178" t="s">
        <v>7785</v>
      </c>
      <c r="S5470" s="150"/>
    </row>
    <row r="5471" spans="1:19" hidden="1">
      <c r="A5471" s="178" t="s">
        <v>7792</v>
      </c>
      <c r="B5471" s="150" t="str">
        <f>IFERROR(VLOOKUP(Proc[[#This Row],[App]],Table2[],3,0),"open")</f>
        <v>ok</v>
      </c>
      <c r="C5471" s="179" t="s">
        <v>369</v>
      </c>
      <c r="D5471" t="s">
        <v>7789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50" t="s">
        <v>6434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6</v>
      </c>
      <c r="R5471" s="178" t="s">
        <v>489</v>
      </c>
      <c r="S5471" s="150"/>
    </row>
    <row r="5472" spans="1:19" hidden="1">
      <c r="A5472" s="178" t="s">
        <v>7792</v>
      </c>
      <c r="B5472" s="150" t="str">
        <f>IFERROR(VLOOKUP(Proc[[#This Row],[App]],Table2[],3,0),"open")</f>
        <v>ok</v>
      </c>
      <c r="C5472" s="179" t="s">
        <v>369</v>
      </c>
      <c r="D5472" t="s">
        <v>7790</v>
      </c>
      <c r="E5472" t="s">
        <v>7791</v>
      </c>
      <c r="F5472" s="150" t="s">
        <v>7791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50" t="s">
        <v>6434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6</v>
      </c>
      <c r="R5472" s="178" t="s">
        <v>489</v>
      </c>
      <c r="S5472" s="150"/>
    </row>
    <row r="5473" spans="1:19" hidden="1">
      <c r="A5473" t="s">
        <v>7793</v>
      </c>
      <c r="B5473" s="150" t="str">
        <f>IFERROR(VLOOKUP(Proc[[#This Row],[App]],Table2[],3,0),"open")</f>
        <v>ok</v>
      </c>
      <c r="C5473" s="179" t="s">
        <v>369</v>
      </c>
      <c r="D5473" t="s">
        <v>7794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50" t="s">
        <v>6434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6</v>
      </c>
      <c r="R5473" s="178" t="s">
        <v>410</v>
      </c>
      <c r="S5473" s="150"/>
    </row>
    <row r="5474" spans="1:19" hidden="1">
      <c r="A5474" t="s">
        <v>7795</v>
      </c>
      <c r="B5474" s="150" t="str">
        <f>IFERROR(VLOOKUP(Proc[[#This Row],[App]],Table2[],3,0),"open")</f>
        <v>ok</v>
      </c>
      <c r="C5474" s="179" t="s">
        <v>369</v>
      </c>
      <c r="D5474" t="s">
        <v>7796</v>
      </c>
      <c r="E5474" t="s">
        <v>7798</v>
      </c>
      <c r="F5474" s="150" t="s">
        <v>7798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50" t="s">
        <v>6434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6</v>
      </c>
      <c r="R5474" s="178" t="s">
        <v>484</v>
      </c>
      <c r="S5474" s="150"/>
    </row>
    <row r="5475" spans="1:19" hidden="1">
      <c r="A5475" s="179" t="s">
        <v>7795</v>
      </c>
      <c r="B5475" s="150" t="str">
        <f>IFERROR(VLOOKUP(Proc[[#This Row],[App]],Table2[],3,0),"open")</f>
        <v>ok</v>
      </c>
      <c r="C5475" s="179" t="s">
        <v>369</v>
      </c>
      <c r="D5475" t="s">
        <v>7797</v>
      </c>
      <c r="E5475" t="s">
        <v>7798</v>
      </c>
      <c r="F5475" s="150" t="s">
        <v>7798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50" t="s">
        <v>6434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6</v>
      </c>
      <c r="R5475" s="178" t="s">
        <v>484</v>
      </c>
      <c r="S5475" s="150"/>
    </row>
    <row r="5476" spans="1:19" hidden="1">
      <c r="A5476" t="s">
        <v>7799</v>
      </c>
      <c r="B5476" s="150" t="str">
        <f>IFERROR(VLOOKUP(Proc[[#This Row],[App]],Table2[],3,0),"open")</f>
        <v>ok</v>
      </c>
      <c r="C5476" s="179" t="s">
        <v>369</v>
      </c>
      <c r="D5476" t="s">
        <v>7800</v>
      </c>
      <c r="E5476" t="s">
        <v>7802</v>
      </c>
      <c r="F5476" s="150" t="s">
        <v>7802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50" t="s">
        <v>6434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6</v>
      </c>
      <c r="R5476" s="178" t="s">
        <v>780</v>
      </c>
      <c r="S5476" s="150"/>
    </row>
    <row r="5477" spans="1:19" hidden="1">
      <c r="A5477" s="179" t="s">
        <v>7799</v>
      </c>
      <c r="B5477" s="150" t="str">
        <f>IFERROR(VLOOKUP(Proc[[#This Row],[App]],Table2[],3,0),"open")</f>
        <v>ok</v>
      </c>
      <c r="C5477" s="179" t="s">
        <v>369</v>
      </c>
      <c r="D5477" t="s">
        <v>7801</v>
      </c>
      <c r="E5477" s="179" t="s">
        <v>7802</v>
      </c>
      <c r="F5477" s="150" t="s">
        <v>7802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50" t="s">
        <v>6434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6</v>
      </c>
      <c r="R5477" s="178" t="s">
        <v>780</v>
      </c>
      <c r="S5477" s="150"/>
    </row>
    <row r="5478" spans="1:19" hidden="1">
      <c r="A5478" t="s">
        <v>7810</v>
      </c>
      <c r="B5478" s="150" t="str">
        <f>IFERROR(VLOOKUP(Proc[[#This Row],[App]],Table2[],3,0),"open")</f>
        <v>open</v>
      </c>
      <c r="C5478" s="179" t="s">
        <v>369</v>
      </c>
      <c r="D5478" t="s">
        <v>7811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50" t="s">
        <v>6434</v>
      </c>
      <c r="M5478" s="178">
        <v>46051</v>
      </c>
      <c r="N5478" s="178"/>
      <c r="O5478" s="178"/>
      <c r="P5478" s="178" t="str">
        <f ca="1">IF(Proc[[#This Row],[DaysAgeing]]&gt;5,"yep","on track")</f>
        <v>on track</v>
      </c>
      <c r="Q5478" s="3">
        <f ca="1">IF(Proc[[#This Row],[DateClosed]]="",ABS(NETWORKDAYS(Proc[[#This Row],[DateOpened]],TODAY()))-1,ABS(NETWORKDAYS(Proc[[#This Row],[DateOpened]],Proc[[#This Row],[DateClosed]]))-1)</f>
        <v>5</v>
      </c>
      <c r="R5478" s="178" t="s">
        <v>780</v>
      </c>
      <c r="S5478" s="150"/>
    </row>
    <row r="5479" spans="1:19" hidden="1">
      <c r="A5479" s="179" t="s">
        <v>7810</v>
      </c>
      <c r="B5479" s="150" t="str">
        <f>IFERROR(VLOOKUP(Proc[[#This Row],[App]],Table2[],3,0),"open")</f>
        <v>open</v>
      </c>
      <c r="C5479" s="179" t="s">
        <v>369</v>
      </c>
      <c r="D5479" t="s">
        <v>7812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50" t="s">
        <v>6434</v>
      </c>
      <c r="M5479" s="178">
        <v>46051</v>
      </c>
      <c r="N5479" s="178"/>
      <c r="O5479" s="178"/>
      <c r="P5479" s="178" t="str">
        <f ca="1">IF(Proc[[#This Row],[DaysAgeing]]&gt;5,"yep","on track")</f>
        <v>on track</v>
      </c>
      <c r="Q5479" s="3">
        <f ca="1">IF(Proc[[#This Row],[DateClosed]]="",ABS(NETWORKDAYS(Proc[[#This Row],[DateOpened]],TODAY()))-1,ABS(NETWORKDAYS(Proc[[#This Row],[DateOpened]],Proc[[#This Row],[DateClosed]]))-1)</f>
        <v>5</v>
      </c>
      <c r="R5479" s="178" t="s">
        <v>780</v>
      </c>
      <c r="S5479" s="150"/>
    </row>
    <row r="5480" spans="1:19" hidden="1">
      <c r="A5480" s="179" t="s">
        <v>7810</v>
      </c>
      <c r="B5480" s="150" t="str">
        <f>IFERROR(VLOOKUP(Proc[[#This Row],[App]],Table2[],3,0),"open")</f>
        <v>open</v>
      </c>
      <c r="C5480" s="179" t="s">
        <v>369</v>
      </c>
      <c r="D5480" t="s">
        <v>7813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50" t="s">
        <v>6434</v>
      </c>
      <c r="M5480" s="178">
        <v>46051</v>
      </c>
      <c r="N5480" s="178"/>
      <c r="O5480" s="178"/>
      <c r="P5480" s="178" t="str">
        <f ca="1">IF(Proc[[#This Row],[DaysAgeing]]&gt;5,"yep","on track")</f>
        <v>on track</v>
      </c>
      <c r="Q5480" s="3">
        <f ca="1">IF(Proc[[#This Row],[DateClosed]]="",ABS(NETWORKDAYS(Proc[[#This Row],[DateOpened]],TODAY()))-1,ABS(NETWORKDAYS(Proc[[#This Row],[DateOpened]],Proc[[#This Row],[DateClosed]]))-1)</f>
        <v>5</v>
      </c>
      <c r="R5480" s="178" t="s">
        <v>780</v>
      </c>
      <c r="S5480" s="150"/>
    </row>
    <row r="5481" spans="1:19" hidden="1">
      <c r="A5481" s="179" t="s">
        <v>7810</v>
      </c>
      <c r="B5481" s="150" t="str">
        <f>IFERROR(VLOOKUP(Proc[[#This Row],[App]],Table2[],3,0),"open")</f>
        <v>open</v>
      </c>
      <c r="C5481" s="179" t="s">
        <v>369</v>
      </c>
      <c r="D5481" t="s">
        <v>7814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50" t="s">
        <v>6434</v>
      </c>
      <c r="M5481" s="178">
        <v>46051</v>
      </c>
      <c r="N5481" s="178"/>
      <c r="O5481" s="178"/>
      <c r="P5481" s="178" t="str">
        <f ca="1">IF(Proc[[#This Row],[DaysAgeing]]&gt;5,"yep","on track")</f>
        <v>on track</v>
      </c>
      <c r="Q5481" s="3">
        <f ca="1">IF(Proc[[#This Row],[DateClosed]]="",ABS(NETWORKDAYS(Proc[[#This Row],[DateOpened]],TODAY()))-1,ABS(NETWORKDAYS(Proc[[#This Row],[DateOpened]],Proc[[#This Row],[DateClosed]]))-1)</f>
        <v>5</v>
      </c>
      <c r="R5481" s="178" t="s">
        <v>780</v>
      </c>
      <c r="S5481" s="150"/>
    </row>
    <row r="5482" spans="1:19" hidden="1">
      <c r="A5482" s="179" t="s">
        <v>7810</v>
      </c>
      <c r="B5482" s="150" t="str">
        <f>IFERROR(VLOOKUP(Proc[[#This Row],[App]],Table2[],3,0),"open")</f>
        <v>open</v>
      </c>
      <c r="C5482" s="179" t="s">
        <v>369</v>
      </c>
      <c r="D5482" t="s">
        <v>7815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50" t="s">
        <v>6434</v>
      </c>
      <c r="M5482" s="178">
        <v>46051</v>
      </c>
      <c r="N5482" s="178"/>
      <c r="O5482" s="178"/>
      <c r="P5482" s="178" t="str">
        <f ca="1">IF(Proc[[#This Row],[DaysAgeing]]&gt;5,"yep","on track")</f>
        <v>on track</v>
      </c>
      <c r="Q5482" s="3">
        <f ca="1">IF(Proc[[#This Row],[DateClosed]]="",ABS(NETWORKDAYS(Proc[[#This Row],[DateOpened]],TODAY()))-1,ABS(NETWORKDAYS(Proc[[#This Row],[DateOpened]],Proc[[#This Row],[DateClosed]]))-1)</f>
        <v>5</v>
      </c>
      <c r="R5482" s="178" t="s">
        <v>780</v>
      </c>
      <c r="S5482" s="150"/>
    </row>
    <row r="5483" spans="1:19" hidden="1">
      <c r="A5483" s="179" t="s">
        <v>7810</v>
      </c>
      <c r="B5483" s="150" t="str">
        <f>IFERROR(VLOOKUP(Proc[[#This Row],[App]],Table2[],3,0),"open")</f>
        <v>open</v>
      </c>
      <c r="C5483" s="179" t="s">
        <v>369</v>
      </c>
      <c r="D5483" t="s">
        <v>7816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50" t="s">
        <v>6434</v>
      </c>
      <c r="M5483" s="178">
        <v>46051</v>
      </c>
      <c r="N5483" s="178"/>
      <c r="O5483" s="178"/>
      <c r="P5483" s="178" t="str">
        <f ca="1">IF(Proc[[#This Row],[DaysAgeing]]&gt;5,"yep","on track")</f>
        <v>on track</v>
      </c>
      <c r="Q5483" s="3">
        <f ca="1">IF(Proc[[#This Row],[DateClosed]]="",ABS(NETWORKDAYS(Proc[[#This Row],[DateOpened]],TODAY()))-1,ABS(NETWORKDAYS(Proc[[#This Row],[DateOpened]],Proc[[#This Row],[DateClosed]]))-1)</f>
        <v>5</v>
      </c>
      <c r="R5483" s="178" t="s">
        <v>780</v>
      </c>
      <c r="S5483" s="150"/>
    </row>
    <row r="5484" spans="1:19" hidden="1">
      <c r="A5484" s="179" t="s">
        <v>7810</v>
      </c>
      <c r="B5484" s="150" t="str">
        <f>IFERROR(VLOOKUP(Proc[[#This Row],[App]],Table2[],3,0),"open")</f>
        <v>open</v>
      </c>
      <c r="C5484" s="179" t="s">
        <v>369</v>
      </c>
      <c r="D5484" t="s">
        <v>7817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50" t="s">
        <v>6434</v>
      </c>
      <c r="M5484" s="178">
        <v>46051</v>
      </c>
      <c r="N5484" s="178"/>
      <c r="O5484" s="178"/>
      <c r="P5484" s="178" t="str">
        <f ca="1">IF(Proc[[#This Row],[DaysAgeing]]&gt;5,"yep","on track")</f>
        <v>on track</v>
      </c>
      <c r="Q5484" s="3">
        <f ca="1">IF(Proc[[#This Row],[DateClosed]]="",ABS(NETWORKDAYS(Proc[[#This Row],[DateOpened]],TODAY()))-1,ABS(NETWORKDAYS(Proc[[#This Row],[DateOpened]],Proc[[#This Row],[DateClosed]]))-1)</f>
        <v>5</v>
      </c>
      <c r="R5484" s="178" t="s">
        <v>780</v>
      </c>
      <c r="S5484" s="150"/>
    </row>
    <row r="5485" spans="1:19" hidden="1">
      <c r="A5485" s="179" t="s">
        <v>7810</v>
      </c>
      <c r="B5485" s="150" t="str">
        <f>IFERROR(VLOOKUP(Proc[[#This Row],[App]],Table2[],3,0),"open")</f>
        <v>open</v>
      </c>
      <c r="C5485" s="179" t="s">
        <v>369</v>
      </c>
      <c r="D5485" t="s">
        <v>7818</v>
      </c>
      <c r="E5485" t="s">
        <v>7802</v>
      </c>
      <c r="F5485" s="150" t="s">
        <v>7802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50" t="s">
        <v>6434</v>
      </c>
      <c r="M5485" s="178">
        <v>46051</v>
      </c>
      <c r="N5485" s="178"/>
      <c r="O5485" s="178"/>
      <c r="P5485" s="178" t="str">
        <f ca="1">IF(Proc[[#This Row],[DaysAgeing]]&gt;5,"yep","on track")</f>
        <v>on track</v>
      </c>
      <c r="Q5485" s="3">
        <f ca="1">IF(Proc[[#This Row],[DateClosed]]="",ABS(NETWORKDAYS(Proc[[#This Row],[DateOpened]],TODAY()))-1,ABS(NETWORKDAYS(Proc[[#This Row],[DateOpened]],Proc[[#This Row],[DateClosed]]))-1)</f>
        <v>5</v>
      </c>
      <c r="R5485" s="178" t="s">
        <v>780</v>
      </c>
      <c r="S5485" s="150"/>
    </row>
    <row r="5486" spans="1:19" hidden="1">
      <c r="A5486" s="179" t="s">
        <v>7810</v>
      </c>
      <c r="B5486" s="150" t="str">
        <f>IFERROR(VLOOKUP(Proc[[#This Row],[App]],Table2[],3,0),"open")</f>
        <v>open</v>
      </c>
      <c r="C5486" s="179" t="s">
        <v>369</v>
      </c>
      <c r="D5486" t="s">
        <v>7819</v>
      </c>
      <c r="E5486" t="s">
        <v>7802</v>
      </c>
      <c r="F5486" s="179" t="s">
        <v>7802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50" t="s">
        <v>6434</v>
      </c>
      <c r="M5486" s="178">
        <v>46051</v>
      </c>
      <c r="N5486" s="178"/>
      <c r="O5486" s="178"/>
      <c r="P5486" s="178" t="str">
        <f ca="1">IF(Proc[[#This Row],[DaysAgeing]]&gt;5,"yep","on track")</f>
        <v>on track</v>
      </c>
      <c r="Q5486" s="3">
        <f ca="1">IF(Proc[[#This Row],[DateClosed]]="",ABS(NETWORKDAYS(Proc[[#This Row],[DateOpened]],TODAY()))-1,ABS(NETWORKDAYS(Proc[[#This Row],[DateOpened]],Proc[[#This Row],[DateClosed]]))-1)</f>
        <v>5</v>
      </c>
      <c r="R5486" s="178" t="s">
        <v>780</v>
      </c>
      <c r="S5486" s="150"/>
    </row>
    <row r="5487" spans="1:19" hidden="1">
      <c r="A5487" s="179" t="s">
        <v>7810</v>
      </c>
      <c r="B5487" s="150" t="str">
        <f>IFERROR(VLOOKUP(Proc[[#This Row],[App]],Table2[],3,0),"open")</f>
        <v>open</v>
      </c>
      <c r="C5487" s="179" t="s">
        <v>369</v>
      </c>
      <c r="D5487" t="s">
        <v>7820</v>
      </c>
      <c r="E5487" t="s">
        <v>7802</v>
      </c>
      <c r="F5487" s="150" t="s">
        <v>7802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50" t="s">
        <v>6434</v>
      </c>
      <c r="M5487" s="178">
        <v>46051</v>
      </c>
      <c r="N5487" s="178"/>
      <c r="O5487" s="178"/>
      <c r="P5487" s="178" t="str">
        <f ca="1">IF(Proc[[#This Row],[DaysAgeing]]&gt;5,"yep","on track")</f>
        <v>on track</v>
      </c>
      <c r="Q5487" s="3">
        <f ca="1">IF(Proc[[#This Row],[DateClosed]]="",ABS(NETWORKDAYS(Proc[[#This Row],[DateOpened]],TODAY()))-1,ABS(NETWORKDAYS(Proc[[#This Row],[DateOpened]],Proc[[#This Row],[DateClosed]]))-1)</f>
        <v>5</v>
      </c>
      <c r="R5487" s="178" t="s">
        <v>780</v>
      </c>
      <c r="S5487" s="150"/>
    </row>
    <row r="5488" spans="1:19" hidden="1">
      <c r="A5488" s="179" t="s">
        <v>7810</v>
      </c>
      <c r="B5488" s="150" t="str">
        <f>IFERROR(VLOOKUP(Proc[[#This Row],[App]],Table2[],3,0),"open")</f>
        <v>open</v>
      </c>
      <c r="C5488" s="179" t="s">
        <v>369</v>
      </c>
      <c r="D5488" t="s">
        <v>7821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50" t="s">
        <v>6434</v>
      </c>
      <c r="M5488" s="178">
        <v>46051</v>
      </c>
      <c r="N5488" s="178"/>
      <c r="O5488" s="178"/>
      <c r="P5488" s="178" t="str">
        <f ca="1">IF(Proc[[#This Row],[DaysAgeing]]&gt;5,"yep","on track")</f>
        <v>on track</v>
      </c>
      <c r="Q5488" s="3">
        <f ca="1">IF(Proc[[#This Row],[DateClosed]]="",ABS(NETWORKDAYS(Proc[[#This Row],[DateOpened]],TODAY()))-1,ABS(NETWORKDAYS(Proc[[#This Row],[DateOpened]],Proc[[#This Row],[DateClosed]]))-1)</f>
        <v>5</v>
      </c>
      <c r="R5488" s="178" t="s">
        <v>780</v>
      </c>
      <c r="S5488" s="150"/>
    </row>
    <row r="5489" spans="1:19" hidden="1">
      <c r="A5489" s="179" t="s">
        <v>7810</v>
      </c>
      <c r="B5489" s="150" t="str">
        <f>IFERROR(VLOOKUP(Proc[[#This Row],[App]],Table2[],3,0),"open")</f>
        <v>open</v>
      </c>
      <c r="C5489" s="179" t="s">
        <v>369</v>
      </c>
      <c r="D5489" t="s">
        <v>7822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50" t="s">
        <v>6434</v>
      </c>
      <c r="M5489" s="178">
        <v>46051</v>
      </c>
      <c r="N5489" s="178"/>
      <c r="O5489" s="178"/>
      <c r="P5489" s="178" t="str">
        <f ca="1">IF(Proc[[#This Row],[DaysAgeing]]&gt;5,"yep","on track")</f>
        <v>on track</v>
      </c>
      <c r="Q5489" s="3">
        <f ca="1">IF(Proc[[#This Row],[DateClosed]]="",ABS(NETWORKDAYS(Proc[[#This Row],[DateOpened]],TODAY()))-1,ABS(NETWORKDAYS(Proc[[#This Row],[DateOpened]],Proc[[#This Row],[DateClosed]]))-1)</f>
        <v>5</v>
      </c>
      <c r="R5489" s="178" t="s">
        <v>780</v>
      </c>
      <c r="S5489" s="150"/>
    </row>
    <row r="5490" spans="1:19" hidden="1">
      <c r="A5490" s="179" t="s">
        <v>7810</v>
      </c>
      <c r="B5490" s="150" t="str">
        <f>IFERROR(VLOOKUP(Proc[[#This Row],[App]],Table2[],3,0),"open")</f>
        <v>open</v>
      </c>
      <c r="C5490" s="179" t="s">
        <v>369</v>
      </c>
      <c r="D5490" t="s">
        <v>7823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50" t="s">
        <v>6434</v>
      </c>
      <c r="M5490" s="178">
        <v>46051</v>
      </c>
      <c r="N5490" s="178"/>
      <c r="O5490" s="178"/>
      <c r="P5490" s="178" t="str">
        <f ca="1">IF(Proc[[#This Row],[DaysAgeing]]&gt;5,"yep","on track")</f>
        <v>on track</v>
      </c>
      <c r="Q5490" s="3">
        <f ca="1">IF(Proc[[#This Row],[DateClosed]]="",ABS(NETWORKDAYS(Proc[[#This Row],[DateOpened]],TODAY()))-1,ABS(NETWORKDAYS(Proc[[#This Row],[DateOpened]],Proc[[#This Row],[DateClosed]]))-1)</f>
        <v>5</v>
      </c>
      <c r="R5490" s="178" t="s">
        <v>780</v>
      </c>
      <c r="S5490" s="150"/>
    </row>
    <row r="5491" spans="1:19" hidden="1">
      <c r="A5491" s="179" t="s">
        <v>7810</v>
      </c>
      <c r="B5491" s="150" t="str">
        <f>IFERROR(VLOOKUP(Proc[[#This Row],[App]],Table2[],3,0),"open")</f>
        <v>open</v>
      </c>
      <c r="C5491" s="179" t="s">
        <v>369</v>
      </c>
      <c r="D5491" t="s">
        <v>7824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50" t="s">
        <v>6434</v>
      </c>
      <c r="M5491" s="178">
        <v>46051</v>
      </c>
      <c r="N5491" s="178"/>
      <c r="O5491" s="178"/>
      <c r="P5491" s="178" t="str">
        <f ca="1">IF(Proc[[#This Row],[DaysAgeing]]&gt;5,"yep","on track")</f>
        <v>on track</v>
      </c>
      <c r="Q5491" s="3">
        <f ca="1">IF(Proc[[#This Row],[DateClosed]]="",ABS(NETWORKDAYS(Proc[[#This Row],[DateOpened]],TODAY()))-1,ABS(NETWORKDAYS(Proc[[#This Row],[DateOpened]],Proc[[#This Row],[DateClosed]]))-1)</f>
        <v>5</v>
      </c>
      <c r="R5491" s="178" t="s">
        <v>780</v>
      </c>
      <c r="S5491" s="150"/>
    </row>
    <row r="5492" spans="1:19" hidden="1">
      <c r="A5492" s="179" t="s">
        <v>7810</v>
      </c>
      <c r="B5492" s="150" t="str">
        <f>IFERROR(VLOOKUP(Proc[[#This Row],[App]],Table2[],3,0),"open")</f>
        <v>open</v>
      </c>
      <c r="C5492" s="179" t="s">
        <v>369</v>
      </c>
      <c r="D5492" t="s">
        <v>7825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50" t="s">
        <v>6434</v>
      </c>
      <c r="M5492" s="178">
        <v>46051</v>
      </c>
      <c r="N5492" s="178"/>
      <c r="O5492" s="178"/>
      <c r="P5492" s="178" t="str">
        <f ca="1">IF(Proc[[#This Row],[DaysAgeing]]&gt;5,"yep","on track")</f>
        <v>on track</v>
      </c>
      <c r="Q5492" s="3">
        <f ca="1">IF(Proc[[#This Row],[DateClosed]]="",ABS(NETWORKDAYS(Proc[[#This Row],[DateOpened]],TODAY()))-1,ABS(NETWORKDAYS(Proc[[#This Row],[DateOpened]],Proc[[#This Row],[DateClosed]]))-1)</f>
        <v>5</v>
      </c>
      <c r="R5492" s="178" t="s">
        <v>780</v>
      </c>
      <c r="S5492" s="150"/>
    </row>
    <row r="5493" spans="1:19" hidden="1">
      <c r="A5493" s="179" t="s">
        <v>7810</v>
      </c>
      <c r="B5493" s="150" t="str">
        <f>IFERROR(VLOOKUP(Proc[[#This Row],[App]],Table2[],3,0),"open")</f>
        <v>open</v>
      </c>
      <c r="C5493" s="179" t="s">
        <v>369</v>
      </c>
      <c r="D5493" t="s">
        <v>7826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50" t="s">
        <v>6434</v>
      </c>
      <c r="M5493" s="178">
        <v>46051</v>
      </c>
      <c r="N5493" s="178"/>
      <c r="O5493" s="178"/>
      <c r="P5493" s="178" t="str">
        <f ca="1">IF(Proc[[#This Row],[DaysAgeing]]&gt;5,"yep","on track")</f>
        <v>on track</v>
      </c>
      <c r="Q5493" s="3">
        <f ca="1">IF(Proc[[#This Row],[DateClosed]]="",ABS(NETWORKDAYS(Proc[[#This Row],[DateOpened]],TODAY()))-1,ABS(NETWORKDAYS(Proc[[#This Row],[DateOpened]],Proc[[#This Row],[DateClosed]]))-1)</f>
        <v>5</v>
      </c>
      <c r="R5493" s="178" t="s">
        <v>780</v>
      </c>
      <c r="S5493" s="150"/>
    </row>
    <row r="5494" spans="1:19" hidden="1">
      <c r="A5494" s="179" t="s">
        <v>7810</v>
      </c>
      <c r="B5494" s="150" t="str">
        <f>IFERROR(VLOOKUP(Proc[[#This Row],[App]],Table2[],3,0),"open")</f>
        <v>open</v>
      </c>
      <c r="C5494" s="179" t="s">
        <v>369</v>
      </c>
      <c r="D5494" t="s">
        <v>7827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50" t="s">
        <v>6434</v>
      </c>
      <c r="M5494" s="178">
        <v>46051</v>
      </c>
      <c r="N5494" s="178"/>
      <c r="O5494" s="178"/>
      <c r="P5494" s="178" t="str">
        <f ca="1">IF(Proc[[#This Row],[DaysAgeing]]&gt;5,"yep","on track")</f>
        <v>on track</v>
      </c>
      <c r="Q5494" s="3">
        <f ca="1">IF(Proc[[#This Row],[DateClosed]]="",ABS(NETWORKDAYS(Proc[[#This Row],[DateOpened]],TODAY()))-1,ABS(NETWORKDAYS(Proc[[#This Row],[DateOpened]],Proc[[#This Row],[DateClosed]]))-1)</f>
        <v>5</v>
      </c>
      <c r="R5494" s="178" t="s">
        <v>780</v>
      </c>
      <c r="S5494" s="150"/>
    </row>
    <row r="5495" spans="1:19" hidden="1">
      <c r="A5495" s="179" t="s">
        <v>7810</v>
      </c>
      <c r="B5495" s="150" t="str">
        <f>IFERROR(VLOOKUP(Proc[[#This Row],[App]],Table2[],3,0),"open")</f>
        <v>open</v>
      </c>
      <c r="C5495" s="179" t="s">
        <v>369</v>
      </c>
      <c r="D5495" t="s">
        <v>7828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50" t="s">
        <v>6434</v>
      </c>
      <c r="M5495" s="178">
        <v>46051</v>
      </c>
      <c r="N5495" s="178"/>
      <c r="O5495" s="178"/>
      <c r="P5495" s="178" t="str">
        <f ca="1">IF(Proc[[#This Row],[DaysAgeing]]&gt;5,"yep","on track")</f>
        <v>on track</v>
      </c>
      <c r="Q5495" s="3">
        <f ca="1">IF(Proc[[#This Row],[DateClosed]]="",ABS(NETWORKDAYS(Proc[[#This Row],[DateOpened]],TODAY()))-1,ABS(NETWORKDAYS(Proc[[#This Row],[DateOpened]],Proc[[#This Row],[DateClosed]]))-1)</f>
        <v>5</v>
      </c>
      <c r="R5495" s="178" t="s">
        <v>780</v>
      </c>
      <c r="S5495" s="150"/>
    </row>
    <row r="5496" spans="1:19" hidden="1">
      <c r="A5496" s="179" t="s">
        <v>7810</v>
      </c>
      <c r="B5496" s="150" t="str">
        <f>IFERROR(VLOOKUP(Proc[[#This Row],[App]],Table2[],3,0),"open")</f>
        <v>open</v>
      </c>
      <c r="C5496" s="179" t="s">
        <v>369</v>
      </c>
      <c r="D5496" t="s">
        <v>7829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50" t="s">
        <v>6434</v>
      </c>
      <c r="M5496" s="178">
        <v>46051</v>
      </c>
      <c r="N5496" s="178"/>
      <c r="O5496" s="178"/>
      <c r="P5496" s="178" t="str">
        <f ca="1">IF(Proc[[#This Row],[DaysAgeing]]&gt;5,"yep","on track")</f>
        <v>on track</v>
      </c>
      <c r="Q5496" s="3">
        <f ca="1">IF(Proc[[#This Row],[DateClosed]]="",ABS(NETWORKDAYS(Proc[[#This Row],[DateOpened]],TODAY()))-1,ABS(NETWORKDAYS(Proc[[#This Row],[DateOpened]],Proc[[#This Row],[DateClosed]]))-1)</f>
        <v>5</v>
      </c>
      <c r="R5496" s="178" t="s">
        <v>780</v>
      </c>
      <c r="S5496" s="150"/>
    </row>
    <row r="5497" spans="1:19" hidden="1">
      <c r="A5497" s="179" t="s">
        <v>7810</v>
      </c>
      <c r="B5497" s="150" t="str">
        <f>IFERROR(VLOOKUP(Proc[[#This Row],[App]],Table2[],3,0),"open")</f>
        <v>open</v>
      </c>
      <c r="C5497" s="179" t="s">
        <v>369</v>
      </c>
      <c r="D5497" t="s">
        <v>7830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50" t="s">
        <v>6434</v>
      </c>
      <c r="M5497" s="178">
        <v>46051</v>
      </c>
      <c r="N5497" s="178"/>
      <c r="O5497" s="178"/>
      <c r="P5497" s="178" t="str">
        <f ca="1">IF(Proc[[#This Row],[DaysAgeing]]&gt;5,"yep","on track")</f>
        <v>on track</v>
      </c>
      <c r="Q5497" s="3">
        <f ca="1">IF(Proc[[#This Row],[DateClosed]]="",ABS(NETWORKDAYS(Proc[[#This Row],[DateOpened]],TODAY()))-1,ABS(NETWORKDAYS(Proc[[#This Row],[DateOpened]],Proc[[#This Row],[DateClosed]]))-1)</f>
        <v>5</v>
      </c>
      <c r="R5497" s="178" t="s">
        <v>780</v>
      </c>
      <c r="S5497" s="150"/>
    </row>
    <row r="5498" spans="1:19" hidden="1">
      <c r="A5498" s="179" t="s">
        <v>7810</v>
      </c>
      <c r="B5498" s="150" t="str">
        <f>IFERROR(VLOOKUP(Proc[[#This Row],[App]],Table2[],3,0),"open")</f>
        <v>open</v>
      </c>
      <c r="C5498" s="179" t="s">
        <v>369</v>
      </c>
      <c r="D5498" t="s">
        <v>7831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50" t="s">
        <v>6434</v>
      </c>
      <c r="M5498" s="178">
        <v>46051</v>
      </c>
      <c r="N5498" s="178"/>
      <c r="O5498" s="178"/>
      <c r="P5498" s="178" t="str">
        <f ca="1">IF(Proc[[#This Row],[DaysAgeing]]&gt;5,"yep","on track")</f>
        <v>on track</v>
      </c>
      <c r="Q5498" s="3">
        <f ca="1">IF(Proc[[#This Row],[DateClosed]]="",ABS(NETWORKDAYS(Proc[[#This Row],[DateOpened]],TODAY()))-1,ABS(NETWORKDAYS(Proc[[#This Row],[DateOpened]],Proc[[#This Row],[DateClosed]]))-1)</f>
        <v>5</v>
      </c>
      <c r="R5498" s="178" t="s">
        <v>780</v>
      </c>
      <c r="S5498" s="150"/>
    </row>
    <row r="5499" spans="1:19" hidden="1">
      <c r="A5499" s="179" t="s">
        <v>7810</v>
      </c>
      <c r="B5499" s="150" t="str">
        <f>IFERROR(VLOOKUP(Proc[[#This Row],[App]],Table2[],3,0),"open")</f>
        <v>open</v>
      </c>
      <c r="C5499" s="179" t="s">
        <v>369</v>
      </c>
      <c r="D5499" t="s">
        <v>7832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50" t="s">
        <v>6434</v>
      </c>
      <c r="M5499" s="178">
        <v>46051</v>
      </c>
      <c r="N5499" s="178"/>
      <c r="O5499" s="178"/>
      <c r="P5499" s="178" t="str">
        <f ca="1">IF(Proc[[#This Row],[DaysAgeing]]&gt;5,"yep","on track")</f>
        <v>on track</v>
      </c>
      <c r="Q5499" s="3">
        <f ca="1">IF(Proc[[#This Row],[DateClosed]]="",ABS(NETWORKDAYS(Proc[[#This Row],[DateOpened]],TODAY()))-1,ABS(NETWORKDAYS(Proc[[#This Row],[DateOpened]],Proc[[#This Row],[DateClosed]]))-1)</f>
        <v>5</v>
      </c>
      <c r="R5499" s="178" t="s">
        <v>780</v>
      </c>
      <c r="S5499" s="150"/>
    </row>
    <row r="5500" spans="1:19" hidden="1">
      <c r="A5500" s="179" t="s">
        <v>7810</v>
      </c>
      <c r="B5500" s="150" t="str">
        <f>IFERROR(VLOOKUP(Proc[[#This Row],[App]],Table2[],3,0),"open")</f>
        <v>open</v>
      </c>
      <c r="C5500" s="179" t="s">
        <v>369</v>
      </c>
      <c r="D5500" t="s">
        <v>7833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50" t="s">
        <v>6434</v>
      </c>
      <c r="M5500" s="178">
        <v>46051</v>
      </c>
      <c r="N5500" s="178"/>
      <c r="O5500" s="178"/>
      <c r="P5500" s="178" t="str">
        <f ca="1">IF(Proc[[#This Row],[DaysAgeing]]&gt;5,"yep","on track")</f>
        <v>on track</v>
      </c>
      <c r="Q5500" s="3">
        <f ca="1">IF(Proc[[#This Row],[DateClosed]]="",ABS(NETWORKDAYS(Proc[[#This Row],[DateOpened]],TODAY()))-1,ABS(NETWORKDAYS(Proc[[#This Row],[DateOpened]],Proc[[#This Row],[DateClosed]]))-1)</f>
        <v>5</v>
      </c>
      <c r="R5500" s="178" t="s">
        <v>780</v>
      </c>
      <c r="S5500" s="150"/>
    </row>
    <row r="5501" spans="1:19" hidden="1">
      <c r="A5501" s="179" t="s">
        <v>7810</v>
      </c>
      <c r="B5501" s="150" t="str">
        <f>IFERROR(VLOOKUP(Proc[[#This Row],[App]],Table2[],3,0),"open")</f>
        <v>open</v>
      </c>
      <c r="C5501" s="179" t="s">
        <v>369</v>
      </c>
      <c r="D5501" t="s">
        <v>7834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50" t="s">
        <v>6434</v>
      </c>
      <c r="M5501" s="178">
        <v>46051</v>
      </c>
      <c r="N5501" s="178"/>
      <c r="O5501" s="178"/>
      <c r="P5501" s="178" t="str">
        <f ca="1">IF(Proc[[#This Row],[DaysAgeing]]&gt;5,"yep","on track")</f>
        <v>on track</v>
      </c>
      <c r="Q5501" s="3">
        <f ca="1">IF(Proc[[#This Row],[DateClosed]]="",ABS(NETWORKDAYS(Proc[[#This Row],[DateOpened]],TODAY()))-1,ABS(NETWORKDAYS(Proc[[#This Row],[DateOpened]],Proc[[#This Row],[DateClosed]]))-1)</f>
        <v>5</v>
      </c>
      <c r="R5501" s="178" t="s">
        <v>780</v>
      </c>
      <c r="S5501" s="150"/>
    </row>
    <row r="5502" spans="1:19" hidden="1">
      <c r="A5502" s="179" t="s">
        <v>7810</v>
      </c>
      <c r="B5502" s="150" t="str">
        <f>IFERROR(VLOOKUP(Proc[[#This Row],[App]],Table2[],3,0),"open")</f>
        <v>open</v>
      </c>
      <c r="C5502" s="179" t="s">
        <v>369</v>
      </c>
      <c r="D5502" t="s">
        <v>7835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50" t="s">
        <v>6434</v>
      </c>
      <c r="M5502" s="178">
        <v>46051</v>
      </c>
      <c r="N5502" s="178"/>
      <c r="O5502" s="178"/>
      <c r="P5502" s="178" t="str">
        <f ca="1">IF(Proc[[#This Row],[DaysAgeing]]&gt;5,"yep","on track")</f>
        <v>on track</v>
      </c>
      <c r="Q5502" s="3">
        <f ca="1">IF(Proc[[#This Row],[DateClosed]]="",ABS(NETWORKDAYS(Proc[[#This Row],[DateOpened]],TODAY()))-1,ABS(NETWORKDAYS(Proc[[#This Row],[DateOpened]],Proc[[#This Row],[DateClosed]]))-1)</f>
        <v>5</v>
      </c>
      <c r="R5502" s="178" t="s">
        <v>780</v>
      </c>
      <c r="S5502" s="150"/>
    </row>
    <row r="5503" spans="1:19" hidden="1">
      <c r="A5503" s="179" t="s">
        <v>7810</v>
      </c>
      <c r="B5503" s="150" t="str">
        <f>IFERROR(VLOOKUP(Proc[[#This Row],[App]],Table2[],3,0),"open")</f>
        <v>open</v>
      </c>
      <c r="C5503" s="179" t="s">
        <v>369</v>
      </c>
      <c r="D5503" t="s">
        <v>7836</v>
      </c>
      <c r="E5503" t="s">
        <v>7851</v>
      </c>
      <c r="F5503" s="150" t="s">
        <v>7851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50" t="s">
        <v>6434</v>
      </c>
      <c r="M5503" s="178">
        <v>46051</v>
      </c>
      <c r="N5503" s="178"/>
      <c r="O5503" s="178"/>
      <c r="P5503" s="178" t="str">
        <f ca="1">IF(Proc[[#This Row],[DaysAgeing]]&gt;5,"yep","on track")</f>
        <v>on track</v>
      </c>
      <c r="Q5503" s="3">
        <f ca="1">IF(Proc[[#This Row],[DateClosed]]="",ABS(NETWORKDAYS(Proc[[#This Row],[DateOpened]],TODAY()))-1,ABS(NETWORKDAYS(Proc[[#This Row],[DateOpened]],Proc[[#This Row],[DateClosed]]))-1)</f>
        <v>5</v>
      </c>
      <c r="R5503" s="178" t="s">
        <v>780</v>
      </c>
      <c r="S5503" s="150"/>
    </row>
    <row r="5504" spans="1:19" hidden="1">
      <c r="A5504" s="179" t="s">
        <v>7810</v>
      </c>
      <c r="B5504" s="150" t="str">
        <f>IFERROR(VLOOKUP(Proc[[#This Row],[App]],Table2[],3,0),"open")</f>
        <v>open</v>
      </c>
      <c r="C5504" s="179" t="s">
        <v>369</v>
      </c>
      <c r="D5504" t="s">
        <v>7837</v>
      </c>
      <c r="E5504" t="s">
        <v>7851</v>
      </c>
      <c r="F5504" s="150" t="s">
        <v>7851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50" t="s">
        <v>6434</v>
      </c>
      <c r="M5504" s="178">
        <v>46051</v>
      </c>
      <c r="N5504" s="178"/>
      <c r="O5504" s="178"/>
      <c r="P5504" s="178" t="str">
        <f ca="1">IF(Proc[[#This Row],[DaysAgeing]]&gt;5,"yep","on track")</f>
        <v>on track</v>
      </c>
      <c r="Q5504" s="3">
        <f ca="1">IF(Proc[[#This Row],[DateClosed]]="",ABS(NETWORKDAYS(Proc[[#This Row],[DateOpened]],TODAY()))-1,ABS(NETWORKDAYS(Proc[[#This Row],[DateOpened]],Proc[[#This Row],[DateClosed]]))-1)</f>
        <v>5</v>
      </c>
      <c r="R5504" s="178" t="s">
        <v>780</v>
      </c>
      <c r="S5504" s="150"/>
    </row>
    <row r="5505" spans="1:19" hidden="1">
      <c r="A5505" s="179" t="s">
        <v>7810</v>
      </c>
      <c r="B5505" s="150" t="str">
        <f>IFERROR(VLOOKUP(Proc[[#This Row],[App]],Table2[],3,0),"open")</f>
        <v>open</v>
      </c>
      <c r="C5505" s="179" t="s">
        <v>369</v>
      </c>
      <c r="D5505" t="s">
        <v>7838</v>
      </c>
      <c r="E5505" t="s">
        <v>7851</v>
      </c>
      <c r="F5505" s="150" t="s">
        <v>7851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50" t="s">
        <v>6434</v>
      </c>
      <c r="M5505" s="178">
        <v>46051</v>
      </c>
      <c r="N5505" s="178"/>
      <c r="O5505" s="178"/>
      <c r="P5505" s="178" t="str">
        <f ca="1">IF(Proc[[#This Row],[DaysAgeing]]&gt;5,"yep","on track")</f>
        <v>on track</v>
      </c>
      <c r="Q5505" s="3">
        <f ca="1">IF(Proc[[#This Row],[DateClosed]]="",ABS(NETWORKDAYS(Proc[[#This Row],[DateOpened]],TODAY()))-1,ABS(NETWORKDAYS(Proc[[#This Row],[DateOpened]],Proc[[#This Row],[DateClosed]]))-1)</f>
        <v>5</v>
      </c>
      <c r="R5505" s="178" t="s">
        <v>780</v>
      </c>
      <c r="S5505" s="150"/>
    </row>
    <row r="5506" spans="1:19">
      <c r="A5506" s="179" t="s">
        <v>7810</v>
      </c>
      <c r="B5506" s="150" t="str">
        <f>IFERROR(VLOOKUP(Proc[[#This Row],[App]],Table2[],3,0),"open")</f>
        <v>open</v>
      </c>
      <c r="C5506" s="179" t="s">
        <v>375</v>
      </c>
      <c r="D5506" t="s">
        <v>7839</v>
      </c>
      <c r="E5506" t="s">
        <v>7851</v>
      </c>
      <c r="F5506" s="150" t="s">
        <v>7891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7992</v>
      </c>
      <c r="J5506" s="150" t="b">
        <f>Proc[[#This Row],[Requested]]=Proc[[#This Row],[CurrentParent]]</f>
        <v>0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50" t="s">
        <v>6434</v>
      </c>
      <c r="M5506" s="178">
        <v>46051</v>
      </c>
      <c r="N5506" s="178"/>
      <c r="O5506" s="178"/>
      <c r="P5506" s="178" t="str">
        <f ca="1">IF(Proc[[#This Row],[DaysAgeing]]&gt;5,"yep","on track")</f>
        <v>on track</v>
      </c>
      <c r="Q5506" s="3">
        <f ca="1">IF(Proc[[#This Row],[DateClosed]]="",ABS(NETWORKDAYS(Proc[[#This Row],[DateOpened]],TODAY()))-1,ABS(NETWORKDAYS(Proc[[#This Row],[DateOpened]],Proc[[#This Row],[DateClosed]]))-1)</f>
        <v>5</v>
      </c>
      <c r="R5506" s="178" t="s">
        <v>780</v>
      </c>
      <c r="S5506" s="150"/>
    </row>
    <row r="5507" spans="1:19" hidden="1">
      <c r="A5507" s="179" t="s">
        <v>7810</v>
      </c>
      <c r="B5507" s="150" t="str">
        <f>IFERROR(VLOOKUP(Proc[[#This Row],[App]],Table2[],3,0),"open")</f>
        <v>open</v>
      </c>
      <c r="C5507" s="179" t="s">
        <v>369</v>
      </c>
      <c r="D5507" t="s">
        <v>7840</v>
      </c>
      <c r="E5507" t="s">
        <v>7852</v>
      </c>
      <c r="F5507" s="150" t="s">
        <v>7852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50" t="s">
        <v>6434</v>
      </c>
      <c r="M5507" s="178">
        <v>46051</v>
      </c>
      <c r="N5507" s="178"/>
      <c r="O5507" s="178"/>
      <c r="P5507" s="178" t="str">
        <f ca="1">IF(Proc[[#This Row],[DaysAgeing]]&gt;5,"yep","on track")</f>
        <v>on track</v>
      </c>
      <c r="Q5507" s="3">
        <f ca="1">IF(Proc[[#This Row],[DateClosed]]="",ABS(NETWORKDAYS(Proc[[#This Row],[DateOpened]],TODAY()))-1,ABS(NETWORKDAYS(Proc[[#This Row],[DateOpened]],Proc[[#This Row],[DateClosed]]))-1)</f>
        <v>5</v>
      </c>
      <c r="R5507" s="178" t="s">
        <v>780</v>
      </c>
      <c r="S5507" s="150"/>
    </row>
    <row r="5508" spans="1:19" hidden="1">
      <c r="A5508" s="179" t="s">
        <v>7810</v>
      </c>
      <c r="B5508" s="150" t="str">
        <f>IFERROR(VLOOKUP(Proc[[#This Row],[App]],Table2[],3,0),"open")</f>
        <v>open</v>
      </c>
      <c r="C5508" s="179" t="s">
        <v>369</v>
      </c>
      <c r="D5508" t="s">
        <v>7841</v>
      </c>
      <c r="E5508" t="s">
        <v>7852</v>
      </c>
      <c r="F5508" s="150" t="s">
        <v>7852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50" t="s">
        <v>6434</v>
      </c>
      <c r="M5508" s="178">
        <v>46051</v>
      </c>
      <c r="N5508" s="178"/>
      <c r="O5508" s="178"/>
      <c r="P5508" s="178" t="str">
        <f ca="1">IF(Proc[[#This Row],[DaysAgeing]]&gt;5,"yep","on track")</f>
        <v>on track</v>
      </c>
      <c r="Q5508" s="3">
        <f ca="1">IF(Proc[[#This Row],[DateClosed]]="",ABS(NETWORKDAYS(Proc[[#This Row],[DateOpened]],TODAY()))-1,ABS(NETWORKDAYS(Proc[[#This Row],[DateOpened]],Proc[[#This Row],[DateClosed]]))-1)</f>
        <v>5</v>
      </c>
      <c r="R5508" s="178" t="s">
        <v>780</v>
      </c>
      <c r="S5508" s="150"/>
    </row>
    <row r="5509" spans="1:19" hidden="1">
      <c r="A5509" s="179" t="s">
        <v>7810</v>
      </c>
      <c r="B5509" s="150" t="str">
        <f>IFERROR(VLOOKUP(Proc[[#This Row],[App]],Table2[],3,0),"open")</f>
        <v>open</v>
      </c>
      <c r="C5509" s="179" t="s">
        <v>369</v>
      </c>
      <c r="D5509" t="s">
        <v>7842</v>
      </c>
      <c r="E5509" t="s">
        <v>7853</v>
      </c>
      <c r="F5509" s="150" t="s">
        <v>7853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50" t="s">
        <v>6434</v>
      </c>
      <c r="M5509" s="178">
        <v>46051</v>
      </c>
      <c r="N5509" s="178"/>
      <c r="O5509" s="178"/>
      <c r="P5509" s="178" t="str">
        <f ca="1">IF(Proc[[#This Row],[DaysAgeing]]&gt;5,"yep","on track")</f>
        <v>on track</v>
      </c>
      <c r="Q5509" s="3">
        <f ca="1">IF(Proc[[#This Row],[DateClosed]]="",ABS(NETWORKDAYS(Proc[[#This Row],[DateOpened]],TODAY()))-1,ABS(NETWORKDAYS(Proc[[#This Row],[DateOpened]],Proc[[#This Row],[DateClosed]]))-1)</f>
        <v>5</v>
      </c>
      <c r="R5509" s="178" t="s">
        <v>780</v>
      </c>
      <c r="S5509" s="150"/>
    </row>
    <row r="5510" spans="1:19" hidden="1">
      <c r="A5510" t="s">
        <v>7843</v>
      </c>
      <c r="B5510" s="150" t="str">
        <f>IFERROR(VLOOKUP(Proc[[#This Row],[App]],Table2[],3,0),"open")</f>
        <v>ok</v>
      </c>
      <c r="C5510" s="179" t="s">
        <v>369</v>
      </c>
      <c r="D5510" t="s">
        <v>7845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50" t="s">
        <v>6434</v>
      </c>
      <c r="M5510" s="178">
        <v>46051</v>
      </c>
      <c r="N5510" s="178"/>
      <c r="O5510" s="178"/>
      <c r="P5510" s="178" t="str">
        <f ca="1">IF(Proc[[#This Row],[DaysAgeing]]&gt;5,"yep","on track")</f>
        <v>on track</v>
      </c>
      <c r="Q5510" s="3">
        <f ca="1">IF(Proc[[#This Row],[DateClosed]]="",ABS(NETWORKDAYS(Proc[[#This Row],[DateOpened]],TODAY()))-1,ABS(NETWORKDAYS(Proc[[#This Row],[DateOpened]],Proc[[#This Row],[DateClosed]]))-1)</f>
        <v>5</v>
      </c>
      <c r="R5510" s="178" t="s">
        <v>7844</v>
      </c>
      <c r="S5510" s="150"/>
    </row>
    <row r="5511" spans="1:19" hidden="1">
      <c r="A5511" t="s">
        <v>7850</v>
      </c>
      <c r="B5511" s="150" t="str">
        <f>IFERROR(VLOOKUP(Proc[[#This Row],[App]],Table2[],3,0),"open")</f>
        <v>ok</v>
      </c>
      <c r="C5511" s="179" t="s">
        <v>369</v>
      </c>
      <c r="D5511" t="s">
        <v>7846</v>
      </c>
      <c r="E5511" t="s">
        <v>7848</v>
      </c>
      <c r="F5511" s="150" t="s">
        <v>7848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50" t="s">
        <v>6434</v>
      </c>
      <c r="M5511" s="178">
        <v>46051</v>
      </c>
      <c r="N5511" s="178"/>
      <c r="O5511" s="178"/>
      <c r="P5511" s="178" t="str">
        <f ca="1">IF(Proc[[#This Row],[DaysAgeing]]&gt;5,"yep","on track")</f>
        <v>on track</v>
      </c>
      <c r="Q5511" s="3">
        <f ca="1">IF(Proc[[#This Row],[DateClosed]]="",ABS(NETWORKDAYS(Proc[[#This Row],[DateOpened]],TODAY()))-1,ABS(NETWORKDAYS(Proc[[#This Row],[DateOpened]],Proc[[#This Row],[DateClosed]]))-1)</f>
        <v>5</v>
      </c>
      <c r="R5511" s="178" t="s">
        <v>484</v>
      </c>
      <c r="S5511" s="150"/>
    </row>
    <row r="5512" spans="1:19" hidden="1">
      <c r="A5512" t="s">
        <v>7850</v>
      </c>
      <c r="B5512" s="150" t="str">
        <f>IFERROR(VLOOKUP(Proc[[#This Row],[App]],Table2[],3,0),"open")</f>
        <v>ok</v>
      </c>
      <c r="C5512" s="179" t="s">
        <v>369</v>
      </c>
      <c r="D5512" t="s">
        <v>7847</v>
      </c>
      <c r="E5512" t="s">
        <v>7849</v>
      </c>
      <c r="F5512" s="150" t="s">
        <v>7849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50" t="s">
        <v>6434</v>
      </c>
      <c r="M5512" s="178">
        <v>46051</v>
      </c>
      <c r="N5512" s="178"/>
      <c r="O5512" s="178"/>
      <c r="P5512" s="178" t="str">
        <f ca="1">IF(Proc[[#This Row],[DaysAgeing]]&gt;5,"yep","on track")</f>
        <v>on track</v>
      </c>
      <c r="Q5512" s="3">
        <f ca="1">IF(Proc[[#This Row],[DateClosed]]="",ABS(NETWORKDAYS(Proc[[#This Row],[DateOpened]],TODAY()))-1,ABS(NETWORKDAYS(Proc[[#This Row],[DateOpened]],Proc[[#This Row],[DateClosed]]))-1)</f>
        <v>5</v>
      </c>
      <c r="R5512" s="178" t="s">
        <v>484</v>
      </c>
      <c r="S5512" s="150"/>
    </row>
    <row r="5513" spans="1:19" hidden="1">
      <c r="A5513" t="s">
        <v>7854</v>
      </c>
      <c r="B5513" s="150" t="str">
        <f>IFERROR(VLOOKUP(Proc[[#This Row],[App]],Table2[],3,0),"open")</f>
        <v>ok</v>
      </c>
      <c r="C5513" s="179" t="s">
        <v>369</v>
      </c>
      <c r="D5513" t="s">
        <v>7855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50" t="s">
        <v>6434</v>
      </c>
      <c r="M5513" s="178">
        <v>46051</v>
      </c>
      <c r="N5513" s="178"/>
      <c r="O5513" s="178"/>
      <c r="P5513" s="178" t="str">
        <f ca="1">IF(Proc[[#This Row],[DaysAgeing]]&gt;5,"yep","on track")</f>
        <v>on track</v>
      </c>
      <c r="Q5513" s="3">
        <f ca="1">IF(Proc[[#This Row],[DateClosed]]="",ABS(NETWORKDAYS(Proc[[#This Row],[DateOpened]],TODAY()))-1,ABS(NETWORKDAYS(Proc[[#This Row],[DateOpened]],Proc[[#This Row],[DateClosed]]))-1)</f>
        <v>5</v>
      </c>
      <c r="R5513" s="178" t="s">
        <v>5708</v>
      </c>
      <c r="S5513" s="150"/>
    </row>
    <row r="5514" spans="1:19" hidden="1">
      <c r="A5514" s="179" t="s">
        <v>7854</v>
      </c>
      <c r="B5514" s="150" t="str">
        <f>IFERROR(VLOOKUP(Proc[[#This Row],[App]],Table2[],3,0),"open")</f>
        <v>ok</v>
      </c>
      <c r="C5514" s="179" t="s">
        <v>369</v>
      </c>
      <c r="D5514" t="s">
        <v>7856</v>
      </c>
      <c r="E5514" t="s">
        <v>7859</v>
      </c>
      <c r="F5514" s="150" t="s">
        <v>7859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50" t="s">
        <v>6434</v>
      </c>
      <c r="M5514" s="178">
        <v>46051</v>
      </c>
      <c r="N5514" s="178"/>
      <c r="O5514" s="178"/>
      <c r="P5514" s="178" t="str">
        <f ca="1">IF(Proc[[#This Row],[DaysAgeing]]&gt;5,"yep","on track")</f>
        <v>on track</v>
      </c>
      <c r="Q5514" s="3">
        <f ca="1">IF(Proc[[#This Row],[DateClosed]]="",ABS(NETWORKDAYS(Proc[[#This Row],[DateOpened]],TODAY()))-1,ABS(NETWORKDAYS(Proc[[#This Row],[DateOpened]],Proc[[#This Row],[DateClosed]]))-1)</f>
        <v>5</v>
      </c>
      <c r="R5514" s="178" t="s">
        <v>5708</v>
      </c>
      <c r="S5514" s="150"/>
    </row>
    <row r="5515" spans="1:19" hidden="1">
      <c r="A5515" s="179" t="s">
        <v>7854</v>
      </c>
      <c r="B5515" s="150" t="str">
        <f>IFERROR(VLOOKUP(Proc[[#This Row],[App]],Table2[],3,0),"open")</f>
        <v>ok</v>
      </c>
      <c r="C5515" s="179" t="s">
        <v>369</v>
      </c>
      <c r="D5515" t="s">
        <v>7857</v>
      </c>
      <c r="E5515" t="s">
        <v>7859</v>
      </c>
      <c r="F5515" s="150" t="s">
        <v>7859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50" t="s">
        <v>6434</v>
      </c>
      <c r="M5515" s="178">
        <v>46051</v>
      </c>
      <c r="N5515" s="178"/>
      <c r="O5515" s="178"/>
      <c r="P5515" s="178" t="str">
        <f ca="1">IF(Proc[[#This Row],[DaysAgeing]]&gt;5,"yep","on track")</f>
        <v>on track</v>
      </c>
      <c r="Q5515" s="3">
        <f ca="1">IF(Proc[[#This Row],[DateClosed]]="",ABS(NETWORKDAYS(Proc[[#This Row],[DateOpened]],TODAY()))-1,ABS(NETWORKDAYS(Proc[[#This Row],[DateOpened]],Proc[[#This Row],[DateClosed]]))-1)</f>
        <v>5</v>
      </c>
      <c r="R5515" s="178" t="s">
        <v>5708</v>
      </c>
      <c r="S5515" s="150"/>
    </row>
    <row r="5516" spans="1:19" hidden="1">
      <c r="A5516" s="179" t="s">
        <v>7854</v>
      </c>
      <c r="B5516" s="150" t="str">
        <f>IFERROR(VLOOKUP(Proc[[#This Row],[App]],Table2[],3,0),"open")</f>
        <v>ok</v>
      </c>
      <c r="C5516" s="179" t="s">
        <v>369</v>
      </c>
      <c r="D5516" t="s">
        <v>7858</v>
      </c>
      <c r="E5516" t="s">
        <v>7859</v>
      </c>
      <c r="F5516" s="150" t="s">
        <v>7859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50" t="s">
        <v>6434</v>
      </c>
      <c r="M5516" s="178">
        <v>46051</v>
      </c>
      <c r="N5516" s="178"/>
      <c r="O5516" s="178"/>
      <c r="P5516" s="178" t="str">
        <f ca="1">IF(Proc[[#This Row],[DaysAgeing]]&gt;5,"yep","on track")</f>
        <v>on track</v>
      </c>
      <c r="Q5516" s="3">
        <f ca="1">IF(Proc[[#This Row],[DateClosed]]="",ABS(NETWORKDAYS(Proc[[#This Row],[DateOpened]],TODAY()))-1,ABS(NETWORKDAYS(Proc[[#This Row],[DateOpened]],Proc[[#This Row],[DateClosed]]))-1)</f>
        <v>5</v>
      </c>
      <c r="R5516" s="178" t="s">
        <v>5708</v>
      </c>
      <c r="S5516" s="150"/>
    </row>
    <row r="5517" spans="1:19" hidden="1">
      <c r="A5517" t="s">
        <v>7860</v>
      </c>
      <c r="B5517" s="150" t="str">
        <f>IFERROR(VLOOKUP(Proc[[#This Row],[App]],Table2[],3,0),"open")</f>
        <v>ok</v>
      </c>
      <c r="C5517" s="179" t="s">
        <v>369</v>
      </c>
      <c r="D5517" t="s">
        <v>7861</v>
      </c>
      <c r="E5517" t="s">
        <v>7866</v>
      </c>
      <c r="F5517" s="150" t="s">
        <v>7866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50" t="s">
        <v>6434</v>
      </c>
      <c r="M5517" s="178">
        <v>46051</v>
      </c>
      <c r="N5517" s="178"/>
      <c r="O5517" s="178"/>
      <c r="P5517" s="178" t="str">
        <f ca="1">IF(Proc[[#This Row],[DaysAgeing]]&gt;5,"yep","on track")</f>
        <v>on track</v>
      </c>
      <c r="Q5517" s="3">
        <f ca="1">IF(Proc[[#This Row],[DateClosed]]="",ABS(NETWORKDAYS(Proc[[#This Row],[DateOpened]],TODAY()))-1,ABS(NETWORKDAYS(Proc[[#This Row],[DateOpened]],Proc[[#This Row],[DateClosed]]))-1)</f>
        <v>5</v>
      </c>
      <c r="R5517" s="178" t="s">
        <v>5708</v>
      </c>
      <c r="S5517" s="150"/>
    </row>
    <row r="5518" spans="1:19" hidden="1">
      <c r="A5518" s="179" t="s">
        <v>7860</v>
      </c>
      <c r="B5518" s="150" t="str">
        <f>IFERROR(VLOOKUP(Proc[[#This Row],[App]],Table2[],3,0),"open")</f>
        <v>ok</v>
      </c>
      <c r="C5518" s="179" t="s">
        <v>692</v>
      </c>
      <c r="D5518" t="s">
        <v>7862</v>
      </c>
      <c r="E5518" s="179" t="s">
        <v>7866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50" t="s">
        <v>6434</v>
      </c>
      <c r="M5518" s="178">
        <v>46051</v>
      </c>
      <c r="N5518" s="178"/>
      <c r="O5518" s="178"/>
      <c r="P5518" s="178" t="str">
        <f ca="1">IF(Proc[[#This Row],[DaysAgeing]]&gt;5,"yep","on track")</f>
        <v>on track</v>
      </c>
      <c r="Q5518" s="3">
        <f ca="1">IF(Proc[[#This Row],[DateClosed]]="",ABS(NETWORKDAYS(Proc[[#This Row],[DateOpened]],TODAY()))-1,ABS(NETWORKDAYS(Proc[[#This Row],[DateOpened]],Proc[[#This Row],[DateClosed]]))-1)</f>
        <v>5</v>
      </c>
      <c r="R5518" s="178" t="s">
        <v>5708</v>
      </c>
      <c r="S5518" s="150"/>
    </row>
    <row r="5519" spans="1:19" hidden="1">
      <c r="A5519" s="179" t="s">
        <v>7860</v>
      </c>
      <c r="B5519" s="150" t="str">
        <f>IFERROR(VLOOKUP(Proc[[#This Row],[App]],Table2[],3,0),"open")</f>
        <v>ok</v>
      </c>
      <c r="C5519" s="179" t="s">
        <v>369</v>
      </c>
      <c r="D5519" t="s">
        <v>7863</v>
      </c>
      <c r="E5519" s="179" t="s">
        <v>7866</v>
      </c>
      <c r="F5519" s="150" t="s">
        <v>7866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50" t="s">
        <v>6434</v>
      </c>
      <c r="M5519" s="178">
        <v>46051</v>
      </c>
      <c r="N5519" s="178"/>
      <c r="O5519" s="178"/>
      <c r="P5519" s="178" t="str">
        <f ca="1">IF(Proc[[#This Row],[DaysAgeing]]&gt;5,"yep","on track")</f>
        <v>on track</v>
      </c>
      <c r="Q5519" s="3">
        <f ca="1">IF(Proc[[#This Row],[DateClosed]]="",ABS(NETWORKDAYS(Proc[[#This Row],[DateOpened]],TODAY()))-1,ABS(NETWORKDAYS(Proc[[#This Row],[DateOpened]],Proc[[#This Row],[DateClosed]]))-1)</f>
        <v>5</v>
      </c>
      <c r="R5519" s="178" t="s">
        <v>5708</v>
      </c>
      <c r="S5519" s="150"/>
    </row>
    <row r="5520" spans="1:19" hidden="1">
      <c r="A5520" s="179" t="s">
        <v>7860</v>
      </c>
      <c r="B5520" s="150" t="str">
        <f>IFERROR(VLOOKUP(Proc[[#This Row],[App]],Table2[],3,0),"open")</f>
        <v>ok</v>
      </c>
      <c r="C5520" s="179" t="s">
        <v>369</v>
      </c>
      <c r="D5520" t="s">
        <v>7864</v>
      </c>
      <c r="E5520" s="179" t="s">
        <v>7866</v>
      </c>
      <c r="F5520" s="150" t="s">
        <v>7866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50" t="s">
        <v>6434</v>
      </c>
      <c r="M5520" s="178">
        <v>46051</v>
      </c>
      <c r="N5520" s="178"/>
      <c r="O5520" s="178"/>
      <c r="P5520" s="178" t="str">
        <f ca="1">IF(Proc[[#This Row],[DaysAgeing]]&gt;5,"yep","on track")</f>
        <v>on track</v>
      </c>
      <c r="Q5520" s="3">
        <f ca="1">IF(Proc[[#This Row],[DateClosed]]="",ABS(NETWORKDAYS(Proc[[#This Row],[DateOpened]],TODAY()))-1,ABS(NETWORKDAYS(Proc[[#This Row],[DateOpened]],Proc[[#This Row],[DateClosed]]))-1)</f>
        <v>5</v>
      </c>
      <c r="R5520" s="178" t="s">
        <v>5708</v>
      </c>
      <c r="S5520" s="150"/>
    </row>
    <row r="5521" spans="1:19" hidden="1">
      <c r="A5521" s="179" t="s">
        <v>7860</v>
      </c>
      <c r="B5521" s="150" t="str">
        <f>IFERROR(VLOOKUP(Proc[[#This Row],[App]],Table2[],3,0),"open")</f>
        <v>ok</v>
      </c>
      <c r="C5521" s="179" t="s">
        <v>369</v>
      </c>
      <c r="D5521" t="s">
        <v>7865</v>
      </c>
      <c r="E5521" s="179" t="s">
        <v>7866</v>
      </c>
      <c r="F5521" s="150" t="s">
        <v>7866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50" t="s">
        <v>6434</v>
      </c>
      <c r="M5521" s="178">
        <v>46051</v>
      </c>
      <c r="N5521" s="178"/>
      <c r="O5521" s="178"/>
      <c r="P5521" s="178" t="str">
        <f ca="1">IF(Proc[[#This Row],[DaysAgeing]]&gt;5,"yep","on track")</f>
        <v>on track</v>
      </c>
      <c r="Q5521" s="3">
        <f ca="1">IF(Proc[[#This Row],[DateClosed]]="",ABS(NETWORKDAYS(Proc[[#This Row],[DateOpened]],TODAY()))-1,ABS(NETWORKDAYS(Proc[[#This Row],[DateOpened]],Proc[[#This Row],[DateClosed]]))-1)</f>
        <v>5</v>
      </c>
      <c r="R5521" s="178" t="s">
        <v>5708</v>
      </c>
      <c r="S5521" s="150"/>
    </row>
    <row r="5522" spans="1:19" hidden="1">
      <c r="A5522" t="s">
        <v>7882</v>
      </c>
      <c r="B5522" s="150" t="str">
        <f>IFERROR(VLOOKUP(Proc[[#This Row],[App]],Table2[],3,0),"open")</f>
        <v>ok</v>
      </c>
      <c r="C5522" s="179" t="s">
        <v>369</v>
      </c>
      <c r="D5522" t="s">
        <v>7893</v>
      </c>
      <c r="E5522" t="s">
        <v>7867</v>
      </c>
      <c r="F5522" s="150" t="s">
        <v>7867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50" t="s">
        <v>6434</v>
      </c>
      <c r="M5522" s="178">
        <v>46052</v>
      </c>
      <c r="N5522" s="178"/>
      <c r="O5522" s="178"/>
      <c r="P5522" s="178" t="str">
        <f ca="1">IF(Proc[[#This Row],[DaysAgeing]]&gt;5,"yep","on track")</f>
        <v>on track</v>
      </c>
      <c r="Q5522" s="3">
        <f ca="1">IF(Proc[[#This Row],[DateClosed]]="",ABS(NETWORKDAYS(Proc[[#This Row],[DateOpened]],TODAY()))-1,ABS(NETWORKDAYS(Proc[[#This Row],[DateOpened]],Proc[[#This Row],[DateClosed]]))-1)</f>
        <v>4</v>
      </c>
      <c r="R5522" s="178" t="s">
        <v>7890</v>
      </c>
      <c r="S5522" s="150"/>
    </row>
    <row r="5523" spans="1:19" hidden="1">
      <c r="A5523" s="179" t="s">
        <v>7882</v>
      </c>
      <c r="B5523" s="150" t="str">
        <f>IFERROR(VLOOKUP(Proc[[#This Row],[App]],Table2[],3,0),"open")</f>
        <v>ok</v>
      </c>
      <c r="C5523" s="179" t="s">
        <v>369</v>
      </c>
      <c r="D5523" t="s">
        <v>7894</v>
      </c>
      <c r="E5523" t="s">
        <v>7867</v>
      </c>
      <c r="F5523" s="150" t="s">
        <v>7867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50" t="s">
        <v>6434</v>
      </c>
      <c r="M5523" s="178">
        <v>46052</v>
      </c>
      <c r="N5523" s="178"/>
      <c r="O5523" s="178"/>
      <c r="P5523" s="178" t="str">
        <f ca="1">IF(Proc[[#This Row],[DaysAgeing]]&gt;5,"yep","on track")</f>
        <v>on track</v>
      </c>
      <c r="Q5523" s="3">
        <f ca="1">IF(Proc[[#This Row],[DateClosed]]="",ABS(NETWORKDAYS(Proc[[#This Row],[DateOpened]],TODAY()))-1,ABS(NETWORKDAYS(Proc[[#This Row],[DateOpened]],Proc[[#This Row],[DateClosed]]))-1)</f>
        <v>4</v>
      </c>
      <c r="R5523" s="178" t="s">
        <v>7890</v>
      </c>
      <c r="S5523" s="150"/>
    </row>
    <row r="5524" spans="1:19" hidden="1">
      <c r="A5524" s="179" t="s">
        <v>7882</v>
      </c>
      <c r="B5524" s="150" t="str">
        <f>IFERROR(VLOOKUP(Proc[[#This Row],[App]],Table2[],3,0),"open")</f>
        <v>ok</v>
      </c>
      <c r="C5524" s="179" t="s">
        <v>369</v>
      </c>
      <c r="D5524" t="s">
        <v>7895</v>
      </c>
      <c r="E5524" t="s">
        <v>7867</v>
      </c>
      <c r="F5524" s="150" t="s">
        <v>7867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50" t="s">
        <v>6434</v>
      </c>
      <c r="M5524" s="178">
        <v>46052</v>
      </c>
      <c r="N5524" s="178"/>
      <c r="O5524" s="178"/>
      <c r="P5524" s="178" t="str">
        <f ca="1">IF(Proc[[#This Row],[DaysAgeing]]&gt;5,"yep","on track")</f>
        <v>on track</v>
      </c>
      <c r="Q5524" s="3">
        <f ca="1">IF(Proc[[#This Row],[DateClosed]]="",ABS(NETWORKDAYS(Proc[[#This Row],[DateOpened]],TODAY()))-1,ABS(NETWORKDAYS(Proc[[#This Row],[DateOpened]],Proc[[#This Row],[DateClosed]]))-1)</f>
        <v>4</v>
      </c>
      <c r="R5524" s="178" t="s">
        <v>7890</v>
      </c>
      <c r="S5524" s="150"/>
    </row>
    <row r="5525" spans="1:19" hidden="1">
      <c r="A5525" s="179" t="s">
        <v>7882</v>
      </c>
      <c r="B5525" s="150" t="str">
        <f>IFERROR(VLOOKUP(Proc[[#This Row],[App]],Table2[],3,0),"open")</f>
        <v>ok</v>
      </c>
      <c r="C5525" s="179" t="s">
        <v>369</v>
      </c>
      <c r="D5525" t="s">
        <v>7896</v>
      </c>
      <c r="E5525" t="s">
        <v>7867</v>
      </c>
      <c r="F5525" s="150" t="s">
        <v>7867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50" t="s">
        <v>6434</v>
      </c>
      <c r="M5525" s="178">
        <v>46052</v>
      </c>
      <c r="N5525" s="178"/>
      <c r="O5525" s="178"/>
      <c r="P5525" s="178" t="str">
        <f ca="1">IF(Proc[[#This Row],[DaysAgeing]]&gt;5,"yep","on track")</f>
        <v>on track</v>
      </c>
      <c r="Q5525" s="3">
        <f ca="1">IF(Proc[[#This Row],[DateClosed]]="",ABS(NETWORKDAYS(Proc[[#This Row],[DateOpened]],TODAY()))-1,ABS(NETWORKDAYS(Proc[[#This Row],[DateOpened]],Proc[[#This Row],[DateClosed]]))-1)</f>
        <v>4</v>
      </c>
      <c r="R5525" s="178" t="s">
        <v>7890</v>
      </c>
      <c r="S5525" s="150"/>
    </row>
    <row r="5526" spans="1:19" hidden="1">
      <c r="A5526" s="179" t="s">
        <v>7882</v>
      </c>
      <c r="B5526" s="150" t="str">
        <f>IFERROR(VLOOKUP(Proc[[#This Row],[App]],Table2[],3,0),"open")</f>
        <v>ok</v>
      </c>
      <c r="C5526" s="179" t="s">
        <v>369</v>
      </c>
      <c r="D5526" t="s">
        <v>7897</v>
      </c>
      <c r="E5526" t="s">
        <v>7867</v>
      </c>
      <c r="F5526" s="150" t="s">
        <v>7867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50" t="s">
        <v>6434</v>
      </c>
      <c r="M5526" s="178">
        <v>46052</v>
      </c>
      <c r="N5526" s="178"/>
      <c r="O5526" s="178"/>
      <c r="P5526" s="178" t="str">
        <f ca="1">IF(Proc[[#This Row],[DaysAgeing]]&gt;5,"yep","on track")</f>
        <v>on track</v>
      </c>
      <c r="Q5526" s="3">
        <f ca="1">IF(Proc[[#This Row],[DateClosed]]="",ABS(NETWORKDAYS(Proc[[#This Row],[DateOpened]],TODAY()))-1,ABS(NETWORKDAYS(Proc[[#This Row],[DateOpened]],Proc[[#This Row],[DateClosed]]))-1)</f>
        <v>4</v>
      </c>
      <c r="R5526" s="178" t="s">
        <v>7890</v>
      </c>
      <c r="S5526" s="150"/>
    </row>
    <row r="5527" spans="1:19" hidden="1">
      <c r="A5527" s="179" t="s">
        <v>7882</v>
      </c>
      <c r="B5527" s="150" t="str">
        <f>IFERROR(VLOOKUP(Proc[[#This Row],[App]],Table2[],3,0),"open")</f>
        <v>ok</v>
      </c>
      <c r="C5527" s="179" t="s">
        <v>369</v>
      </c>
      <c r="D5527" t="s">
        <v>7898</v>
      </c>
      <c r="E5527" t="s">
        <v>7867</v>
      </c>
      <c r="F5527" s="150" t="s">
        <v>7867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50" t="s">
        <v>6434</v>
      </c>
      <c r="M5527" s="178">
        <v>46052</v>
      </c>
      <c r="N5527" s="178"/>
      <c r="O5527" s="178"/>
      <c r="P5527" s="178" t="str">
        <f ca="1">IF(Proc[[#This Row],[DaysAgeing]]&gt;5,"yep","on track")</f>
        <v>on track</v>
      </c>
      <c r="Q5527" s="3">
        <f ca="1">IF(Proc[[#This Row],[DateClosed]]="",ABS(NETWORKDAYS(Proc[[#This Row],[DateOpened]],TODAY()))-1,ABS(NETWORKDAYS(Proc[[#This Row],[DateOpened]],Proc[[#This Row],[DateClosed]]))-1)</f>
        <v>4</v>
      </c>
      <c r="R5527" s="178" t="s">
        <v>7890</v>
      </c>
      <c r="S5527" s="150"/>
    </row>
    <row r="5528" spans="1:19" hidden="1">
      <c r="A5528" s="179" t="s">
        <v>7882</v>
      </c>
      <c r="B5528" s="150" t="str">
        <f>IFERROR(VLOOKUP(Proc[[#This Row],[App]],Table2[],3,0),"open")</f>
        <v>ok</v>
      </c>
      <c r="C5528" s="179" t="s">
        <v>369</v>
      </c>
      <c r="D5528" t="s">
        <v>7899</v>
      </c>
      <c r="E5528" t="s">
        <v>7867</v>
      </c>
      <c r="F5528" s="150" t="s">
        <v>7867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50" t="s">
        <v>6434</v>
      </c>
      <c r="M5528" s="178">
        <v>46052</v>
      </c>
      <c r="N5528" s="178"/>
      <c r="O5528" s="178"/>
      <c r="P5528" s="178" t="str">
        <f ca="1">IF(Proc[[#This Row],[DaysAgeing]]&gt;5,"yep","on track")</f>
        <v>on track</v>
      </c>
      <c r="Q5528" s="3">
        <f ca="1">IF(Proc[[#This Row],[DateClosed]]="",ABS(NETWORKDAYS(Proc[[#This Row],[DateOpened]],TODAY()))-1,ABS(NETWORKDAYS(Proc[[#This Row],[DateOpened]],Proc[[#This Row],[DateClosed]]))-1)</f>
        <v>4</v>
      </c>
      <c r="R5528" s="178" t="s">
        <v>7890</v>
      </c>
      <c r="S5528" s="150"/>
    </row>
    <row r="5529" spans="1:19" hidden="1">
      <c r="A5529" s="179" t="s">
        <v>7882</v>
      </c>
      <c r="B5529" s="150" t="str">
        <f>IFERROR(VLOOKUP(Proc[[#This Row],[App]],Table2[],3,0),"open")</f>
        <v>ok</v>
      </c>
      <c r="C5529" s="179" t="s">
        <v>369</v>
      </c>
      <c r="D5529" t="s">
        <v>7900</v>
      </c>
      <c r="E5529" t="s">
        <v>7867</v>
      </c>
      <c r="F5529" s="150" t="s">
        <v>7867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50" t="s">
        <v>6434</v>
      </c>
      <c r="M5529" s="178">
        <v>46052</v>
      </c>
      <c r="N5529" s="178"/>
      <c r="O5529" s="178"/>
      <c r="P5529" s="178" t="str">
        <f ca="1">IF(Proc[[#This Row],[DaysAgeing]]&gt;5,"yep","on track")</f>
        <v>on track</v>
      </c>
      <c r="Q5529" s="3">
        <f ca="1">IF(Proc[[#This Row],[DateClosed]]="",ABS(NETWORKDAYS(Proc[[#This Row],[DateOpened]],TODAY()))-1,ABS(NETWORKDAYS(Proc[[#This Row],[DateOpened]],Proc[[#This Row],[DateClosed]]))-1)</f>
        <v>4</v>
      </c>
      <c r="R5529" s="178" t="s">
        <v>7890</v>
      </c>
      <c r="S5529" s="150"/>
    </row>
    <row r="5530" spans="1:19" hidden="1">
      <c r="A5530" s="179" t="s">
        <v>7882</v>
      </c>
      <c r="B5530" s="150" t="str">
        <f>IFERROR(VLOOKUP(Proc[[#This Row],[App]],Table2[],3,0),"open")</f>
        <v>ok</v>
      </c>
      <c r="C5530" s="179" t="s">
        <v>369</v>
      </c>
      <c r="D5530" t="s">
        <v>7901</v>
      </c>
      <c r="E5530" t="s">
        <v>7867</v>
      </c>
      <c r="F5530" s="150" t="s">
        <v>7867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50" t="s">
        <v>6434</v>
      </c>
      <c r="M5530" s="178">
        <v>46052</v>
      </c>
      <c r="N5530" s="178"/>
      <c r="O5530" s="178"/>
      <c r="P5530" s="178" t="str">
        <f ca="1">IF(Proc[[#This Row],[DaysAgeing]]&gt;5,"yep","on track")</f>
        <v>on track</v>
      </c>
      <c r="Q5530" s="3">
        <f ca="1">IF(Proc[[#This Row],[DateClosed]]="",ABS(NETWORKDAYS(Proc[[#This Row],[DateOpened]],TODAY()))-1,ABS(NETWORKDAYS(Proc[[#This Row],[DateOpened]],Proc[[#This Row],[DateClosed]]))-1)</f>
        <v>4</v>
      </c>
      <c r="R5530" s="178" t="s">
        <v>7890</v>
      </c>
      <c r="S5530" s="150"/>
    </row>
    <row r="5531" spans="1:19" hidden="1">
      <c r="A5531" s="179" t="s">
        <v>7882</v>
      </c>
      <c r="B5531" s="150" t="str">
        <f>IFERROR(VLOOKUP(Proc[[#This Row],[App]],Table2[],3,0),"open")</f>
        <v>ok</v>
      </c>
      <c r="C5531" s="179" t="s">
        <v>369</v>
      </c>
      <c r="D5531" t="s">
        <v>7902</v>
      </c>
      <c r="E5531" t="s">
        <v>7867</v>
      </c>
      <c r="F5531" s="150" t="s">
        <v>7867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50" t="s">
        <v>6434</v>
      </c>
      <c r="M5531" s="178">
        <v>46052</v>
      </c>
      <c r="N5531" s="178"/>
      <c r="O5531" s="178"/>
      <c r="P5531" s="178" t="str">
        <f ca="1">IF(Proc[[#This Row],[DaysAgeing]]&gt;5,"yep","on track")</f>
        <v>on track</v>
      </c>
      <c r="Q5531" s="3">
        <f ca="1">IF(Proc[[#This Row],[DateClosed]]="",ABS(NETWORKDAYS(Proc[[#This Row],[DateOpened]],TODAY()))-1,ABS(NETWORKDAYS(Proc[[#This Row],[DateOpened]],Proc[[#This Row],[DateClosed]]))-1)</f>
        <v>4</v>
      </c>
      <c r="R5531" s="178" t="s">
        <v>7890</v>
      </c>
      <c r="S5531" s="150"/>
    </row>
    <row r="5532" spans="1:19" hidden="1">
      <c r="A5532" s="179" t="s">
        <v>7882</v>
      </c>
      <c r="B5532" s="150" t="str">
        <f>IFERROR(VLOOKUP(Proc[[#This Row],[App]],Table2[],3,0),"open")</f>
        <v>ok</v>
      </c>
      <c r="C5532" s="179" t="s">
        <v>369</v>
      </c>
      <c r="D5532" t="s">
        <v>7903</v>
      </c>
      <c r="E5532" t="s">
        <v>7867</v>
      </c>
      <c r="F5532" s="150" t="s">
        <v>7867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50" t="s">
        <v>6434</v>
      </c>
      <c r="M5532" s="178">
        <v>46052</v>
      </c>
      <c r="N5532" s="178"/>
      <c r="O5532" s="178"/>
      <c r="P5532" s="178" t="str">
        <f ca="1">IF(Proc[[#This Row],[DaysAgeing]]&gt;5,"yep","on track")</f>
        <v>on track</v>
      </c>
      <c r="Q5532" s="3">
        <f ca="1">IF(Proc[[#This Row],[DateClosed]]="",ABS(NETWORKDAYS(Proc[[#This Row],[DateOpened]],TODAY()))-1,ABS(NETWORKDAYS(Proc[[#This Row],[DateOpened]],Proc[[#This Row],[DateClosed]]))-1)</f>
        <v>4</v>
      </c>
      <c r="R5532" s="178" t="s">
        <v>7890</v>
      </c>
      <c r="S5532" s="150"/>
    </row>
    <row r="5533" spans="1:19" hidden="1">
      <c r="A5533" s="179" t="s">
        <v>7882</v>
      </c>
      <c r="B5533" s="150" t="str">
        <f>IFERROR(VLOOKUP(Proc[[#This Row],[App]],Table2[],3,0),"open")</f>
        <v>ok</v>
      </c>
      <c r="C5533" s="179" t="s">
        <v>369</v>
      </c>
      <c r="D5533" t="s">
        <v>7904</v>
      </c>
      <c r="E5533" t="s">
        <v>7867</v>
      </c>
      <c r="F5533" s="150" t="s">
        <v>7867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50" t="s">
        <v>6434</v>
      </c>
      <c r="M5533" s="178">
        <v>46052</v>
      </c>
      <c r="N5533" s="178"/>
      <c r="O5533" s="178"/>
      <c r="P5533" s="178" t="str">
        <f ca="1">IF(Proc[[#This Row],[DaysAgeing]]&gt;5,"yep","on track")</f>
        <v>on track</v>
      </c>
      <c r="Q5533" s="3">
        <f ca="1">IF(Proc[[#This Row],[DateClosed]]="",ABS(NETWORKDAYS(Proc[[#This Row],[DateOpened]],TODAY()))-1,ABS(NETWORKDAYS(Proc[[#This Row],[DateOpened]],Proc[[#This Row],[DateClosed]]))-1)</f>
        <v>4</v>
      </c>
      <c r="R5533" s="178" t="s">
        <v>7890</v>
      </c>
      <c r="S5533" s="150"/>
    </row>
    <row r="5534" spans="1:19" hidden="1">
      <c r="A5534" s="179" t="s">
        <v>7882</v>
      </c>
      <c r="B5534" s="150" t="str">
        <f>IFERROR(VLOOKUP(Proc[[#This Row],[App]],Table2[],3,0),"open")</f>
        <v>ok</v>
      </c>
      <c r="C5534" s="179" t="s">
        <v>369</v>
      </c>
      <c r="D5534" t="s">
        <v>7905</v>
      </c>
      <c r="E5534" t="s">
        <v>7867</v>
      </c>
      <c r="F5534" s="150" t="s">
        <v>7867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50" t="s">
        <v>6434</v>
      </c>
      <c r="M5534" s="178">
        <v>46052</v>
      </c>
      <c r="N5534" s="178"/>
      <c r="O5534" s="178"/>
      <c r="P5534" s="178" t="str">
        <f ca="1">IF(Proc[[#This Row],[DaysAgeing]]&gt;5,"yep","on track")</f>
        <v>on track</v>
      </c>
      <c r="Q5534" s="3">
        <f ca="1">IF(Proc[[#This Row],[DateClosed]]="",ABS(NETWORKDAYS(Proc[[#This Row],[DateOpened]],TODAY()))-1,ABS(NETWORKDAYS(Proc[[#This Row],[DateOpened]],Proc[[#This Row],[DateClosed]]))-1)</f>
        <v>4</v>
      </c>
      <c r="R5534" s="178" t="s">
        <v>7890</v>
      </c>
      <c r="S5534" s="150"/>
    </row>
    <row r="5535" spans="1:19" hidden="1">
      <c r="A5535" s="179" t="s">
        <v>7882</v>
      </c>
      <c r="B5535" s="150" t="str">
        <f>IFERROR(VLOOKUP(Proc[[#This Row],[App]],Table2[],3,0),"open")</f>
        <v>ok</v>
      </c>
      <c r="C5535" s="179" t="s">
        <v>369</v>
      </c>
      <c r="D5535" t="s">
        <v>7906</v>
      </c>
      <c r="E5535" t="s">
        <v>7867</v>
      </c>
      <c r="F5535" s="150" t="s">
        <v>7867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50" t="s">
        <v>6434</v>
      </c>
      <c r="M5535" s="178">
        <v>46052</v>
      </c>
      <c r="N5535" s="178"/>
      <c r="O5535" s="178"/>
      <c r="P5535" s="178" t="str">
        <f ca="1">IF(Proc[[#This Row],[DaysAgeing]]&gt;5,"yep","on track")</f>
        <v>on track</v>
      </c>
      <c r="Q5535" s="3">
        <f ca="1">IF(Proc[[#This Row],[DateClosed]]="",ABS(NETWORKDAYS(Proc[[#This Row],[DateOpened]],TODAY()))-1,ABS(NETWORKDAYS(Proc[[#This Row],[DateOpened]],Proc[[#This Row],[DateClosed]]))-1)</f>
        <v>4</v>
      </c>
      <c r="R5535" s="178" t="s">
        <v>7890</v>
      </c>
      <c r="S5535" s="150"/>
    </row>
    <row r="5536" spans="1:19" hidden="1">
      <c r="A5536" s="179" t="s">
        <v>7882</v>
      </c>
      <c r="B5536" s="150" t="str">
        <f>IFERROR(VLOOKUP(Proc[[#This Row],[App]],Table2[],3,0),"open")</f>
        <v>ok</v>
      </c>
      <c r="C5536" s="179" t="s">
        <v>369</v>
      </c>
      <c r="D5536" t="s">
        <v>7907</v>
      </c>
      <c r="E5536" t="s">
        <v>7867</v>
      </c>
      <c r="F5536" s="150" t="s">
        <v>7867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50" t="s">
        <v>6434</v>
      </c>
      <c r="M5536" s="178">
        <v>46052</v>
      </c>
      <c r="N5536" s="178"/>
      <c r="O5536" s="178"/>
      <c r="P5536" s="178" t="str">
        <f ca="1">IF(Proc[[#This Row],[DaysAgeing]]&gt;5,"yep","on track")</f>
        <v>on track</v>
      </c>
      <c r="Q5536" s="3">
        <f ca="1">IF(Proc[[#This Row],[DateClosed]]="",ABS(NETWORKDAYS(Proc[[#This Row],[DateOpened]],TODAY()))-1,ABS(NETWORKDAYS(Proc[[#This Row],[DateOpened]],Proc[[#This Row],[DateClosed]]))-1)</f>
        <v>4</v>
      </c>
      <c r="R5536" s="178" t="s">
        <v>7890</v>
      </c>
      <c r="S5536" s="150"/>
    </row>
    <row r="5537" spans="1:19" hidden="1">
      <c r="A5537" s="179" t="s">
        <v>7882</v>
      </c>
      <c r="B5537" s="150" t="str">
        <f>IFERROR(VLOOKUP(Proc[[#This Row],[App]],Table2[],3,0),"open")</f>
        <v>ok</v>
      </c>
      <c r="C5537" s="179" t="s">
        <v>369</v>
      </c>
      <c r="D5537" t="s">
        <v>7908</v>
      </c>
      <c r="E5537" t="s">
        <v>7867</v>
      </c>
      <c r="F5537" s="150" t="s">
        <v>7867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50" t="s">
        <v>6434</v>
      </c>
      <c r="M5537" s="178">
        <v>46052</v>
      </c>
      <c r="N5537" s="178"/>
      <c r="O5537" s="178"/>
      <c r="P5537" s="178" t="str">
        <f ca="1">IF(Proc[[#This Row],[DaysAgeing]]&gt;5,"yep","on track")</f>
        <v>on track</v>
      </c>
      <c r="Q5537" s="3">
        <f ca="1">IF(Proc[[#This Row],[DateClosed]]="",ABS(NETWORKDAYS(Proc[[#This Row],[DateOpened]],TODAY()))-1,ABS(NETWORKDAYS(Proc[[#This Row],[DateOpened]],Proc[[#This Row],[DateClosed]]))-1)</f>
        <v>4</v>
      </c>
      <c r="R5537" s="178" t="s">
        <v>7890</v>
      </c>
      <c r="S5537" s="150"/>
    </row>
    <row r="5538" spans="1:19" hidden="1">
      <c r="A5538" s="179" t="s">
        <v>7882</v>
      </c>
      <c r="B5538" s="150" t="str">
        <f>IFERROR(VLOOKUP(Proc[[#This Row],[App]],Table2[],3,0),"open")</f>
        <v>ok</v>
      </c>
      <c r="C5538" s="179" t="s">
        <v>369</v>
      </c>
      <c r="D5538" t="s">
        <v>7909</v>
      </c>
      <c r="E5538" t="s">
        <v>7867</v>
      </c>
      <c r="F5538" s="150" t="s">
        <v>7867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50" t="s">
        <v>6434</v>
      </c>
      <c r="M5538" s="178">
        <v>46052</v>
      </c>
      <c r="N5538" s="178"/>
      <c r="O5538" s="178"/>
      <c r="P5538" s="178" t="str">
        <f ca="1">IF(Proc[[#This Row],[DaysAgeing]]&gt;5,"yep","on track")</f>
        <v>on track</v>
      </c>
      <c r="Q5538" s="3">
        <f ca="1">IF(Proc[[#This Row],[DateClosed]]="",ABS(NETWORKDAYS(Proc[[#This Row],[DateOpened]],TODAY()))-1,ABS(NETWORKDAYS(Proc[[#This Row],[DateOpened]],Proc[[#This Row],[DateClosed]]))-1)</f>
        <v>4</v>
      </c>
      <c r="R5538" s="178" t="s">
        <v>7890</v>
      </c>
      <c r="S5538" s="150"/>
    </row>
    <row r="5539" spans="1:19" hidden="1">
      <c r="A5539" s="179" t="s">
        <v>7882</v>
      </c>
      <c r="B5539" s="150" t="str">
        <f>IFERROR(VLOOKUP(Proc[[#This Row],[App]],Table2[],3,0),"open")</f>
        <v>ok</v>
      </c>
      <c r="C5539" s="179" t="s">
        <v>369</v>
      </c>
      <c r="D5539" t="s">
        <v>7910</v>
      </c>
      <c r="E5539" t="s">
        <v>7867</v>
      </c>
      <c r="F5539" s="150" t="s">
        <v>7867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50" t="s">
        <v>6434</v>
      </c>
      <c r="M5539" s="178">
        <v>46052</v>
      </c>
      <c r="N5539" s="178"/>
      <c r="O5539" s="178"/>
      <c r="P5539" s="178" t="str">
        <f ca="1">IF(Proc[[#This Row],[DaysAgeing]]&gt;5,"yep","on track")</f>
        <v>on track</v>
      </c>
      <c r="Q5539" s="3">
        <f ca="1">IF(Proc[[#This Row],[DateClosed]]="",ABS(NETWORKDAYS(Proc[[#This Row],[DateOpened]],TODAY()))-1,ABS(NETWORKDAYS(Proc[[#This Row],[DateOpened]],Proc[[#This Row],[DateClosed]]))-1)</f>
        <v>4</v>
      </c>
      <c r="R5539" s="178" t="s">
        <v>7890</v>
      </c>
      <c r="S5539" s="150"/>
    </row>
    <row r="5540" spans="1:19" hidden="1">
      <c r="A5540" s="179" t="s">
        <v>7882</v>
      </c>
      <c r="B5540" s="150" t="str">
        <f>IFERROR(VLOOKUP(Proc[[#This Row],[App]],Table2[],3,0),"open")</f>
        <v>ok</v>
      </c>
      <c r="C5540" s="179" t="s">
        <v>369</v>
      </c>
      <c r="D5540" t="s">
        <v>7911</v>
      </c>
      <c r="E5540" t="s">
        <v>7867</v>
      </c>
      <c r="F5540" s="150" t="s">
        <v>7867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50" t="s">
        <v>6434</v>
      </c>
      <c r="M5540" s="178">
        <v>46052</v>
      </c>
      <c r="N5540" s="178"/>
      <c r="O5540" s="178"/>
      <c r="P5540" s="178" t="str">
        <f ca="1">IF(Proc[[#This Row],[DaysAgeing]]&gt;5,"yep","on track")</f>
        <v>on track</v>
      </c>
      <c r="Q5540" s="3">
        <f ca="1">IF(Proc[[#This Row],[DateClosed]]="",ABS(NETWORKDAYS(Proc[[#This Row],[DateOpened]],TODAY()))-1,ABS(NETWORKDAYS(Proc[[#This Row],[DateOpened]],Proc[[#This Row],[DateClosed]]))-1)</f>
        <v>4</v>
      </c>
      <c r="R5540" s="178" t="s">
        <v>7890</v>
      </c>
      <c r="S5540" s="150"/>
    </row>
    <row r="5541" spans="1:19" hidden="1">
      <c r="A5541" s="179" t="s">
        <v>7882</v>
      </c>
      <c r="B5541" s="150" t="str">
        <f>IFERROR(VLOOKUP(Proc[[#This Row],[App]],Table2[],3,0),"open")</f>
        <v>ok</v>
      </c>
      <c r="C5541" s="179" t="s">
        <v>369</v>
      </c>
      <c r="D5541" t="s">
        <v>7912</v>
      </c>
      <c r="E5541" t="s">
        <v>7867</v>
      </c>
      <c r="F5541" s="150" t="s">
        <v>7867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50" t="s">
        <v>6434</v>
      </c>
      <c r="M5541" s="178">
        <v>46052</v>
      </c>
      <c r="N5541" s="178"/>
      <c r="O5541" s="178"/>
      <c r="P5541" s="178" t="str">
        <f ca="1">IF(Proc[[#This Row],[DaysAgeing]]&gt;5,"yep","on track")</f>
        <v>on track</v>
      </c>
      <c r="Q5541" s="3">
        <f ca="1">IF(Proc[[#This Row],[DateClosed]]="",ABS(NETWORKDAYS(Proc[[#This Row],[DateOpened]],TODAY()))-1,ABS(NETWORKDAYS(Proc[[#This Row],[DateOpened]],Proc[[#This Row],[DateClosed]]))-1)</f>
        <v>4</v>
      </c>
      <c r="R5541" s="178" t="s">
        <v>7890</v>
      </c>
      <c r="S5541" s="150"/>
    </row>
    <row r="5542" spans="1:19" hidden="1">
      <c r="A5542" s="179" t="s">
        <v>7882</v>
      </c>
      <c r="B5542" s="150" t="str">
        <f>IFERROR(VLOOKUP(Proc[[#This Row],[App]],Table2[],3,0),"open")</f>
        <v>ok</v>
      </c>
      <c r="C5542" s="179" t="s">
        <v>369</v>
      </c>
      <c r="D5542" t="s">
        <v>7913</v>
      </c>
      <c r="E5542" t="s">
        <v>7867</v>
      </c>
      <c r="F5542" s="150" t="s">
        <v>7867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50" t="s">
        <v>6434</v>
      </c>
      <c r="M5542" s="178">
        <v>46052</v>
      </c>
      <c r="N5542" s="178"/>
      <c r="O5542" s="178"/>
      <c r="P5542" s="178" t="str">
        <f ca="1">IF(Proc[[#This Row],[DaysAgeing]]&gt;5,"yep","on track")</f>
        <v>on track</v>
      </c>
      <c r="Q5542" s="3">
        <f ca="1">IF(Proc[[#This Row],[DateClosed]]="",ABS(NETWORKDAYS(Proc[[#This Row],[DateOpened]],TODAY()))-1,ABS(NETWORKDAYS(Proc[[#This Row],[DateOpened]],Proc[[#This Row],[DateClosed]]))-1)</f>
        <v>4</v>
      </c>
      <c r="R5542" s="178" t="s">
        <v>7890</v>
      </c>
      <c r="S5542" s="150"/>
    </row>
    <row r="5543" spans="1:19" hidden="1">
      <c r="A5543" s="179" t="s">
        <v>7882</v>
      </c>
      <c r="B5543" s="150" t="str">
        <f>IFERROR(VLOOKUP(Proc[[#This Row],[App]],Table2[],3,0),"open")</f>
        <v>ok</v>
      </c>
      <c r="C5543" s="179" t="s">
        <v>369</v>
      </c>
      <c r="D5543" t="s">
        <v>7914</v>
      </c>
      <c r="E5543" t="s">
        <v>7867</v>
      </c>
      <c r="F5543" s="150" t="s">
        <v>7867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50" t="s">
        <v>6434</v>
      </c>
      <c r="M5543" s="178">
        <v>46052</v>
      </c>
      <c r="N5543" s="178"/>
      <c r="O5543" s="178"/>
      <c r="P5543" s="178" t="str">
        <f ca="1">IF(Proc[[#This Row],[DaysAgeing]]&gt;5,"yep","on track")</f>
        <v>on track</v>
      </c>
      <c r="Q5543" s="3">
        <f ca="1">IF(Proc[[#This Row],[DateClosed]]="",ABS(NETWORKDAYS(Proc[[#This Row],[DateOpened]],TODAY()))-1,ABS(NETWORKDAYS(Proc[[#This Row],[DateOpened]],Proc[[#This Row],[DateClosed]]))-1)</f>
        <v>4</v>
      </c>
      <c r="R5543" s="178" t="s">
        <v>7890</v>
      </c>
      <c r="S5543" s="150"/>
    </row>
    <row r="5544" spans="1:19" hidden="1">
      <c r="A5544" s="179" t="s">
        <v>7882</v>
      </c>
      <c r="B5544" s="150" t="str">
        <f>IFERROR(VLOOKUP(Proc[[#This Row],[App]],Table2[],3,0),"open")</f>
        <v>ok</v>
      </c>
      <c r="C5544" s="179" t="s">
        <v>369</v>
      </c>
      <c r="D5544" t="s">
        <v>7915</v>
      </c>
      <c r="E5544" t="s">
        <v>7867</v>
      </c>
      <c r="F5544" s="150" t="s">
        <v>7867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50" t="s">
        <v>6434</v>
      </c>
      <c r="M5544" s="178">
        <v>46052</v>
      </c>
      <c r="N5544" s="178"/>
      <c r="O5544" s="178"/>
      <c r="P5544" s="178" t="str">
        <f ca="1">IF(Proc[[#This Row],[DaysAgeing]]&gt;5,"yep","on track")</f>
        <v>on track</v>
      </c>
      <c r="Q5544" s="3">
        <f ca="1">IF(Proc[[#This Row],[DateClosed]]="",ABS(NETWORKDAYS(Proc[[#This Row],[DateOpened]],TODAY()))-1,ABS(NETWORKDAYS(Proc[[#This Row],[DateOpened]],Proc[[#This Row],[DateClosed]]))-1)</f>
        <v>4</v>
      </c>
      <c r="R5544" s="178" t="s">
        <v>7890</v>
      </c>
      <c r="S5544" s="150"/>
    </row>
    <row r="5545" spans="1:19" hidden="1">
      <c r="A5545" s="179" t="s">
        <v>7882</v>
      </c>
      <c r="B5545" s="150" t="str">
        <f>IFERROR(VLOOKUP(Proc[[#This Row],[App]],Table2[],3,0),"open")</f>
        <v>ok</v>
      </c>
      <c r="C5545" s="179" t="s">
        <v>369</v>
      </c>
      <c r="D5545" t="s">
        <v>7916</v>
      </c>
      <c r="E5545" t="s">
        <v>7867</v>
      </c>
      <c r="F5545" s="150" t="s">
        <v>7867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50" t="s">
        <v>6434</v>
      </c>
      <c r="M5545" s="178">
        <v>46052</v>
      </c>
      <c r="N5545" s="178"/>
      <c r="O5545" s="178"/>
      <c r="P5545" s="178" t="str">
        <f ca="1">IF(Proc[[#This Row],[DaysAgeing]]&gt;5,"yep","on track")</f>
        <v>on track</v>
      </c>
      <c r="Q5545" s="3">
        <f ca="1">IF(Proc[[#This Row],[DateClosed]]="",ABS(NETWORKDAYS(Proc[[#This Row],[DateOpened]],TODAY()))-1,ABS(NETWORKDAYS(Proc[[#This Row],[DateOpened]],Proc[[#This Row],[DateClosed]]))-1)</f>
        <v>4</v>
      </c>
      <c r="R5545" s="178" t="s">
        <v>7890</v>
      </c>
      <c r="S5545" s="150"/>
    </row>
    <row r="5546" spans="1:19" hidden="1">
      <c r="A5546" s="179" t="s">
        <v>7882</v>
      </c>
      <c r="B5546" s="150" t="str">
        <f>IFERROR(VLOOKUP(Proc[[#This Row],[App]],Table2[],3,0),"open")</f>
        <v>ok</v>
      </c>
      <c r="C5546" s="179" t="s">
        <v>369</v>
      </c>
      <c r="D5546" t="s">
        <v>7917</v>
      </c>
      <c r="E5546" t="s">
        <v>7867</v>
      </c>
      <c r="F5546" s="150" t="s">
        <v>7867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50" t="s">
        <v>6434</v>
      </c>
      <c r="M5546" s="178">
        <v>46052</v>
      </c>
      <c r="N5546" s="178"/>
      <c r="O5546" s="178"/>
      <c r="P5546" s="178" t="str">
        <f ca="1">IF(Proc[[#This Row],[DaysAgeing]]&gt;5,"yep","on track")</f>
        <v>on track</v>
      </c>
      <c r="Q5546" s="3">
        <f ca="1">IF(Proc[[#This Row],[DateClosed]]="",ABS(NETWORKDAYS(Proc[[#This Row],[DateOpened]],TODAY()))-1,ABS(NETWORKDAYS(Proc[[#This Row],[DateOpened]],Proc[[#This Row],[DateClosed]]))-1)</f>
        <v>4</v>
      </c>
      <c r="R5546" s="178" t="s">
        <v>7890</v>
      </c>
      <c r="S5546" s="150"/>
    </row>
    <row r="5547" spans="1:19" hidden="1">
      <c r="A5547" s="179" t="s">
        <v>7882</v>
      </c>
      <c r="B5547" s="150" t="str">
        <f>IFERROR(VLOOKUP(Proc[[#This Row],[App]],Table2[],3,0),"open")</f>
        <v>ok</v>
      </c>
      <c r="C5547" s="179" t="s">
        <v>369</v>
      </c>
      <c r="D5547" t="s">
        <v>7918</v>
      </c>
      <c r="E5547" t="s">
        <v>7867</v>
      </c>
      <c r="F5547" s="150" t="s">
        <v>7867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50" t="s">
        <v>6434</v>
      </c>
      <c r="M5547" s="178">
        <v>46052</v>
      </c>
      <c r="N5547" s="178"/>
      <c r="O5547" s="178"/>
      <c r="P5547" s="178" t="str">
        <f ca="1">IF(Proc[[#This Row],[DaysAgeing]]&gt;5,"yep","on track")</f>
        <v>on track</v>
      </c>
      <c r="Q5547" s="3">
        <f ca="1">IF(Proc[[#This Row],[DateClosed]]="",ABS(NETWORKDAYS(Proc[[#This Row],[DateOpened]],TODAY()))-1,ABS(NETWORKDAYS(Proc[[#This Row],[DateOpened]],Proc[[#This Row],[DateClosed]]))-1)</f>
        <v>4</v>
      </c>
      <c r="R5547" s="178" t="s">
        <v>7890</v>
      </c>
      <c r="S5547" s="150"/>
    </row>
    <row r="5548" spans="1:19" hidden="1">
      <c r="A5548" s="179" t="s">
        <v>7882</v>
      </c>
      <c r="B5548" s="150" t="str">
        <f>IFERROR(VLOOKUP(Proc[[#This Row],[App]],Table2[],3,0),"open")</f>
        <v>ok</v>
      </c>
      <c r="C5548" s="179" t="s">
        <v>369</v>
      </c>
      <c r="D5548" t="s">
        <v>7892</v>
      </c>
      <c r="E5548" t="s">
        <v>7868</v>
      </c>
      <c r="F5548" s="150" t="s">
        <v>7868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50" t="s">
        <v>6434</v>
      </c>
      <c r="M5548" s="178">
        <v>46052</v>
      </c>
      <c r="N5548" s="178"/>
      <c r="O5548" s="178"/>
      <c r="P5548" s="178" t="str">
        <f ca="1">IF(Proc[[#This Row],[DaysAgeing]]&gt;5,"yep","on track")</f>
        <v>on track</v>
      </c>
      <c r="Q5548" s="3">
        <f ca="1">IF(Proc[[#This Row],[DateClosed]]="",ABS(NETWORKDAYS(Proc[[#This Row],[DateOpened]],TODAY()))-1,ABS(NETWORKDAYS(Proc[[#This Row],[DateOpened]],Proc[[#This Row],[DateClosed]]))-1)</f>
        <v>4</v>
      </c>
      <c r="R5548" s="178" t="s">
        <v>7890</v>
      </c>
      <c r="S5548" s="150"/>
    </row>
    <row r="5549" spans="1:19" hidden="1">
      <c r="A5549" s="179" t="s">
        <v>7882</v>
      </c>
      <c r="B5549" s="150" t="str">
        <f>IFERROR(VLOOKUP(Proc[[#This Row],[App]],Table2[],3,0),"open")</f>
        <v>ok</v>
      </c>
      <c r="C5549" s="179" t="s">
        <v>369</v>
      </c>
      <c r="D5549" t="s">
        <v>7919</v>
      </c>
      <c r="E5549" t="s">
        <v>7868</v>
      </c>
      <c r="F5549" s="150" t="s">
        <v>7868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50" t="s">
        <v>6434</v>
      </c>
      <c r="M5549" s="178">
        <v>46052</v>
      </c>
      <c r="N5549" s="178"/>
      <c r="O5549" s="178"/>
      <c r="P5549" s="178" t="str">
        <f ca="1">IF(Proc[[#This Row],[DaysAgeing]]&gt;5,"yep","on track")</f>
        <v>on track</v>
      </c>
      <c r="Q5549" s="3">
        <f ca="1">IF(Proc[[#This Row],[DateClosed]]="",ABS(NETWORKDAYS(Proc[[#This Row],[DateOpened]],TODAY()))-1,ABS(NETWORKDAYS(Proc[[#This Row],[DateOpened]],Proc[[#This Row],[DateClosed]]))-1)</f>
        <v>4</v>
      </c>
      <c r="R5549" s="178" t="s">
        <v>7890</v>
      </c>
      <c r="S5549" s="150"/>
    </row>
    <row r="5550" spans="1:19" hidden="1">
      <c r="A5550" s="179" t="s">
        <v>7882</v>
      </c>
      <c r="B5550" s="150" t="str">
        <f>IFERROR(VLOOKUP(Proc[[#This Row],[App]],Table2[],3,0),"open")</f>
        <v>ok</v>
      </c>
      <c r="C5550" s="179" t="s">
        <v>369</v>
      </c>
      <c r="D5550" t="s">
        <v>7920</v>
      </c>
      <c r="E5550" t="s">
        <v>7869</v>
      </c>
      <c r="F5550" s="150" t="s">
        <v>7869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50" t="s">
        <v>6434</v>
      </c>
      <c r="M5550" s="178">
        <v>46052</v>
      </c>
      <c r="N5550" s="178"/>
      <c r="O5550" s="178"/>
      <c r="P5550" s="178" t="str">
        <f ca="1">IF(Proc[[#This Row],[DaysAgeing]]&gt;5,"yep","on track")</f>
        <v>on track</v>
      </c>
      <c r="Q5550" s="3">
        <f ca="1">IF(Proc[[#This Row],[DateClosed]]="",ABS(NETWORKDAYS(Proc[[#This Row],[DateOpened]],TODAY()))-1,ABS(NETWORKDAYS(Proc[[#This Row],[DateOpened]],Proc[[#This Row],[DateClosed]]))-1)</f>
        <v>4</v>
      </c>
      <c r="R5550" s="178" t="s">
        <v>7890</v>
      </c>
      <c r="S5550" s="150"/>
    </row>
    <row r="5551" spans="1:19" hidden="1">
      <c r="A5551" s="179" t="s">
        <v>7882</v>
      </c>
      <c r="B5551" s="150" t="str">
        <f>IFERROR(VLOOKUP(Proc[[#This Row],[App]],Table2[],3,0),"open")</f>
        <v>ok</v>
      </c>
      <c r="C5551" s="179" t="s">
        <v>369</v>
      </c>
      <c r="D5551" t="s">
        <v>7921</v>
      </c>
      <c r="E5551" t="s">
        <v>7870</v>
      </c>
      <c r="F5551" s="150" t="s">
        <v>7870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50" t="s">
        <v>6434</v>
      </c>
      <c r="M5551" s="178">
        <v>46052</v>
      </c>
      <c r="N5551" s="178"/>
      <c r="O5551" s="178"/>
      <c r="P5551" s="178" t="str">
        <f ca="1">IF(Proc[[#This Row],[DaysAgeing]]&gt;5,"yep","on track")</f>
        <v>on track</v>
      </c>
      <c r="Q5551" s="3">
        <f ca="1">IF(Proc[[#This Row],[DateClosed]]="",ABS(NETWORKDAYS(Proc[[#This Row],[DateOpened]],TODAY()))-1,ABS(NETWORKDAYS(Proc[[#This Row],[DateOpened]],Proc[[#This Row],[DateClosed]]))-1)</f>
        <v>4</v>
      </c>
      <c r="R5551" s="178" t="s">
        <v>7890</v>
      </c>
      <c r="S5551" s="150"/>
    </row>
    <row r="5552" spans="1:19" hidden="1">
      <c r="A5552" s="179" t="s">
        <v>7882</v>
      </c>
      <c r="B5552" s="150" t="str">
        <f>IFERROR(VLOOKUP(Proc[[#This Row],[App]],Table2[],3,0),"open")</f>
        <v>ok</v>
      </c>
      <c r="C5552" s="179" t="s">
        <v>369</v>
      </c>
      <c r="D5552" t="s">
        <v>7922</v>
      </c>
      <c r="E5552" t="s">
        <v>7871</v>
      </c>
      <c r="F5552" s="150" t="s">
        <v>7871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50" t="s">
        <v>6434</v>
      </c>
      <c r="M5552" s="178">
        <v>46052</v>
      </c>
      <c r="N5552" s="178"/>
      <c r="O5552" s="178"/>
      <c r="P5552" s="178" t="str">
        <f ca="1">IF(Proc[[#This Row],[DaysAgeing]]&gt;5,"yep","on track")</f>
        <v>on track</v>
      </c>
      <c r="Q5552" s="3">
        <f ca="1">IF(Proc[[#This Row],[DateClosed]]="",ABS(NETWORKDAYS(Proc[[#This Row],[DateOpened]],TODAY()))-1,ABS(NETWORKDAYS(Proc[[#This Row],[DateOpened]],Proc[[#This Row],[DateClosed]]))-1)</f>
        <v>4</v>
      </c>
      <c r="R5552" s="178" t="s">
        <v>7890</v>
      </c>
      <c r="S5552" s="150"/>
    </row>
    <row r="5553" spans="1:19" hidden="1">
      <c r="A5553" s="179" t="s">
        <v>7882</v>
      </c>
      <c r="B5553" s="150" t="str">
        <f>IFERROR(VLOOKUP(Proc[[#This Row],[App]],Table2[],3,0),"open")</f>
        <v>ok</v>
      </c>
      <c r="C5553" s="179" t="s">
        <v>369</v>
      </c>
      <c r="D5553" t="s">
        <v>7923</v>
      </c>
      <c r="E5553" t="s">
        <v>7872</v>
      </c>
      <c r="F5553" s="150" t="s">
        <v>7872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50" t="s">
        <v>6434</v>
      </c>
      <c r="M5553" s="178">
        <v>46052</v>
      </c>
      <c r="N5553" s="178"/>
      <c r="O5553" s="178"/>
      <c r="P5553" s="178" t="str">
        <f ca="1">IF(Proc[[#This Row],[DaysAgeing]]&gt;5,"yep","on track")</f>
        <v>on track</v>
      </c>
      <c r="Q5553" s="3">
        <f ca="1">IF(Proc[[#This Row],[DateClosed]]="",ABS(NETWORKDAYS(Proc[[#This Row],[DateOpened]],TODAY()))-1,ABS(NETWORKDAYS(Proc[[#This Row],[DateOpened]],Proc[[#This Row],[DateClosed]]))-1)</f>
        <v>4</v>
      </c>
      <c r="R5553" s="178" t="s">
        <v>7890</v>
      </c>
      <c r="S5553" s="150"/>
    </row>
    <row r="5554" spans="1:19" hidden="1">
      <c r="A5554" s="179" t="s">
        <v>7882</v>
      </c>
      <c r="B5554" s="150" t="str">
        <f>IFERROR(VLOOKUP(Proc[[#This Row],[App]],Table2[],3,0),"open")</f>
        <v>ok</v>
      </c>
      <c r="C5554" s="179" t="s">
        <v>369</v>
      </c>
      <c r="D5554" t="s">
        <v>7924</v>
      </c>
      <c r="E5554" t="s">
        <v>7872</v>
      </c>
      <c r="F5554" s="150" t="s">
        <v>7872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50" t="s">
        <v>6434</v>
      </c>
      <c r="M5554" s="178">
        <v>46052</v>
      </c>
      <c r="N5554" s="178"/>
      <c r="O5554" s="178"/>
      <c r="P5554" s="178" t="str">
        <f ca="1">IF(Proc[[#This Row],[DaysAgeing]]&gt;5,"yep","on track")</f>
        <v>on track</v>
      </c>
      <c r="Q5554" s="3">
        <f ca="1">IF(Proc[[#This Row],[DateClosed]]="",ABS(NETWORKDAYS(Proc[[#This Row],[DateOpened]],TODAY()))-1,ABS(NETWORKDAYS(Proc[[#This Row],[DateOpened]],Proc[[#This Row],[DateClosed]]))-1)</f>
        <v>4</v>
      </c>
      <c r="R5554" s="178" t="s">
        <v>7890</v>
      </c>
      <c r="S5554" s="150"/>
    </row>
    <row r="5555" spans="1:19" hidden="1">
      <c r="A5555" s="179" t="s">
        <v>7882</v>
      </c>
      <c r="B5555" s="150" t="str">
        <f>IFERROR(VLOOKUP(Proc[[#This Row],[App]],Table2[],3,0),"open")</f>
        <v>ok</v>
      </c>
      <c r="C5555" s="179" t="s">
        <v>369</v>
      </c>
      <c r="D5555" t="s">
        <v>7925</v>
      </c>
      <c r="E5555" t="s">
        <v>7872</v>
      </c>
      <c r="F5555" s="150" t="s">
        <v>7872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50" t="s">
        <v>6434</v>
      </c>
      <c r="M5555" s="178">
        <v>46052</v>
      </c>
      <c r="N5555" s="178"/>
      <c r="O5555" s="178"/>
      <c r="P5555" s="178" t="str">
        <f ca="1">IF(Proc[[#This Row],[DaysAgeing]]&gt;5,"yep","on track")</f>
        <v>on track</v>
      </c>
      <c r="Q5555" s="3">
        <f ca="1">IF(Proc[[#This Row],[DateClosed]]="",ABS(NETWORKDAYS(Proc[[#This Row],[DateOpened]],TODAY()))-1,ABS(NETWORKDAYS(Proc[[#This Row],[DateOpened]],Proc[[#This Row],[DateClosed]]))-1)</f>
        <v>4</v>
      </c>
      <c r="R5555" s="178" t="s">
        <v>7890</v>
      </c>
      <c r="S5555" s="150"/>
    </row>
    <row r="5556" spans="1:19" hidden="1">
      <c r="A5556" s="179" t="s">
        <v>7882</v>
      </c>
      <c r="B5556" s="150" t="str">
        <f>IFERROR(VLOOKUP(Proc[[#This Row],[App]],Table2[],3,0),"open")</f>
        <v>ok</v>
      </c>
      <c r="C5556" s="179" t="s">
        <v>369</v>
      </c>
      <c r="D5556" t="s">
        <v>7926</v>
      </c>
      <c r="E5556" t="s">
        <v>7872</v>
      </c>
      <c r="F5556" s="150" t="s">
        <v>7872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50" t="s">
        <v>6434</v>
      </c>
      <c r="M5556" s="178">
        <v>46052</v>
      </c>
      <c r="N5556" s="178"/>
      <c r="O5556" s="178"/>
      <c r="P5556" s="178" t="str">
        <f ca="1">IF(Proc[[#This Row],[DaysAgeing]]&gt;5,"yep","on track")</f>
        <v>on track</v>
      </c>
      <c r="Q5556" s="3">
        <f ca="1">IF(Proc[[#This Row],[DateClosed]]="",ABS(NETWORKDAYS(Proc[[#This Row],[DateOpened]],TODAY()))-1,ABS(NETWORKDAYS(Proc[[#This Row],[DateOpened]],Proc[[#This Row],[DateClosed]]))-1)</f>
        <v>4</v>
      </c>
      <c r="R5556" s="178" t="s">
        <v>7890</v>
      </c>
      <c r="S5556" s="150"/>
    </row>
    <row r="5557" spans="1:19" hidden="1">
      <c r="A5557" s="179" t="s">
        <v>7882</v>
      </c>
      <c r="B5557" s="150" t="str">
        <f>IFERROR(VLOOKUP(Proc[[#This Row],[App]],Table2[],3,0),"open")</f>
        <v>ok</v>
      </c>
      <c r="C5557" s="179" t="s">
        <v>369</v>
      </c>
      <c r="D5557" t="s">
        <v>7927</v>
      </c>
      <c r="E5557" t="s">
        <v>7872</v>
      </c>
      <c r="F5557" s="150" t="s">
        <v>7872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50" t="s">
        <v>6434</v>
      </c>
      <c r="M5557" s="178">
        <v>46052</v>
      </c>
      <c r="N5557" s="178"/>
      <c r="O5557" s="178"/>
      <c r="P5557" s="178" t="str">
        <f ca="1">IF(Proc[[#This Row],[DaysAgeing]]&gt;5,"yep","on track")</f>
        <v>on track</v>
      </c>
      <c r="Q5557" s="3">
        <f ca="1">IF(Proc[[#This Row],[DateClosed]]="",ABS(NETWORKDAYS(Proc[[#This Row],[DateOpened]],TODAY()))-1,ABS(NETWORKDAYS(Proc[[#This Row],[DateOpened]],Proc[[#This Row],[DateClosed]]))-1)</f>
        <v>4</v>
      </c>
      <c r="R5557" s="178" t="s">
        <v>7890</v>
      </c>
      <c r="S5557" s="150"/>
    </row>
    <row r="5558" spans="1:19" hidden="1">
      <c r="A5558" s="179" t="s">
        <v>7882</v>
      </c>
      <c r="B5558" s="150" t="str">
        <f>IFERROR(VLOOKUP(Proc[[#This Row],[App]],Table2[],3,0),"open")</f>
        <v>ok</v>
      </c>
      <c r="C5558" s="179" t="s">
        <v>369</v>
      </c>
      <c r="D5558" t="s">
        <v>7928</v>
      </c>
      <c r="E5558" t="s">
        <v>7872</v>
      </c>
      <c r="F5558" s="150" t="s">
        <v>7872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50" t="s">
        <v>6434</v>
      </c>
      <c r="M5558" s="178">
        <v>46052</v>
      </c>
      <c r="N5558" s="178"/>
      <c r="O5558" s="178"/>
      <c r="P5558" s="178" t="str">
        <f ca="1">IF(Proc[[#This Row],[DaysAgeing]]&gt;5,"yep","on track")</f>
        <v>on track</v>
      </c>
      <c r="Q5558" s="3">
        <f ca="1">IF(Proc[[#This Row],[DateClosed]]="",ABS(NETWORKDAYS(Proc[[#This Row],[DateOpened]],TODAY()))-1,ABS(NETWORKDAYS(Proc[[#This Row],[DateOpened]],Proc[[#This Row],[DateClosed]]))-1)</f>
        <v>4</v>
      </c>
      <c r="R5558" s="178" t="s">
        <v>7890</v>
      </c>
      <c r="S5558" s="150"/>
    </row>
    <row r="5559" spans="1:19" hidden="1">
      <c r="A5559" s="179" t="s">
        <v>7882</v>
      </c>
      <c r="B5559" s="150" t="str">
        <f>IFERROR(VLOOKUP(Proc[[#This Row],[App]],Table2[],3,0),"open")</f>
        <v>ok</v>
      </c>
      <c r="C5559" s="179" t="s">
        <v>369</v>
      </c>
      <c r="D5559" t="s">
        <v>7929</v>
      </c>
      <c r="E5559" t="s">
        <v>7872</v>
      </c>
      <c r="F5559" s="150" t="s">
        <v>7872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50" t="s">
        <v>6434</v>
      </c>
      <c r="M5559" s="178">
        <v>46052</v>
      </c>
      <c r="N5559" s="178"/>
      <c r="O5559" s="178"/>
      <c r="P5559" s="178" t="str">
        <f ca="1">IF(Proc[[#This Row],[DaysAgeing]]&gt;5,"yep","on track")</f>
        <v>on track</v>
      </c>
      <c r="Q5559" s="3">
        <f ca="1">IF(Proc[[#This Row],[DateClosed]]="",ABS(NETWORKDAYS(Proc[[#This Row],[DateOpened]],TODAY()))-1,ABS(NETWORKDAYS(Proc[[#This Row],[DateOpened]],Proc[[#This Row],[DateClosed]]))-1)</f>
        <v>4</v>
      </c>
      <c r="R5559" s="178" t="s">
        <v>7890</v>
      </c>
      <c r="S5559" s="150"/>
    </row>
    <row r="5560" spans="1:19" hidden="1">
      <c r="A5560" s="179" t="s">
        <v>7882</v>
      </c>
      <c r="B5560" s="150" t="str">
        <f>IFERROR(VLOOKUP(Proc[[#This Row],[App]],Table2[],3,0),"open")</f>
        <v>ok</v>
      </c>
      <c r="C5560" s="179" t="s">
        <v>369</v>
      </c>
      <c r="D5560" t="s">
        <v>7930</v>
      </c>
      <c r="E5560" t="s">
        <v>7872</v>
      </c>
      <c r="F5560" s="150" t="s">
        <v>7872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50" t="s">
        <v>6434</v>
      </c>
      <c r="M5560" s="178">
        <v>46052</v>
      </c>
      <c r="N5560" s="178"/>
      <c r="O5560" s="178"/>
      <c r="P5560" s="178" t="str">
        <f ca="1">IF(Proc[[#This Row],[DaysAgeing]]&gt;5,"yep","on track")</f>
        <v>on track</v>
      </c>
      <c r="Q5560" s="3">
        <f ca="1">IF(Proc[[#This Row],[DateClosed]]="",ABS(NETWORKDAYS(Proc[[#This Row],[DateOpened]],TODAY()))-1,ABS(NETWORKDAYS(Proc[[#This Row],[DateOpened]],Proc[[#This Row],[DateClosed]]))-1)</f>
        <v>4</v>
      </c>
      <c r="R5560" s="178" t="s">
        <v>7890</v>
      </c>
      <c r="S5560" s="150"/>
    </row>
    <row r="5561" spans="1:19" hidden="1">
      <c r="A5561" s="179" t="s">
        <v>7882</v>
      </c>
      <c r="B5561" s="150" t="str">
        <f>IFERROR(VLOOKUP(Proc[[#This Row],[App]],Table2[],3,0),"open")</f>
        <v>ok</v>
      </c>
      <c r="C5561" s="179" t="s">
        <v>369</v>
      </c>
      <c r="D5561" t="s">
        <v>7931</v>
      </c>
      <c r="E5561" t="s">
        <v>7872</v>
      </c>
      <c r="F5561" s="150" t="s">
        <v>7872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50" t="s">
        <v>6434</v>
      </c>
      <c r="M5561" s="178">
        <v>46052</v>
      </c>
      <c r="N5561" s="178"/>
      <c r="O5561" s="178"/>
      <c r="P5561" s="178" t="str">
        <f ca="1">IF(Proc[[#This Row],[DaysAgeing]]&gt;5,"yep","on track")</f>
        <v>on track</v>
      </c>
      <c r="Q5561" s="3">
        <f ca="1">IF(Proc[[#This Row],[DateClosed]]="",ABS(NETWORKDAYS(Proc[[#This Row],[DateOpened]],TODAY()))-1,ABS(NETWORKDAYS(Proc[[#This Row],[DateOpened]],Proc[[#This Row],[DateClosed]]))-1)</f>
        <v>4</v>
      </c>
      <c r="R5561" s="178" t="s">
        <v>7890</v>
      </c>
      <c r="S5561" s="150"/>
    </row>
    <row r="5562" spans="1:19" hidden="1">
      <c r="A5562" s="179" t="s">
        <v>7882</v>
      </c>
      <c r="B5562" s="150" t="str">
        <f>IFERROR(VLOOKUP(Proc[[#This Row],[App]],Table2[],3,0),"open")</f>
        <v>ok</v>
      </c>
      <c r="C5562" s="179" t="s">
        <v>369</v>
      </c>
      <c r="D5562" t="s">
        <v>7932</v>
      </c>
      <c r="E5562" t="s">
        <v>7872</v>
      </c>
      <c r="F5562" s="150" t="s">
        <v>7872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50" t="s">
        <v>6434</v>
      </c>
      <c r="M5562" s="178">
        <v>46052</v>
      </c>
      <c r="N5562" s="178"/>
      <c r="O5562" s="178"/>
      <c r="P5562" s="178" t="str">
        <f ca="1">IF(Proc[[#This Row],[DaysAgeing]]&gt;5,"yep","on track")</f>
        <v>on track</v>
      </c>
      <c r="Q5562" s="3">
        <f ca="1">IF(Proc[[#This Row],[DateClosed]]="",ABS(NETWORKDAYS(Proc[[#This Row],[DateOpened]],TODAY()))-1,ABS(NETWORKDAYS(Proc[[#This Row],[DateOpened]],Proc[[#This Row],[DateClosed]]))-1)</f>
        <v>4</v>
      </c>
      <c r="R5562" s="178" t="s">
        <v>7890</v>
      </c>
      <c r="S5562" s="150"/>
    </row>
    <row r="5563" spans="1:19" hidden="1">
      <c r="A5563" s="179" t="s">
        <v>7882</v>
      </c>
      <c r="B5563" s="150" t="str">
        <f>IFERROR(VLOOKUP(Proc[[#This Row],[App]],Table2[],3,0),"open")</f>
        <v>ok</v>
      </c>
      <c r="C5563" s="179" t="s">
        <v>369</v>
      </c>
      <c r="D5563" t="s">
        <v>7933</v>
      </c>
      <c r="E5563" t="s">
        <v>7872</v>
      </c>
      <c r="F5563" s="150" t="s">
        <v>7872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50" t="s">
        <v>6434</v>
      </c>
      <c r="M5563" s="178">
        <v>46052</v>
      </c>
      <c r="N5563" s="178"/>
      <c r="O5563" s="178"/>
      <c r="P5563" s="178" t="str">
        <f ca="1">IF(Proc[[#This Row],[DaysAgeing]]&gt;5,"yep","on track")</f>
        <v>on track</v>
      </c>
      <c r="Q5563" s="3">
        <f ca="1">IF(Proc[[#This Row],[DateClosed]]="",ABS(NETWORKDAYS(Proc[[#This Row],[DateOpened]],TODAY()))-1,ABS(NETWORKDAYS(Proc[[#This Row],[DateOpened]],Proc[[#This Row],[DateClosed]]))-1)</f>
        <v>4</v>
      </c>
      <c r="R5563" s="178" t="s">
        <v>7890</v>
      </c>
      <c r="S5563" s="150"/>
    </row>
    <row r="5564" spans="1:19" hidden="1">
      <c r="A5564" s="179" t="s">
        <v>7882</v>
      </c>
      <c r="B5564" s="150" t="str">
        <f>IFERROR(VLOOKUP(Proc[[#This Row],[App]],Table2[],3,0),"open")</f>
        <v>ok</v>
      </c>
      <c r="C5564" s="179" t="s">
        <v>369</v>
      </c>
      <c r="D5564" t="s">
        <v>7934</v>
      </c>
      <c r="E5564" t="s">
        <v>7872</v>
      </c>
      <c r="F5564" s="150" t="s">
        <v>7872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50" t="s">
        <v>6434</v>
      </c>
      <c r="M5564" s="178">
        <v>46052</v>
      </c>
      <c r="N5564" s="178"/>
      <c r="O5564" s="178"/>
      <c r="P5564" s="178" t="str">
        <f ca="1">IF(Proc[[#This Row],[DaysAgeing]]&gt;5,"yep","on track")</f>
        <v>on track</v>
      </c>
      <c r="Q5564" s="3">
        <f ca="1">IF(Proc[[#This Row],[DateClosed]]="",ABS(NETWORKDAYS(Proc[[#This Row],[DateOpened]],TODAY()))-1,ABS(NETWORKDAYS(Proc[[#This Row],[DateOpened]],Proc[[#This Row],[DateClosed]]))-1)</f>
        <v>4</v>
      </c>
      <c r="R5564" s="178" t="s">
        <v>7890</v>
      </c>
      <c r="S5564" s="150"/>
    </row>
    <row r="5565" spans="1:19" hidden="1">
      <c r="A5565" s="179" t="s">
        <v>7882</v>
      </c>
      <c r="B5565" s="150" t="str">
        <f>IFERROR(VLOOKUP(Proc[[#This Row],[App]],Table2[],3,0),"open")</f>
        <v>ok</v>
      </c>
      <c r="C5565" s="179" t="s">
        <v>369</v>
      </c>
      <c r="D5565" t="s">
        <v>7935</v>
      </c>
      <c r="E5565" t="s">
        <v>7872</v>
      </c>
      <c r="F5565" s="150" t="s">
        <v>7872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50" t="s">
        <v>6434</v>
      </c>
      <c r="M5565" s="178">
        <v>46052</v>
      </c>
      <c r="N5565" s="178"/>
      <c r="O5565" s="178"/>
      <c r="P5565" s="178" t="str">
        <f ca="1">IF(Proc[[#This Row],[DaysAgeing]]&gt;5,"yep","on track")</f>
        <v>on track</v>
      </c>
      <c r="Q5565" s="3">
        <f ca="1">IF(Proc[[#This Row],[DateClosed]]="",ABS(NETWORKDAYS(Proc[[#This Row],[DateOpened]],TODAY()))-1,ABS(NETWORKDAYS(Proc[[#This Row],[DateOpened]],Proc[[#This Row],[DateClosed]]))-1)</f>
        <v>4</v>
      </c>
      <c r="R5565" s="178" t="s">
        <v>7890</v>
      </c>
      <c r="S5565" s="150"/>
    </row>
    <row r="5566" spans="1:19" hidden="1">
      <c r="A5566" s="179" t="s">
        <v>7882</v>
      </c>
      <c r="B5566" s="150" t="str">
        <f>IFERROR(VLOOKUP(Proc[[#This Row],[App]],Table2[],3,0),"open")</f>
        <v>ok</v>
      </c>
      <c r="C5566" s="179" t="s">
        <v>369</v>
      </c>
      <c r="D5566" t="s">
        <v>7936</v>
      </c>
      <c r="E5566" t="s">
        <v>7872</v>
      </c>
      <c r="F5566" s="150" t="s">
        <v>7872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50" t="s">
        <v>6434</v>
      </c>
      <c r="M5566" s="178">
        <v>46052</v>
      </c>
      <c r="N5566" s="178"/>
      <c r="O5566" s="178"/>
      <c r="P5566" s="178" t="str">
        <f ca="1">IF(Proc[[#This Row],[DaysAgeing]]&gt;5,"yep","on track")</f>
        <v>on track</v>
      </c>
      <c r="Q5566" s="3">
        <f ca="1">IF(Proc[[#This Row],[DateClosed]]="",ABS(NETWORKDAYS(Proc[[#This Row],[DateOpened]],TODAY()))-1,ABS(NETWORKDAYS(Proc[[#This Row],[DateOpened]],Proc[[#This Row],[DateClosed]]))-1)</f>
        <v>4</v>
      </c>
      <c r="R5566" s="178" t="s">
        <v>7890</v>
      </c>
      <c r="S5566" s="150"/>
    </row>
    <row r="5567" spans="1:19" hidden="1">
      <c r="A5567" s="179" t="s">
        <v>7882</v>
      </c>
      <c r="B5567" s="150" t="str">
        <f>IFERROR(VLOOKUP(Proc[[#This Row],[App]],Table2[],3,0),"open")</f>
        <v>ok</v>
      </c>
      <c r="C5567" s="179" t="s">
        <v>369</v>
      </c>
      <c r="D5567" t="s">
        <v>7937</v>
      </c>
      <c r="E5567" t="s">
        <v>7872</v>
      </c>
      <c r="F5567" s="150" t="s">
        <v>7872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50" t="s">
        <v>6434</v>
      </c>
      <c r="M5567" s="178">
        <v>46052</v>
      </c>
      <c r="N5567" s="178"/>
      <c r="O5567" s="178"/>
      <c r="P5567" s="178" t="str">
        <f ca="1">IF(Proc[[#This Row],[DaysAgeing]]&gt;5,"yep","on track")</f>
        <v>on track</v>
      </c>
      <c r="Q5567" s="3">
        <f ca="1">IF(Proc[[#This Row],[DateClosed]]="",ABS(NETWORKDAYS(Proc[[#This Row],[DateOpened]],TODAY()))-1,ABS(NETWORKDAYS(Proc[[#This Row],[DateOpened]],Proc[[#This Row],[DateClosed]]))-1)</f>
        <v>4</v>
      </c>
      <c r="R5567" s="178" t="s">
        <v>7890</v>
      </c>
      <c r="S5567" s="150"/>
    </row>
    <row r="5568" spans="1:19" hidden="1">
      <c r="A5568" s="179" t="s">
        <v>7882</v>
      </c>
      <c r="B5568" s="150" t="str">
        <f>IFERROR(VLOOKUP(Proc[[#This Row],[App]],Table2[],3,0),"open")</f>
        <v>ok</v>
      </c>
      <c r="C5568" s="179" t="s">
        <v>369</v>
      </c>
      <c r="D5568" t="s">
        <v>7938</v>
      </c>
      <c r="E5568" t="s">
        <v>7871</v>
      </c>
      <c r="F5568" s="150" t="s">
        <v>7871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50" t="s">
        <v>6434</v>
      </c>
      <c r="M5568" s="178">
        <v>46052</v>
      </c>
      <c r="N5568" s="178"/>
      <c r="O5568" s="178"/>
      <c r="P5568" s="178" t="str">
        <f ca="1">IF(Proc[[#This Row],[DaysAgeing]]&gt;5,"yep","on track")</f>
        <v>on track</v>
      </c>
      <c r="Q5568" s="3">
        <f ca="1">IF(Proc[[#This Row],[DateClosed]]="",ABS(NETWORKDAYS(Proc[[#This Row],[DateOpened]],TODAY()))-1,ABS(NETWORKDAYS(Proc[[#This Row],[DateOpened]],Proc[[#This Row],[DateClosed]]))-1)</f>
        <v>4</v>
      </c>
      <c r="R5568" s="178" t="s">
        <v>7890</v>
      </c>
      <c r="S5568" s="150"/>
    </row>
    <row r="5569" spans="1:19" hidden="1">
      <c r="A5569" s="179" t="s">
        <v>7882</v>
      </c>
      <c r="B5569" s="150" t="str">
        <f>IFERROR(VLOOKUP(Proc[[#This Row],[App]],Table2[],3,0),"open")</f>
        <v>ok</v>
      </c>
      <c r="C5569" s="179" t="s">
        <v>369</v>
      </c>
      <c r="D5569" t="s">
        <v>7939</v>
      </c>
      <c r="E5569" t="s">
        <v>7873</v>
      </c>
      <c r="F5569" s="150" t="s">
        <v>7873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50" t="s">
        <v>6434</v>
      </c>
      <c r="M5569" s="178">
        <v>46052</v>
      </c>
      <c r="N5569" s="178"/>
      <c r="O5569" s="178"/>
      <c r="P5569" s="178" t="str">
        <f ca="1">IF(Proc[[#This Row],[DaysAgeing]]&gt;5,"yep","on track")</f>
        <v>on track</v>
      </c>
      <c r="Q5569" s="3">
        <f ca="1">IF(Proc[[#This Row],[DateClosed]]="",ABS(NETWORKDAYS(Proc[[#This Row],[DateOpened]],TODAY()))-1,ABS(NETWORKDAYS(Proc[[#This Row],[DateOpened]],Proc[[#This Row],[DateClosed]]))-1)</f>
        <v>4</v>
      </c>
      <c r="R5569" s="178" t="s">
        <v>7890</v>
      </c>
      <c r="S5569" s="150"/>
    </row>
    <row r="5570" spans="1:19" hidden="1">
      <c r="A5570" s="179" t="s">
        <v>7882</v>
      </c>
      <c r="B5570" s="150" t="str">
        <f>IFERROR(VLOOKUP(Proc[[#This Row],[App]],Table2[],3,0),"open")</f>
        <v>ok</v>
      </c>
      <c r="C5570" s="179" t="s">
        <v>369</v>
      </c>
      <c r="D5570" t="s">
        <v>7940</v>
      </c>
      <c r="E5570" t="s">
        <v>7874</v>
      </c>
      <c r="F5570" s="150" t="s">
        <v>7874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50" t="s">
        <v>6434</v>
      </c>
      <c r="M5570" s="178">
        <v>46052</v>
      </c>
      <c r="N5570" s="178"/>
      <c r="O5570" s="178"/>
      <c r="P5570" s="178" t="str">
        <f ca="1">IF(Proc[[#This Row],[DaysAgeing]]&gt;5,"yep","on track")</f>
        <v>on track</v>
      </c>
      <c r="Q5570" s="3">
        <f ca="1">IF(Proc[[#This Row],[DateClosed]]="",ABS(NETWORKDAYS(Proc[[#This Row],[DateOpened]],TODAY()))-1,ABS(NETWORKDAYS(Proc[[#This Row],[DateOpened]],Proc[[#This Row],[DateClosed]]))-1)</f>
        <v>4</v>
      </c>
      <c r="R5570" s="178" t="s">
        <v>7890</v>
      </c>
      <c r="S5570" s="150"/>
    </row>
    <row r="5571" spans="1:19" hidden="1">
      <c r="A5571" s="179" t="s">
        <v>7882</v>
      </c>
      <c r="B5571" s="150" t="str">
        <f>IFERROR(VLOOKUP(Proc[[#This Row],[App]],Table2[],3,0),"open")</f>
        <v>ok</v>
      </c>
      <c r="C5571" s="179" t="s">
        <v>369</v>
      </c>
      <c r="D5571" t="s">
        <v>7941</v>
      </c>
      <c r="E5571" t="s">
        <v>7875</v>
      </c>
      <c r="F5571" s="150" t="s">
        <v>7875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50" t="s">
        <v>6434</v>
      </c>
      <c r="M5571" s="178">
        <v>46052</v>
      </c>
      <c r="N5571" s="178"/>
      <c r="O5571" s="178"/>
      <c r="P5571" s="178" t="str">
        <f ca="1">IF(Proc[[#This Row],[DaysAgeing]]&gt;5,"yep","on track")</f>
        <v>on track</v>
      </c>
      <c r="Q5571" s="3">
        <f ca="1">IF(Proc[[#This Row],[DateClosed]]="",ABS(NETWORKDAYS(Proc[[#This Row],[DateOpened]],TODAY()))-1,ABS(NETWORKDAYS(Proc[[#This Row],[DateOpened]],Proc[[#This Row],[DateClosed]]))-1)</f>
        <v>4</v>
      </c>
      <c r="R5571" s="178" t="s">
        <v>7890</v>
      </c>
      <c r="S5571" s="150"/>
    </row>
    <row r="5572" spans="1:19" hidden="1">
      <c r="A5572" s="179" t="s">
        <v>7882</v>
      </c>
      <c r="B5572" s="150" t="str">
        <f>IFERROR(VLOOKUP(Proc[[#This Row],[App]],Table2[],3,0),"open")</f>
        <v>ok</v>
      </c>
      <c r="C5572" s="179" t="s">
        <v>369</v>
      </c>
      <c r="D5572" t="s">
        <v>7942</v>
      </c>
      <c r="E5572" t="s">
        <v>7875</v>
      </c>
      <c r="F5572" s="150" t="s">
        <v>7875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50" t="s">
        <v>6434</v>
      </c>
      <c r="M5572" s="178">
        <v>46052</v>
      </c>
      <c r="N5572" s="178"/>
      <c r="O5572" s="178"/>
      <c r="P5572" s="178" t="str">
        <f ca="1">IF(Proc[[#This Row],[DaysAgeing]]&gt;5,"yep","on track")</f>
        <v>on track</v>
      </c>
      <c r="Q5572" s="3">
        <f ca="1">IF(Proc[[#This Row],[DateClosed]]="",ABS(NETWORKDAYS(Proc[[#This Row],[DateOpened]],TODAY()))-1,ABS(NETWORKDAYS(Proc[[#This Row],[DateOpened]],Proc[[#This Row],[DateClosed]]))-1)</f>
        <v>4</v>
      </c>
      <c r="R5572" s="178" t="s">
        <v>7890</v>
      </c>
      <c r="S5572" s="150"/>
    </row>
    <row r="5573" spans="1:19" hidden="1">
      <c r="A5573" s="179" t="s">
        <v>7882</v>
      </c>
      <c r="B5573" s="150" t="str">
        <f>IFERROR(VLOOKUP(Proc[[#This Row],[App]],Table2[],3,0),"open")</f>
        <v>ok</v>
      </c>
      <c r="C5573" s="179" t="s">
        <v>369</v>
      </c>
      <c r="D5573" t="s">
        <v>7943</v>
      </c>
      <c r="E5573" t="s">
        <v>7875</v>
      </c>
      <c r="F5573" s="150" t="s">
        <v>7875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50" t="s">
        <v>6434</v>
      </c>
      <c r="M5573" s="178">
        <v>46052</v>
      </c>
      <c r="N5573" s="178"/>
      <c r="O5573" s="178"/>
      <c r="P5573" s="178" t="str">
        <f ca="1">IF(Proc[[#This Row],[DaysAgeing]]&gt;5,"yep","on track")</f>
        <v>on track</v>
      </c>
      <c r="Q5573" s="3">
        <f ca="1">IF(Proc[[#This Row],[DateClosed]]="",ABS(NETWORKDAYS(Proc[[#This Row],[DateOpened]],TODAY()))-1,ABS(NETWORKDAYS(Proc[[#This Row],[DateOpened]],Proc[[#This Row],[DateClosed]]))-1)</f>
        <v>4</v>
      </c>
      <c r="R5573" s="178" t="s">
        <v>7890</v>
      </c>
      <c r="S5573" s="150"/>
    </row>
    <row r="5574" spans="1:19" hidden="1">
      <c r="A5574" s="179" t="s">
        <v>7882</v>
      </c>
      <c r="B5574" s="150" t="str">
        <f>IFERROR(VLOOKUP(Proc[[#This Row],[App]],Table2[],3,0),"open")</f>
        <v>ok</v>
      </c>
      <c r="C5574" s="179" t="s">
        <v>369</v>
      </c>
      <c r="D5574" t="s">
        <v>7944</v>
      </c>
      <c r="E5574" t="s">
        <v>7876</v>
      </c>
      <c r="F5574" s="150" t="s">
        <v>7876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50" t="s">
        <v>6434</v>
      </c>
      <c r="M5574" s="178">
        <v>46052</v>
      </c>
      <c r="N5574" s="178"/>
      <c r="O5574" s="178"/>
      <c r="P5574" s="178" t="str">
        <f ca="1">IF(Proc[[#This Row],[DaysAgeing]]&gt;5,"yep","on track")</f>
        <v>on track</v>
      </c>
      <c r="Q5574" s="3">
        <f ca="1">IF(Proc[[#This Row],[DateClosed]]="",ABS(NETWORKDAYS(Proc[[#This Row],[DateOpened]],TODAY()))-1,ABS(NETWORKDAYS(Proc[[#This Row],[DateOpened]],Proc[[#This Row],[DateClosed]]))-1)</f>
        <v>4</v>
      </c>
      <c r="R5574" s="178" t="s">
        <v>7890</v>
      </c>
      <c r="S5574" s="150"/>
    </row>
    <row r="5575" spans="1:19" hidden="1">
      <c r="A5575" s="179" t="s">
        <v>7882</v>
      </c>
      <c r="B5575" s="150" t="str">
        <f>IFERROR(VLOOKUP(Proc[[#This Row],[App]],Table2[],3,0),"open")</f>
        <v>ok</v>
      </c>
      <c r="C5575" s="179" t="s">
        <v>369</v>
      </c>
      <c r="D5575" t="s">
        <v>7945</v>
      </c>
      <c r="E5575" t="s">
        <v>7876</v>
      </c>
      <c r="F5575" s="150" t="s">
        <v>7876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50" t="s">
        <v>6434</v>
      </c>
      <c r="M5575" s="178">
        <v>46052</v>
      </c>
      <c r="N5575" s="178"/>
      <c r="O5575" s="178"/>
      <c r="P5575" s="178" t="str">
        <f ca="1">IF(Proc[[#This Row],[DaysAgeing]]&gt;5,"yep","on track")</f>
        <v>on track</v>
      </c>
      <c r="Q5575" s="3">
        <f ca="1">IF(Proc[[#This Row],[DateClosed]]="",ABS(NETWORKDAYS(Proc[[#This Row],[DateOpened]],TODAY()))-1,ABS(NETWORKDAYS(Proc[[#This Row],[DateOpened]],Proc[[#This Row],[DateClosed]]))-1)</f>
        <v>4</v>
      </c>
      <c r="R5575" s="178" t="s">
        <v>7890</v>
      </c>
      <c r="S5575" s="150"/>
    </row>
    <row r="5576" spans="1:19" hidden="1">
      <c r="A5576" s="179" t="s">
        <v>7882</v>
      </c>
      <c r="B5576" s="150" t="str">
        <f>IFERROR(VLOOKUP(Proc[[#This Row],[App]],Table2[],3,0),"open")</f>
        <v>ok</v>
      </c>
      <c r="C5576" s="179" t="s">
        <v>369</v>
      </c>
      <c r="D5576" t="s">
        <v>7946</v>
      </c>
      <c r="E5576" t="s">
        <v>7876</v>
      </c>
      <c r="F5576" s="150" t="s">
        <v>7876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50" t="s">
        <v>6434</v>
      </c>
      <c r="M5576" s="178">
        <v>46052</v>
      </c>
      <c r="N5576" s="178"/>
      <c r="O5576" s="178"/>
      <c r="P5576" s="178" t="str">
        <f ca="1">IF(Proc[[#This Row],[DaysAgeing]]&gt;5,"yep","on track")</f>
        <v>on track</v>
      </c>
      <c r="Q5576" s="3">
        <f ca="1">IF(Proc[[#This Row],[DateClosed]]="",ABS(NETWORKDAYS(Proc[[#This Row],[DateOpened]],TODAY()))-1,ABS(NETWORKDAYS(Proc[[#This Row],[DateOpened]],Proc[[#This Row],[DateClosed]]))-1)</f>
        <v>4</v>
      </c>
      <c r="R5576" s="178" t="s">
        <v>7890</v>
      </c>
      <c r="S5576" s="150"/>
    </row>
    <row r="5577" spans="1:19" hidden="1">
      <c r="A5577" s="179" t="s">
        <v>7882</v>
      </c>
      <c r="B5577" s="150" t="str">
        <f>IFERROR(VLOOKUP(Proc[[#This Row],[App]],Table2[],3,0),"open")</f>
        <v>ok</v>
      </c>
      <c r="C5577" s="179" t="s">
        <v>369</v>
      </c>
      <c r="D5577" t="s">
        <v>7947</v>
      </c>
      <c r="E5577" t="s">
        <v>7877</v>
      </c>
      <c r="F5577" s="150" t="s">
        <v>7877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50" t="s">
        <v>6434</v>
      </c>
      <c r="M5577" s="178">
        <v>46052</v>
      </c>
      <c r="N5577" s="178"/>
      <c r="O5577" s="178"/>
      <c r="P5577" s="178" t="str">
        <f ca="1">IF(Proc[[#This Row],[DaysAgeing]]&gt;5,"yep","on track")</f>
        <v>on track</v>
      </c>
      <c r="Q5577" s="3">
        <f ca="1">IF(Proc[[#This Row],[DateClosed]]="",ABS(NETWORKDAYS(Proc[[#This Row],[DateOpened]],TODAY()))-1,ABS(NETWORKDAYS(Proc[[#This Row],[DateOpened]],Proc[[#This Row],[DateClosed]]))-1)</f>
        <v>4</v>
      </c>
      <c r="R5577" s="178" t="s">
        <v>7890</v>
      </c>
      <c r="S5577" s="150"/>
    </row>
    <row r="5578" spans="1:19" hidden="1">
      <c r="A5578" s="179" t="s">
        <v>7882</v>
      </c>
      <c r="B5578" s="150" t="str">
        <f>IFERROR(VLOOKUP(Proc[[#This Row],[App]],Table2[],3,0),"open")</f>
        <v>ok</v>
      </c>
      <c r="C5578" s="179" t="s">
        <v>369</v>
      </c>
      <c r="D5578" t="s">
        <v>7948</v>
      </c>
      <c r="E5578" t="s">
        <v>7877</v>
      </c>
      <c r="F5578" s="150" t="s">
        <v>7877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50" t="s">
        <v>6434</v>
      </c>
      <c r="M5578" s="178">
        <v>46052</v>
      </c>
      <c r="N5578" s="178"/>
      <c r="O5578" s="178"/>
      <c r="P5578" s="178" t="str">
        <f ca="1">IF(Proc[[#This Row],[DaysAgeing]]&gt;5,"yep","on track")</f>
        <v>on track</v>
      </c>
      <c r="Q5578" s="3">
        <f ca="1">IF(Proc[[#This Row],[DateClosed]]="",ABS(NETWORKDAYS(Proc[[#This Row],[DateOpened]],TODAY()))-1,ABS(NETWORKDAYS(Proc[[#This Row],[DateOpened]],Proc[[#This Row],[DateClosed]]))-1)</f>
        <v>4</v>
      </c>
      <c r="R5578" s="178" t="s">
        <v>7890</v>
      </c>
      <c r="S5578" s="150"/>
    </row>
    <row r="5579" spans="1:19" hidden="1">
      <c r="A5579" s="179" t="s">
        <v>7882</v>
      </c>
      <c r="B5579" s="150" t="str">
        <f>IFERROR(VLOOKUP(Proc[[#This Row],[App]],Table2[],3,0),"open")</f>
        <v>ok</v>
      </c>
      <c r="C5579" s="179" t="s">
        <v>369</v>
      </c>
      <c r="D5579" t="s">
        <v>7949</v>
      </c>
      <c r="E5579" t="s">
        <v>7877</v>
      </c>
      <c r="F5579" s="150" t="s">
        <v>7877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50" t="s">
        <v>6434</v>
      </c>
      <c r="M5579" s="178">
        <v>46052</v>
      </c>
      <c r="N5579" s="178"/>
      <c r="O5579" s="178"/>
      <c r="P5579" s="178" t="str">
        <f ca="1">IF(Proc[[#This Row],[DaysAgeing]]&gt;5,"yep","on track")</f>
        <v>on track</v>
      </c>
      <c r="Q5579" s="3">
        <f ca="1">IF(Proc[[#This Row],[DateClosed]]="",ABS(NETWORKDAYS(Proc[[#This Row],[DateOpened]],TODAY()))-1,ABS(NETWORKDAYS(Proc[[#This Row],[DateOpened]],Proc[[#This Row],[DateClosed]]))-1)</f>
        <v>4</v>
      </c>
      <c r="R5579" s="178" t="s">
        <v>7890</v>
      </c>
      <c r="S5579" s="150"/>
    </row>
    <row r="5580" spans="1:19" hidden="1">
      <c r="A5580" s="179" t="s">
        <v>7882</v>
      </c>
      <c r="B5580" s="150" t="str">
        <f>IFERROR(VLOOKUP(Proc[[#This Row],[App]],Table2[],3,0),"open")</f>
        <v>ok</v>
      </c>
      <c r="C5580" s="179" t="s">
        <v>369</v>
      </c>
      <c r="D5580" t="s">
        <v>7950</v>
      </c>
      <c r="E5580" t="s">
        <v>7878</v>
      </c>
      <c r="F5580" s="150" t="s">
        <v>7878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50" t="s">
        <v>6434</v>
      </c>
      <c r="M5580" s="178">
        <v>46052</v>
      </c>
      <c r="N5580" s="178"/>
      <c r="O5580" s="178"/>
      <c r="P5580" s="178" t="str">
        <f ca="1">IF(Proc[[#This Row],[DaysAgeing]]&gt;5,"yep","on track")</f>
        <v>on track</v>
      </c>
      <c r="Q5580" s="3">
        <f ca="1">IF(Proc[[#This Row],[DateClosed]]="",ABS(NETWORKDAYS(Proc[[#This Row],[DateOpened]],TODAY()))-1,ABS(NETWORKDAYS(Proc[[#This Row],[DateOpened]],Proc[[#This Row],[DateClosed]]))-1)</f>
        <v>4</v>
      </c>
      <c r="R5580" s="178" t="s">
        <v>7890</v>
      </c>
      <c r="S5580" s="150"/>
    </row>
    <row r="5581" spans="1:19" hidden="1">
      <c r="A5581" s="179" t="s">
        <v>7882</v>
      </c>
      <c r="B5581" s="150" t="str">
        <f>IFERROR(VLOOKUP(Proc[[#This Row],[App]],Table2[],3,0),"open")</f>
        <v>ok</v>
      </c>
      <c r="C5581" s="179" t="s">
        <v>369</v>
      </c>
      <c r="D5581" t="s">
        <v>7951</v>
      </c>
      <c r="E5581" t="s">
        <v>7878</v>
      </c>
      <c r="F5581" s="150" t="s">
        <v>7878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50" t="s">
        <v>6434</v>
      </c>
      <c r="M5581" s="178">
        <v>46052</v>
      </c>
      <c r="N5581" s="178"/>
      <c r="O5581" s="178"/>
      <c r="P5581" s="178" t="str">
        <f ca="1">IF(Proc[[#This Row],[DaysAgeing]]&gt;5,"yep","on track")</f>
        <v>on track</v>
      </c>
      <c r="Q5581" s="3">
        <f ca="1">IF(Proc[[#This Row],[DateClosed]]="",ABS(NETWORKDAYS(Proc[[#This Row],[DateOpened]],TODAY()))-1,ABS(NETWORKDAYS(Proc[[#This Row],[DateOpened]],Proc[[#This Row],[DateClosed]]))-1)</f>
        <v>4</v>
      </c>
      <c r="R5581" s="178" t="s">
        <v>7890</v>
      </c>
      <c r="S5581" s="150"/>
    </row>
    <row r="5582" spans="1:19" hidden="1">
      <c r="A5582" s="179" t="s">
        <v>7882</v>
      </c>
      <c r="B5582" s="150" t="str">
        <f>IFERROR(VLOOKUP(Proc[[#This Row],[App]],Table2[],3,0),"open")</f>
        <v>ok</v>
      </c>
      <c r="C5582" s="179" t="s">
        <v>369</v>
      </c>
      <c r="D5582" t="s">
        <v>7952</v>
      </c>
      <c r="E5582" t="s">
        <v>7879</v>
      </c>
      <c r="F5582" s="150" t="s">
        <v>7879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50" t="s">
        <v>6434</v>
      </c>
      <c r="M5582" s="178">
        <v>46052</v>
      </c>
      <c r="N5582" s="178"/>
      <c r="O5582" s="178"/>
      <c r="P5582" s="178" t="str">
        <f ca="1">IF(Proc[[#This Row],[DaysAgeing]]&gt;5,"yep","on track")</f>
        <v>on track</v>
      </c>
      <c r="Q5582" s="3">
        <f ca="1">IF(Proc[[#This Row],[DateClosed]]="",ABS(NETWORKDAYS(Proc[[#This Row],[DateOpened]],TODAY()))-1,ABS(NETWORKDAYS(Proc[[#This Row],[DateOpened]],Proc[[#This Row],[DateClosed]]))-1)</f>
        <v>4</v>
      </c>
      <c r="R5582" s="178" t="s">
        <v>7890</v>
      </c>
      <c r="S5582" s="150"/>
    </row>
    <row r="5583" spans="1:19" hidden="1">
      <c r="A5583" s="179" t="s">
        <v>7882</v>
      </c>
      <c r="B5583" s="150" t="str">
        <f>IFERROR(VLOOKUP(Proc[[#This Row],[App]],Table2[],3,0),"open")</f>
        <v>ok</v>
      </c>
      <c r="C5583" s="179" t="s">
        <v>369</v>
      </c>
      <c r="D5583" t="s">
        <v>7953</v>
      </c>
      <c r="E5583" t="s">
        <v>7880</v>
      </c>
      <c r="F5583" s="150" t="s">
        <v>7880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50" t="s">
        <v>6434</v>
      </c>
      <c r="M5583" s="178">
        <v>46052</v>
      </c>
      <c r="N5583" s="178"/>
      <c r="O5583" s="178"/>
      <c r="P5583" s="178" t="str">
        <f ca="1">IF(Proc[[#This Row],[DaysAgeing]]&gt;5,"yep","on track")</f>
        <v>on track</v>
      </c>
      <c r="Q5583" s="3">
        <f ca="1">IF(Proc[[#This Row],[DateClosed]]="",ABS(NETWORKDAYS(Proc[[#This Row],[DateOpened]],TODAY()))-1,ABS(NETWORKDAYS(Proc[[#This Row],[DateOpened]],Proc[[#This Row],[DateClosed]]))-1)</f>
        <v>4</v>
      </c>
      <c r="R5583" s="178" t="s">
        <v>7890</v>
      </c>
      <c r="S5583" s="150"/>
    </row>
    <row r="5584" spans="1:19" hidden="1">
      <c r="A5584" s="179" t="s">
        <v>7882</v>
      </c>
      <c r="B5584" s="150" t="str">
        <f>IFERROR(VLOOKUP(Proc[[#This Row],[App]],Table2[],3,0),"open")</f>
        <v>ok</v>
      </c>
      <c r="C5584" s="179" t="s">
        <v>369</v>
      </c>
      <c r="D5584" t="s">
        <v>7954</v>
      </c>
      <c r="E5584" t="s">
        <v>7880</v>
      </c>
      <c r="F5584" s="150" t="s">
        <v>7880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50" t="s">
        <v>6434</v>
      </c>
      <c r="M5584" s="178">
        <v>46052</v>
      </c>
      <c r="N5584" s="178"/>
      <c r="O5584" s="178"/>
      <c r="P5584" s="178" t="str">
        <f ca="1">IF(Proc[[#This Row],[DaysAgeing]]&gt;5,"yep","on track")</f>
        <v>on track</v>
      </c>
      <c r="Q5584" s="3">
        <f ca="1">IF(Proc[[#This Row],[DateClosed]]="",ABS(NETWORKDAYS(Proc[[#This Row],[DateOpened]],TODAY()))-1,ABS(NETWORKDAYS(Proc[[#This Row],[DateOpened]],Proc[[#This Row],[DateClosed]]))-1)</f>
        <v>4</v>
      </c>
      <c r="R5584" s="178" t="s">
        <v>7890</v>
      </c>
      <c r="S5584" s="150"/>
    </row>
    <row r="5585" spans="1:19" hidden="1">
      <c r="A5585" s="179" t="s">
        <v>7882</v>
      </c>
      <c r="B5585" s="150" t="str">
        <f>IFERROR(VLOOKUP(Proc[[#This Row],[App]],Table2[],3,0),"open")</f>
        <v>ok</v>
      </c>
      <c r="C5585" s="179" t="s">
        <v>369</v>
      </c>
      <c r="D5585" t="s">
        <v>7955</v>
      </c>
      <c r="E5585" t="s">
        <v>7881</v>
      </c>
      <c r="F5585" s="150" t="s">
        <v>7881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50" t="s">
        <v>6434</v>
      </c>
      <c r="M5585" s="178">
        <v>46052</v>
      </c>
      <c r="N5585" s="178"/>
      <c r="O5585" s="178"/>
      <c r="P5585" s="178" t="str">
        <f ca="1">IF(Proc[[#This Row],[DaysAgeing]]&gt;5,"yep","on track")</f>
        <v>on track</v>
      </c>
      <c r="Q5585" s="3">
        <f ca="1">IF(Proc[[#This Row],[DateClosed]]="",ABS(NETWORKDAYS(Proc[[#This Row],[DateOpened]],TODAY()))-1,ABS(NETWORKDAYS(Proc[[#This Row],[DateOpened]],Proc[[#This Row],[DateClosed]]))-1)</f>
        <v>4</v>
      </c>
      <c r="R5585" s="178" t="s">
        <v>7890</v>
      </c>
      <c r="S5585" s="150"/>
    </row>
    <row r="5586" spans="1:19" hidden="1">
      <c r="A5586" s="179" t="s">
        <v>7882</v>
      </c>
      <c r="B5586" s="150" t="str">
        <f>IFERROR(VLOOKUP(Proc[[#This Row],[App]],Table2[],3,0),"open")</f>
        <v>ok</v>
      </c>
      <c r="C5586" s="179" t="s">
        <v>369</v>
      </c>
      <c r="D5586" t="s">
        <v>7956</v>
      </c>
      <c r="E5586" t="s">
        <v>7881</v>
      </c>
      <c r="F5586" s="150" t="s">
        <v>7881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50" t="s">
        <v>6434</v>
      </c>
      <c r="M5586" s="178">
        <v>46052</v>
      </c>
      <c r="N5586" s="178"/>
      <c r="O5586" s="178"/>
      <c r="P5586" s="178" t="str">
        <f ca="1">IF(Proc[[#This Row],[DaysAgeing]]&gt;5,"yep","on track")</f>
        <v>on track</v>
      </c>
      <c r="Q5586" s="3">
        <f ca="1">IF(Proc[[#This Row],[DateClosed]]="",ABS(NETWORKDAYS(Proc[[#This Row],[DateOpened]],TODAY()))-1,ABS(NETWORKDAYS(Proc[[#This Row],[DateOpened]],Proc[[#This Row],[DateClosed]]))-1)</f>
        <v>4</v>
      </c>
      <c r="R5586" s="178" t="s">
        <v>7890</v>
      </c>
      <c r="S5586" s="150"/>
    </row>
    <row r="5587" spans="1:19" hidden="1">
      <c r="A5587" s="179" t="s">
        <v>7882</v>
      </c>
      <c r="B5587" s="150" t="str">
        <f>IFERROR(VLOOKUP(Proc[[#This Row],[App]],Table2[],3,0),"open")</f>
        <v>ok</v>
      </c>
      <c r="C5587" s="179" t="s">
        <v>369</v>
      </c>
      <c r="D5587" t="s">
        <v>7957</v>
      </c>
      <c r="E5587" t="s">
        <v>7881</v>
      </c>
      <c r="F5587" s="150" t="s">
        <v>7881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50" t="s">
        <v>6434</v>
      </c>
      <c r="M5587" s="178">
        <v>46052</v>
      </c>
      <c r="N5587" s="178"/>
      <c r="O5587" s="178"/>
      <c r="P5587" s="178" t="str">
        <f ca="1">IF(Proc[[#This Row],[DaysAgeing]]&gt;5,"yep","on track")</f>
        <v>on track</v>
      </c>
      <c r="Q5587" s="3">
        <f ca="1">IF(Proc[[#This Row],[DateClosed]]="",ABS(NETWORKDAYS(Proc[[#This Row],[DateOpened]],TODAY()))-1,ABS(NETWORKDAYS(Proc[[#This Row],[DateOpened]],Proc[[#This Row],[DateClosed]]))-1)</f>
        <v>4</v>
      </c>
      <c r="R5587" s="178" t="s">
        <v>7890</v>
      </c>
      <c r="S5587" s="150"/>
    </row>
    <row r="5588" spans="1:19" hidden="1">
      <c r="A5588" s="179" t="s">
        <v>7882</v>
      </c>
      <c r="B5588" s="150" t="str">
        <f>IFERROR(VLOOKUP(Proc[[#This Row],[App]],Table2[],3,0),"open")</f>
        <v>ok</v>
      </c>
      <c r="C5588" s="179" t="s">
        <v>369</v>
      </c>
      <c r="D5588" t="s">
        <v>7958</v>
      </c>
      <c r="E5588" t="s">
        <v>7881</v>
      </c>
      <c r="F5588" s="150" t="s">
        <v>7881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50" t="s">
        <v>6434</v>
      </c>
      <c r="M5588" s="178">
        <v>46052</v>
      </c>
      <c r="N5588" s="178"/>
      <c r="O5588" s="178"/>
      <c r="P5588" s="178" t="str">
        <f ca="1">IF(Proc[[#This Row],[DaysAgeing]]&gt;5,"yep","on track")</f>
        <v>on track</v>
      </c>
      <c r="Q5588" s="3">
        <f ca="1">IF(Proc[[#This Row],[DateClosed]]="",ABS(NETWORKDAYS(Proc[[#This Row],[DateOpened]],TODAY()))-1,ABS(NETWORKDAYS(Proc[[#This Row],[DateOpened]],Proc[[#This Row],[DateClosed]]))-1)</f>
        <v>4</v>
      </c>
      <c r="R5588" s="178" t="s">
        <v>7890</v>
      </c>
      <c r="S5588" s="150"/>
    </row>
    <row r="5589" spans="1:19" hidden="1">
      <c r="A5589" s="179" t="s">
        <v>7882</v>
      </c>
      <c r="B5589" s="150" t="str">
        <f>IFERROR(VLOOKUP(Proc[[#This Row],[App]],Table2[],3,0),"open")</f>
        <v>ok</v>
      </c>
      <c r="C5589" s="179" t="s">
        <v>369</v>
      </c>
      <c r="D5589" t="s">
        <v>7959</v>
      </c>
      <c r="E5589" t="s">
        <v>7881</v>
      </c>
      <c r="F5589" s="150" t="s">
        <v>7881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50" t="s">
        <v>6434</v>
      </c>
      <c r="M5589" s="178">
        <v>46052</v>
      </c>
      <c r="N5589" s="178"/>
      <c r="O5589" s="178"/>
      <c r="P5589" s="178" t="str">
        <f ca="1">IF(Proc[[#This Row],[DaysAgeing]]&gt;5,"yep","on track")</f>
        <v>on track</v>
      </c>
      <c r="Q5589" s="3">
        <f ca="1">IF(Proc[[#This Row],[DateClosed]]="",ABS(NETWORKDAYS(Proc[[#This Row],[DateOpened]],TODAY()))-1,ABS(NETWORKDAYS(Proc[[#This Row],[DateOpened]],Proc[[#This Row],[DateClosed]]))-1)</f>
        <v>4</v>
      </c>
      <c r="R5589" s="178" t="s">
        <v>7890</v>
      </c>
      <c r="S5589" s="150"/>
    </row>
    <row r="5590" spans="1:19" hidden="1">
      <c r="A5590" s="179" t="s">
        <v>7882</v>
      </c>
      <c r="B5590" s="150" t="str">
        <f>IFERROR(VLOOKUP(Proc[[#This Row],[App]],Table2[],3,0),"open")</f>
        <v>ok</v>
      </c>
      <c r="C5590" s="179" t="s">
        <v>369</v>
      </c>
      <c r="D5590" t="s">
        <v>7960</v>
      </c>
      <c r="E5590" t="s">
        <v>7881</v>
      </c>
      <c r="F5590" s="150" t="s">
        <v>7881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50" t="s">
        <v>6434</v>
      </c>
      <c r="M5590" s="178">
        <v>46052</v>
      </c>
      <c r="N5590" s="178"/>
      <c r="O5590" s="178"/>
      <c r="P5590" s="178" t="str">
        <f ca="1">IF(Proc[[#This Row],[DaysAgeing]]&gt;5,"yep","on track")</f>
        <v>on track</v>
      </c>
      <c r="Q5590" s="3">
        <f ca="1">IF(Proc[[#This Row],[DateClosed]]="",ABS(NETWORKDAYS(Proc[[#This Row],[DateOpened]],TODAY()))-1,ABS(NETWORKDAYS(Proc[[#This Row],[DateOpened]],Proc[[#This Row],[DateClosed]]))-1)</f>
        <v>4</v>
      </c>
      <c r="R5590" s="178" t="s">
        <v>7890</v>
      </c>
      <c r="S5590" s="150"/>
    </row>
    <row r="5591" spans="1:19" hidden="1">
      <c r="A5591" s="179" t="s">
        <v>7882</v>
      </c>
      <c r="B5591" s="150" t="str">
        <f>IFERROR(VLOOKUP(Proc[[#This Row],[App]],Table2[],3,0),"open")</f>
        <v>ok</v>
      </c>
      <c r="C5591" s="179" t="s">
        <v>369</v>
      </c>
      <c r="D5591" t="s">
        <v>7961</v>
      </c>
      <c r="E5591" t="s">
        <v>7881</v>
      </c>
      <c r="F5591" s="150" t="s">
        <v>7881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50" t="s">
        <v>6434</v>
      </c>
      <c r="M5591" s="178">
        <v>46052</v>
      </c>
      <c r="N5591" s="178"/>
      <c r="O5591" s="178"/>
      <c r="P5591" s="178" t="str">
        <f ca="1">IF(Proc[[#This Row],[DaysAgeing]]&gt;5,"yep","on track")</f>
        <v>on track</v>
      </c>
      <c r="Q5591" s="3">
        <f ca="1">IF(Proc[[#This Row],[DateClosed]]="",ABS(NETWORKDAYS(Proc[[#This Row],[DateOpened]],TODAY()))-1,ABS(NETWORKDAYS(Proc[[#This Row],[DateOpened]],Proc[[#This Row],[DateClosed]]))-1)</f>
        <v>4</v>
      </c>
      <c r="R5591" s="178" t="s">
        <v>7890</v>
      </c>
      <c r="S5591" s="150"/>
    </row>
    <row r="5592" spans="1:19" hidden="1">
      <c r="A5592" s="179" t="s">
        <v>7882</v>
      </c>
      <c r="B5592" s="150" t="str">
        <f>IFERROR(VLOOKUP(Proc[[#This Row],[App]],Table2[],3,0),"open")</f>
        <v>ok</v>
      </c>
      <c r="C5592" s="179" t="s">
        <v>369</v>
      </c>
      <c r="D5592" t="s">
        <v>7962</v>
      </c>
      <c r="E5592" t="s">
        <v>7881</v>
      </c>
      <c r="F5592" s="150" t="s">
        <v>7881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50" t="s">
        <v>6434</v>
      </c>
      <c r="M5592" s="178">
        <v>46052</v>
      </c>
      <c r="N5592" s="178"/>
      <c r="O5592" s="178"/>
      <c r="P5592" s="178" t="str">
        <f ca="1">IF(Proc[[#This Row],[DaysAgeing]]&gt;5,"yep","on track")</f>
        <v>on track</v>
      </c>
      <c r="Q5592" s="3">
        <f ca="1">IF(Proc[[#This Row],[DateClosed]]="",ABS(NETWORKDAYS(Proc[[#This Row],[DateOpened]],TODAY()))-1,ABS(NETWORKDAYS(Proc[[#This Row],[DateOpened]],Proc[[#This Row],[DateClosed]]))-1)</f>
        <v>4</v>
      </c>
      <c r="R5592" s="178" t="s">
        <v>7890</v>
      </c>
      <c r="S5592" s="150"/>
    </row>
    <row r="5593" spans="1:19" hidden="1">
      <c r="A5593" s="179" t="s">
        <v>7882</v>
      </c>
      <c r="B5593" s="150" t="str">
        <f>IFERROR(VLOOKUP(Proc[[#This Row],[App]],Table2[],3,0),"open")</f>
        <v>ok</v>
      </c>
      <c r="C5593" s="179" t="s">
        <v>369</v>
      </c>
      <c r="D5593" t="s">
        <v>7963</v>
      </c>
      <c r="E5593" t="s">
        <v>7881</v>
      </c>
      <c r="F5593" s="150" t="s">
        <v>7881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50" t="s">
        <v>6434</v>
      </c>
      <c r="M5593" s="178">
        <v>46052</v>
      </c>
      <c r="N5593" s="178"/>
      <c r="O5593" s="178"/>
      <c r="P5593" s="178" t="str">
        <f ca="1">IF(Proc[[#This Row],[DaysAgeing]]&gt;5,"yep","on track")</f>
        <v>on track</v>
      </c>
      <c r="Q5593" s="3">
        <f ca="1">IF(Proc[[#This Row],[DateClosed]]="",ABS(NETWORKDAYS(Proc[[#This Row],[DateOpened]],TODAY()))-1,ABS(NETWORKDAYS(Proc[[#This Row],[DateOpened]],Proc[[#This Row],[DateClosed]]))-1)</f>
        <v>4</v>
      </c>
      <c r="R5593" s="178" t="s">
        <v>7890</v>
      </c>
      <c r="S5593" s="150"/>
    </row>
    <row r="5594" spans="1:19" hidden="1">
      <c r="A5594" s="179" t="s">
        <v>7882</v>
      </c>
      <c r="B5594" s="150" t="str">
        <f>IFERROR(VLOOKUP(Proc[[#This Row],[App]],Table2[],3,0),"open")</f>
        <v>ok</v>
      </c>
      <c r="C5594" s="179" t="s">
        <v>369</v>
      </c>
      <c r="D5594" t="s">
        <v>7964</v>
      </c>
      <c r="E5594" t="s">
        <v>7881</v>
      </c>
      <c r="F5594" s="150" t="s">
        <v>7881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50" t="s">
        <v>6434</v>
      </c>
      <c r="M5594" s="178">
        <v>46052</v>
      </c>
      <c r="N5594" s="178"/>
      <c r="O5594" s="178"/>
      <c r="P5594" s="178" t="str">
        <f ca="1">IF(Proc[[#This Row],[DaysAgeing]]&gt;5,"yep","on track")</f>
        <v>on track</v>
      </c>
      <c r="Q5594" s="3">
        <f ca="1">IF(Proc[[#This Row],[DateClosed]]="",ABS(NETWORKDAYS(Proc[[#This Row],[DateOpened]],TODAY()))-1,ABS(NETWORKDAYS(Proc[[#This Row],[DateOpened]],Proc[[#This Row],[DateClosed]]))-1)</f>
        <v>4</v>
      </c>
      <c r="R5594" s="178" t="s">
        <v>7890</v>
      </c>
      <c r="S5594" s="150"/>
    </row>
    <row r="5595" spans="1:19" hidden="1">
      <c r="A5595" s="179" t="s">
        <v>7882</v>
      </c>
      <c r="B5595" s="150" t="str">
        <f>IFERROR(VLOOKUP(Proc[[#This Row],[App]],Table2[],3,0),"open")</f>
        <v>ok</v>
      </c>
      <c r="C5595" s="179" t="s">
        <v>369</v>
      </c>
      <c r="D5595" t="s">
        <v>7965</v>
      </c>
      <c r="E5595" t="s">
        <v>7881</v>
      </c>
      <c r="F5595" s="150" t="s">
        <v>7881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50" t="s">
        <v>6434</v>
      </c>
      <c r="M5595" s="178">
        <v>46052</v>
      </c>
      <c r="N5595" s="178"/>
      <c r="O5595" s="178"/>
      <c r="P5595" s="178" t="str">
        <f ca="1">IF(Proc[[#This Row],[DaysAgeing]]&gt;5,"yep","on track")</f>
        <v>on track</v>
      </c>
      <c r="Q5595" s="3">
        <f ca="1">IF(Proc[[#This Row],[DateClosed]]="",ABS(NETWORKDAYS(Proc[[#This Row],[DateOpened]],TODAY()))-1,ABS(NETWORKDAYS(Proc[[#This Row],[DateOpened]],Proc[[#This Row],[DateClosed]]))-1)</f>
        <v>4</v>
      </c>
      <c r="R5595" s="178" t="s">
        <v>7890</v>
      </c>
      <c r="S5595" s="150"/>
    </row>
    <row r="5596" spans="1:19" hidden="1">
      <c r="A5596" s="179" t="s">
        <v>7882</v>
      </c>
      <c r="B5596" s="150" t="str">
        <f>IFERROR(VLOOKUP(Proc[[#This Row],[App]],Table2[],3,0),"open")</f>
        <v>ok</v>
      </c>
      <c r="C5596" s="179" t="s">
        <v>369</v>
      </c>
      <c r="D5596" t="s">
        <v>7966</v>
      </c>
      <c r="E5596" t="s">
        <v>7881</v>
      </c>
      <c r="F5596" s="150" t="s">
        <v>7881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50" t="s">
        <v>6434</v>
      </c>
      <c r="M5596" s="178">
        <v>46052</v>
      </c>
      <c r="N5596" s="178"/>
      <c r="O5596" s="178"/>
      <c r="P5596" s="178" t="str">
        <f ca="1">IF(Proc[[#This Row],[DaysAgeing]]&gt;5,"yep","on track")</f>
        <v>on track</v>
      </c>
      <c r="Q5596" s="3">
        <f ca="1">IF(Proc[[#This Row],[DateClosed]]="",ABS(NETWORKDAYS(Proc[[#This Row],[DateOpened]],TODAY()))-1,ABS(NETWORKDAYS(Proc[[#This Row],[DateOpened]],Proc[[#This Row],[DateClosed]]))-1)</f>
        <v>4</v>
      </c>
      <c r="R5596" s="178" t="s">
        <v>7890</v>
      </c>
      <c r="S5596" s="150"/>
    </row>
    <row r="5597" spans="1:19" hidden="1">
      <c r="A5597" s="179" t="s">
        <v>7882</v>
      </c>
      <c r="B5597" s="150" t="str">
        <f>IFERROR(VLOOKUP(Proc[[#This Row],[App]],Table2[],3,0),"open")</f>
        <v>ok</v>
      </c>
      <c r="C5597" s="179" t="s">
        <v>369</v>
      </c>
      <c r="D5597" t="s">
        <v>7967</v>
      </c>
      <c r="E5597" t="s">
        <v>7881</v>
      </c>
      <c r="F5597" s="150" t="s">
        <v>7881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50" t="s">
        <v>6434</v>
      </c>
      <c r="M5597" s="178">
        <v>46052</v>
      </c>
      <c r="N5597" s="178"/>
      <c r="O5597" s="178"/>
      <c r="P5597" s="178" t="str">
        <f ca="1">IF(Proc[[#This Row],[DaysAgeing]]&gt;5,"yep","on track")</f>
        <v>on track</v>
      </c>
      <c r="Q5597" s="3">
        <f ca="1">IF(Proc[[#This Row],[DateClosed]]="",ABS(NETWORKDAYS(Proc[[#This Row],[DateOpened]],TODAY()))-1,ABS(NETWORKDAYS(Proc[[#This Row],[DateOpened]],Proc[[#This Row],[DateClosed]]))-1)</f>
        <v>4</v>
      </c>
      <c r="R5597" s="178" t="s">
        <v>7890</v>
      </c>
      <c r="S5597" s="150"/>
    </row>
    <row r="5598" spans="1:19" hidden="1">
      <c r="A5598" s="179" t="s">
        <v>7882</v>
      </c>
      <c r="B5598" s="150" t="str">
        <f>IFERROR(VLOOKUP(Proc[[#This Row],[App]],Table2[],3,0),"open")</f>
        <v>ok</v>
      </c>
      <c r="C5598" s="179" t="s">
        <v>369</v>
      </c>
      <c r="D5598" t="s">
        <v>7968</v>
      </c>
      <c r="E5598" t="s">
        <v>7881</v>
      </c>
      <c r="F5598" s="150" t="s">
        <v>7881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50" t="s">
        <v>6434</v>
      </c>
      <c r="M5598" s="178">
        <v>46052</v>
      </c>
      <c r="N5598" s="178"/>
      <c r="O5598" s="178"/>
      <c r="P5598" s="178" t="str">
        <f ca="1">IF(Proc[[#This Row],[DaysAgeing]]&gt;5,"yep","on track")</f>
        <v>on track</v>
      </c>
      <c r="Q5598" s="3">
        <f ca="1">IF(Proc[[#This Row],[DateClosed]]="",ABS(NETWORKDAYS(Proc[[#This Row],[DateOpened]],TODAY()))-1,ABS(NETWORKDAYS(Proc[[#This Row],[DateOpened]],Proc[[#This Row],[DateClosed]]))-1)</f>
        <v>4</v>
      </c>
      <c r="R5598" s="178" t="s">
        <v>7890</v>
      </c>
      <c r="S5598" s="150"/>
    </row>
    <row r="5599" spans="1:19" hidden="1">
      <c r="A5599" s="179" t="s">
        <v>7882</v>
      </c>
      <c r="B5599" s="150" t="str">
        <f>IFERROR(VLOOKUP(Proc[[#This Row],[App]],Table2[],3,0),"open")</f>
        <v>ok</v>
      </c>
      <c r="C5599" s="179" t="s">
        <v>369</v>
      </c>
      <c r="D5599" t="s">
        <v>7969</v>
      </c>
      <c r="E5599" t="s">
        <v>7881</v>
      </c>
      <c r="F5599" s="150" t="s">
        <v>7881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50" t="s">
        <v>6434</v>
      </c>
      <c r="M5599" s="178">
        <v>46052</v>
      </c>
      <c r="N5599" s="178"/>
      <c r="O5599" s="178"/>
      <c r="P5599" s="178" t="str">
        <f ca="1">IF(Proc[[#This Row],[DaysAgeing]]&gt;5,"yep","on track")</f>
        <v>on track</v>
      </c>
      <c r="Q5599" s="3">
        <f ca="1">IF(Proc[[#This Row],[DateClosed]]="",ABS(NETWORKDAYS(Proc[[#This Row],[DateOpened]],TODAY()))-1,ABS(NETWORKDAYS(Proc[[#This Row],[DateOpened]],Proc[[#This Row],[DateClosed]]))-1)</f>
        <v>4</v>
      </c>
      <c r="R5599" s="178" t="s">
        <v>7890</v>
      </c>
      <c r="S5599" s="150"/>
    </row>
    <row r="5600" spans="1:19" hidden="1">
      <c r="A5600" s="179" t="s">
        <v>7882</v>
      </c>
      <c r="B5600" s="150" t="str">
        <f>IFERROR(VLOOKUP(Proc[[#This Row],[App]],Table2[],3,0),"open")</f>
        <v>ok</v>
      </c>
      <c r="C5600" s="179" t="s">
        <v>369</v>
      </c>
      <c r="D5600" t="s">
        <v>7970</v>
      </c>
      <c r="E5600" t="s">
        <v>7881</v>
      </c>
      <c r="F5600" s="150" t="s">
        <v>7881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50" t="s">
        <v>6434</v>
      </c>
      <c r="M5600" s="178">
        <v>46052</v>
      </c>
      <c r="N5600" s="178"/>
      <c r="O5600" s="178"/>
      <c r="P5600" s="178" t="str">
        <f ca="1">IF(Proc[[#This Row],[DaysAgeing]]&gt;5,"yep","on track")</f>
        <v>on track</v>
      </c>
      <c r="Q5600" s="3">
        <f ca="1">IF(Proc[[#This Row],[DateClosed]]="",ABS(NETWORKDAYS(Proc[[#This Row],[DateOpened]],TODAY()))-1,ABS(NETWORKDAYS(Proc[[#This Row],[DateOpened]],Proc[[#This Row],[DateClosed]]))-1)</f>
        <v>4</v>
      </c>
      <c r="R5600" s="178" t="s">
        <v>7890</v>
      </c>
      <c r="S5600" s="150"/>
    </row>
    <row r="5601" spans="1:19" hidden="1">
      <c r="A5601" s="179" t="s">
        <v>7882</v>
      </c>
      <c r="B5601" s="150" t="str">
        <f>IFERROR(VLOOKUP(Proc[[#This Row],[App]],Table2[],3,0),"open")</f>
        <v>ok</v>
      </c>
      <c r="C5601" s="179" t="s">
        <v>369</v>
      </c>
      <c r="D5601" t="s">
        <v>7971</v>
      </c>
      <c r="E5601" t="s">
        <v>7881</v>
      </c>
      <c r="F5601" s="150" t="s">
        <v>7881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50" t="s">
        <v>6434</v>
      </c>
      <c r="M5601" s="178">
        <v>46052</v>
      </c>
      <c r="N5601" s="178"/>
      <c r="O5601" s="178"/>
      <c r="P5601" s="178" t="str">
        <f ca="1">IF(Proc[[#This Row],[DaysAgeing]]&gt;5,"yep","on track")</f>
        <v>on track</v>
      </c>
      <c r="Q5601" s="3">
        <f ca="1">IF(Proc[[#This Row],[DateClosed]]="",ABS(NETWORKDAYS(Proc[[#This Row],[DateOpened]],TODAY()))-1,ABS(NETWORKDAYS(Proc[[#This Row],[DateOpened]],Proc[[#This Row],[DateClosed]]))-1)</f>
        <v>4</v>
      </c>
      <c r="R5601" s="178" t="s">
        <v>7890</v>
      </c>
      <c r="S5601" s="150"/>
    </row>
    <row r="5602" spans="1:19" hidden="1">
      <c r="A5602" t="s">
        <v>7883</v>
      </c>
      <c r="B5602" s="150" t="str">
        <f>IFERROR(VLOOKUP(Proc[[#This Row],[App]],Table2[],3,0),"open")</f>
        <v>ok</v>
      </c>
      <c r="C5602" s="179" t="s">
        <v>369</v>
      </c>
      <c r="D5602" t="s">
        <v>7884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50" t="s">
        <v>6434</v>
      </c>
      <c r="M5602" s="178">
        <v>46052</v>
      </c>
      <c r="N5602" s="178"/>
      <c r="O5602" s="178"/>
      <c r="P5602" s="178" t="str">
        <f ca="1">IF(Proc[[#This Row],[DaysAgeing]]&gt;5,"yep","on track")</f>
        <v>on track</v>
      </c>
      <c r="Q5602" s="3">
        <f ca="1">IF(Proc[[#This Row],[DateClosed]]="",ABS(NETWORKDAYS(Proc[[#This Row],[DateOpened]],TODAY()))-1,ABS(NETWORKDAYS(Proc[[#This Row],[DateOpened]],Proc[[#This Row],[DateClosed]]))-1)</f>
        <v>4</v>
      </c>
      <c r="R5602" s="178" t="s">
        <v>5708</v>
      </c>
      <c r="S5602" s="150"/>
    </row>
    <row r="5603" spans="1:19" hidden="1">
      <c r="A5603" s="179" t="s">
        <v>7883</v>
      </c>
      <c r="B5603" s="150" t="str">
        <f>IFERROR(VLOOKUP(Proc[[#This Row],[App]],Table2[],3,0),"open")</f>
        <v>ok</v>
      </c>
      <c r="C5603" s="180" t="s">
        <v>369</v>
      </c>
      <c r="D5603" t="s">
        <v>7885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50" t="s">
        <v>6434</v>
      </c>
      <c r="M5603" s="178">
        <v>46052</v>
      </c>
      <c r="N5603" s="178"/>
      <c r="O5603" s="178"/>
      <c r="P5603" s="178" t="str">
        <f ca="1">IF(Proc[[#This Row],[DaysAgeing]]&gt;5,"yep","on track")</f>
        <v>on track</v>
      </c>
      <c r="Q5603" s="3">
        <f ca="1">IF(Proc[[#This Row],[DateClosed]]="",ABS(NETWORKDAYS(Proc[[#This Row],[DateOpened]],TODAY()))-1,ABS(NETWORKDAYS(Proc[[#This Row],[DateOpened]],Proc[[#This Row],[DateClosed]]))-1)</f>
        <v>4</v>
      </c>
      <c r="R5603" s="178" t="s">
        <v>5708</v>
      </c>
      <c r="S5603" s="150"/>
    </row>
    <row r="5604" spans="1:19" hidden="1">
      <c r="A5604" s="179" t="s">
        <v>7883</v>
      </c>
      <c r="B5604" s="150" t="str">
        <f>IFERROR(VLOOKUP(Proc[[#This Row],[App]],Table2[],3,0),"open")</f>
        <v>ok</v>
      </c>
      <c r="C5604" s="180" t="s">
        <v>369</v>
      </c>
      <c r="D5604" t="s">
        <v>7886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50" t="s">
        <v>6434</v>
      </c>
      <c r="M5604" s="178">
        <v>46052</v>
      </c>
      <c r="N5604" s="178"/>
      <c r="O5604" s="178"/>
      <c r="P5604" s="178" t="str">
        <f ca="1">IF(Proc[[#This Row],[DaysAgeing]]&gt;5,"yep","on track")</f>
        <v>on track</v>
      </c>
      <c r="Q5604" s="3">
        <f ca="1">IF(Proc[[#This Row],[DateClosed]]="",ABS(NETWORKDAYS(Proc[[#This Row],[DateOpened]],TODAY()))-1,ABS(NETWORKDAYS(Proc[[#This Row],[DateOpened]],Proc[[#This Row],[DateClosed]]))-1)</f>
        <v>4</v>
      </c>
      <c r="R5604" s="178" t="s">
        <v>5708</v>
      </c>
      <c r="S5604" s="150"/>
    </row>
    <row r="5605" spans="1:19" hidden="1">
      <c r="A5605" s="179" t="s">
        <v>7883</v>
      </c>
      <c r="B5605" s="150" t="str">
        <f>IFERROR(VLOOKUP(Proc[[#This Row],[App]],Table2[],3,0),"open")</f>
        <v>ok</v>
      </c>
      <c r="C5605" s="180" t="s">
        <v>369</v>
      </c>
      <c r="D5605" t="s">
        <v>7887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50" t="s">
        <v>6434</v>
      </c>
      <c r="M5605" s="178">
        <v>46052</v>
      </c>
      <c r="N5605" s="178"/>
      <c r="O5605" s="178"/>
      <c r="P5605" s="178" t="str">
        <f ca="1">IF(Proc[[#This Row],[DaysAgeing]]&gt;5,"yep","on track")</f>
        <v>on track</v>
      </c>
      <c r="Q5605" s="3">
        <f ca="1">IF(Proc[[#This Row],[DateClosed]]="",ABS(NETWORKDAYS(Proc[[#This Row],[DateOpened]],TODAY()))-1,ABS(NETWORKDAYS(Proc[[#This Row],[DateOpened]],Proc[[#This Row],[DateClosed]]))-1)</f>
        <v>4</v>
      </c>
      <c r="R5605" s="178" t="s">
        <v>5708</v>
      </c>
      <c r="S5605" s="150"/>
    </row>
    <row r="5606" spans="1:19" hidden="1">
      <c r="A5606" s="179" t="s">
        <v>7883</v>
      </c>
      <c r="B5606" s="150" t="str">
        <f>IFERROR(VLOOKUP(Proc[[#This Row],[App]],Table2[],3,0),"open")</f>
        <v>ok</v>
      </c>
      <c r="C5606" s="180" t="s">
        <v>369</v>
      </c>
      <c r="D5606" t="s">
        <v>7888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50" t="s">
        <v>6434</v>
      </c>
      <c r="M5606" s="178">
        <v>46052</v>
      </c>
      <c r="N5606" s="178"/>
      <c r="O5606" s="178"/>
      <c r="P5606" s="178" t="str">
        <f ca="1">IF(Proc[[#This Row],[DaysAgeing]]&gt;5,"yep","on track")</f>
        <v>on track</v>
      </c>
      <c r="Q5606" s="3">
        <f ca="1">IF(Proc[[#This Row],[DateClosed]]="",ABS(NETWORKDAYS(Proc[[#This Row],[DateOpened]],TODAY()))-1,ABS(NETWORKDAYS(Proc[[#This Row],[DateOpened]],Proc[[#This Row],[DateClosed]]))-1)</f>
        <v>4</v>
      </c>
      <c r="R5606" s="178" t="s">
        <v>5708</v>
      </c>
      <c r="S5606" s="150"/>
    </row>
    <row r="5607" spans="1:19" hidden="1">
      <c r="A5607" s="179" t="s">
        <v>7883</v>
      </c>
      <c r="B5607" s="150" t="str">
        <f>IFERROR(VLOOKUP(Proc[[#This Row],[App]],Table2[],3,0),"open")</f>
        <v>ok</v>
      </c>
      <c r="C5607" s="180" t="s">
        <v>369</v>
      </c>
      <c r="D5607" t="s">
        <v>7889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50" t="s">
        <v>6434</v>
      </c>
      <c r="M5607" s="178">
        <v>46052</v>
      </c>
      <c r="N5607" s="178"/>
      <c r="O5607" s="178"/>
      <c r="P5607" s="178" t="str">
        <f ca="1">IF(Proc[[#This Row],[DaysAgeing]]&gt;5,"yep","on track")</f>
        <v>on track</v>
      </c>
      <c r="Q5607" s="3">
        <f ca="1">IF(Proc[[#This Row],[DateClosed]]="",ABS(NETWORKDAYS(Proc[[#This Row],[DateOpened]],TODAY()))-1,ABS(NETWORKDAYS(Proc[[#This Row],[DateOpened]],Proc[[#This Row],[DateClosed]]))-1)</f>
        <v>4</v>
      </c>
      <c r="R5607" s="178" t="s">
        <v>5708</v>
      </c>
      <c r="S5607" s="150"/>
    </row>
    <row r="5608" spans="1:19" hidden="1">
      <c r="A5608" t="s">
        <v>7981</v>
      </c>
      <c r="B5608" s="150" t="str">
        <f>IFERROR(VLOOKUP(Proc[[#This Row],[App]],Table2[],3,0),"open")</f>
        <v>ok</v>
      </c>
      <c r="C5608" s="179" t="s">
        <v>377</v>
      </c>
      <c r="D5608" t="s">
        <v>7972</v>
      </c>
      <c r="E5608" t="s">
        <v>7983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50" t="s">
        <v>6434</v>
      </c>
      <c r="M5608" s="178">
        <v>46056</v>
      </c>
      <c r="N5608" s="178"/>
      <c r="O5608" s="178"/>
      <c r="P5608" s="178" t="str">
        <f ca="1">IF(Proc[[#This Row],[DaysAgeing]]&gt;5,"yep","on track")</f>
        <v>on track</v>
      </c>
      <c r="Q5608" s="3">
        <f ca="1">IF(Proc[[#This Row],[DateClosed]]="",ABS(NETWORKDAYS(Proc[[#This Row],[DateOpened]],TODAY()))-1,ABS(NETWORKDAYS(Proc[[#This Row],[DateOpened]],Proc[[#This Row],[DateClosed]]))-1)</f>
        <v>2</v>
      </c>
      <c r="R5608" s="178" t="s">
        <v>415</v>
      </c>
      <c r="S5608" s="150"/>
    </row>
    <row r="5609" spans="1:19" hidden="1">
      <c r="A5609" s="179" t="s">
        <v>7981</v>
      </c>
      <c r="B5609" s="150" t="str">
        <f>IFERROR(VLOOKUP(Proc[[#This Row],[App]],Table2[],3,0),"open")</f>
        <v>ok</v>
      </c>
      <c r="C5609" s="179" t="s">
        <v>377</v>
      </c>
      <c r="D5609" t="s">
        <v>7973</v>
      </c>
      <c r="E5609" t="s">
        <v>7984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50" t="s">
        <v>6434</v>
      </c>
      <c r="M5609" s="178">
        <v>46056</v>
      </c>
      <c r="N5609" s="178"/>
      <c r="O5609" s="178"/>
      <c r="P5609" s="178" t="str">
        <f ca="1">IF(Proc[[#This Row],[DaysAgeing]]&gt;5,"yep","on track")</f>
        <v>on track</v>
      </c>
      <c r="Q5609" s="3">
        <f ca="1">IF(Proc[[#This Row],[DateClosed]]="",ABS(NETWORKDAYS(Proc[[#This Row],[DateOpened]],TODAY()))-1,ABS(NETWORKDAYS(Proc[[#This Row],[DateOpened]],Proc[[#This Row],[DateClosed]]))-1)</f>
        <v>2</v>
      </c>
      <c r="R5609" s="178" t="s">
        <v>415</v>
      </c>
      <c r="S5609" s="150"/>
    </row>
    <row r="5610" spans="1:19" hidden="1">
      <c r="A5610" s="179" t="s">
        <v>7981</v>
      </c>
      <c r="B5610" s="150" t="str">
        <f>IFERROR(VLOOKUP(Proc[[#This Row],[App]],Table2[],3,0),"open")</f>
        <v>ok</v>
      </c>
      <c r="C5610" s="179" t="s">
        <v>377</v>
      </c>
      <c r="D5610" t="s">
        <v>7974</v>
      </c>
      <c r="E5610" t="s">
        <v>7984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50" t="s">
        <v>6434</v>
      </c>
      <c r="M5610" s="178">
        <v>46056</v>
      </c>
      <c r="N5610" s="178"/>
      <c r="O5610" s="178"/>
      <c r="P5610" s="178" t="str">
        <f ca="1">IF(Proc[[#This Row],[DaysAgeing]]&gt;5,"yep","on track")</f>
        <v>on track</v>
      </c>
      <c r="Q5610" s="3">
        <f ca="1">IF(Proc[[#This Row],[DateClosed]]="",ABS(NETWORKDAYS(Proc[[#This Row],[DateOpened]],TODAY()))-1,ABS(NETWORKDAYS(Proc[[#This Row],[DateOpened]],Proc[[#This Row],[DateClosed]]))-1)</f>
        <v>2</v>
      </c>
      <c r="R5610" s="178" t="s">
        <v>415</v>
      </c>
      <c r="S5610" s="150"/>
    </row>
    <row r="5611" spans="1:19" hidden="1">
      <c r="A5611" s="179" t="s">
        <v>7981</v>
      </c>
      <c r="B5611" s="150" t="str">
        <f>IFERROR(VLOOKUP(Proc[[#This Row],[App]],Table2[],3,0),"open")</f>
        <v>ok</v>
      </c>
      <c r="C5611" s="179" t="s">
        <v>377</v>
      </c>
      <c r="D5611" t="s">
        <v>7975</v>
      </c>
      <c r="E5611" t="s">
        <v>7985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50" t="s">
        <v>6434</v>
      </c>
      <c r="M5611" s="178">
        <v>46056</v>
      </c>
      <c r="N5611" s="178"/>
      <c r="O5611" s="178"/>
      <c r="P5611" s="178" t="str">
        <f ca="1">IF(Proc[[#This Row],[DaysAgeing]]&gt;5,"yep","on track")</f>
        <v>on track</v>
      </c>
      <c r="Q5611" s="3">
        <f ca="1">IF(Proc[[#This Row],[DateClosed]]="",ABS(NETWORKDAYS(Proc[[#This Row],[DateOpened]],TODAY()))-1,ABS(NETWORKDAYS(Proc[[#This Row],[DateOpened]],Proc[[#This Row],[DateClosed]]))-1)</f>
        <v>2</v>
      </c>
      <c r="R5611" s="178" t="s">
        <v>415</v>
      </c>
      <c r="S5611" s="150"/>
    </row>
    <row r="5612" spans="1:19" hidden="1">
      <c r="A5612" s="179" t="s">
        <v>7981</v>
      </c>
      <c r="B5612" s="150" t="str">
        <f>IFERROR(VLOOKUP(Proc[[#This Row],[App]],Table2[],3,0),"open")</f>
        <v>ok</v>
      </c>
      <c r="C5612" s="179" t="s">
        <v>377</v>
      </c>
      <c r="D5612" t="s">
        <v>7976</v>
      </c>
      <c r="E5612" t="s">
        <v>7985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50" t="s">
        <v>6434</v>
      </c>
      <c r="M5612" s="178">
        <v>46056</v>
      </c>
      <c r="N5612" s="178"/>
      <c r="O5612" s="178"/>
      <c r="P5612" s="178" t="str">
        <f ca="1">IF(Proc[[#This Row],[DaysAgeing]]&gt;5,"yep","on track")</f>
        <v>on track</v>
      </c>
      <c r="Q5612" s="3">
        <f ca="1">IF(Proc[[#This Row],[DateClosed]]="",ABS(NETWORKDAYS(Proc[[#This Row],[DateOpened]],TODAY()))-1,ABS(NETWORKDAYS(Proc[[#This Row],[DateOpened]],Proc[[#This Row],[DateClosed]]))-1)</f>
        <v>2</v>
      </c>
      <c r="R5612" s="178" t="s">
        <v>415</v>
      </c>
      <c r="S5612" s="150"/>
    </row>
    <row r="5613" spans="1:19" hidden="1">
      <c r="A5613" s="179" t="s">
        <v>7981</v>
      </c>
      <c r="B5613" s="150" t="str">
        <f>IFERROR(VLOOKUP(Proc[[#This Row],[App]],Table2[],3,0),"open")</f>
        <v>ok</v>
      </c>
      <c r="C5613" s="179" t="s">
        <v>377</v>
      </c>
      <c r="D5613" t="s">
        <v>7977</v>
      </c>
      <c r="E5613" t="s">
        <v>7985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50" t="s">
        <v>6434</v>
      </c>
      <c r="M5613" s="178">
        <v>46056</v>
      </c>
      <c r="N5613" s="178"/>
      <c r="O5613" s="178"/>
      <c r="P5613" s="178" t="str">
        <f ca="1">IF(Proc[[#This Row],[DaysAgeing]]&gt;5,"yep","on track")</f>
        <v>on track</v>
      </c>
      <c r="Q5613" s="3">
        <f ca="1">IF(Proc[[#This Row],[DateClosed]]="",ABS(NETWORKDAYS(Proc[[#This Row],[DateOpened]],TODAY()))-1,ABS(NETWORKDAYS(Proc[[#This Row],[DateOpened]],Proc[[#This Row],[DateClosed]]))-1)</f>
        <v>2</v>
      </c>
      <c r="R5613" s="178" t="s">
        <v>415</v>
      </c>
      <c r="S5613" s="150"/>
    </row>
    <row r="5614" spans="1:19" hidden="1">
      <c r="A5614" s="179" t="s">
        <v>7981</v>
      </c>
      <c r="B5614" s="150" t="str">
        <f>IFERROR(VLOOKUP(Proc[[#This Row],[App]],Table2[],3,0),"open")</f>
        <v>ok</v>
      </c>
      <c r="C5614" s="179" t="s">
        <v>377</v>
      </c>
      <c r="D5614" t="s">
        <v>7978</v>
      </c>
      <c r="E5614" t="s">
        <v>7985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50" t="s">
        <v>6434</v>
      </c>
      <c r="M5614" s="178">
        <v>46056</v>
      </c>
      <c r="N5614" s="178"/>
      <c r="O5614" s="178"/>
      <c r="P5614" s="178" t="str">
        <f ca="1">IF(Proc[[#This Row],[DaysAgeing]]&gt;5,"yep","on track")</f>
        <v>on track</v>
      </c>
      <c r="Q5614" s="3">
        <f ca="1">IF(Proc[[#This Row],[DateClosed]]="",ABS(NETWORKDAYS(Proc[[#This Row],[DateOpened]],TODAY()))-1,ABS(NETWORKDAYS(Proc[[#This Row],[DateOpened]],Proc[[#This Row],[DateClosed]]))-1)</f>
        <v>2</v>
      </c>
      <c r="R5614" s="178" t="s">
        <v>415</v>
      </c>
      <c r="S5614" s="150"/>
    </row>
    <row r="5615" spans="1:19" hidden="1">
      <c r="A5615" s="179" t="s">
        <v>7981</v>
      </c>
      <c r="B5615" s="150" t="str">
        <f>IFERROR(VLOOKUP(Proc[[#This Row],[App]],Table2[],3,0),"open")</f>
        <v>ok</v>
      </c>
      <c r="C5615" s="179" t="s">
        <v>377</v>
      </c>
      <c r="D5615" t="s">
        <v>7979</v>
      </c>
      <c r="E5615" t="s">
        <v>7985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50" t="s">
        <v>6434</v>
      </c>
      <c r="M5615" s="178">
        <v>46056</v>
      </c>
      <c r="N5615" s="178"/>
      <c r="O5615" s="178"/>
      <c r="P5615" s="178" t="str">
        <f ca="1">IF(Proc[[#This Row],[DaysAgeing]]&gt;5,"yep","on track")</f>
        <v>on track</v>
      </c>
      <c r="Q5615" s="3">
        <f ca="1">IF(Proc[[#This Row],[DateClosed]]="",ABS(NETWORKDAYS(Proc[[#This Row],[DateOpened]],TODAY()))-1,ABS(NETWORKDAYS(Proc[[#This Row],[DateOpened]],Proc[[#This Row],[DateClosed]]))-1)</f>
        <v>2</v>
      </c>
      <c r="R5615" s="178" t="s">
        <v>415</v>
      </c>
      <c r="S5615" s="150"/>
    </row>
    <row r="5616" spans="1:19" hidden="1">
      <c r="A5616" s="179" t="s">
        <v>7981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7986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50" t="s">
        <v>6434</v>
      </c>
      <c r="M5616" s="178">
        <v>46056</v>
      </c>
      <c r="N5616" s="178"/>
      <c r="O5616" s="178"/>
      <c r="P5616" s="178" t="str">
        <f ca="1">IF(Proc[[#This Row],[DaysAgeing]]&gt;5,"yep","on track")</f>
        <v>on track</v>
      </c>
      <c r="Q5616" s="3">
        <f ca="1">IF(Proc[[#This Row],[DateClosed]]="",ABS(NETWORKDAYS(Proc[[#This Row],[DateOpened]],TODAY()))-1,ABS(NETWORKDAYS(Proc[[#This Row],[DateOpened]],Proc[[#This Row],[DateClosed]]))-1)</f>
        <v>2</v>
      </c>
      <c r="R5616" s="178" t="s">
        <v>415</v>
      </c>
      <c r="S5616" s="150"/>
    </row>
    <row r="5617" spans="1:19" hidden="1">
      <c r="A5617" s="179" t="s">
        <v>7981</v>
      </c>
      <c r="B5617" s="150" t="str">
        <f>IFERROR(VLOOKUP(Proc[[#This Row],[App]],Table2[],3,0),"open")</f>
        <v>ok</v>
      </c>
      <c r="C5617" s="179" t="s">
        <v>377</v>
      </c>
      <c r="D5617" t="s">
        <v>7980</v>
      </c>
      <c r="E5617" t="s">
        <v>7987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50" t="s">
        <v>6434</v>
      </c>
      <c r="M5617" s="178">
        <v>46056</v>
      </c>
      <c r="N5617" s="178"/>
      <c r="O5617" s="178"/>
      <c r="P5617" s="178" t="str">
        <f ca="1">IF(Proc[[#This Row],[DaysAgeing]]&gt;5,"yep","on track")</f>
        <v>on track</v>
      </c>
      <c r="Q5617" s="3">
        <f ca="1">IF(Proc[[#This Row],[DateClosed]]="",ABS(NETWORKDAYS(Proc[[#This Row],[DateOpened]],TODAY()))-1,ABS(NETWORKDAYS(Proc[[#This Row],[DateOpened]],Proc[[#This Row],[DateClosed]]))-1)</f>
        <v>2</v>
      </c>
      <c r="R5617" s="178" t="s">
        <v>415</v>
      </c>
      <c r="S5617" s="150"/>
    </row>
    <row r="5618" spans="1:19" hidden="1">
      <c r="A5618" s="179" t="s">
        <v>7981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7988</v>
      </c>
      <c r="F5618" s="181" t="s">
        <v>7988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50" t="s">
        <v>6434</v>
      </c>
      <c r="M5618" s="178">
        <v>46056</v>
      </c>
      <c r="N5618" s="178"/>
      <c r="O5618" s="178"/>
      <c r="P5618" s="178" t="str">
        <f ca="1">IF(Proc[[#This Row],[DaysAgeing]]&gt;5,"yep","on track")</f>
        <v>on track</v>
      </c>
      <c r="Q5618" s="3">
        <f ca="1">IF(Proc[[#This Row],[DateClosed]]="",ABS(NETWORKDAYS(Proc[[#This Row],[DateOpened]],TODAY()))-1,ABS(NETWORKDAYS(Proc[[#This Row],[DateOpened]],Proc[[#This Row],[DateClosed]]))-1)</f>
        <v>2</v>
      </c>
      <c r="R5618" s="178" t="s">
        <v>415</v>
      </c>
      <c r="S5618" s="150"/>
    </row>
    <row r="5619" spans="1:19" hidden="1">
      <c r="A5619" s="179" t="s">
        <v>7981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7988</v>
      </c>
      <c r="F5619" s="181" t="s">
        <v>7988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50" t="s">
        <v>6434</v>
      </c>
      <c r="M5619" s="178">
        <v>46056</v>
      </c>
      <c r="N5619" s="178"/>
      <c r="O5619" s="178"/>
      <c r="P5619" s="178" t="str">
        <f ca="1">IF(Proc[[#This Row],[DaysAgeing]]&gt;5,"yep","on track")</f>
        <v>on track</v>
      </c>
      <c r="Q5619" s="3">
        <f ca="1">IF(Proc[[#This Row],[DateClosed]]="",ABS(NETWORKDAYS(Proc[[#This Row],[DateOpened]],TODAY()))-1,ABS(NETWORKDAYS(Proc[[#This Row],[DateOpened]],Proc[[#This Row],[DateClosed]]))-1)</f>
        <v>2</v>
      </c>
      <c r="R5619" s="178" t="s">
        <v>415</v>
      </c>
      <c r="S5619" s="150"/>
    </row>
    <row r="5620" spans="1:19" hidden="1">
      <c r="A5620" s="179" t="s">
        <v>7981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7988</v>
      </c>
      <c r="F5620" s="181" t="s">
        <v>7988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50" t="s">
        <v>6434</v>
      </c>
      <c r="M5620" s="178">
        <v>46056</v>
      </c>
      <c r="N5620" s="178"/>
      <c r="O5620" s="178"/>
      <c r="P5620" s="178" t="str">
        <f ca="1">IF(Proc[[#This Row],[DaysAgeing]]&gt;5,"yep","on track")</f>
        <v>on track</v>
      </c>
      <c r="Q5620" s="3">
        <f ca="1">IF(Proc[[#This Row],[DateClosed]]="",ABS(NETWORKDAYS(Proc[[#This Row],[DateOpened]],TODAY()))-1,ABS(NETWORKDAYS(Proc[[#This Row],[DateOpened]],Proc[[#This Row],[DateClosed]]))-1)</f>
        <v>2</v>
      </c>
      <c r="R5620" s="178" t="s">
        <v>415</v>
      </c>
      <c r="S5620" s="150"/>
    </row>
    <row r="5621" spans="1:19" hidden="1">
      <c r="A5621" s="179" t="s">
        <v>7981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7988</v>
      </c>
      <c r="F5621" s="181" t="s">
        <v>7988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50" t="s">
        <v>6434</v>
      </c>
      <c r="M5621" s="178">
        <v>46056</v>
      </c>
      <c r="N5621" s="178"/>
      <c r="O5621" s="178"/>
      <c r="P5621" s="178" t="str">
        <f ca="1">IF(Proc[[#This Row],[DaysAgeing]]&gt;5,"yep","on track")</f>
        <v>on track</v>
      </c>
      <c r="Q5621" s="3">
        <f ca="1">IF(Proc[[#This Row],[DateClosed]]="",ABS(NETWORKDAYS(Proc[[#This Row],[DateOpened]],TODAY()))-1,ABS(NETWORKDAYS(Proc[[#This Row],[DateOpened]],Proc[[#This Row],[DateClosed]]))-1)</f>
        <v>2</v>
      </c>
      <c r="R5621" s="178" t="s">
        <v>415</v>
      </c>
      <c r="S5621" s="150"/>
    </row>
    <row r="5622" spans="1:19" hidden="1">
      <c r="A5622" s="179" t="s">
        <v>7981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7988</v>
      </c>
      <c r="F5622" s="181" t="s">
        <v>7988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50" t="s">
        <v>6434</v>
      </c>
      <c r="M5622" s="178">
        <v>46056</v>
      </c>
      <c r="N5622" s="178"/>
      <c r="O5622" s="178"/>
      <c r="P5622" s="178" t="str">
        <f ca="1">IF(Proc[[#This Row],[DaysAgeing]]&gt;5,"yep","on track")</f>
        <v>on track</v>
      </c>
      <c r="Q5622" s="3">
        <f ca="1">IF(Proc[[#This Row],[DateClosed]]="",ABS(NETWORKDAYS(Proc[[#This Row],[DateOpened]],TODAY()))-1,ABS(NETWORKDAYS(Proc[[#This Row],[DateOpened]],Proc[[#This Row],[DateClosed]]))-1)</f>
        <v>2</v>
      </c>
      <c r="R5622" s="178" t="s">
        <v>415</v>
      </c>
      <c r="S5622" s="150"/>
    </row>
    <row r="5623" spans="1:19" hidden="1">
      <c r="A5623" s="179" t="s">
        <v>7981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7989</v>
      </c>
      <c r="F5623" s="181" t="s">
        <v>7989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50" t="s">
        <v>6434</v>
      </c>
      <c r="M5623" s="178">
        <v>46056</v>
      </c>
      <c r="N5623" s="178"/>
      <c r="O5623" s="178"/>
      <c r="P5623" s="178" t="str">
        <f ca="1">IF(Proc[[#This Row],[DaysAgeing]]&gt;5,"yep","on track")</f>
        <v>on track</v>
      </c>
      <c r="Q5623" s="3">
        <f ca="1">IF(Proc[[#This Row],[DateClosed]]="",ABS(NETWORKDAYS(Proc[[#This Row],[DateOpened]],TODAY()))-1,ABS(NETWORKDAYS(Proc[[#This Row],[DateOpened]],Proc[[#This Row],[DateClosed]]))-1)</f>
        <v>2</v>
      </c>
      <c r="R5623" s="178" t="s">
        <v>415</v>
      </c>
      <c r="S5623" s="150"/>
    </row>
    <row r="5624" spans="1:19" hidden="1">
      <c r="A5624" s="179" t="s">
        <v>7981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7989</v>
      </c>
      <c r="F5624" s="181" t="s">
        <v>7989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50" t="s">
        <v>6434</v>
      </c>
      <c r="M5624" s="178">
        <v>46056</v>
      </c>
      <c r="N5624" s="178"/>
      <c r="O5624" s="178"/>
      <c r="P5624" s="178" t="str">
        <f ca="1">IF(Proc[[#This Row],[DaysAgeing]]&gt;5,"yep","on track")</f>
        <v>on track</v>
      </c>
      <c r="Q5624" s="3">
        <f ca="1">IF(Proc[[#This Row],[DateClosed]]="",ABS(NETWORKDAYS(Proc[[#This Row],[DateOpened]],TODAY()))-1,ABS(NETWORKDAYS(Proc[[#This Row],[DateOpened]],Proc[[#This Row],[DateClosed]]))-1)</f>
        <v>2</v>
      </c>
      <c r="R5624" s="178" t="s">
        <v>415</v>
      </c>
      <c r="S5624" s="150"/>
    </row>
    <row r="5625" spans="1:19" hidden="1">
      <c r="A5625" s="179" t="s">
        <v>7981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7989</v>
      </c>
      <c r="F5625" s="181" t="s">
        <v>7989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50" t="s">
        <v>6434</v>
      </c>
      <c r="M5625" s="178">
        <v>46056</v>
      </c>
      <c r="N5625" s="178"/>
      <c r="O5625" s="178"/>
      <c r="P5625" s="178" t="str">
        <f ca="1">IF(Proc[[#This Row],[DaysAgeing]]&gt;5,"yep","on track")</f>
        <v>on track</v>
      </c>
      <c r="Q5625" s="3">
        <f ca="1">IF(Proc[[#This Row],[DateClosed]]="",ABS(NETWORKDAYS(Proc[[#This Row],[DateOpened]],TODAY()))-1,ABS(NETWORKDAYS(Proc[[#This Row],[DateOpened]],Proc[[#This Row],[DateClosed]]))-1)</f>
        <v>2</v>
      </c>
      <c r="R5625" s="178" t="s">
        <v>415</v>
      </c>
      <c r="S5625" s="150"/>
    </row>
    <row r="5626" spans="1:19" hidden="1">
      <c r="A5626" s="179" t="s">
        <v>7981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7989</v>
      </c>
      <c r="F5626" s="181" t="s">
        <v>7989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50" t="s">
        <v>6434</v>
      </c>
      <c r="M5626" s="178">
        <v>46056</v>
      </c>
      <c r="N5626" s="178"/>
      <c r="O5626" s="178"/>
      <c r="P5626" s="178" t="str">
        <f ca="1">IF(Proc[[#This Row],[DaysAgeing]]&gt;5,"yep","on track")</f>
        <v>on track</v>
      </c>
      <c r="Q5626" s="3">
        <f ca="1">IF(Proc[[#This Row],[DateClosed]]="",ABS(NETWORKDAYS(Proc[[#This Row],[DateOpened]],TODAY()))-1,ABS(NETWORKDAYS(Proc[[#This Row],[DateOpened]],Proc[[#This Row],[DateClosed]]))-1)</f>
        <v>2</v>
      </c>
      <c r="R5626" s="178" t="s">
        <v>415</v>
      </c>
      <c r="S5626" s="150"/>
    </row>
    <row r="5627" spans="1:19" hidden="1">
      <c r="A5627" s="179" t="s">
        <v>7981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7989</v>
      </c>
      <c r="F5627" s="181" t="s">
        <v>7989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50" t="s">
        <v>6434</v>
      </c>
      <c r="M5627" s="178">
        <v>46056</v>
      </c>
      <c r="N5627" s="178"/>
      <c r="O5627" s="178"/>
      <c r="P5627" s="178" t="str">
        <f ca="1">IF(Proc[[#This Row],[DaysAgeing]]&gt;5,"yep","on track")</f>
        <v>on track</v>
      </c>
      <c r="Q5627" s="3">
        <f ca="1">IF(Proc[[#This Row],[DateClosed]]="",ABS(NETWORKDAYS(Proc[[#This Row],[DateOpened]],TODAY()))-1,ABS(NETWORKDAYS(Proc[[#This Row],[DateOpened]],Proc[[#This Row],[DateClosed]]))-1)</f>
        <v>2</v>
      </c>
      <c r="R5627" s="178" t="s">
        <v>415</v>
      </c>
      <c r="S5627" s="150"/>
    </row>
    <row r="5628" spans="1:19" hidden="1">
      <c r="A5628" s="179" t="s">
        <v>7981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7990</v>
      </c>
      <c r="F5628" s="181" t="s">
        <v>7990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50" t="s">
        <v>6434</v>
      </c>
      <c r="M5628" s="178">
        <v>46056</v>
      </c>
      <c r="N5628" s="178"/>
      <c r="O5628" s="178"/>
      <c r="P5628" s="178" t="str">
        <f ca="1">IF(Proc[[#This Row],[DaysAgeing]]&gt;5,"yep","on track")</f>
        <v>on track</v>
      </c>
      <c r="Q5628" s="3">
        <f ca="1">IF(Proc[[#This Row],[DateClosed]]="",ABS(NETWORKDAYS(Proc[[#This Row],[DateOpened]],TODAY()))-1,ABS(NETWORKDAYS(Proc[[#This Row],[DateOpened]],Proc[[#This Row],[DateClosed]]))-1)</f>
        <v>2</v>
      </c>
      <c r="R5628" s="178" t="s">
        <v>415</v>
      </c>
      <c r="S5628" s="150"/>
    </row>
    <row r="5629" spans="1:19" hidden="1">
      <c r="A5629" s="179" t="s">
        <v>7981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7990</v>
      </c>
      <c r="F5629" s="181" t="s">
        <v>7990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50" t="s">
        <v>6434</v>
      </c>
      <c r="M5629" s="178">
        <v>46056</v>
      </c>
      <c r="N5629" s="178"/>
      <c r="O5629" s="178"/>
      <c r="P5629" s="178" t="str">
        <f ca="1">IF(Proc[[#This Row],[DaysAgeing]]&gt;5,"yep","on track")</f>
        <v>on track</v>
      </c>
      <c r="Q5629" s="3">
        <f ca="1">IF(Proc[[#This Row],[DateClosed]]="",ABS(NETWORKDAYS(Proc[[#This Row],[DateOpened]],TODAY()))-1,ABS(NETWORKDAYS(Proc[[#This Row],[DateOpened]],Proc[[#This Row],[DateClosed]]))-1)</f>
        <v>2</v>
      </c>
      <c r="R5629" s="178" t="s">
        <v>415</v>
      </c>
      <c r="S5629" s="150"/>
    </row>
    <row r="5630" spans="1:19" hidden="1">
      <c r="A5630" s="179" t="s">
        <v>7981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7990</v>
      </c>
      <c r="F5630" s="181" t="s">
        <v>7990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50" t="s">
        <v>6434</v>
      </c>
      <c r="M5630" s="178">
        <v>46056</v>
      </c>
      <c r="N5630" s="178"/>
      <c r="O5630" s="178"/>
      <c r="P5630" s="178" t="str">
        <f ca="1">IF(Proc[[#This Row],[DaysAgeing]]&gt;5,"yep","on track")</f>
        <v>on track</v>
      </c>
      <c r="Q5630" s="3">
        <f ca="1">IF(Proc[[#This Row],[DateClosed]]="",ABS(NETWORKDAYS(Proc[[#This Row],[DateOpened]],TODAY()))-1,ABS(NETWORKDAYS(Proc[[#This Row],[DateOpened]],Proc[[#This Row],[DateClosed]]))-1)</f>
        <v>2</v>
      </c>
      <c r="R5630" s="178" t="s">
        <v>415</v>
      </c>
      <c r="S5630" s="150"/>
    </row>
    <row r="5631" spans="1:19" hidden="1">
      <c r="A5631" s="179" t="s">
        <v>7981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7990</v>
      </c>
      <c r="F5631" s="181" t="s">
        <v>7990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50" t="s">
        <v>6434</v>
      </c>
      <c r="M5631" s="178">
        <v>46056</v>
      </c>
      <c r="N5631" s="178"/>
      <c r="O5631" s="178"/>
      <c r="P5631" s="178" t="str">
        <f ca="1">IF(Proc[[#This Row],[DaysAgeing]]&gt;5,"yep","on track")</f>
        <v>on track</v>
      </c>
      <c r="Q5631" s="3">
        <f ca="1">IF(Proc[[#This Row],[DateClosed]]="",ABS(NETWORKDAYS(Proc[[#This Row],[DateOpened]],TODAY()))-1,ABS(NETWORKDAYS(Proc[[#This Row],[DateOpened]],Proc[[#This Row],[DateClosed]]))-1)</f>
        <v>2</v>
      </c>
      <c r="R5631" s="178" t="s">
        <v>415</v>
      </c>
      <c r="S5631" s="150"/>
    </row>
    <row r="5632" spans="1:19" hidden="1">
      <c r="A5632" s="179" t="s">
        <v>7981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7990</v>
      </c>
      <c r="F5632" s="181" t="s">
        <v>7990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50" t="s">
        <v>6434</v>
      </c>
      <c r="M5632" s="178">
        <v>46056</v>
      </c>
      <c r="N5632" s="178"/>
      <c r="O5632" s="178"/>
      <c r="P5632" s="178" t="str">
        <f ca="1">IF(Proc[[#This Row],[DaysAgeing]]&gt;5,"yep","on track")</f>
        <v>on track</v>
      </c>
      <c r="Q5632" s="3">
        <f ca="1">IF(Proc[[#This Row],[DateClosed]]="",ABS(NETWORKDAYS(Proc[[#This Row],[DateOpened]],TODAY()))-1,ABS(NETWORKDAYS(Proc[[#This Row],[DateOpened]],Proc[[#This Row],[DateClosed]]))-1)</f>
        <v>2</v>
      </c>
      <c r="R5632" s="178" t="s">
        <v>415</v>
      </c>
      <c r="S5632" s="150"/>
    </row>
    <row r="5633" spans="1:19" hidden="1">
      <c r="A5633" t="s">
        <v>7982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7991</v>
      </c>
      <c r="F5633" s="181" t="s">
        <v>7991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50" t="s">
        <v>6434</v>
      </c>
      <c r="M5633" s="178">
        <v>46056</v>
      </c>
      <c r="N5633" s="178"/>
      <c r="O5633" s="178"/>
      <c r="P5633" s="178" t="str">
        <f ca="1">IF(Proc[[#This Row],[DaysAgeing]]&gt;5,"yep","on track")</f>
        <v>on track</v>
      </c>
      <c r="Q5633" s="3">
        <f ca="1">IF(Proc[[#This Row],[DateClosed]]="",ABS(NETWORKDAYS(Proc[[#This Row],[DateOpened]],TODAY()))-1,ABS(NETWORKDAYS(Proc[[#This Row],[DateOpened]],Proc[[#This Row],[DateClosed]]))-1)</f>
        <v>2</v>
      </c>
      <c r="R5633" s="178" t="s">
        <v>4415</v>
      </c>
      <c r="S5633" s="150"/>
    </row>
    <row r="5634" spans="1:19">
      <c r="A5634" t="s">
        <v>7995</v>
      </c>
      <c r="B5634" s="150" t="str">
        <f>IFERROR(VLOOKUP(Proc[[#This Row],[App]],Table2[],3,0),"open")</f>
        <v>open</v>
      </c>
      <c r="C5634" t="s">
        <v>375</v>
      </c>
      <c r="D5634" t="s">
        <v>7993</v>
      </c>
      <c r="E5634" s="180" t="s">
        <v>7994</v>
      </c>
      <c r="F5634" s="181" t="s">
        <v>8004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0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1" t="s">
        <v>6434</v>
      </c>
      <c r="M5634" s="178">
        <v>46056</v>
      </c>
      <c r="N5634" s="178"/>
      <c r="O5634" s="178"/>
      <c r="P5634" s="178" t="str">
        <f ca="1">IF(Proc[[#This Row],[DaysAgeing]]&gt;5,"yep","on track")</f>
        <v>on track</v>
      </c>
      <c r="Q5634" s="3">
        <f ca="1">IF(Proc[[#This Row],[DateClosed]]="",ABS(NETWORKDAYS(Proc[[#This Row],[DateOpened]],TODAY()))-1,ABS(NETWORKDAYS(Proc[[#This Row],[DateOpened]],Proc[[#This Row],[DateClosed]]))-1)</f>
        <v>2</v>
      </c>
      <c r="R5634" s="178" t="s">
        <v>415</v>
      </c>
      <c r="S5634" s="150"/>
    </row>
    <row r="5635" spans="1:19" hidden="1">
      <c r="A5635" t="s">
        <v>8005</v>
      </c>
      <c r="B5635" s="181" t="str">
        <f>IFERROR(VLOOKUP(Proc[[#This Row],[App]],Table2[],3,0),"open")</f>
        <v>ok</v>
      </c>
      <c r="C5635" t="s">
        <v>369</v>
      </c>
      <c r="D5635" t="s">
        <v>8006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1" t="s">
        <v>6434</v>
      </c>
      <c r="M5635" s="178">
        <v>46056</v>
      </c>
      <c r="N5635" s="178"/>
      <c r="O5635" s="178"/>
      <c r="P5635" s="178" t="str">
        <f ca="1">IF(Proc[[#This Row],[DaysAgeing]]&gt;5,"yep","on track")</f>
        <v>on track</v>
      </c>
      <c r="Q5635" s="3">
        <f ca="1">IF(Proc[[#This Row],[DateClosed]]="",ABS(NETWORKDAYS(Proc[[#This Row],[DateOpened]],TODAY()))-1,ABS(NETWORKDAYS(Proc[[#This Row],[DateOpened]],Proc[[#This Row],[DateClosed]]))-1)</f>
        <v>2</v>
      </c>
      <c r="R5635" s="178" t="s">
        <v>3639</v>
      </c>
      <c r="S5635" s="181"/>
    </row>
    <row r="5636" spans="1:19" hidden="1">
      <c r="A5636" s="180" t="s">
        <v>8005</v>
      </c>
      <c r="B5636" s="181" t="str">
        <f>IFERROR(VLOOKUP(Proc[[#This Row],[App]],Table2[],3,0),"open")</f>
        <v>ok</v>
      </c>
      <c r="C5636" s="182" t="s">
        <v>369</v>
      </c>
      <c r="D5636" t="s">
        <v>8007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1" t="s">
        <v>6434</v>
      </c>
      <c r="M5636" s="178">
        <v>46056</v>
      </c>
      <c r="N5636" s="178"/>
      <c r="O5636" s="178"/>
      <c r="P5636" s="178" t="str">
        <f ca="1">IF(Proc[[#This Row],[DaysAgeing]]&gt;5,"yep","on track")</f>
        <v>on track</v>
      </c>
      <c r="Q5636" s="3">
        <f ca="1">IF(Proc[[#This Row],[DateClosed]]="",ABS(NETWORKDAYS(Proc[[#This Row],[DateOpened]],TODAY()))-1,ABS(NETWORKDAYS(Proc[[#This Row],[DateOpened]],Proc[[#This Row],[DateClosed]]))-1)</f>
        <v>2</v>
      </c>
      <c r="R5636" s="178" t="s">
        <v>3639</v>
      </c>
      <c r="S5636" s="181"/>
    </row>
    <row r="5637" spans="1:19" hidden="1">
      <c r="A5637" s="180" t="s">
        <v>8005</v>
      </c>
      <c r="B5637" s="181" t="str">
        <f>IFERROR(VLOOKUP(Proc[[#This Row],[App]],Table2[],3,0),"open")</f>
        <v>ok</v>
      </c>
      <c r="C5637" s="182" t="s">
        <v>369</v>
      </c>
      <c r="D5637" t="s">
        <v>8008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1" t="s">
        <v>6434</v>
      </c>
      <c r="M5637" s="178">
        <v>46056</v>
      </c>
      <c r="N5637" s="178"/>
      <c r="O5637" s="178"/>
      <c r="P5637" s="178" t="str">
        <f ca="1">IF(Proc[[#This Row],[DaysAgeing]]&gt;5,"yep","on track")</f>
        <v>on track</v>
      </c>
      <c r="Q5637" s="3">
        <f ca="1">IF(Proc[[#This Row],[DateClosed]]="",ABS(NETWORKDAYS(Proc[[#This Row],[DateOpened]],TODAY()))-1,ABS(NETWORKDAYS(Proc[[#This Row],[DateOpened]],Proc[[#This Row],[DateClosed]]))-1)</f>
        <v>2</v>
      </c>
      <c r="R5637" s="178" t="s">
        <v>3639</v>
      </c>
      <c r="S5637" s="181"/>
    </row>
    <row r="5638" spans="1:19" hidden="1">
      <c r="A5638" s="180" t="s">
        <v>8005</v>
      </c>
      <c r="B5638" s="181" t="str">
        <f>IFERROR(VLOOKUP(Proc[[#This Row],[App]],Table2[],3,0),"open")</f>
        <v>ok</v>
      </c>
      <c r="C5638" s="182" t="s">
        <v>369</v>
      </c>
      <c r="D5638" t="s">
        <v>8009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1" t="s">
        <v>6434</v>
      </c>
      <c r="M5638" s="178">
        <v>46056</v>
      </c>
      <c r="N5638" s="178"/>
      <c r="O5638" s="178"/>
      <c r="P5638" s="178" t="str">
        <f ca="1">IF(Proc[[#This Row],[DaysAgeing]]&gt;5,"yep","on track")</f>
        <v>on track</v>
      </c>
      <c r="Q5638" s="3">
        <f ca="1">IF(Proc[[#This Row],[DateClosed]]="",ABS(NETWORKDAYS(Proc[[#This Row],[DateOpened]],TODAY()))-1,ABS(NETWORKDAYS(Proc[[#This Row],[DateOpened]],Proc[[#This Row],[DateClosed]]))-1)</f>
        <v>2</v>
      </c>
      <c r="R5638" s="178" t="s">
        <v>3639</v>
      </c>
      <c r="S5638" s="181"/>
    </row>
    <row r="5639" spans="1:19" hidden="1">
      <c r="A5639" s="180" t="s">
        <v>8005</v>
      </c>
      <c r="B5639" s="181" t="str">
        <f>IFERROR(VLOOKUP(Proc[[#This Row],[App]],Table2[],3,0),"open")</f>
        <v>ok</v>
      </c>
      <c r="C5639" s="182" t="s">
        <v>369</v>
      </c>
      <c r="D5639" t="s">
        <v>8010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1" t="s">
        <v>6434</v>
      </c>
      <c r="M5639" s="178">
        <v>46056</v>
      </c>
      <c r="N5639" s="178"/>
      <c r="O5639" s="178"/>
      <c r="P5639" s="178" t="str">
        <f ca="1">IF(Proc[[#This Row],[DaysAgeing]]&gt;5,"yep","on track")</f>
        <v>on track</v>
      </c>
      <c r="Q5639" s="3">
        <f ca="1">IF(Proc[[#This Row],[DateClosed]]="",ABS(NETWORKDAYS(Proc[[#This Row],[DateOpened]],TODAY()))-1,ABS(NETWORKDAYS(Proc[[#This Row],[DateOpened]],Proc[[#This Row],[DateClosed]]))-1)</f>
        <v>2</v>
      </c>
      <c r="R5639" s="178" t="s">
        <v>3639</v>
      </c>
      <c r="S5639" s="181"/>
    </row>
    <row r="5640" spans="1:19" hidden="1">
      <c r="A5640" s="180" t="s">
        <v>8005</v>
      </c>
      <c r="B5640" s="181" t="str">
        <f>IFERROR(VLOOKUP(Proc[[#This Row],[App]],Table2[],3,0),"open")</f>
        <v>ok</v>
      </c>
      <c r="C5640" s="182" t="s">
        <v>369</v>
      </c>
      <c r="D5640" t="s">
        <v>8011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1" t="s">
        <v>6434</v>
      </c>
      <c r="M5640" s="178">
        <v>46056</v>
      </c>
      <c r="N5640" s="178"/>
      <c r="O5640" s="178"/>
      <c r="P5640" s="178" t="str">
        <f ca="1">IF(Proc[[#This Row],[DaysAgeing]]&gt;5,"yep","on track")</f>
        <v>on track</v>
      </c>
      <c r="Q5640" s="3">
        <f ca="1">IF(Proc[[#This Row],[DateClosed]]="",ABS(NETWORKDAYS(Proc[[#This Row],[DateOpened]],TODAY()))-1,ABS(NETWORKDAYS(Proc[[#This Row],[DateOpened]],Proc[[#This Row],[DateClosed]]))-1)</f>
        <v>2</v>
      </c>
      <c r="R5640" s="178" t="s">
        <v>3639</v>
      </c>
      <c r="S5640" s="181"/>
    </row>
    <row r="5641" spans="1:19" hidden="1">
      <c r="A5641" s="180" t="s">
        <v>8005</v>
      </c>
      <c r="B5641" s="181" t="str">
        <f>IFERROR(VLOOKUP(Proc[[#This Row],[App]],Table2[],3,0),"open")</f>
        <v>ok</v>
      </c>
      <c r="C5641" s="182" t="s">
        <v>369</v>
      </c>
      <c r="D5641" t="s">
        <v>8012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1" t="s">
        <v>6434</v>
      </c>
      <c r="M5641" s="178">
        <v>46056</v>
      </c>
      <c r="N5641" s="178"/>
      <c r="O5641" s="178"/>
      <c r="P5641" s="178" t="str">
        <f ca="1">IF(Proc[[#This Row],[DaysAgeing]]&gt;5,"yep","on track")</f>
        <v>on track</v>
      </c>
      <c r="Q5641" s="3">
        <f ca="1">IF(Proc[[#This Row],[DateClosed]]="",ABS(NETWORKDAYS(Proc[[#This Row],[DateOpened]],TODAY()))-1,ABS(NETWORKDAYS(Proc[[#This Row],[DateOpened]],Proc[[#This Row],[DateClosed]]))-1)</f>
        <v>2</v>
      </c>
      <c r="R5641" s="178" t="s">
        <v>3639</v>
      </c>
      <c r="S5641" s="181"/>
    </row>
    <row r="5642" spans="1:19" hidden="1">
      <c r="A5642" s="180" t="s">
        <v>8005</v>
      </c>
      <c r="B5642" s="181" t="str">
        <f>IFERROR(VLOOKUP(Proc[[#This Row],[App]],Table2[],3,0),"open")</f>
        <v>ok</v>
      </c>
      <c r="C5642" s="182" t="s">
        <v>369</v>
      </c>
      <c r="D5642" t="s">
        <v>8013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1" t="s">
        <v>6434</v>
      </c>
      <c r="M5642" s="178">
        <v>46056</v>
      </c>
      <c r="N5642" s="178"/>
      <c r="O5642" s="178"/>
      <c r="P5642" s="178" t="str">
        <f ca="1">IF(Proc[[#This Row],[DaysAgeing]]&gt;5,"yep","on track")</f>
        <v>on track</v>
      </c>
      <c r="Q5642" s="3">
        <f ca="1">IF(Proc[[#This Row],[DateClosed]]="",ABS(NETWORKDAYS(Proc[[#This Row],[DateOpened]],TODAY()))-1,ABS(NETWORKDAYS(Proc[[#This Row],[DateOpened]],Proc[[#This Row],[DateClosed]]))-1)</f>
        <v>2</v>
      </c>
      <c r="R5642" s="178" t="s">
        <v>3639</v>
      </c>
      <c r="S5642" s="181"/>
    </row>
    <row r="5643" spans="1:19" hidden="1">
      <c r="A5643" s="180" t="s">
        <v>8005</v>
      </c>
      <c r="B5643" s="181" t="str">
        <f>IFERROR(VLOOKUP(Proc[[#This Row],[App]],Table2[],3,0),"open")</f>
        <v>ok</v>
      </c>
      <c r="C5643" s="182" t="s">
        <v>369</v>
      </c>
      <c r="D5643" t="s">
        <v>8014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1" t="s">
        <v>6434</v>
      </c>
      <c r="M5643" s="178">
        <v>46056</v>
      </c>
      <c r="N5643" s="178"/>
      <c r="O5643" s="178"/>
      <c r="P5643" s="178" t="str">
        <f ca="1">IF(Proc[[#This Row],[DaysAgeing]]&gt;5,"yep","on track")</f>
        <v>on track</v>
      </c>
      <c r="Q5643" s="3">
        <f ca="1">IF(Proc[[#This Row],[DateClosed]]="",ABS(NETWORKDAYS(Proc[[#This Row],[DateOpened]],TODAY()))-1,ABS(NETWORKDAYS(Proc[[#This Row],[DateOpened]],Proc[[#This Row],[DateClosed]]))-1)</f>
        <v>2</v>
      </c>
      <c r="R5643" s="178" t="s">
        <v>3639</v>
      </c>
      <c r="S5643" s="181"/>
    </row>
    <row r="5644" spans="1:19" hidden="1">
      <c r="A5644" s="180" t="s">
        <v>8005</v>
      </c>
      <c r="B5644" s="181" t="str">
        <f>IFERROR(VLOOKUP(Proc[[#This Row],[App]],Table2[],3,0),"open")</f>
        <v>ok</v>
      </c>
      <c r="C5644" s="182" t="s">
        <v>369</v>
      </c>
      <c r="D5644" t="s">
        <v>8015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1" t="s">
        <v>6434</v>
      </c>
      <c r="M5644" s="178">
        <v>46056</v>
      </c>
      <c r="N5644" s="178"/>
      <c r="O5644" s="178"/>
      <c r="P5644" s="178" t="str">
        <f ca="1">IF(Proc[[#This Row],[DaysAgeing]]&gt;5,"yep","on track")</f>
        <v>on track</v>
      </c>
      <c r="Q5644" s="3">
        <f ca="1">IF(Proc[[#This Row],[DateClosed]]="",ABS(NETWORKDAYS(Proc[[#This Row],[DateOpened]],TODAY()))-1,ABS(NETWORKDAYS(Proc[[#This Row],[DateOpened]],Proc[[#This Row],[DateClosed]]))-1)</f>
        <v>2</v>
      </c>
      <c r="R5644" s="178" t="s">
        <v>3639</v>
      </c>
      <c r="S5644" s="181"/>
    </row>
    <row r="5645" spans="1:19" hidden="1">
      <c r="A5645" s="180" t="s">
        <v>8005</v>
      </c>
      <c r="B5645" s="181" t="str">
        <f>IFERROR(VLOOKUP(Proc[[#This Row],[App]],Table2[],3,0),"open")</f>
        <v>ok</v>
      </c>
      <c r="C5645" s="182" t="s">
        <v>369</v>
      </c>
      <c r="D5645" t="s">
        <v>8016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1" t="s">
        <v>6434</v>
      </c>
      <c r="M5645" s="178">
        <v>46056</v>
      </c>
      <c r="N5645" s="178"/>
      <c r="O5645" s="178"/>
      <c r="P5645" s="178" t="str">
        <f ca="1">IF(Proc[[#This Row],[DaysAgeing]]&gt;5,"yep","on track")</f>
        <v>on track</v>
      </c>
      <c r="Q5645" s="3">
        <f ca="1">IF(Proc[[#This Row],[DateClosed]]="",ABS(NETWORKDAYS(Proc[[#This Row],[DateOpened]],TODAY()))-1,ABS(NETWORKDAYS(Proc[[#This Row],[DateOpened]],Proc[[#This Row],[DateClosed]]))-1)</f>
        <v>2</v>
      </c>
      <c r="R5645" s="178" t="s">
        <v>3639</v>
      </c>
      <c r="S5645" s="181"/>
    </row>
    <row r="5646" spans="1:19" hidden="1">
      <c r="A5646" s="180" t="s">
        <v>8005</v>
      </c>
      <c r="B5646" s="181" t="str">
        <f>IFERROR(VLOOKUP(Proc[[#This Row],[App]],Table2[],3,0),"open")</f>
        <v>ok</v>
      </c>
      <c r="C5646" s="182" t="s">
        <v>369</v>
      </c>
      <c r="D5646" t="s">
        <v>8017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1" t="s">
        <v>6434</v>
      </c>
      <c r="M5646" s="178">
        <v>46056</v>
      </c>
      <c r="N5646" s="178"/>
      <c r="O5646" s="178"/>
      <c r="P5646" s="178" t="str">
        <f ca="1">IF(Proc[[#This Row],[DaysAgeing]]&gt;5,"yep","on track")</f>
        <v>on track</v>
      </c>
      <c r="Q5646" s="3">
        <f ca="1">IF(Proc[[#This Row],[DateClosed]]="",ABS(NETWORKDAYS(Proc[[#This Row],[DateOpened]],TODAY()))-1,ABS(NETWORKDAYS(Proc[[#This Row],[DateOpened]],Proc[[#This Row],[DateClosed]]))-1)</f>
        <v>2</v>
      </c>
      <c r="R5646" s="178" t="s">
        <v>3639</v>
      </c>
      <c r="S5646" s="181"/>
    </row>
    <row r="5647" spans="1:19" hidden="1">
      <c r="A5647" s="180" t="s">
        <v>8005</v>
      </c>
      <c r="B5647" s="181" t="str">
        <f>IFERROR(VLOOKUP(Proc[[#This Row],[App]],Table2[],3,0),"open")</f>
        <v>ok</v>
      </c>
      <c r="C5647" s="182" t="s">
        <v>369</v>
      </c>
      <c r="D5647" t="s">
        <v>8018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1" t="s">
        <v>6434</v>
      </c>
      <c r="M5647" s="178">
        <v>46056</v>
      </c>
      <c r="N5647" s="178"/>
      <c r="O5647" s="178"/>
      <c r="P5647" s="178" t="str">
        <f ca="1">IF(Proc[[#This Row],[DaysAgeing]]&gt;5,"yep","on track")</f>
        <v>on track</v>
      </c>
      <c r="Q5647" s="3">
        <f ca="1">IF(Proc[[#This Row],[DateClosed]]="",ABS(NETWORKDAYS(Proc[[#This Row],[DateOpened]],TODAY()))-1,ABS(NETWORKDAYS(Proc[[#This Row],[DateOpened]],Proc[[#This Row],[DateClosed]]))-1)</f>
        <v>2</v>
      </c>
      <c r="R5647" s="178" t="s">
        <v>3639</v>
      </c>
      <c r="S5647" s="181"/>
    </row>
    <row r="5648" spans="1:19" hidden="1">
      <c r="A5648" t="s">
        <v>8019</v>
      </c>
      <c r="B5648" s="181" t="str">
        <f>IFERROR(VLOOKUP(Proc[[#This Row],[App]],Table2[],3,0),"open")</f>
        <v>open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1" t="s">
        <v>6434</v>
      </c>
      <c r="M5648" s="178">
        <v>46056</v>
      </c>
      <c r="N5648" s="178"/>
      <c r="O5648" s="178"/>
      <c r="P5648" s="178" t="str">
        <f ca="1">IF(Proc[[#This Row],[DaysAgeing]]&gt;5,"yep","on track")</f>
        <v>on track</v>
      </c>
      <c r="Q5648" s="3">
        <f ca="1">IF(Proc[[#This Row],[DateClosed]]="",ABS(NETWORKDAYS(Proc[[#This Row],[DateOpened]],TODAY()))-1,ABS(NETWORKDAYS(Proc[[#This Row],[DateOpened]],Proc[[#This Row],[DateClosed]]))-1)</f>
        <v>2</v>
      </c>
      <c r="R5648" s="180" t="s">
        <v>489</v>
      </c>
      <c r="S5648" s="180"/>
    </row>
    <row r="5649" spans="1:19" hidden="1">
      <c r="A5649" s="180" t="s">
        <v>8019</v>
      </c>
      <c r="B5649" s="181" t="str">
        <f>IFERROR(VLOOKUP(Proc[[#This Row],[App]],Table2[],3,0),"open")</f>
        <v>open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1" t="s">
        <v>6434</v>
      </c>
      <c r="M5649" s="178">
        <v>46056</v>
      </c>
      <c r="N5649" s="178"/>
      <c r="O5649" s="178"/>
      <c r="P5649" s="178" t="str">
        <f ca="1">IF(Proc[[#This Row],[DaysAgeing]]&gt;5,"yep","on track")</f>
        <v>on track</v>
      </c>
      <c r="Q5649" s="3">
        <f ca="1">IF(Proc[[#This Row],[DateClosed]]="",ABS(NETWORKDAYS(Proc[[#This Row],[DateOpened]],TODAY()))-1,ABS(NETWORKDAYS(Proc[[#This Row],[DateOpened]],Proc[[#This Row],[DateClosed]]))-1)</f>
        <v>2</v>
      </c>
      <c r="R5649" s="180" t="s">
        <v>489</v>
      </c>
      <c r="S5649" s="180"/>
    </row>
    <row r="5650" spans="1:19" hidden="1">
      <c r="A5650" s="180" t="s">
        <v>8019</v>
      </c>
      <c r="B5650" s="181" t="str">
        <f>IFERROR(VLOOKUP(Proc[[#This Row],[App]],Table2[],3,0),"open")</f>
        <v>open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1" t="s">
        <v>6434</v>
      </c>
      <c r="M5650" s="178">
        <v>46056</v>
      </c>
      <c r="N5650" s="178"/>
      <c r="O5650" s="178"/>
      <c r="P5650" s="178" t="str">
        <f ca="1">IF(Proc[[#This Row],[DaysAgeing]]&gt;5,"yep","on track")</f>
        <v>on track</v>
      </c>
      <c r="Q5650" s="3">
        <f ca="1">IF(Proc[[#This Row],[DateClosed]]="",ABS(NETWORKDAYS(Proc[[#This Row],[DateOpened]],TODAY()))-1,ABS(NETWORKDAYS(Proc[[#This Row],[DateOpened]],Proc[[#This Row],[DateClosed]]))-1)</f>
        <v>2</v>
      </c>
      <c r="R5650" s="180" t="s">
        <v>489</v>
      </c>
      <c r="S5650" s="180"/>
    </row>
    <row r="5651" spans="1:19" hidden="1">
      <c r="A5651" s="180" t="s">
        <v>8019</v>
      </c>
      <c r="B5651" s="181" t="str">
        <f>IFERROR(VLOOKUP(Proc[[#This Row],[App]],Table2[],3,0),"open")</f>
        <v>open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1" t="s">
        <v>6434</v>
      </c>
      <c r="M5651" s="178">
        <v>46056</v>
      </c>
      <c r="N5651" s="178"/>
      <c r="O5651" s="178"/>
      <c r="P5651" s="178" t="str">
        <f ca="1">IF(Proc[[#This Row],[DaysAgeing]]&gt;5,"yep","on track")</f>
        <v>on track</v>
      </c>
      <c r="Q5651" s="3">
        <f ca="1">IF(Proc[[#This Row],[DateClosed]]="",ABS(NETWORKDAYS(Proc[[#This Row],[DateOpened]],TODAY()))-1,ABS(NETWORKDAYS(Proc[[#This Row],[DateOpened]],Proc[[#This Row],[DateClosed]]))-1)</f>
        <v>2</v>
      </c>
      <c r="R5651" s="180" t="s">
        <v>489</v>
      </c>
      <c r="S5651" s="180"/>
    </row>
    <row r="5652" spans="1:19" hidden="1">
      <c r="A5652" s="180" t="s">
        <v>8019</v>
      </c>
      <c r="B5652" s="181" t="str">
        <f>IFERROR(VLOOKUP(Proc[[#This Row],[App]],Table2[],3,0),"open")</f>
        <v>open</v>
      </c>
      <c r="C5652" s="182" t="s">
        <v>369</v>
      </c>
      <c r="D5652" t="s">
        <v>8020</v>
      </c>
      <c r="E5652" t="s">
        <v>8058</v>
      </c>
      <c r="F5652" s="183" t="s">
        <v>8058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1" t="s">
        <v>6434</v>
      </c>
      <c r="M5652" s="178">
        <v>46056</v>
      </c>
      <c r="N5652" s="178"/>
      <c r="O5652" s="178"/>
      <c r="P5652" s="178" t="str">
        <f ca="1">IF(Proc[[#This Row],[DaysAgeing]]&gt;5,"yep","on track")</f>
        <v>on track</v>
      </c>
      <c r="Q5652" s="3">
        <f ca="1">IF(Proc[[#This Row],[DateClosed]]="",ABS(NETWORKDAYS(Proc[[#This Row],[DateOpened]],TODAY()))-1,ABS(NETWORKDAYS(Proc[[#This Row],[DateOpened]],Proc[[#This Row],[DateClosed]]))-1)</f>
        <v>2</v>
      </c>
      <c r="R5652" s="180" t="s">
        <v>489</v>
      </c>
      <c r="S5652" s="180"/>
    </row>
    <row r="5653" spans="1:19" hidden="1">
      <c r="A5653" s="180" t="s">
        <v>8019</v>
      </c>
      <c r="B5653" s="181" t="str">
        <f>IFERROR(VLOOKUP(Proc[[#This Row],[App]],Table2[],3,0),"open")</f>
        <v>open</v>
      </c>
      <c r="C5653" s="182" t="s">
        <v>369</v>
      </c>
      <c r="D5653" t="s">
        <v>8021</v>
      </c>
      <c r="E5653" t="s">
        <v>8059</v>
      </c>
      <c r="F5653" s="183" t="s">
        <v>8059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1" t="s">
        <v>6434</v>
      </c>
      <c r="M5653" s="178">
        <v>46056</v>
      </c>
      <c r="N5653" s="178"/>
      <c r="O5653" s="178"/>
      <c r="P5653" s="178" t="str">
        <f ca="1">IF(Proc[[#This Row],[DaysAgeing]]&gt;5,"yep","on track")</f>
        <v>on track</v>
      </c>
      <c r="Q5653" s="3">
        <f ca="1">IF(Proc[[#This Row],[DateClosed]]="",ABS(NETWORKDAYS(Proc[[#This Row],[DateOpened]],TODAY()))-1,ABS(NETWORKDAYS(Proc[[#This Row],[DateOpened]],Proc[[#This Row],[DateClosed]]))-1)</f>
        <v>2</v>
      </c>
      <c r="R5653" s="180" t="s">
        <v>489</v>
      </c>
      <c r="S5653" s="180"/>
    </row>
    <row r="5654" spans="1:19" hidden="1">
      <c r="A5654" s="180" t="s">
        <v>8019</v>
      </c>
      <c r="B5654" s="181" t="str">
        <f>IFERROR(VLOOKUP(Proc[[#This Row],[App]],Table2[],3,0),"open")</f>
        <v>open</v>
      </c>
      <c r="C5654" s="182" t="s">
        <v>369</v>
      </c>
      <c r="D5654" t="s">
        <v>8022</v>
      </c>
      <c r="E5654" t="s">
        <v>8059</v>
      </c>
      <c r="F5654" s="183" t="s">
        <v>8059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1" t="s">
        <v>6434</v>
      </c>
      <c r="M5654" s="178">
        <v>46056</v>
      </c>
      <c r="N5654" s="178"/>
      <c r="O5654" s="178"/>
      <c r="P5654" s="178" t="str">
        <f ca="1">IF(Proc[[#This Row],[DaysAgeing]]&gt;5,"yep","on track")</f>
        <v>on track</v>
      </c>
      <c r="Q5654" s="3">
        <f ca="1">IF(Proc[[#This Row],[DateClosed]]="",ABS(NETWORKDAYS(Proc[[#This Row],[DateOpened]],TODAY()))-1,ABS(NETWORKDAYS(Proc[[#This Row],[DateOpened]],Proc[[#This Row],[DateClosed]]))-1)</f>
        <v>2</v>
      </c>
      <c r="R5654" s="180" t="s">
        <v>489</v>
      </c>
      <c r="S5654" s="180"/>
    </row>
    <row r="5655" spans="1:19" hidden="1">
      <c r="A5655" s="180" t="s">
        <v>8019</v>
      </c>
      <c r="B5655" s="181" t="str">
        <f>IFERROR(VLOOKUP(Proc[[#This Row],[App]],Table2[],3,0),"open")</f>
        <v>open</v>
      </c>
      <c r="C5655" s="182" t="s">
        <v>369</v>
      </c>
      <c r="D5655" t="s">
        <v>8023</v>
      </c>
      <c r="E5655" t="s">
        <v>8059</v>
      </c>
      <c r="F5655" s="183" t="s">
        <v>8059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1" t="s">
        <v>6434</v>
      </c>
      <c r="M5655" s="178">
        <v>46056</v>
      </c>
      <c r="N5655" s="178"/>
      <c r="O5655" s="178"/>
      <c r="P5655" s="178" t="str">
        <f ca="1">IF(Proc[[#This Row],[DaysAgeing]]&gt;5,"yep","on track")</f>
        <v>on track</v>
      </c>
      <c r="Q5655" s="3">
        <f ca="1">IF(Proc[[#This Row],[DateClosed]]="",ABS(NETWORKDAYS(Proc[[#This Row],[DateOpened]],TODAY()))-1,ABS(NETWORKDAYS(Proc[[#This Row],[DateOpened]],Proc[[#This Row],[DateClosed]]))-1)</f>
        <v>2</v>
      </c>
      <c r="R5655" s="180" t="s">
        <v>489</v>
      </c>
      <c r="S5655" s="180"/>
    </row>
    <row r="5656" spans="1:19" hidden="1">
      <c r="A5656" s="180" t="s">
        <v>8019</v>
      </c>
      <c r="B5656" s="181" t="str">
        <f>IFERROR(VLOOKUP(Proc[[#This Row],[App]],Table2[],3,0),"open")</f>
        <v>open</v>
      </c>
      <c r="C5656" s="182" t="s">
        <v>369</v>
      </c>
      <c r="D5656" t="s">
        <v>8024</v>
      </c>
      <c r="E5656" t="s">
        <v>8059</v>
      </c>
      <c r="F5656" s="183" t="s">
        <v>8059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1" t="s">
        <v>6434</v>
      </c>
      <c r="M5656" s="178">
        <v>46056</v>
      </c>
      <c r="N5656" s="178"/>
      <c r="O5656" s="178"/>
      <c r="P5656" s="178" t="str">
        <f ca="1">IF(Proc[[#This Row],[DaysAgeing]]&gt;5,"yep","on track")</f>
        <v>on track</v>
      </c>
      <c r="Q5656" s="3">
        <f ca="1">IF(Proc[[#This Row],[DateClosed]]="",ABS(NETWORKDAYS(Proc[[#This Row],[DateOpened]],TODAY()))-1,ABS(NETWORKDAYS(Proc[[#This Row],[DateOpened]],Proc[[#This Row],[DateClosed]]))-1)</f>
        <v>2</v>
      </c>
      <c r="R5656" s="180" t="s">
        <v>489</v>
      </c>
      <c r="S5656" s="180"/>
    </row>
    <row r="5657" spans="1:19" hidden="1">
      <c r="A5657" s="180" t="s">
        <v>8019</v>
      </c>
      <c r="B5657" s="181" t="str">
        <f>IFERROR(VLOOKUP(Proc[[#This Row],[App]],Table2[],3,0),"open")</f>
        <v>open</v>
      </c>
      <c r="C5657" s="182" t="s">
        <v>369</v>
      </c>
      <c r="D5657" t="s">
        <v>8025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1" t="s">
        <v>6434</v>
      </c>
      <c r="M5657" s="178">
        <v>46056</v>
      </c>
      <c r="N5657" s="178"/>
      <c r="O5657" s="178"/>
      <c r="P5657" s="178" t="str">
        <f ca="1">IF(Proc[[#This Row],[DaysAgeing]]&gt;5,"yep","on track")</f>
        <v>on track</v>
      </c>
      <c r="Q5657" s="3">
        <f ca="1">IF(Proc[[#This Row],[DateClosed]]="",ABS(NETWORKDAYS(Proc[[#This Row],[DateOpened]],TODAY()))-1,ABS(NETWORKDAYS(Proc[[#This Row],[DateOpened]],Proc[[#This Row],[DateClosed]]))-1)</f>
        <v>2</v>
      </c>
      <c r="R5657" s="180" t="s">
        <v>489</v>
      </c>
      <c r="S5657" s="180"/>
    </row>
    <row r="5658" spans="1:19">
      <c r="A5658" s="180" t="s">
        <v>8019</v>
      </c>
      <c r="B5658" s="181" t="str">
        <f>IFERROR(VLOOKUP(Proc[[#This Row],[App]],Table2[],3,0),"open")</f>
        <v>open</v>
      </c>
      <c r="C5658" s="180" t="s">
        <v>375</v>
      </c>
      <c r="D5658" t="s">
        <v>8026</v>
      </c>
      <c r="E5658" t="s">
        <v>8060</v>
      </c>
      <c r="F5658" s="181">
        <f>VLOOKUP(Proc[[#This Row],[Obj]],Sheet5!A:B,2,0)</f>
        <v>0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0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1" t="s">
        <v>6434</v>
      </c>
      <c r="M5658" s="178">
        <v>46056</v>
      </c>
      <c r="N5658" s="178"/>
      <c r="O5658" s="178"/>
      <c r="P5658" s="178" t="str">
        <f ca="1">IF(Proc[[#This Row],[DaysAgeing]]&gt;5,"yep","on track")</f>
        <v>on track</v>
      </c>
      <c r="Q5658" s="3">
        <f ca="1">IF(Proc[[#This Row],[DateClosed]]="",ABS(NETWORKDAYS(Proc[[#This Row],[DateOpened]],TODAY()))-1,ABS(NETWORKDAYS(Proc[[#This Row],[DateOpened]],Proc[[#This Row],[DateClosed]]))-1)</f>
        <v>2</v>
      </c>
      <c r="R5658" s="180" t="s">
        <v>489</v>
      </c>
      <c r="S5658" s="181"/>
    </row>
    <row r="5659" spans="1:19">
      <c r="A5659" s="180" t="s">
        <v>8019</v>
      </c>
      <c r="B5659" s="181" t="str">
        <f>IFERROR(VLOOKUP(Proc[[#This Row],[App]],Table2[],3,0),"open")</f>
        <v>open</v>
      </c>
      <c r="C5659" s="180" t="s">
        <v>375</v>
      </c>
      <c r="D5659" t="s">
        <v>8027</v>
      </c>
      <c r="E5659" t="s">
        <v>8061</v>
      </c>
      <c r="F5659" s="183" t="str">
        <f>VLOOKUP(Proc[[#This Row],[Obj]],Sheet5!A:B,2,0)</f>
        <v>L000010608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0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1" t="s">
        <v>6434</v>
      </c>
      <c r="M5659" s="178">
        <v>46056</v>
      </c>
      <c r="N5659" s="178"/>
      <c r="O5659" s="178"/>
      <c r="P5659" s="178" t="str">
        <f ca="1">IF(Proc[[#This Row],[DaysAgeing]]&gt;5,"yep","on track")</f>
        <v>on track</v>
      </c>
      <c r="Q5659" s="3">
        <f ca="1">IF(Proc[[#This Row],[DateClosed]]="",ABS(NETWORKDAYS(Proc[[#This Row],[DateOpened]],TODAY()))-1,ABS(NETWORKDAYS(Proc[[#This Row],[DateOpened]],Proc[[#This Row],[DateClosed]]))-1)</f>
        <v>2</v>
      </c>
      <c r="R5659" s="180" t="s">
        <v>489</v>
      </c>
      <c r="S5659" s="181"/>
    </row>
    <row r="5660" spans="1:19">
      <c r="A5660" s="180" t="s">
        <v>8019</v>
      </c>
      <c r="B5660" s="181" t="str">
        <f>IFERROR(VLOOKUP(Proc[[#This Row],[App]],Table2[],3,0),"open")</f>
        <v>open</v>
      </c>
      <c r="C5660" s="180" t="s">
        <v>375</v>
      </c>
      <c r="D5660" t="s">
        <v>8028</v>
      </c>
      <c r="E5660" t="s">
        <v>8061</v>
      </c>
      <c r="F5660" s="183" t="str">
        <f>VLOOKUP(Proc[[#This Row],[Obj]],Sheet5!A:B,2,0)</f>
        <v>L000010608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0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1" t="s">
        <v>6434</v>
      </c>
      <c r="M5660" s="178">
        <v>46056</v>
      </c>
      <c r="N5660" s="178"/>
      <c r="O5660" s="178"/>
      <c r="P5660" s="178" t="str">
        <f ca="1">IF(Proc[[#This Row],[DaysAgeing]]&gt;5,"yep","on track")</f>
        <v>on track</v>
      </c>
      <c r="Q5660" s="3">
        <f ca="1">IF(Proc[[#This Row],[DateClosed]]="",ABS(NETWORKDAYS(Proc[[#This Row],[DateOpened]],TODAY()))-1,ABS(NETWORKDAYS(Proc[[#This Row],[DateOpened]],Proc[[#This Row],[DateClosed]]))-1)</f>
        <v>2</v>
      </c>
      <c r="R5660" s="180" t="s">
        <v>489</v>
      </c>
      <c r="S5660" s="181"/>
    </row>
    <row r="5661" spans="1:19">
      <c r="A5661" s="180" t="s">
        <v>8019</v>
      </c>
      <c r="B5661" s="181" t="str">
        <f>IFERROR(VLOOKUP(Proc[[#This Row],[App]],Table2[],3,0),"open")</f>
        <v>open</v>
      </c>
      <c r="C5661" s="180" t="s">
        <v>375</v>
      </c>
      <c r="D5661" t="s">
        <v>8029</v>
      </c>
      <c r="E5661" t="s">
        <v>8061</v>
      </c>
      <c r="F5661" s="183" t="str">
        <f>VLOOKUP(Proc[[#This Row],[Obj]],Sheet5!A:B,2,0)</f>
        <v>L000010608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0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1" t="s">
        <v>6434</v>
      </c>
      <c r="M5661" s="178">
        <v>46056</v>
      </c>
      <c r="N5661" s="178"/>
      <c r="O5661" s="178"/>
      <c r="P5661" s="178" t="str">
        <f ca="1">IF(Proc[[#This Row],[DaysAgeing]]&gt;5,"yep","on track")</f>
        <v>on track</v>
      </c>
      <c r="Q5661" s="3">
        <f ca="1">IF(Proc[[#This Row],[DateClosed]]="",ABS(NETWORKDAYS(Proc[[#This Row],[DateOpened]],TODAY()))-1,ABS(NETWORKDAYS(Proc[[#This Row],[DateOpened]],Proc[[#This Row],[DateClosed]]))-1)</f>
        <v>2</v>
      </c>
      <c r="R5661" s="180" t="s">
        <v>489</v>
      </c>
      <c r="S5661" s="181"/>
    </row>
    <row r="5662" spans="1:19">
      <c r="A5662" s="180" t="s">
        <v>8019</v>
      </c>
      <c r="B5662" s="181" t="str">
        <f>IFERROR(VLOOKUP(Proc[[#This Row],[App]],Table2[],3,0),"open")</f>
        <v>open</v>
      </c>
      <c r="C5662" s="180" t="s">
        <v>375</v>
      </c>
      <c r="D5662" t="s">
        <v>8030</v>
      </c>
      <c r="E5662" t="s">
        <v>8061</v>
      </c>
      <c r="F5662" s="183" t="str">
        <f>VLOOKUP(Proc[[#This Row],[Obj]],Sheet5!A:B,2,0)</f>
        <v>Trash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1" t="s">
        <v>6434</v>
      </c>
      <c r="M5662" s="178">
        <v>46056</v>
      </c>
      <c r="N5662" s="178"/>
      <c r="O5662" s="178"/>
      <c r="P5662" s="178" t="str">
        <f ca="1">IF(Proc[[#This Row],[DaysAgeing]]&gt;5,"yep","on track")</f>
        <v>on track</v>
      </c>
      <c r="Q5662" s="3">
        <f ca="1">IF(Proc[[#This Row],[DateClosed]]="",ABS(NETWORKDAYS(Proc[[#This Row],[DateOpened]],TODAY()))-1,ABS(NETWORKDAYS(Proc[[#This Row],[DateOpened]],Proc[[#This Row],[DateClosed]]))-1)</f>
        <v>2</v>
      </c>
      <c r="R5662" s="180" t="s">
        <v>489</v>
      </c>
      <c r="S5662" s="181"/>
    </row>
    <row r="5663" spans="1:19" hidden="1">
      <c r="A5663" s="180" t="s">
        <v>8019</v>
      </c>
      <c r="B5663" s="181" t="str">
        <f>IFERROR(VLOOKUP(Proc[[#This Row],[App]],Table2[],3,0),"open")</f>
        <v>open</v>
      </c>
      <c r="C5663" s="182" t="s">
        <v>369</v>
      </c>
      <c r="D5663" t="s">
        <v>8031</v>
      </c>
      <c r="E5663" t="s">
        <v>8061</v>
      </c>
      <c r="F5663" s="183" t="s">
        <v>8061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1" t="s">
        <v>6434</v>
      </c>
      <c r="M5663" s="178">
        <v>46056</v>
      </c>
      <c r="N5663" s="178"/>
      <c r="O5663" s="178"/>
      <c r="P5663" s="178" t="str">
        <f ca="1">IF(Proc[[#This Row],[DaysAgeing]]&gt;5,"yep","on track")</f>
        <v>on track</v>
      </c>
      <c r="Q5663" s="3">
        <f ca="1">IF(Proc[[#This Row],[DateClosed]]="",ABS(NETWORKDAYS(Proc[[#This Row],[DateOpened]],TODAY()))-1,ABS(NETWORKDAYS(Proc[[#This Row],[DateOpened]],Proc[[#This Row],[DateClosed]]))-1)</f>
        <v>2</v>
      </c>
      <c r="R5663" s="180" t="s">
        <v>489</v>
      </c>
      <c r="S5663" s="180"/>
    </row>
    <row r="5664" spans="1:19" hidden="1">
      <c r="A5664" s="180" t="s">
        <v>8019</v>
      </c>
      <c r="B5664" s="181" t="str">
        <f>IFERROR(VLOOKUP(Proc[[#This Row],[App]],Table2[],3,0),"open")</f>
        <v>open</v>
      </c>
      <c r="C5664" s="182" t="s">
        <v>369</v>
      </c>
      <c r="D5664" t="s">
        <v>8032</v>
      </c>
      <c r="E5664" t="s">
        <v>8061</v>
      </c>
      <c r="F5664" s="183" t="s">
        <v>8061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1" t="s">
        <v>6434</v>
      </c>
      <c r="M5664" s="178">
        <v>46056</v>
      </c>
      <c r="N5664" s="178"/>
      <c r="O5664" s="178"/>
      <c r="P5664" s="178" t="str">
        <f ca="1">IF(Proc[[#This Row],[DaysAgeing]]&gt;5,"yep","on track")</f>
        <v>on track</v>
      </c>
      <c r="Q5664" s="3">
        <f ca="1">IF(Proc[[#This Row],[DateClosed]]="",ABS(NETWORKDAYS(Proc[[#This Row],[DateOpened]],TODAY()))-1,ABS(NETWORKDAYS(Proc[[#This Row],[DateOpened]],Proc[[#This Row],[DateClosed]]))-1)</f>
        <v>2</v>
      </c>
      <c r="R5664" s="180" t="s">
        <v>489</v>
      </c>
      <c r="S5664" s="180"/>
    </row>
    <row r="5665" spans="1:19" hidden="1">
      <c r="A5665" s="180" t="s">
        <v>8019</v>
      </c>
      <c r="B5665" s="181" t="str">
        <f>IFERROR(VLOOKUP(Proc[[#This Row],[App]],Table2[],3,0),"open")</f>
        <v>open</v>
      </c>
      <c r="C5665" s="182" t="s">
        <v>369</v>
      </c>
      <c r="D5665" t="s">
        <v>8033</v>
      </c>
      <c r="E5665" t="s">
        <v>8061</v>
      </c>
      <c r="F5665" s="183" t="s">
        <v>8061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1" t="s">
        <v>6434</v>
      </c>
      <c r="M5665" s="178">
        <v>46056</v>
      </c>
      <c r="N5665" s="178"/>
      <c r="O5665" s="178"/>
      <c r="P5665" s="178" t="str">
        <f ca="1">IF(Proc[[#This Row],[DaysAgeing]]&gt;5,"yep","on track")</f>
        <v>on track</v>
      </c>
      <c r="Q5665" s="3">
        <f ca="1">IF(Proc[[#This Row],[DateClosed]]="",ABS(NETWORKDAYS(Proc[[#This Row],[DateOpened]],TODAY()))-1,ABS(NETWORKDAYS(Proc[[#This Row],[DateOpened]],Proc[[#This Row],[DateClosed]]))-1)</f>
        <v>2</v>
      </c>
      <c r="R5665" s="180" t="s">
        <v>489</v>
      </c>
      <c r="S5665" s="180"/>
    </row>
    <row r="5666" spans="1:19" hidden="1">
      <c r="A5666" s="180" t="s">
        <v>8019</v>
      </c>
      <c r="B5666" s="181" t="str">
        <f>IFERROR(VLOOKUP(Proc[[#This Row],[App]],Table2[],3,0),"open")</f>
        <v>open</v>
      </c>
      <c r="C5666" s="182" t="s">
        <v>369</v>
      </c>
      <c r="D5666" t="s">
        <v>8034</v>
      </c>
      <c r="E5666" t="s">
        <v>8061</v>
      </c>
      <c r="F5666" s="183" t="s">
        <v>8061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1" t="s">
        <v>6434</v>
      </c>
      <c r="M5666" s="178">
        <v>46056</v>
      </c>
      <c r="N5666" s="178"/>
      <c r="O5666" s="178"/>
      <c r="P5666" s="178" t="str">
        <f ca="1">IF(Proc[[#This Row],[DaysAgeing]]&gt;5,"yep","on track")</f>
        <v>on track</v>
      </c>
      <c r="Q5666" s="3">
        <f ca="1">IF(Proc[[#This Row],[DateClosed]]="",ABS(NETWORKDAYS(Proc[[#This Row],[DateOpened]],TODAY()))-1,ABS(NETWORKDAYS(Proc[[#This Row],[DateOpened]],Proc[[#This Row],[DateClosed]]))-1)</f>
        <v>2</v>
      </c>
      <c r="R5666" s="180" t="s">
        <v>489</v>
      </c>
      <c r="S5666" s="180"/>
    </row>
    <row r="5667" spans="1:19" hidden="1">
      <c r="A5667" s="180" t="s">
        <v>8019</v>
      </c>
      <c r="B5667" s="181" t="str">
        <f>IFERROR(VLOOKUP(Proc[[#This Row],[App]],Table2[],3,0),"open")</f>
        <v>open</v>
      </c>
      <c r="C5667" s="182" t="s">
        <v>369</v>
      </c>
      <c r="D5667" t="s">
        <v>8035</v>
      </c>
      <c r="E5667" t="s">
        <v>8061</v>
      </c>
      <c r="F5667" s="183" t="s">
        <v>8061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1" t="s">
        <v>6434</v>
      </c>
      <c r="M5667" s="178">
        <v>46056</v>
      </c>
      <c r="N5667" s="178"/>
      <c r="O5667" s="178"/>
      <c r="P5667" s="178" t="str">
        <f ca="1">IF(Proc[[#This Row],[DaysAgeing]]&gt;5,"yep","on track")</f>
        <v>on track</v>
      </c>
      <c r="Q5667" s="3">
        <f ca="1">IF(Proc[[#This Row],[DateClosed]]="",ABS(NETWORKDAYS(Proc[[#This Row],[DateOpened]],TODAY()))-1,ABS(NETWORKDAYS(Proc[[#This Row],[DateOpened]],Proc[[#This Row],[DateClosed]]))-1)</f>
        <v>2</v>
      </c>
      <c r="R5667" s="180" t="s">
        <v>489</v>
      </c>
      <c r="S5667" s="180"/>
    </row>
    <row r="5668" spans="1:19" hidden="1">
      <c r="A5668" s="180" t="s">
        <v>8019</v>
      </c>
      <c r="B5668" s="181" t="str">
        <f>IFERROR(VLOOKUP(Proc[[#This Row],[App]],Table2[],3,0),"open")</f>
        <v>open</v>
      </c>
      <c r="C5668" s="182" t="s">
        <v>369</v>
      </c>
      <c r="D5668" t="s">
        <v>8036</v>
      </c>
      <c r="E5668" t="s">
        <v>8062</v>
      </c>
      <c r="F5668" s="183" t="s">
        <v>8062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1" t="s">
        <v>6434</v>
      </c>
      <c r="M5668" s="178">
        <v>46056</v>
      </c>
      <c r="N5668" s="178"/>
      <c r="O5668" s="178"/>
      <c r="P5668" s="178" t="str">
        <f ca="1">IF(Proc[[#This Row],[DaysAgeing]]&gt;5,"yep","on track")</f>
        <v>on track</v>
      </c>
      <c r="Q5668" s="3">
        <f ca="1">IF(Proc[[#This Row],[DateClosed]]="",ABS(NETWORKDAYS(Proc[[#This Row],[DateOpened]],TODAY()))-1,ABS(NETWORKDAYS(Proc[[#This Row],[DateOpened]],Proc[[#This Row],[DateClosed]]))-1)</f>
        <v>2</v>
      </c>
      <c r="R5668" s="180" t="s">
        <v>489</v>
      </c>
      <c r="S5668" s="180"/>
    </row>
    <row r="5669" spans="1:19" hidden="1">
      <c r="A5669" s="180" t="s">
        <v>8019</v>
      </c>
      <c r="B5669" s="181" t="str">
        <f>IFERROR(VLOOKUP(Proc[[#This Row],[App]],Table2[],3,0),"open")</f>
        <v>open</v>
      </c>
      <c r="C5669" s="182" t="s">
        <v>369</v>
      </c>
      <c r="D5669" t="s">
        <v>8037</v>
      </c>
      <c r="E5669" t="s">
        <v>8063</v>
      </c>
      <c r="F5669" s="183" t="s">
        <v>8063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1" t="s">
        <v>6434</v>
      </c>
      <c r="M5669" s="178">
        <v>46056</v>
      </c>
      <c r="N5669" s="178"/>
      <c r="O5669" s="178"/>
      <c r="P5669" s="178" t="str">
        <f ca="1">IF(Proc[[#This Row],[DaysAgeing]]&gt;5,"yep","on track")</f>
        <v>on track</v>
      </c>
      <c r="Q5669" s="3">
        <f ca="1">IF(Proc[[#This Row],[DateClosed]]="",ABS(NETWORKDAYS(Proc[[#This Row],[DateOpened]],TODAY()))-1,ABS(NETWORKDAYS(Proc[[#This Row],[DateOpened]],Proc[[#This Row],[DateClosed]]))-1)</f>
        <v>2</v>
      </c>
      <c r="R5669" s="180" t="s">
        <v>489</v>
      </c>
      <c r="S5669" s="180"/>
    </row>
    <row r="5670" spans="1:19" hidden="1">
      <c r="A5670" s="180" t="s">
        <v>8019</v>
      </c>
      <c r="B5670" s="181" t="str">
        <f>IFERROR(VLOOKUP(Proc[[#This Row],[App]],Table2[],3,0),"open")</f>
        <v>open</v>
      </c>
      <c r="C5670" s="182" t="s">
        <v>369</v>
      </c>
      <c r="D5670" t="s">
        <v>8038</v>
      </c>
      <c r="E5670" t="s">
        <v>8063</v>
      </c>
      <c r="F5670" s="183" t="s">
        <v>8063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1" t="s">
        <v>6434</v>
      </c>
      <c r="M5670" s="178">
        <v>46056</v>
      </c>
      <c r="N5670" s="178"/>
      <c r="O5670" s="178"/>
      <c r="P5670" s="178" t="str">
        <f ca="1">IF(Proc[[#This Row],[DaysAgeing]]&gt;5,"yep","on track")</f>
        <v>on track</v>
      </c>
      <c r="Q5670" s="3">
        <f ca="1">IF(Proc[[#This Row],[DateClosed]]="",ABS(NETWORKDAYS(Proc[[#This Row],[DateOpened]],TODAY()))-1,ABS(NETWORKDAYS(Proc[[#This Row],[DateOpened]],Proc[[#This Row],[DateClosed]]))-1)</f>
        <v>2</v>
      </c>
      <c r="R5670" s="180" t="s">
        <v>489</v>
      </c>
      <c r="S5670" s="180"/>
    </row>
    <row r="5671" spans="1:19" hidden="1">
      <c r="A5671" s="180" t="s">
        <v>8019</v>
      </c>
      <c r="B5671" s="181" t="str">
        <f>IFERROR(VLOOKUP(Proc[[#This Row],[App]],Table2[],3,0),"open")</f>
        <v>open</v>
      </c>
      <c r="C5671" s="182" t="s">
        <v>369</v>
      </c>
      <c r="D5671" t="s">
        <v>3110</v>
      </c>
      <c r="E5671" t="s">
        <v>8064</v>
      </c>
      <c r="F5671" s="183" t="s">
        <v>8064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1" t="s">
        <v>6434</v>
      </c>
      <c r="M5671" s="178">
        <v>46056</v>
      </c>
      <c r="N5671" s="178"/>
      <c r="O5671" s="178"/>
      <c r="P5671" s="178" t="str">
        <f ca="1">IF(Proc[[#This Row],[DaysAgeing]]&gt;5,"yep","on track")</f>
        <v>on track</v>
      </c>
      <c r="Q5671" s="3">
        <f ca="1">IF(Proc[[#This Row],[DateClosed]]="",ABS(NETWORKDAYS(Proc[[#This Row],[DateOpened]],TODAY()))-1,ABS(NETWORKDAYS(Proc[[#This Row],[DateOpened]],Proc[[#This Row],[DateClosed]]))-1)</f>
        <v>2</v>
      </c>
      <c r="R5671" s="180" t="s">
        <v>489</v>
      </c>
      <c r="S5671" s="180"/>
    </row>
    <row r="5672" spans="1:19" hidden="1">
      <c r="A5672" s="180" t="s">
        <v>8019</v>
      </c>
      <c r="B5672" s="181" t="str">
        <f>IFERROR(VLOOKUP(Proc[[#This Row],[App]],Table2[],3,0),"open")</f>
        <v>open</v>
      </c>
      <c r="C5672" s="182" t="s">
        <v>369</v>
      </c>
      <c r="D5672" t="s">
        <v>8039</v>
      </c>
      <c r="E5672" t="s">
        <v>8063</v>
      </c>
      <c r="F5672" s="183" t="s">
        <v>8063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1" t="s">
        <v>6434</v>
      </c>
      <c r="M5672" s="178">
        <v>46056</v>
      </c>
      <c r="N5672" s="178"/>
      <c r="O5672" s="178"/>
      <c r="P5672" s="178" t="str">
        <f ca="1">IF(Proc[[#This Row],[DaysAgeing]]&gt;5,"yep","on track")</f>
        <v>on track</v>
      </c>
      <c r="Q5672" s="3">
        <f ca="1">IF(Proc[[#This Row],[DateClosed]]="",ABS(NETWORKDAYS(Proc[[#This Row],[DateOpened]],TODAY()))-1,ABS(NETWORKDAYS(Proc[[#This Row],[DateOpened]],Proc[[#This Row],[DateClosed]]))-1)</f>
        <v>2</v>
      </c>
      <c r="R5672" s="180" t="s">
        <v>489</v>
      </c>
      <c r="S5672" s="180"/>
    </row>
    <row r="5673" spans="1:19">
      <c r="A5673" s="180" t="s">
        <v>8019</v>
      </c>
      <c r="B5673" s="181" t="str">
        <f>IFERROR(VLOOKUP(Proc[[#This Row],[App]],Table2[],3,0),"open")</f>
        <v>open</v>
      </c>
      <c r="C5673" s="180" t="s">
        <v>375</v>
      </c>
      <c r="D5673" t="s">
        <v>8040</v>
      </c>
      <c r="E5673" t="s">
        <v>8062</v>
      </c>
      <c r="F5673" s="183" t="str">
        <f>VLOOKUP(Proc[[#This Row],[Obj]],Sheet5!A:B,2,0)</f>
        <v>L000005348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0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1" t="s">
        <v>6434</v>
      </c>
      <c r="M5673" s="178">
        <v>46056</v>
      </c>
      <c r="N5673" s="178"/>
      <c r="O5673" s="178"/>
      <c r="P5673" s="178" t="str">
        <f ca="1">IF(Proc[[#This Row],[DaysAgeing]]&gt;5,"yep","on track")</f>
        <v>on track</v>
      </c>
      <c r="Q5673" s="3">
        <f ca="1">IF(Proc[[#This Row],[DateClosed]]="",ABS(NETWORKDAYS(Proc[[#This Row],[DateOpened]],TODAY()))-1,ABS(NETWORKDAYS(Proc[[#This Row],[DateOpened]],Proc[[#This Row],[DateClosed]]))-1)</f>
        <v>2</v>
      </c>
      <c r="R5673" s="180" t="s">
        <v>489</v>
      </c>
      <c r="S5673" s="181"/>
    </row>
    <row r="5674" spans="1:19">
      <c r="A5674" s="180" t="s">
        <v>8019</v>
      </c>
      <c r="B5674" s="181" t="str">
        <f>IFERROR(VLOOKUP(Proc[[#This Row],[App]],Table2[],3,0),"open")</f>
        <v>open</v>
      </c>
      <c r="C5674" s="180" t="s">
        <v>375</v>
      </c>
      <c r="D5674" t="s">
        <v>8041</v>
      </c>
      <c r="E5674" t="s">
        <v>8065</v>
      </c>
      <c r="F5674" s="183" t="str">
        <f>VLOOKUP(Proc[[#This Row],[Obj]],Sheet5!A:B,2,0)</f>
        <v>L000005348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0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1" t="s">
        <v>6434</v>
      </c>
      <c r="M5674" s="178">
        <v>46056</v>
      </c>
      <c r="N5674" s="178"/>
      <c r="O5674" s="178"/>
      <c r="P5674" s="178" t="str">
        <f ca="1">IF(Proc[[#This Row],[DaysAgeing]]&gt;5,"yep","on track")</f>
        <v>on track</v>
      </c>
      <c r="Q5674" s="3">
        <f ca="1">IF(Proc[[#This Row],[DateClosed]]="",ABS(NETWORKDAYS(Proc[[#This Row],[DateOpened]],TODAY()))-1,ABS(NETWORKDAYS(Proc[[#This Row],[DateOpened]],Proc[[#This Row],[DateClosed]]))-1)</f>
        <v>2</v>
      </c>
      <c r="R5674" s="180" t="s">
        <v>489</v>
      </c>
      <c r="S5674" s="181"/>
    </row>
    <row r="5675" spans="1:19" hidden="1">
      <c r="A5675" s="180" t="s">
        <v>8019</v>
      </c>
      <c r="B5675" s="181" t="str">
        <f>IFERROR(VLOOKUP(Proc[[#This Row],[App]],Table2[],3,0),"open")</f>
        <v>open</v>
      </c>
      <c r="C5675" s="182" t="s">
        <v>369</v>
      </c>
      <c r="D5675" t="s">
        <v>8042</v>
      </c>
      <c r="E5675" t="s">
        <v>8065</v>
      </c>
      <c r="F5675" s="183" t="s">
        <v>8065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1" t="s">
        <v>6434</v>
      </c>
      <c r="M5675" s="178">
        <v>46056</v>
      </c>
      <c r="N5675" s="178"/>
      <c r="O5675" s="178"/>
      <c r="P5675" s="178" t="str">
        <f ca="1">IF(Proc[[#This Row],[DaysAgeing]]&gt;5,"yep","on track")</f>
        <v>on track</v>
      </c>
      <c r="Q5675" s="3">
        <f ca="1">IF(Proc[[#This Row],[DateClosed]]="",ABS(NETWORKDAYS(Proc[[#This Row],[DateOpened]],TODAY()))-1,ABS(NETWORKDAYS(Proc[[#This Row],[DateOpened]],Proc[[#This Row],[DateClosed]]))-1)</f>
        <v>2</v>
      </c>
      <c r="R5675" s="180" t="s">
        <v>489</v>
      </c>
      <c r="S5675" s="180"/>
    </row>
    <row r="5676" spans="1:19" hidden="1">
      <c r="A5676" s="180" t="s">
        <v>8019</v>
      </c>
      <c r="B5676" s="181" t="str">
        <f>IFERROR(VLOOKUP(Proc[[#This Row],[App]],Table2[],3,0),"open")</f>
        <v>open</v>
      </c>
      <c r="C5676" s="182" t="s">
        <v>369</v>
      </c>
      <c r="D5676" t="s">
        <v>8043</v>
      </c>
      <c r="E5676" t="s">
        <v>8064</v>
      </c>
      <c r="F5676" s="183" t="s">
        <v>8064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1" t="s">
        <v>6434</v>
      </c>
      <c r="M5676" s="178">
        <v>46056</v>
      </c>
      <c r="N5676" s="178"/>
      <c r="O5676" s="178"/>
      <c r="P5676" s="178" t="str">
        <f ca="1">IF(Proc[[#This Row],[DaysAgeing]]&gt;5,"yep","on track")</f>
        <v>on track</v>
      </c>
      <c r="Q5676" s="3">
        <f ca="1">IF(Proc[[#This Row],[DateClosed]]="",ABS(NETWORKDAYS(Proc[[#This Row],[DateOpened]],TODAY()))-1,ABS(NETWORKDAYS(Proc[[#This Row],[DateOpened]],Proc[[#This Row],[DateClosed]]))-1)</f>
        <v>2</v>
      </c>
      <c r="R5676" s="180" t="s">
        <v>489</v>
      </c>
      <c r="S5676" s="180"/>
    </row>
    <row r="5677" spans="1:19" hidden="1">
      <c r="A5677" s="180" t="s">
        <v>8019</v>
      </c>
      <c r="B5677" s="181" t="str">
        <f>IFERROR(VLOOKUP(Proc[[#This Row],[App]],Table2[],3,0),"open")</f>
        <v>open</v>
      </c>
      <c r="C5677" s="182" t="s">
        <v>369</v>
      </c>
      <c r="D5677" t="s">
        <v>8044</v>
      </c>
      <c r="E5677" t="s">
        <v>8062</v>
      </c>
      <c r="F5677" s="183" t="s">
        <v>8062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1" t="s">
        <v>6434</v>
      </c>
      <c r="M5677" s="178">
        <v>46056</v>
      </c>
      <c r="N5677" s="178"/>
      <c r="O5677" s="178"/>
      <c r="P5677" s="178" t="str">
        <f ca="1">IF(Proc[[#This Row],[DaysAgeing]]&gt;5,"yep","on track")</f>
        <v>on track</v>
      </c>
      <c r="Q5677" s="3">
        <f ca="1">IF(Proc[[#This Row],[DateClosed]]="",ABS(NETWORKDAYS(Proc[[#This Row],[DateOpened]],TODAY()))-1,ABS(NETWORKDAYS(Proc[[#This Row],[DateOpened]],Proc[[#This Row],[DateClosed]]))-1)</f>
        <v>2</v>
      </c>
      <c r="R5677" s="180" t="s">
        <v>489</v>
      </c>
      <c r="S5677" s="180"/>
    </row>
    <row r="5678" spans="1:19" hidden="1">
      <c r="A5678" s="180" t="s">
        <v>8019</v>
      </c>
      <c r="B5678" s="181" t="str">
        <f>IFERROR(VLOOKUP(Proc[[#This Row],[App]],Table2[],3,0),"open")</f>
        <v>open</v>
      </c>
      <c r="C5678" s="182" t="s">
        <v>369</v>
      </c>
      <c r="D5678" t="s">
        <v>8045</v>
      </c>
      <c r="E5678" t="s">
        <v>8066</v>
      </c>
      <c r="F5678" s="183" t="s">
        <v>8066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1" t="s">
        <v>6434</v>
      </c>
      <c r="M5678" s="178">
        <v>46056</v>
      </c>
      <c r="N5678" s="178"/>
      <c r="O5678" s="178"/>
      <c r="P5678" s="178" t="str">
        <f ca="1">IF(Proc[[#This Row],[DaysAgeing]]&gt;5,"yep","on track")</f>
        <v>on track</v>
      </c>
      <c r="Q5678" s="3">
        <f ca="1">IF(Proc[[#This Row],[DateClosed]]="",ABS(NETWORKDAYS(Proc[[#This Row],[DateOpened]],TODAY()))-1,ABS(NETWORKDAYS(Proc[[#This Row],[DateOpened]],Proc[[#This Row],[DateClosed]]))-1)</f>
        <v>2</v>
      </c>
      <c r="R5678" s="180" t="s">
        <v>489</v>
      </c>
      <c r="S5678" s="180"/>
    </row>
    <row r="5679" spans="1:19">
      <c r="A5679" s="180" t="s">
        <v>8019</v>
      </c>
      <c r="B5679" s="181" t="str">
        <f>IFERROR(VLOOKUP(Proc[[#This Row],[App]],Table2[],3,0),"open")</f>
        <v>open</v>
      </c>
      <c r="C5679" s="180" t="s">
        <v>375</v>
      </c>
      <c r="D5679" t="s">
        <v>8046</v>
      </c>
      <c r="E5679" t="s">
        <v>8064</v>
      </c>
      <c r="F5679" s="183" t="str">
        <f>VLOOKUP(Proc[[#This Row],[Obj]],Sheet5!A:B,2,0)</f>
        <v>L000009147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0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1" t="s">
        <v>6434</v>
      </c>
      <c r="M5679" s="178">
        <v>46056</v>
      </c>
      <c r="N5679" s="178"/>
      <c r="O5679" s="178"/>
      <c r="P5679" s="178" t="str">
        <f ca="1">IF(Proc[[#This Row],[DaysAgeing]]&gt;5,"yep","on track")</f>
        <v>on track</v>
      </c>
      <c r="Q5679" s="3">
        <f ca="1">IF(Proc[[#This Row],[DateClosed]]="",ABS(NETWORKDAYS(Proc[[#This Row],[DateOpened]],TODAY()))-1,ABS(NETWORKDAYS(Proc[[#This Row],[DateOpened]],Proc[[#This Row],[DateClosed]]))-1)</f>
        <v>2</v>
      </c>
      <c r="R5679" s="180" t="s">
        <v>489</v>
      </c>
      <c r="S5679" s="181"/>
    </row>
    <row r="5680" spans="1:19">
      <c r="A5680" s="180" t="s">
        <v>8019</v>
      </c>
      <c r="B5680" s="181" t="str">
        <f>IFERROR(VLOOKUP(Proc[[#This Row],[App]],Table2[],3,0),"open")</f>
        <v>open</v>
      </c>
      <c r="C5680" s="180" t="s">
        <v>375</v>
      </c>
      <c r="D5680" t="s">
        <v>8047</v>
      </c>
      <c r="E5680" t="s">
        <v>8066</v>
      </c>
      <c r="F5680" s="183" t="str">
        <f>VLOOKUP(Proc[[#This Row],[Obj]],Sheet5!A:B,2,0)</f>
        <v>L000009147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0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1" t="s">
        <v>6434</v>
      </c>
      <c r="M5680" s="178">
        <v>46056</v>
      </c>
      <c r="N5680" s="178"/>
      <c r="O5680" s="178"/>
      <c r="P5680" s="178" t="str">
        <f ca="1">IF(Proc[[#This Row],[DaysAgeing]]&gt;5,"yep","on track")</f>
        <v>on track</v>
      </c>
      <c r="Q5680" s="3">
        <f ca="1">IF(Proc[[#This Row],[DateClosed]]="",ABS(NETWORKDAYS(Proc[[#This Row],[DateOpened]],TODAY()))-1,ABS(NETWORKDAYS(Proc[[#This Row],[DateOpened]],Proc[[#This Row],[DateClosed]]))-1)</f>
        <v>2</v>
      </c>
      <c r="R5680" s="180" t="s">
        <v>489</v>
      </c>
      <c r="S5680" s="181"/>
    </row>
    <row r="5681" spans="1:19" hidden="1">
      <c r="A5681" s="180" t="s">
        <v>8019</v>
      </c>
      <c r="B5681" s="181" t="str">
        <f>IFERROR(VLOOKUP(Proc[[#This Row],[App]],Table2[],3,0),"open")</f>
        <v>open</v>
      </c>
      <c r="C5681" s="182" t="s">
        <v>369</v>
      </c>
      <c r="D5681" t="s">
        <v>8048</v>
      </c>
      <c r="E5681" t="s">
        <v>8067</v>
      </c>
      <c r="F5681" s="183" t="s">
        <v>8067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1" t="s">
        <v>6434</v>
      </c>
      <c r="M5681" s="178">
        <v>46056</v>
      </c>
      <c r="N5681" s="178"/>
      <c r="O5681" s="178"/>
      <c r="P5681" s="178" t="str">
        <f ca="1">IF(Proc[[#This Row],[DaysAgeing]]&gt;5,"yep","on track")</f>
        <v>on track</v>
      </c>
      <c r="Q5681" s="3">
        <f ca="1">IF(Proc[[#This Row],[DateClosed]]="",ABS(NETWORKDAYS(Proc[[#This Row],[DateOpened]],TODAY()))-1,ABS(NETWORKDAYS(Proc[[#This Row],[DateOpened]],Proc[[#This Row],[DateClosed]]))-1)</f>
        <v>2</v>
      </c>
      <c r="R5681" s="180" t="s">
        <v>489</v>
      </c>
      <c r="S5681" s="180"/>
    </row>
    <row r="5682" spans="1:19" hidden="1">
      <c r="A5682" s="180" t="s">
        <v>8019</v>
      </c>
      <c r="B5682" s="181" t="str">
        <f>IFERROR(VLOOKUP(Proc[[#This Row],[App]],Table2[],3,0),"open")</f>
        <v>open</v>
      </c>
      <c r="C5682" s="182" t="s">
        <v>369</v>
      </c>
      <c r="D5682" t="s">
        <v>8049</v>
      </c>
      <c r="E5682" t="s">
        <v>8067</v>
      </c>
      <c r="F5682" s="183" t="s">
        <v>8067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1" t="s">
        <v>6434</v>
      </c>
      <c r="M5682" s="178">
        <v>46056</v>
      </c>
      <c r="N5682" s="178"/>
      <c r="O5682" s="178"/>
      <c r="P5682" s="178" t="str">
        <f ca="1">IF(Proc[[#This Row],[DaysAgeing]]&gt;5,"yep","on track")</f>
        <v>on track</v>
      </c>
      <c r="Q5682" s="3">
        <f ca="1">IF(Proc[[#This Row],[DateClosed]]="",ABS(NETWORKDAYS(Proc[[#This Row],[DateOpened]],TODAY()))-1,ABS(NETWORKDAYS(Proc[[#This Row],[DateOpened]],Proc[[#This Row],[DateClosed]]))-1)</f>
        <v>2</v>
      </c>
      <c r="R5682" s="180" t="s">
        <v>489</v>
      </c>
      <c r="S5682" s="180"/>
    </row>
    <row r="5683" spans="1:19" hidden="1">
      <c r="A5683" s="180" t="s">
        <v>8019</v>
      </c>
      <c r="B5683" s="181" t="str">
        <f>IFERROR(VLOOKUP(Proc[[#This Row],[App]],Table2[],3,0),"open")</f>
        <v>open</v>
      </c>
      <c r="C5683" s="182" t="s">
        <v>369</v>
      </c>
      <c r="D5683" t="s">
        <v>8050</v>
      </c>
      <c r="E5683" t="s">
        <v>8065</v>
      </c>
      <c r="F5683" s="183" t="s">
        <v>8065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1" t="s">
        <v>6434</v>
      </c>
      <c r="M5683" s="178">
        <v>46056</v>
      </c>
      <c r="N5683" s="178"/>
      <c r="O5683" s="178"/>
      <c r="P5683" s="178" t="str">
        <f ca="1">IF(Proc[[#This Row],[DaysAgeing]]&gt;5,"yep","on track")</f>
        <v>on track</v>
      </c>
      <c r="Q5683" s="3">
        <f ca="1">IF(Proc[[#This Row],[DateClosed]]="",ABS(NETWORKDAYS(Proc[[#This Row],[DateOpened]],TODAY()))-1,ABS(NETWORKDAYS(Proc[[#This Row],[DateOpened]],Proc[[#This Row],[DateClosed]]))-1)</f>
        <v>2</v>
      </c>
      <c r="R5683" s="180" t="s">
        <v>489</v>
      </c>
      <c r="S5683" s="180"/>
    </row>
    <row r="5684" spans="1:19" hidden="1">
      <c r="A5684" s="180" t="s">
        <v>8019</v>
      </c>
      <c r="B5684" s="181" t="str">
        <f>IFERROR(VLOOKUP(Proc[[#This Row],[App]],Table2[],3,0),"open")</f>
        <v>open</v>
      </c>
      <c r="C5684" s="182" t="s">
        <v>369</v>
      </c>
      <c r="D5684" t="s">
        <v>8051</v>
      </c>
      <c r="E5684" t="s">
        <v>8065</v>
      </c>
      <c r="F5684" s="183" t="s">
        <v>8065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1" t="s">
        <v>6434</v>
      </c>
      <c r="M5684" s="178">
        <v>46056</v>
      </c>
      <c r="N5684" s="178"/>
      <c r="O5684" s="178"/>
      <c r="P5684" s="178" t="str">
        <f ca="1">IF(Proc[[#This Row],[DaysAgeing]]&gt;5,"yep","on track")</f>
        <v>on track</v>
      </c>
      <c r="Q5684" s="3">
        <f ca="1">IF(Proc[[#This Row],[DateClosed]]="",ABS(NETWORKDAYS(Proc[[#This Row],[DateOpened]],TODAY()))-1,ABS(NETWORKDAYS(Proc[[#This Row],[DateOpened]],Proc[[#This Row],[DateClosed]]))-1)</f>
        <v>2</v>
      </c>
      <c r="R5684" s="180" t="s">
        <v>489</v>
      </c>
      <c r="S5684" s="180"/>
    </row>
    <row r="5685" spans="1:19" hidden="1">
      <c r="A5685" s="180" t="s">
        <v>8019</v>
      </c>
      <c r="B5685" s="181" t="str">
        <f>IFERROR(VLOOKUP(Proc[[#This Row],[App]],Table2[],3,0),"open")</f>
        <v>open</v>
      </c>
      <c r="C5685" s="182" t="s">
        <v>369</v>
      </c>
      <c r="D5685" t="s">
        <v>8052</v>
      </c>
      <c r="E5685" t="s">
        <v>8064</v>
      </c>
      <c r="F5685" s="183" t="s">
        <v>8064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1" t="s">
        <v>6434</v>
      </c>
      <c r="M5685" s="178">
        <v>46056</v>
      </c>
      <c r="N5685" s="178"/>
      <c r="O5685" s="178"/>
      <c r="P5685" s="178" t="str">
        <f ca="1">IF(Proc[[#This Row],[DaysAgeing]]&gt;5,"yep","on track")</f>
        <v>on track</v>
      </c>
      <c r="Q5685" s="3">
        <f ca="1">IF(Proc[[#This Row],[DateClosed]]="",ABS(NETWORKDAYS(Proc[[#This Row],[DateOpened]],TODAY()))-1,ABS(NETWORKDAYS(Proc[[#This Row],[DateOpened]],Proc[[#This Row],[DateClosed]]))-1)</f>
        <v>2</v>
      </c>
      <c r="R5685" s="180" t="s">
        <v>489</v>
      </c>
      <c r="S5685" s="180"/>
    </row>
    <row r="5686" spans="1:19" hidden="1">
      <c r="A5686" s="180" t="s">
        <v>8019</v>
      </c>
      <c r="B5686" s="181" t="str">
        <f>IFERROR(VLOOKUP(Proc[[#This Row],[App]],Table2[],3,0),"open")</f>
        <v>open</v>
      </c>
      <c r="C5686" s="182" t="s">
        <v>369</v>
      </c>
      <c r="D5686" t="s">
        <v>8053</v>
      </c>
      <c r="E5686" t="s">
        <v>8064</v>
      </c>
      <c r="F5686" s="183" t="s">
        <v>8064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1" t="s">
        <v>6434</v>
      </c>
      <c r="M5686" s="178">
        <v>46056</v>
      </c>
      <c r="N5686" s="178"/>
      <c r="O5686" s="178"/>
      <c r="P5686" s="178" t="str">
        <f ca="1">IF(Proc[[#This Row],[DaysAgeing]]&gt;5,"yep","on track")</f>
        <v>on track</v>
      </c>
      <c r="Q5686" s="3">
        <f ca="1">IF(Proc[[#This Row],[DateClosed]]="",ABS(NETWORKDAYS(Proc[[#This Row],[DateOpened]],TODAY()))-1,ABS(NETWORKDAYS(Proc[[#This Row],[DateOpened]],Proc[[#This Row],[DateClosed]]))-1)</f>
        <v>2</v>
      </c>
      <c r="R5686" s="180" t="s">
        <v>489</v>
      </c>
      <c r="S5686" s="180"/>
    </row>
    <row r="5687" spans="1:19" hidden="1">
      <c r="A5687" s="180" t="s">
        <v>8019</v>
      </c>
      <c r="B5687" s="181" t="str">
        <f>IFERROR(VLOOKUP(Proc[[#This Row],[App]],Table2[],3,0),"open")</f>
        <v>open</v>
      </c>
      <c r="C5687" s="182" t="s">
        <v>369</v>
      </c>
      <c r="D5687" t="s">
        <v>8054</v>
      </c>
      <c r="E5687" t="s">
        <v>8065</v>
      </c>
      <c r="F5687" s="183" t="s">
        <v>8065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1" t="s">
        <v>6434</v>
      </c>
      <c r="M5687" s="178">
        <v>46056</v>
      </c>
      <c r="N5687" s="178"/>
      <c r="O5687" s="178"/>
      <c r="P5687" s="178" t="str">
        <f ca="1">IF(Proc[[#This Row],[DaysAgeing]]&gt;5,"yep","on track")</f>
        <v>on track</v>
      </c>
      <c r="Q5687" s="3">
        <f ca="1">IF(Proc[[#This Row],[DateClosed]]="",ABS(NETWORKDAYS(Proc[[#This Row],[DateOpened]],TODAY()))-1,ABS(NETWORKDAYS(Proc[[#This Row],[DateOpened]],Proc[[#This Row],[DateClosed]]))-1)</f>
        <v>2</v>
      </c>
      <c r="R5687" s="180" t="s">
        <v>489</v>
      </c>
      <c r="S5687" s="180"/>
    </row>
    <row r="5688" spans="1:19" hidden="1">
      <c r="A5688" s="180" t="s">
        <v>8019</v>
      </c>
      <c r="B5688" s="181" t="str">
        <f>IFERROR(VLOOKUP(Proc[[#This Row],[App]],Table2[],3,0),"open")</f>
        <v>open</v>
      </c>
      <c r="C5688" s="182" t="s">
        <v>369</v>
      </c>
      <c r="D5688" t="s">
        <v>8055</v>
      </c>
      <c r="E5688" t="s">
        <v>8064</v>
      </c>
      <c r="F5688" s="183" t="s">
        <v>8064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1" t="s">
        <v>6434</v>
      </c>
      <c r="M5688" s="178">
        <v>46056</v>
      </c>
      <c r="N5688" s="178"/>
      <c r="O5688" s="178"/>
      <c r="P5688" s="178" t="str">
        <f ca="1">IF(Proc[[#This Row],[DaysAgeing]]&gt;5,"yep","on track")</f>
        <v>on track</v>
      </c>
      <c r="Q5688" s="3">
        <f ca="1">IF(Proc[[#This Row],[DateClosed]]="",ABS(NETWORKDAYS(Proc[[#This Row],[DateOpened]],TODAY()))-1,ABS(NETWORKDAYS(Proc[[#This Row],[DateOpened]],Proc[[#This Row],[DateClosed]]))-1)</f>
        <v>2</v>
      </c>
      <c r="R5688" s="180" t="s">
        <v>489</v>
      </c>
      <c r="S5688" s="180"/>
    </row>
    <row r="5689" spans="1:19" hidden="1">
      <c r="A5689" s="180" t="s">
        <v>8019</v>
      </c>
      <c r="B5689" s="181" t="str">
        <f>IFERROR(VLOOKUP(Proc[[#This Row],[App]],Table2[],3,0),"open")</f>
        <v>open</v>
      </c>
      <c r="C5689" s="182" t="s">
        <v>369</v>
      </c>
      <c r="D5689" t="s">
        <v>3146</v>
      </c>
      <c r="E5689" t="s">
        <v>8064</v>
      </c>
      <c r="F5689" s="183" t="s">
        <v>8064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1" t="s">
        <v>6434</v>
      </c>
      <c r="M5689" s="178">
        <v>46056</v>
      </c>
      <c r="N5689" s="178"/>
      <c r="O5689" s="178"/>
      <c r="P5689" s="178" t="str">
        <f ca="1">IF(Proc[[#This Row],[DaysAgeing]]&gt;5,"yep","on track")</f>
        <v>on track</v>
      </c>
      <c r="Q5689" s="3">
        <f ca="1">IF(Proc[[#This Row],[DateClosed]]="",ABS(NETWORKDAYS(Proc[[#This Row],[DateOpened]],TODAY()))-1,ABS(NETWORKDAYS(Proc[[#This Row],[DateOpened]],Proc[[#This Row],[DateClosed]]))-1)</f>
        <v>2</v>
      </c>
      <c r="R5689" s="180" t="s">
        <v>489</v>
      </c>
      <c r="S5689" s="180"/>
    </row>
    <row r="5690" spans="1:19" hidden="1">
      <c r="A5690" s="180" t="s">
        <v>8019</v>
      </c>
      <c r="B5690" s="181" t="str">
        <f>IFERROR(VLOOKUP(Proc[[#This Row],[App]],Table2[],3,0),"open")</f>
        <v>open</v>
      </c>
      <c r="C5690" s="182" t="s">
        <v>369</v>
      </c>
      <c r="D5690" t="s">
        <v>3151</v>
      </c>
      <c r="E5690" t="s">
        <v>8062</v>
      </c>
      <c r="F5690" s="183" t="s">
        <v>8062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1" t="s">
        <v>6434</v>
      </c>
      <c r="M5690" s="178">
        <v>46056</v>
      </c>
      <c r="N5690" s="178"/>
      <c r="O5690" s="178"/>
      <c r="P5690" s="178" t="str">
        <f ca="1">IF(Proc[[#This Row],[DaysAgeing]]&gt;5,"yep","on track")</f>
        <v>on track</v>
      </c>
      <c r="Q5690" s="3">
        <f ca="1">IF(Proc[[#This Row],[DateClosed]]="",ABS(NETWORKDAYS(Proc[[#This Row],[DateOpened]],TODAY()))-1,ABS(NETWORKDAYS(Proc[[#This Row],[DateOpened]],Proc[[#This Row],[DateClosed]]))-1)</f>
        <v>2</v>
      </c>
      <c r="R5690" s="180" t="s">
        <v>489</v>
      </c>
      <c r="S5690" s="180"/>
    </row>
    <row r="5691" spans="1:19" hidden="1">
      <c r="A5691" s="180" t="s">
        <v>8019</v>
      </c>
      <c r="B5691" s="181" t="str">
        <f>IFERROR(VLOOKUP(Proc[[#This Row],[App]],Table2[],3,0),"open")</f>
        <v>open</v>
      </c>
      <c r="C5691" s="180" t="s">
        <v>369</v>
      </c>
      <c r="D5691" t="s">
        <v>8715</v>
      </c>
      <c r="E5691" t="s">
        <v>8068</v>
      </c>
      <c r="F5691" s="183" t="s">
        <v>8068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1" t="s">
        <v>6434</v>
      </c>
      <c r="M5691" s="178">
        <v>46056</v>
      </c>
      <c r="N5691" s="178"/>
      <c r="O5691" s="178"/>
      <c r="P5691" s="178" t="str">
        <f ca="1">IF(Proc[[#This Row],[DaysAgeing]]&gt;5,"yep","on track")</f>
        <v>on track</v>
      </c>
      <c r="Q5691" s="3">
        <f ca="1">IF(Proc[[#This Row],[DateClosed]]="",ABS(NETWORKDAYS(Proc[[#This Row],[DateOpened]],TODAY()))-1,ABS(NETWORKDAYS(Proc[[#This Row],[DateOpened]],Proc[[#This Row],[DateClosed]]))-1)</f>
        <v>2</v>
      </c>
      <c r="R5691" s="180" t="s">
        <v>489</v>
      </c>
      <c r="S5691" s="180"/>
    </row>
    <row r="5692" spans="1:19" hidden="1">
      <c r="A5692" s="180" t="s">
        <v>8019</v>
      </c>
      <c r="B5692" s="181" t="str">
        <f>IFERROR(VLOOKUP(Proc[[#This Row],[App]],Table2[],3,0),"open")</f>
        <v>open</v>
      </c>
      <c r="C5692" s="182" t="s">
        <v>369</v>
      </c>
      <c r="D5692" t="s">
        <v>8057</v>
      </c>
      <c r="E5692" t="s">
        <v>8069</v>
      </c>
      <c r="F5692" s="183" t="s">
        <v>8069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1" t="s">
        <v>6434</v>
      </c>
      <c r="M5692" s="178">
        <v>46056</v>
      </c>
      <c r="N5692" s="178"/>
      <c r="O5692" s="178"/>
      <c r="P5692" s="178" t="str">
        <f ca="1">IF(Proc[[#This Row],[DaysAgeing]]&gt;5,"yep","on track")</f>
        <v>on track</v>
      </c>
      <c r="Q5692" s="3">
        <f ca="1">IF(Proc[[#This Row],[DateClosed]]="",ABS(NETWORKDAYS(Proc[[#This Row],[DateOpened]],TODAY()))-1,ABS(NETWORKDAYS(Proc[[#This Row],[DateOpened]],Proc[[#This Row],[DateClosed]]))-1)</f>
        <v>2</v>
      </c>
      <c r="R5692" s="180" t="s">
        <v>489</v>
      </c>
      <c r="S5692" s="180"/>
    </row>
    <row r="5693" spans="1:19">
      <c r="A5693" t="s">
        <v>8070</v>
      </c>
      <c r="B5693" s="181" t="str">
        <f>IFERROR(VLOOKUP(Proc[[#This Row],[App]],Table2[],3,0),"open")</f>
        <v>open</v>
      </c>
      <c r="C5693" s="182" t="s">
        <v>375</v>
      </c>
      <c r="D5693" t="s">
        <v>8071</v>
      </c>
      <c r="E5693" t="s">
        <v>8135</v>
      </c>
      <c r="F5693" s="183" t="str">
        <f>VLOOKUP(Proc[[#This Row],[Obj]],Sheet5!A:B,2,0)</f>
        <v>P000000571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0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1" t="s">
        <v>6434</v>
      </c>
      <c r="M5693" s="178">
        <v>46056</v>
      </c>
      <c r="N5693" s="178"/>
      <c r="O5693" s="178"/>
      <c r="P5693" s="178" t="str">
        <f ca="1">IF(Proc[[#This Row],[DaysAgeing]]&gt;5,"yep","on track")</f>
        <v>on track</v>
      </c>
      <c r="Q5693" s="3">
        <f ca="1">IF(Proc[[#This Row],[DateClosed]]="",ABS(NETWORKDAYS(Proc[[#This Row],[DateOpened]],TODAY()))-1,ABS(NETWORKDAYS(Proc[[#This Row],[DateOpened]],Proc[[#This Row],[DateClosed]]))-1)</f>
        <v>2</v>
      </c>
      <c r="R5693" s="178" t="s">
        <v>5708</v>
      </c>
      <c r="S5693" s="181"/>
    </row>
    <row r="5694" spans="1:19">
      <c r="A5694" s="180" t="s">
        <v>8070</v>
      </c>
      <c r="B5694" s="181" t="str">
        <f>IFERROR(VLOOKUP(Proc[[#This Row],[App]],Table2[],3,0),"open")</f>
        <v>open</v>
      </c>
      <c r="C5694" s="182" t="s">
        <v>375</v>
      </c>
      <c r="D5694" t="s">
        <v>8072</v>
      </c>
      <c r="E5694" t="s">
        <v>8136</v>
      </c>
      <c r="F5694" s="183" t="str">
        <f>VLOOKUP(Proc[[#This Row],[Obj]],Sheet5!A:B,2,0)</f>
        <v>P000000571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0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1" t="s">
        <v>6434</v>
      </c>
      <c r="M5694" s="178">
        <v>46056</v>
      </c>
      <c r="N5694" s="178"/>
      <c r="O5694" s="178"/>
      <c r="P5694" s="178" t="str">
        <f ca="1">IF(Proc[[#This Row],[DaysAgeing]]&gt;5,"yep","on track")</f>
        <v>on track</v>
      </c>
      <c r="Q5694" s="3">
        <f ca="1">IF(Proc[[#This Row],[DateClosed]]="",ABS(NETWORKDAYS(Proc[[#This Row],[DateOpened]],TODAY()))-1,ABS(NETWORKDAYS(Proc[[#This Row],[DateOpened]],Proc[[#This Row],[DateClosed]]))-1)</f>
        <v>2</v>
      </c>
      <c r="R5694" s="178" t="s">
        <v>5708</v>
      </c>
      <c r="S5694" s="181"/>
    </row>
    <row r="5695" spans="1:19">
      <c r="A5695" s="180" t="s">
        <v>8070</v>
      </c>
      <c r="B5695" s="181" t="str">
        <f>IFERROR(VLOOKUP(Proc[[#This Row],[App]],Table2[],3,0),"open")</f>
        <v>open</v>
      </c>
      <c r="C5695" s="182" t="s">
        <v>375</v>
      </c>
      <c r="D5695" t="s">
        <v>8073</v>
      </c>
      <c r="E5695" s="180" t="s">
        <v>8138</v>
      </c>
      <c r="F5695" s="183" t="str">
        <f>VLOOKUP(Proc[[#This Row],[Obj]],Sheet5!A:B,2,0)</f>
        <v>P000000571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0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1" t="s">
        <v>6434</v>
      </c>
      <c r="M5695" s="178">
        <v>46056</v>
      </c>
      <c r="N5695" s="178"/>
      <c r="O5695" s="178"/>
      <c r="P5695" s="178" t="str">
        <f ca="1">IF(Proc[[#This Row],[DaysAgeing]]&gt;5,"yep","on track")</f>
        <v>on track</v>
      </c>
      <c r="Q5695" s="3">
        <f ca="1">IF(Proc[[#This Row],[DateClosed]]="",ABS(NETWORKDAYS(Proc[[#This Row],[DateOpened]],TODAY()))-1,ABS(NETWORKDAYS(Proc[[#This Row],[DateOpened]],Proc[[#This Row],[DateClosed]]))-1)</f>
        <v>2</v>
      </c>
      <c r="R5695" s="178" t="s">
        <v>5708</v>
      </c>
      <c r="S5695" s="181"/>
    </row>
    <row r="5696" spans="1:19">
      <c r="A5696" s="180" t="s">
        <v>8070</v>
      </c>
      <c r="B5696" s="181" t="str">
        <f>IFERROR(VLOOKUP(Proc[[#This Row],[App]],Table2[],3,0),"open")</f>
        <v>open</v>
      </c>
      <c r="C5696" s="182" t="s">
        <v>375</v>
      </c>
      <c r="D5696" t="s">
        <v>8074</v>
      </c>
      <c r="E5696" t="s">
        <v>8136</v>
      </c>
      <c r="F5696" s="183" t="str">
        <f>VLOOKUP(Proc[[#This Row],[Obj]],Sheet5!A:B,2,0)</f>
        <v>P000000571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0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1" t="s">
        <v>6434</v>
      </c>
      <c r="M5696" s="178">
        <v>46056</v>
      </c>
      <c r="N5696" s="178"/>
      <c r="O5696" s="178"/>
      <c r="P5696" s="178" t="str">
        <f ca="1">IF(Proc[[#This Row],[DaysAgeing]]&gt;5,"yep","on track")</f>
        <v>on track</v>
      </c>
      <c r="Q5696" s="3">
        <f ca="1">IF(Proc[[#This Row],[DateClosed]]="",ABS(NETWORKDAYS(Proc[[#This Row],[DateOpened]],TODAY()))-1,ABS(NETWORKDAYS(Proc[[#This Row],[DateOpened]],Proc[[#This Row],[DateClosed]]))-1)</f>
        <v>2</v>
      </c>
      <c r="R5696" s="178" t="s">
        <v>5708</v>
      </c>
      <c r="S5696" s="181"/>
    </row>
    <row r="5697" spans="1:19" hidden="1">
      <c r="A5697" s="180" t="s">
        <v>8070</v>
      </c>
      <c r="B5697" s="181" t="str">
        <f>IFERROR(VLOOKUP(Proc[[#This Row],[App]],Table2[],3,0),"open")</f>
        <v>open</v>
      </c>
      <c r="C5697" s="182" t="s">
        <v>369</v>
      </c>
      <c r="D5697" t="s">
        <v>7811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1" t="s">
        <v>6434</v>
      </c>
      <c r="M5697" s="178">
        <v>46056</v>
      </c>
      <c r="N5697" s="178"/>
      <c r="O5697" s="178"/>
      <c r="P5697" s="178" t="str">
        <f ca="1">IF(Proc[[#This Row],[DaysAgeing]]&gt;5,"yep","on track")</f>
        <v>on track</v>
      </c>
      <c r="Q5697" s="3">
        <f ca="1">IF(Proc[[#This Row],[DateClosed]]="",ABS(NETWORKDAYS(Proc[[#This Row],[DateOpened]],TODAY()))-1,ABS(NETWORKDAYS(Proc[[#This Row],[DateOpened]],Proc[[#This Row],[DateClosed]]))-1)</f>
        <v>2</v>
      </c>
      <c r="R5697" s="178" t="s">
        <v>5708</v>
      </c>
      <c r="S5697" s="181"/>
    </row>
    <row r="5698" spans="1:19" hidden="1">
      <c r="A5698" s="180" t="s">
        <v>8070</v>
      </c>
      <c r="B5698" s="181" t="str">
        <f>IFERROR(VLOOKUP(Proc[[#This Row],[App]],Table2[],3,0),"open")</f>
        <v>open</v>
      </c>
      <c r="C5698" s="182" t="s">
        <v>369</v>
      </c>
      <c r="D5698" t="s">
        <v>7812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1" t="s">
        <v>6434</v>
      </c>
      <c r="M5698" s="178">
        <v>46056</v>
      </c>
      <c r="N5698" s="178"/>
      <c r="O5698" s="178"/>
      <c r="P5698" s="178" t="str">
        <f ca="1">IF(Proc[[#This Row],[DaysAgeing]]&gt;5,"yep","on track")</f>
        <v>on track</v>
      </c>
      <c r="Q5698" s="3">
        <f ca="1">IF(Proc[[#This Row],[DateClosed]]="",ABS(NETWORKDAYS(Proc[[#This Row],[DateOpened]],TODAY()))-1,ABS(NETWORKDAYS(Proc[[#This Row],[DateOpened]],Proc[[#This Row],[DateClosed]]))-1)</f>
        <v>2</v>
      </c>
      <c r="R5698" s="178" t="s">
        <v>5708</v>
      </c>
      <c r="S5698" s="181"/>
    </row>
    <row r="5699" spans="1:19" hidden="1">
      <c r="A5699" s="180" t="s">
        <v>8070</v>
      </c>
      <c r="B5699" s="181" t="str">
        <f>IFERROR(VLOOKUP(Proc[[#This Row],[App]],Table2[],3,0),"open")</f>
        <v>open</v>
      </c>
      <c r="C5699" s="182" t="s">
        <v>369</v>
      </c>
      <c r="D5699" t="s">
        <v>7813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1" t="s">
        <v>6434</v>
      </c>
      <c r="M5699" s="178">
        <v>46056</v>
      </c>
      <c r="N5699" s="178"/>
      <c r="O5699" s="178"/>
      <c r="P5699" s="178" t="str">
        <f ca="1">IF(Proc[[#This Row],[DaysAgeing]]&gt;5,"yep","on track")</f>
        <v>on track</v>
      </c>
      <c r="Q5699" s="3">
        <f ca="1">IF(Proc[[#This Row],[DateClosed]]="",ABS(NETWORKDAYS(Proc[[#This Row],[DateOpened]],TODAY()))-1,ABS(NETWORKDAYS(Proc[[#This Row],[DateOpened]],Proc[[#This Row],[DateClosed]]))-1)</f>
        <v>2</v>
      </c>
      <c r="R5699" s="178" t="s">
        <v>5708</v>
      </c>
      <c r="S5699" s="181"/>
    </row>
    <row r="5700" spans="1:19" hidden="1">
      <c r="A5700" s="180" t="s">
        <v>8070</v>
      </c>
      <c r="B5700" s="181" t="str">
        <f>IFERROR(VLOOKUP(Proc[[#This Row],[App]],Table2[],3,0),"open")</f>
        <v>open</v>
      </c>
      <c r="C5700" s="182" t="s">
        <v>369</v>
      </c>
      <c r="D5700" t="s">
        <v>7814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1" t="s">
        <v>6434</v>
      </c>
      <c r="M5700" s="178">
        <v>46056</v>
      </c>
      <c r="N5700" s="178"/>
      <c r="O5700" s="178"/>
      <c r="P5700" s="178" t="str">
        <f ca="1">IF(Proc[[#This Row],[DaysAgeing]]&gt;5,"yep","on track")</f>
        <v>on track</v>
      </c>
      <c r="Q5700" s="3">
        <f ca="1">IF(Proc[[#This Row],[DateClosed]]="",ABS(NETWORKDAYS(Proc[[#This Row],[DateOpened]],TODAY()))-1,ABS(NETWORKDAYS(Proc[[#This Row],[DateOpened]],Proc[[#This Row],[DateClosed]]))-1)</f>
        <v>2</v>
      </c>
      <c r="R5700" s="178" t="s">
        <v>5708</v>
      </c>
      <c r="S5700" s="181"/>
    </row>
    <row r="5701" spans="1:19" hidden="1">
      <c r="A5701" s="180" t="s">
        <v>8070</v>
      </c>
      <c r="B5701" s="181" t="str">
        <f>IFERROR(VLOOKUP(Proc[[#This Row],[App]],Table2[],3,0),"open")</f>
        <v>open</v>
      </c>
      <c r="C5701" s="182" t="s">
        <v>369</v>
      </c>
      <c r="D5701" t="s">
        <v>7815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1" t="s">
        <v>6434</v>
      </c>
      <c r="M5701" s="178">
        <v>46056</v>
      </c>
      <c r="N5701" s="178"/>
      <c r="O5701" s="178"/>
      <c r="P5701" s="178" t="str">
        <f ca="1">IF(Proc[[#This Row],[DaysAgeing]]&gt;5,"yep","on track")</f>
        <v>on track</v>
      </c>
      <c r="Q5701" s="3">
        <f ca="1">IF(Proc[[#This Row],[DateClosed]]="",ABS(NETWORKDAYS(Proc[[#This Row],[DateOpened]],TODAY()))-1,ABS(NETWORKDAYS(Proc[[#This Row],[DateOpened]],Proc[[#This Row],[DateClosed]]))-1)</f>
        <v>2</v>
      </c>
      <c r="R5701" s="178" t="s">
        <v>5708</v>
      </c>
      <c r="S5701" s="181"/>
    </row>
    <row r="5702" spans="1:19" hidden="1">
      <c r="A5702" s="180" t="s">
        <v>8070</v>
      </c>
      <c r="B5702" s="181" t="str">
        <f>IFERROR(VLOOKUP(Proc[[#This Row],[App]],Table2[],3,0),"open")</f>
        <v>open</v>
      </c>
      <c r="C5702" s="182" t="s">
        <v>369</v>
      </c>
      <c r="D5702" t="s">
        <v>7816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1" t="s">
        <v>6434</v>
      </c>
      <c r="M5702" s="178">
        <v>46056</v>
      </c>
      <c r="N5702" s="178"/>
      <c r="O5702" s="178"/>
      <c r="P5702" s="178" t="str">
        <f ca="1">IF(Proc[[#This Row],[DaysAgeing]]&gt;5,"yep","on track")</f>
        <v>on track</v>
      </c>
      <c r="Q5702" s="3">
        <f ca="1">IF(Proc[[#This Row],[DateClosed]]="",ABS(NETWORKDAYS(Proc[[#This Row],[DateOpened]],TODAY()))-1,ABS(NETWORKDAYS(Proc[[#This Row],[DateOpened]],Proc[[#This Row],[DateClosed]]))-1)</f>
        <v>2</v>
      </c>
      <c r="R5702" s="178" t="s">
        <v>5708</v>
      </c>
      <c r="S5702" s="181"/>
    </row>
    <row r="5703" spans="1:19" hidden="1">
      <c r="A5703" s="180" t="s">
        <v>8070</v>
      </c>
      <c r="B5703" s="181" t="str">
        <f>IFERROR(VLOOKUP(Proc[[#This Row],[App]],Table2[],3,0),"open")</f>
        <v>open</v>
      </c>
      <c r="C5703" s="182" t="s">
        <v>369</v>
      </c>
      <c r="D5703" t="s">
        <v>7817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1" t="s">
        <v>6434</v>
      </c>
      <c r="M5703" s="178">
        <v>46056</v>
      </c>
      <c r="N5703" s="178"/>
      <c r="O5703" s="178"/>
      <c r="P5703" s="178" t="str">
        <f ca="1">IF(Proc[[#This Row],[DaysAgeing]]&gt;5,"yep","on track")</f>
        <v>on track</v>
      </c>
      <c r="Q5703" s="3">
        <f ca="1">IF(Proc[[#This Row],[DateClosed]]="",ABS(NETWORKDAYS(Proc[[#This Row],[DateOpened]],TODAY()))-1,ABS(NETWORKDAYS(Proc[[#This Row],[DateOpened]],Proc[[#This Row],[DateClosed]]))-1)</f>
        <v>2</v>
      </c>
      <c r="R5703" s="178" t="s">
        <v>5708</v>
      </c>
      <c r="S5703" s="181"/>
    </row>
    <row r="5704" spans="1:19">
      <c r="A5704" s="180" t="s">
        <v>8070</v>
      </c>
      <c r="B5704" s="181" t="str">
        <f>IFERROR(VLOOKUP(Proc[[#This Row],[App]],Table2[],3,0),"open")</f>
        <v>open</v>
      </c>
      <c r="C5704" s="182" t="s">
        <v>375</v>
      </c>
      <c r="D5704" t="s">
        <v>8075</v>
      </c>
      <c r="E5704" t="s">
        <v>8137</v>
      </c>
      <c r="F5704" s="183" t="str">
        <f>VLOOKUP(Proc[[#This Row],[Obj]],Sheet5!A:B,2,0)</f>
        <v>P000000062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0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1" t="s">
        <v>6434</v>
      </c>
      <c r="M5704" s="178">
        <v>46056</v>
      </c>
      <c r="N5704" s="178"/>
      <c r="O5704" s="178"/>
      <c r="P5704" s="178" t="str">
        <f ca="1">IF(Proc[[#This Row],[DaysAgeing]]&gt;5,"yep","on track")</f>
        <v>on track</v>
      </c>
      <c r="Q5704" s="3">
        <f ca="1">IF(Proc[[#This Row],[DateClosed]]="",ABS(NETWORKDAYS(Proc[[#This Row],[DateOpened]],TODAY()))-1,ABS(NETWORKDAYS(Proc[[#This Row],[DateOpened]],Proc[[#This Row],[DateClosed]]))-1)</f>
        <v>2</v>
      </c>
      <c r="R5704" s="178" t="s">
        <v>5708</v>
      </c>
      <c r="S5704" s="181"/>
    </row>
    <row r="5705" spans="1:19">
      <c r="A5705" s="180" t="s">
        <v>8070</v>
      </c>
      <c r="B5705" s="181" t="str">
        <f>IFERROR(VLOOKUP(Proc[[#This Row],[App]],Table2[],3,0),"open")</f>
        <v>open</v>
      </c>
      <c r="C5705" s="182" t="s">
        <v>375</v>
      </c>
      <c r="D5705" t="s">
        <v>8076</v>
      </c>
      <c r="E5705" t="s">
        <v>8137</v>
      </c>
      <c r="F5705" s="183" t="str">
        <f>VLOOKUP(Proc[[#This Row],[Obj]],Sheet5!A:B,2,0)</f>
        <v>P000000062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0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1" t="s">
        <v>6434</v>
      </c>
      <c r="M5705" s="178">
        <v>46056</v>
      </c>
      <c r="N5705" s="178"/>
      <c r="O5705" s="178"/>
      <c r="P5705" s="178" t="str">
        <f ca="1">IF(Proc[[#This Row],[DaysAgeing]]&gt;5,"yep","on track")</f>
        <v>on track</v>
      </c>
      <c r="Q5705" s="3">
        <f ca="1">IF(Proc[[#This Row],[DateClosed]]="",ABS(NETWORKDAYS(Proc[[#This Row],[DateOpened]],TODAY()))-1,ABS(NETWORKDAYS(Proc[[#This Row],[DateOpened]],Proc[[#This Row],[DateClosed]]))-1)</f>
        <v>2</v>
      </c>
      <c r="R5705" s="178" t="s">
        <v>5708</v>
      </c>
      <c r="S5705" s="181"/>
    </row>
    <row r="5706" spans="1:19" hidden="1">
      <c r="A5706" s="180" t="s">
        <v>8070</v>
      </c>
      <c r="B5706" s="181" t="str">
        <f>IFERROR(VLOOKUP(Proc[[#This Row],[App]],Table2[],3,0),"open")</f>
        <v>open</v>
      </c>
      <c r="C5706" s="182" t="s">
        <v>369</v>
      </c>
      <c r="D5706" t="s">
        <v>8077</v>
      </c>
      <c r="E5706" t="s">
        <v>8137</v>
      </c>
      <c r="F5706" s="183" t="s">
        <v>8137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1" t="s">
        <v>6434</v>
      </c>
      <c r="M5706" s="178">
        <v>46056</v>
      </c>
      <c r="N5706" s="178"/>
      <c r="O5706" s="178"/>
      <c r="P5706" s="178" t="str">
        <f ca="1">IF(Proc[[#This Row],[DaysAgeing]]&gt;5,"yep","on track")</f>
        <v>on track</v>
      </c>
      <c r="Q5706" s="3">
        <f ca="1">IF(Proc[[#This Row],[DateClosed]]="",ABS(NETWORKDAYS(Proc[[#This Row],[DateOpened]],TODAY()))-1,ABS(NETWORKDAYS(Proc[[#This Row],[DateOpened]],Proc[[#This Row],[DateClosed]]))-1)</f>
        <v>2</v>
      </c>
      <c r="R5706" s="178" t="s">
        <v>5708</v>
      </c>
      <c r="S5706" s="181"/>
    </row>
    <row r="5707" spans="1:19" hidden="1">
      <c r="A5707" s="180" t="s">
        <v>8070</v>
      </c>
      <c r="B5707" s="181" t="str">
        <f>IFERROR(VLOOKUP(Proc[[#This Row],[App]],Table2[],3,0),"open")</f>
        <v>open</v>
      </c>
      <c r="C5707" s="182" t="s">
        <v>369</v>
      </c>
      <c r="D5707" t="s">
        <v>8078</v>
      </c>
      <c r="E5707" t="s">
        <v>8137</v>
      </c>
      <c r="F5707" s="183" t="s">
        <v>8137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1" t="s">
        <v>6434</v>
      </c>
      <c r="M5707" s="178">
        <v>46056</v>
      </c>
      <c r="N5707" s="178"/>
      <c r="O5707" s="178"/>
      <c r="P5707" s="178" t="str">
        <f ca="1">IF(Proc[[#This Row],[DaysAgeing]]&gt;5,"yep","on track")</f>
        <v>on track</v>
      </c>
      <c r="Q5707" s="3">
        <f ca="1">IF(Proc[[#This Row],[DateClosed]]="",ABS(NETWORKDAYS(Proc[[#This Row],[DateOpened]],TODAY()))-1,ABS(NETWORKDAYS(Proc[[#This Row],[DateOpened]],Proc[[#This Row],[DateClosed]]))-1)</f>
        <v>2</v>
      </c>
      <c r="R5707" s="178" t="s">
        <v>5708</v>
      </c>
      <c r="S5707" s="181"/>
    </row>
    <row r="5708" spans="1:19" hidden="1">
      <c r="A5708" s="180" t="s">
        <v>8070</v>
      </c>
      <c r="B5708" s="181" t="str">
        <f>IFERROR(VLOOKUP(Proc[[#This Row],[App]],Table2[],3,0),"open")</f>
        <v>open</v>
      </c>
      <c r="C5708" s="180" t="s">
        <v>369</v>
      </c>
      <c r="D5708" t="s">
        <v>8079</v>
      </c>
      <c r="E5708" t="s">
        <v>8712</v>
      </c>
      <c r="F5708" s="183" t="s">
        <v>8712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1" t="s">
        <v>6434</v>
      </c>
      <c r="M5708" s="178">
        <v>46056</v>
      </c>
      <c r="N5708" s="178"/>
      <c r="O5708" s="178"/>
      <c r="P5708" s="178" t="str">
        <f ca="1">IF(Proc[[#This Row],[DaysAgeing]]&gt;5,"yep","on track")</f>
        <v>on track</v>
      </c>
      <c r="Q5708" s="3">
        <f ca="1">IF(Proc[[#This Row],[DateClosed]]="",ABS(NETWORKDAYS(Proc[[#This Row],[DateOpened]],TODAY()))-1,ABS(NETWORKDAYS(Proc[[#This Row],[DateOpened]],Proc[[#This Row],[DateClosed]]))-1)</f>
        <v>2</v>
      </c>
      <c r="R5708" s="178" t="s">
        <v>5708</v>
      </c>
      <c r="S5708" s="181"/>
    </row>
    <row r="5709" spans="1:19" hidden="1">
      <c r="A5709" s="180" t="s">
        <v>8070</v>
      </c>
      <c r="B5709" s="181" t="str">
        <f>IFERROR(VLOOKUP(Proc[[#This Row],[App]],Table2[],3,0),"open")</f>
        <v>open</v>
      </c>
      <c r="C5709" s="182" t="s">
        <v>369</v>
      </c>
      <c r="D5709" t="s">
        <v>8080</v>
      </c>
      <c r="E5709" t="s">
        <v>8712</v>
      </c>
      <c r="F5709" s="183" t="s">
        <v>8712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1" t="s">
        <v>6434</v>
      </c>
      <c r="M5709" s="178">
        <v>46056</v>
      </c>
      <c r="N5709" s="178"/>
      <c r="O5709" s="178"/>
      <c r="P5709" s="178" t="str">
        <f ca="1">IF(Proc[[#This Row],[DaysAgeing]]&gt;5,"yep","on track")</f>
        <v>on track</v>
      </c>
      <c r="Q5709" s="3">
        <f ca="1">IF(Proc[[#This Row],[DateClosed]]="",ABS(NETWORKDAYS(Proc[[#This Row],[DateOpened]],TODAY()))-1,ABS(NETWORKDAYS(Proc[[#This Row],[DateOpened]],Proc[[#This Row],[DateClosed]]))-1)</f>
        <v>2</v>
      </c>
      <c r="R5709" s="178" t="s">
        <v>5708</v>
      </c>
      <c r="S5709" s="181"/>
    </row>
    <row r="5710" spans="1:19" hidden="1">
      <c r="A5710" s="180" t="s">
        <v>8070</v>
      </c>
      <c r="B5710" s="181" t="str">
        <f>IFERROR(VLOOKUP(Proc[[#This Row],[App]],Table2[],3,0),"open")</f>
        <v>open</v>
      </c>
      <c r="C5710" s="182" t="s">
        <v>369</v>
      </c>
      <c r="D5710" t="s">
        <v>8081</v>
      </c>
      <c r="E5710" t="s">
        <v>8712</v>
      </c>
      <c r="F5710" s="183" t="s">
        <v>8712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1" t="s">
        <v>6434</v>
      </c>
      <c r="M5710" s="178">
        <v>46056</v>
      </c>
      <c r="N5710" s="178"/>
      <c r="O5710" s="178"/>
      <c r="P5710" s="178" t="str">
        <f ca="1">IF(Proc[[#This Row],[DaysAgeing]]&gt;5,"yep","on track")</f>
        <v>on track</v>
      </c>
      <c r="Q5710" s="3">
        <f ca="1">IF(Proc[[#This Row],[DateClosed]]="",ABS(NETWORKDAYS(Proc[[#This Row],[DateOpened]],TODAY()))-1,ABS(NETWORKDAYS(Proc[[#This Row],[DateOpened]],Proc[[#This Row],[DateClosed]]))-1)</f>
        <v>2</v>
      </c>
      <c r="R5710" s="178" t="s">
        <v>5708</v>
      </c>
      <c r="S5710" s="181"/>
    </row>
    <row r="5711" spans="1:19" hidden="1">
      <c r="A5711" s="180" t="s">
        <v>8070</v>
      </c>
      <c r="B5711" s="181" t="str">
        <f>IFERROR(VLOOKUP(Proc[[#This Row],[App]],Table2[],3,0),"open")</f>
        <v>open</v>
      </c>
      <c r="C5711" s="182" t="s">
        <v>369</v>
      </c>
      <c r="D5711" t="s">
        <v>8082</v>
      </c>
      <c r="E5711" t="s">
        <v>8712</v>
      </c>
      <c r="F5711" s="183" t="s">
        <v>8712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1" t="s">
        <v>6434</v>
      </c>
      <c r="M5711" s="178">
        <v>46056</v>
      </c>
      <c r="N5711" s="178"/>
      <c r="O5711" s="178"/>
      <c r="P5711" s="178" t="str">
        <f ca="1">IF(Proc[[#This Row],[DaysAgeing]]&gt;5,"yep","on track")</f>
        <v>on track</v>
      </c>
      <c r="Q5711" s="3">
        <f ca="1">IF(Proc[[#This Row],[DateClosed]]="",ABS(NETWORKDAYS(Proc[[#This Row],[DateOpened]],TODAY()))-1,ABS(NETWORKDAYS(Proc[[#This Row],[DateOpened]],Proc[[#This Row],[DateClosed]]))-1)</f>
        <v>2</v>
      </c>
      <c r="R5711" s="178" t="s">
        <v>5708</v>
      </c>
      <c r="S5711" s="181"/>
    </row>
    <row r="5712" spans="1:19" hidden="1">
      <c r="A5712" s="180" t="s">
        <v>8070</v>
      </c>
      <c r="B5712" s="181" t="str">
        <f>IFERROR(VLOOKUP(Proc[[#This Row],[App]],Table2[],3,0),"open")</f>
        <v>open</v>
      </c>
      <c r="C5712" s="182" t="s">
        <v>369</v>
      </c>
      <c r="D5712" t="s">
        <v>8083</v>
      </c>
      <c r="E5712" t="s">
        <v>8712</v>
      </c>
      <c r="F5712" s="183" t="s">
        <v>8712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1" t="s">
        <v>6434</v>
      </c>
      <c r="M5712" s="178">
        <v>46056</v>
      </c>
      <c r="N5712" s="178"/>
      <c r="O5712" s="178"/>
      <c r="P5712" s="178" t="str">
        <f ca="1">IF(Proc[[#This Row],[DaysAgeing]]&gt;5,"yep","on track")</f>
        <v>on track</v>
      </c>
      <c r="Q5712" s="3">
        <f ca="1">IF(Proc[[#This Row],[DateClosed]]="",ABS(NETWORKDAYS(Proc[[#This Row],[DateOpened]],TODAY()))-1,ABS(NETWORKDAYS(Proc[[#This Row],[DateOpened]],Proc[[#This Row],[DateClosed]]))-1)</f>
        <v>2</v>
      </c>
      <c r="R5712" s="178" t="s">
        <v>5708</v>
      </c>
      <c r="S5712" s="181"/>
    </row>
    <row r="5713" spans="1:19" hidden="1">
      <c r="A5713" s="180" t="s">
        <v>8070</v>
      </c>
      <c r="B5713" s="181" t="str">
        <f>IFERROR(VLOOKUP(Proc[[#This Row],[App]],Table2[],3,0),"open")</f>
        <v>open</v>
      </c>
      <c r="C5713" s="182" t="s">
        <v>369</v>
      </c>
      <c r="D5713" t="s">
        <v>8084</v>
      </c>
      <c r="E5713" t="s">
        <v>8712</v>
      </c>
      <c r="F5713" s="183" t="s">
        <v>8712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1" t="s">
        <v>6434</v>
      </c>
      <c r="M5713" s="178">
        <v>46056</v>
      </c>
      <c r="N5713" s="178"/>
      <c r="O5713" s="178"/>
      <c r="P5713" s="178" t="str">
        <f ca="1">IF(Proc[[#This Row],[DaysAgeing]]&gt;5,"yep","on track")</f>
        <v>on track</v>
      </c>
      <c r="Q5713" s="3">
        <f ca="1">IF(Proc[[#This Row],[DateClosed]]="",ABS(NETWORKDAYS(Proc[[#This Row],[DateOpened]],TODAY()))-1,ABS(NETWORKDAYS(Proc[[#This Row],[DateOpened]],Proc[[#This Row],[DateClosed]]))-1)</f>
        <v>2</v>
      </c>
      <c r="R5713" s="178" t="s">
        <v>5708</v>
      </c>
      <c r="S5713" s="181"/>
    </row>
    <row r="5714" spans="1:19" hidden="1">
      <c r="A5714" s="180" t="s">
        <v>8070</v>
      </c>
      <c r="B5714" s="181" t="str">
        <f>IFERROR(VLOOKUP(Proc[[#This Row],[App]],Table2[],3,0),"open")</f>
        <v>open</v>
      </c>
      <c r="C5714" s="182" t="s">
        <v>369</v>
      </c>
      <c r="D5714" t="s">
        <v>8085</v>
      </c>
      <c r="E5714" t="s">
        <v>8712</v>
      </c>
      <c r="F5714" s="183" t="s">
        <v>8712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1" t="s">
        <v>6434</v>
      </c>
      <c r="M5714" s="178">
        <v>46056</v>
      </c>
      <c r="N5714" s="178"/>
      <c r="O5714" s="178"/>
      <c r="P5714" s="178" t="str">
        <f ca="1">IF(Proc[[#This Row],[DaysAgeing]]&gt;5,"yep","on track")</f>
        <v>on track</v>
      </c>
      <c r="Q5714" s="3">
        <f ca="1">IF(Proc[[#This Row],[DateClosed]]="",ABS(NETWORKDAYS(Proc[[#This Row],[DateOpened]],TODAY()))-1,ABS(NETWORKDAYS(Proc[[#This Row],[DateOpened]],Proc[[#This Row],[DateClosed]]))-1)</f>
        <v>2</v>
      </c>
      <c r="R5714" s="178" t="s">
        <v>5708</v>
      </c>
      <c r="S5714" s="181"/>
    </row>
    <row r="5715" spans="1:19" hidden="1">
      <c r="A5715" s="180" t="s">
        <v>8070</v>
      </c>
      <c r="B5715" s="181" t="str">
        <f>IFERROR(VLOOKUP(Proc[[#This Row],[App]],Table2[],3,0),"open")</f>
        <v>open</v>
      </c>
      <c r="C5715" s="182" t="s">
        <v>369</v>
      </c>
      <c r="D5715" t="s">
        <v>8086</v>
      </c>
      <c r="E5715" t="s">
        <v>8712</v>
      </c>
      <c r="F5715" s="183" t="s">
        <v>8712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1" t="s">
        <v>6434</v>
      </c>
      <c r="M5715" s="178">
        <v>46056</v>
      </c>
      <c r="N5715" s="178"/>
      <c r="O5715" s="178"/>
      <c r="P5715" s="178" t="str">
        <f ca="1">IF(Proc[[#This Row],[DaysAgeing]]&gt;5,"yep","on track")</f>
        <v>on track</v>
      </c>
      <c r="Q5715" s="3">
        <f ca="1">IF(Proc[[#This Row],[DateClosed]]="",ABS(NETWORKDAYS(Proc[[#This Row],[DateOpened]],TODAY()))-1,ABS(NETWORKDAYS(Proc[[#This Row],[DateOpened]],Proc[[#This Row],[DateClosed]]))-1)</f>
        <v>2</v>
      </c>
      <c r="R5715" s="178" t="s">
        <v>5708</v>
      </c>
      <c r="S5715" s="181"/>
    </row>
    <row r="5716" spans="1:19" hidden="1">
      <c r="A5716" s="180" t="s">
        <v>8070</v>
      </c>
      <c r="B5716" s="181" t="str">
        <f>IFERROR(VLOOKUP(Proc[[#This Row],[App]],Table2[],3,0),"open")</f>
        <v>open</v>
      </c>
      <c r="C5716" s="182" t="s">
        <v>369</v>
      </c>
      <c r="D5716" t="s">
        <v>8087</v>
      </c>
      <c r="E5716" t="s">
        <v>8712</v>
      </c>
      <c r="F5716" s="183" t="s">
        <v>8712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1" t="s">
        <v>6434</v>
      </c>
      <c r="M5716" s="178">
        <v>46056</v>
      </c>
      <c r="N5716" s="178"/>
      <c r="O5716" s="178"/>
      <c r="P5716" s="178" t="str">
        <f ca="1">IF(Proc[[#This Row],[DaysAgeing]]&gt;5,"yep","on track")</f>
        <v>on track</v>
      </c>
      <c r="Q5716" s="3">
        <f ca="1">IF(Proc[[#This Row],[DateClosed]]="",ABS(NETWORKDAYS(Proc[[#This Row],[DateOpened]],TODAY()))-1,ABS(NETWORKDAYS(Proc[[#This Row],[DateOpened]],Proc[[#This Row],[DateClosed]]))-1)</f>
        <v>2</v>
      </c>
      <c r="R5716" s="178" t="s">
        <v>5708</v>
      </c>
      <c r="S5716" s="181"/>
    </row>
    <row r="5717" spans="1:19" hidden="1">
      <c r="A5717" s="180" t="s">
        <v>8070</v>
      </c>
      <c r="B5717" s="181" t="str">
        <f>IFERROR(VLOOKUP(Proc[[#This Row],[App]],Table2[],3,0),"open")</f>
        <v>open</v>
      </c>
      <c r="C5717" s="182" t="s">
        <v>369</v>
      </c>
      <c r="D5717" t="s">
        <v>8088</v>
      </c>
      <c r="E5717" t="s">
        <v>8712</v>
      </c>
      <c r="F5717" s="183" t="s">
        <v>8712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1" t="s">
        <v>6434</v>
      </c>
      <c r="M5717" s="178">
        <v>46056</v>
      </c>
      <c r="N5717" s="178"/>
      <c r="O5717" s="178"/>
      <c r="P5717" s="178" t="str">
        <f ca="1">IF(Proc[[#This Row],[DaysAgeing]]&gt;5,"yep","on track")</f>
        <v>on track</v>
      </c>
      <c r="Q5717" s="3">
        <f ca="1">IF(Proc[[#This Row],[DateClosed]]="",ABS(NETWORKDAYS(Proc[[#This Row],[DateOpened]],TODAY()))-1,ABS(NETWORKDAYS(Proc[[#This Row],[DateOpened]],Proc[[#This Row],[DateClosed]]))-1)</f>
        <v>2</v>
      </c>
      <c r="R5717" s="178" t="s">
        <v>5708</v>
      </c>
      <c r="S5717" s="181"/>
    </row>
    <row r="5718" spans="1:19" hidden="1">
      <c r="A5718" s="180" t="s">
        <v>8070</v>
      </c>
      <c r="B5718" s="181" t="str">
        <f>IFERROR(VLOOKUP(Proc[[#This Row],[App]],Table2[],3,0),"open")</f>
        <v>open</v>
      </c>
      <c r="C5718" s="182" t="s">
        <v>369</v>
      </c>
      <c r="D5718" t="s">
        <v>8089</v>
      </c>
      <c r="E5718" t="s">
        <v>8712</v>
      </c>
      <c r="F5718" s="183" t="s">
        <v>8712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1" t="s">
        <v>6434</v>
      </c>
      <c r="M5718" s="178">
        <v>46056</v>
      </c>
      <c r="N5718" s="178"/>
      <c r="O5718" s="178"/>
      <c r="P5718" s="178" t="str">
        <f ca="1">IF(Proc[[#This Row],[DaysAgeing]]&gt;5,"yep","on track")</f>
        <v>on track</v>
      </c>
      <c r="Q5718" s="3">
        <f ca="1">IF(Proc[[#This Row],[DateClosed]]="",ABS(NETWORKDAYS(Proc[[#This Row],[DateOpened]],TODAY()))-1,ABS(NETWORKDAYS(Proc[[#This Row],[DateOpened]],Proc[[#This Row],[DateClosed]]))-1)</f>
        <v>2</v>
      </c>
      <c r="R5718" s="178" t="s">
        <v>5708</v>
      </c>
      <c r="S5718" s="181"/>
    </row>
    <row r="5719" spans="1:19" hidden="1">
      <c r="A5719" s="180" t="s">
        <v>8070</v>
      </c>
      <c r="B5719" s="181" t="str">
        <f>IFERROR(VLOOKUP(Proc[[#This Row],[App]],Table2[],3,0),"open")</f>
        <v>open</v>
      </c>
      <c r="C5719" s="182" t="s">
        <v>369</v>
      </c>
      <c r="D5719" t="s">
        <v>8090</v>
      </c>
      <c r="E5719" t="s">
        <v>8712</v>
      </c>
      <c r="F5719" s="183" t="s">
        <v>8712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1" t="s">
        <v>6434</v>
      </c>
      <c r="M5719" s="178">
        <v>46056</v>
      </c>
      <c r="N5719" s="178"/>
      <c r="O5719" s="178"/>
      <c r="P5719" s="178" t="str">
        <f ca="1">IF(Proc[[#This Row],[DaysAgeing]]&gt;5,"yep","on track")</f>
        <v>on track</v>
      </c>
      <c r="Q5719" s="3">
        <f ca="1">IF(Proc[[#This Row],[DateClosed]]="",ABS(NETWORKDAYS(Proc[[#This Row],[DateOpened]],TODAY()))-1,ABS(NETWORKDAYS(Proc[[#This Row],[DateOpened]],Proc[[#This Row],[DateClosed]]))-1)</f>
        <v>2</v>
      </c>
      <c r="R5719" s="178" t="s">
        <v>5708</v>
      </c>
      <c r="S5719" s="181"/>
    </row>
    <row r="5720" spans="1:19" hidden="1">
      <c r="A5720" s="180" t="s">
        <v>8070</v>
      </c>
      <c r="B5720" s="181" t="str">
        <f>IFERROR(VLOOKUP(Proc[[#This Row],[App]],Table2[],3,0),"open")</f>
        <v>open</v>
      </c>
      <c r="C5720" s="182" t="s">
        <v>369</v>
      </c>
      <c r="D5720" t="s">
        <v>8091</v>
      </c>
      <c r="E5720" t="s">
        <v>8712</v>
      </c>
      <c r="F5720" s="183" t="s">
        <v>8712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1" t="s">
        <v>6434</v>
      </c>
      <c r="M5720" s="178">
        <v>46056</v>
      </c>
      <c r="N5720" s="178"/>
      <c r="O5720" s="178"/>
      <c r="P5720" s="178" t="str">
        <f ca="1">IF(Proc[[#This Row],[DaysAgeing]]&gt;5,"yep","on track")</f>
        <v>on track</v>
      </c>
      <c r="Q5720" s="3">
        <f ca="1">IF(Proc[[#This Row],[DateClosed]]="",ABS(NETWORKDAYS(Proc[[#This Row],[DateOpened]],TODAY()))-1,ABS(NETWORKDAYS(Proc[[#This Row],[DateOpened]],Proc[[#This Row],[DateClosed]]))-1)</f>
        <v>2</v>
      </c>
      <c r="R5720" s="178" t="s">
        <v>5708</v>
      </c>
      <c r="S5720" s="181"/>
    </row>
    <row r="5721" spans="1:19" hidden="1">
      <c r="A5721" s="180" t="s">
        <v>8070</v>
      </c>
      <c r="B5721" s="181" t="str">
        <f>IFERROR(VLOOKUP(Proc[[#This Row],[App]],Table2[],3,0),"open")</f>
        <v>open</v>
      </c>
      <c r="C5721" s="182" t="s">
        <v>369</v>
      </c>
      <c r="D5721" t="s">
        <v>8092</v>
      </c>
      <c r="E5721" t="s">
        <v>8712</v>
      </c>
      <c r="F5721" s="183" t="s">
        <v>8712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1" t="s">
        <v>6434</v>
      </c>
      <c r="M5721" s="178">
        <v>46056</v>
      </c>
      <c r="N5721" s="178"/>
      <c r="O5721" s="178"/>
      <c r="P5721" s="178" t="str">
        <f ca="1">IF(Proc[[#This Row],[DaysAgeing]]&gt;5,"yep","on track")</f>
        <v>on track</v>
      </c>
      <c r="Q5721" s="3">
        <f ca="1">IF(Proc[[#This Row],[DateClosed]]="",ABS(NETWORKDAYS(Proc[[#This Row],[DateOpened]],TODAY()))-1,ABS(NETWORKDAYS(Proc[[#This Row],[DateOpened]],Proc[[#This Row],[DateClosed]]))-1)</f>
        <v>2</v>
      </c>
      <c r="R5721" s="178" t="s">
        <v>5708</v>
      </c>
      <c r="S5721" s="181"/>
    </row>
    <row r="5722" spans="1:19" hidden="1">
      <c r="A5722" s="180" t="s">
        <v>8070</v>
      </c>
      <c r="B5722" s="181" t="str">
        <f>IFERROR(VLOOKUP(Proc[[#This Row],[App]],Table2[],3,0),"open")</f>
        <v>open</v>
      </c>
      <c r="C5722" s="182" t="s">
        <v>369</v>
      </c>
      <c r="D5722" t="s">
        <v>8093</v>
      </c>
      <c r="E5722" t="s">
        <v>8712</v>
      </c>
      <c r="F5722" s="183" t="s">
        <v>8712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1" t="s">
        <v>6434</v>
      </c>
      <c r="M5722" s="178">
        <v>46056</v>
      </c>
      <c r="N5722" s="178"/>
      <c r="O5722" s="178"/>
      <c r="P5722" s="178" t="str">
        <f ca="1">IF(Proc[[#This Row],[DaysAgeing]]&gt;5,"yep","on track")</f>
        <v>on track</v>
      </c>
      <c r="Q5722" s="3">
        <f ca="1">IF(Proc[[#This Row],[DateClosed]]="",ABS(NETWORKDAYS(Proc[[#This Row],[DateOpened]],TODAY()))-1,ABS(NETWORKDAYS(Proc[[#This Row],[DateOpened]],Proc[[#This Row],[DateClosed]]))-1)</f>
        <v>2</v>
      </c>
      <c r="R5722" s="178" t="s">
        <v>5708</v>
      </c>
      <c r="S5722" s="181"/>
    </row>
    <row r="5723" spans="1:19" hidden="1">
      <c r="A5723" s="180" t="s">
        <v>8070</v>
      </c>
      <c r="B5723" s="181" t="str">
        <f>IFERROR(VLOOKUP(Proc[[#This Row],[App]],Table2[],3,0),"open")</f>
        <v>open</v>
      </c>
      <c r="C5723" s="182" t="s">
        <v>369</v>
      </c>
      <c r="D5723" t="s">
        <v>8094</v>
      </c>
      <c r="E5723" t="s">
        <v>8712</v>
      </c>
      <c r="F5723" s="183" t="s">
        <v>8712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1" t="s">
        <v>6434</v>
      </c>
      <c r="M5723" s="178">
        <v>46056</v>
      </c>
      <c r="N5723" s="178"/>
      <c r="O5723" s="178"/>
      <c r="P5723" s="178" t="str">
        <f ca="1">IF(Proc[[#This Row],[DaysAgeing]]&gt;5,"yep","on track")</f>
        <v>on track</v>
      </c>
      <c r="Q5723" s="3">
        <f ca="1">IF(Proc[[#This Row],[DateClosed]]="",ABS(NETWORKDAYS(Proc[[#This Row],[DateOpened]],TODAY()))-1,ABS(NETWORKDAYS(Proc[[#This Row],[DateOpened]],Proc[[#This Row],[DateClosed]]))-1)</f>
        <v>2</v>
      </c>
      <c r="R5723" s="178" t="s">
        <v>5708</v>
      </c>
      <c r="S5723" s="181"/>
    </row>
    <row r="5724" spans="1:19" hidden="1">
      <c r="A5724" s="180" t="s">
        <v>8070</v>
      </c>
      <c r="B5724" s="181" t="str">
        <f>IFERROR(VLOOKUP(Proc[[#This Row],[App]],Table2[],3,0),"open")</f>
        <v>open</v>
      </c>
      <c r="C5724" s="182" t="s">
        <v>369</v>
      </c>
      <c r="D5724" t="s">
        <v>8095</v>
      </c>
      <c r="E5724" t="s">
        <v>8712</v>
      </c>
      <c r="F5724" s="183" t="s">
        <v>8712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1" t="s">
        <v>6434</v>
      </c>
      <c r="M5724" s="178">
        <v>46056</v>
      </c>
      <c r="N5724" s="178"/>
      <c r="O5724" s="178"/>
      <c r="P5724" s="178" t="str">
        <f ca="1">IF(Proc[[#This Row],[DaysAgeing]]&gt;5,"yep","on track")</f>
        <v>on track</v>
      </c>
      <c r="Q5724" s="3">
        <f ca="1">IF(Proc[[#This Row],[DateClosed]]="",ABS(NETWORKDAYS(Proc[[#This Row],[DateOpened]],TODAY()))-1,ABS(NETWORKDAYS(Proc[[#This Row],[DateOpened]],Proc[[#This Row],[DateClosed]]))-1)</f>
        <v>2</v>
      </c>
      <c r="R5724" s="178" t="s">
        <v>5708</v>
      </c>
      <c r="S5724" s="181"/>
    </row>
    <row r="5725" spans="1:19" hidden="1">
      <c r="A5725" s="180" t="s">
        <v>8070</v>
      </c>
      <c r="B5725" s="181" t="str">
        <f>IFERROR(VLOOKUP(Proc[[#This Row],[App]],Table2[],3,0),"open")</f>
        <v>open</v>
      </c>
      <c r="C5725" s="182" t="s">
        <v>369</v>
      </c>
      <c r="D5725" t="s">
        <v>8096</v>
      </c>
      <c r="E5725" t="s">
        <v>8712</v>
      </c>
      <c r="F5725" s="183" t="s">
        <v>8712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1" t="s">
        <v>6434</v>
      </c>
      <c r="M5725" s="178">
        <v>46056</v>
      </c>
      <c r="N5725" s="178"/>
      <c r="O5725" s="178"/>
      <c r="P5725" s="178" t="str">
        <f ca="1">IF(Proc[[#This Row],[DaysAgeing]]&gt;5,"yep","on track")</f>
        <v>on track</v>
      </c>
      <c r="Q5725" s="3">
        <f ca="1">IF(Proc[[#This Row],[DateClosed]]="",ABS(NETWORKDAYS(Proc[[#This Row],[DateOpened]],TODAY()))-1,ABS(NETWORKDAYS(Proc[[#This Row],[DateOpened]],Proc[[#This Row],[DateClosed]]))-1)</f>
        <v>2</v>
      </c>
      <c r="R5725" s="178" t="s">
        <v>5708</v>
      </c>
      <c r="S5725" s="181"/>
    </row>
    <row r="5726" spans="1:19" hidden="1">
      <c r="A5726" s="180" t="s">
        <v>8070</v>
      </c>
      <c r="B5726" s="181" t="str">
        <f>IFERROR(VLOOKUP(Proc[[#This Row],[App]],Table2[],3,0),"open")</f>
        <v>open</v>
      </c>
      <c r="C5726" s="182" t="s">
        <v>369</v>
      </c>
      <c r="D5726" t="s">
        <v>8097</v>
      </c>
      <c r="E5726" t="s">
        <v>8712</v>
      </c>
      <c r="F5726" s="183" t="s">
        <v>8712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1" t="s">
        <v>6434</v>
      </c>
      <c r="M5726" s="178">
        <v>46056</v>
      </c>
      <c r="N5726" s="178"/>
      <c r="O5726" s="178"/>
      <c r="P5726" s="178" t="str">
        <f ca="1">IF(Proc[[#This Row],[DaysAgeing]]&gt;5,"yep","on track")</f>
        <v>on track</v>
      </c>
      <c r="Q5726" s="3">
        <f ca="1">IF(Proc[[#This Row],[DateClosed]]="",ABS(NETWORKDAYS(Proc[[#This Row],[DateOpened]],TODAY()))-1,ABS(NETWORKDAYS(Proc[[#This Row],[DateOpened]],Proc[[#This Row],[DateClosed]]))-1)</f>
        <v>2</v>
      </c>
      <c r="R5726" s="178" t="s">
        <v>5708</v>
      </c>
      <c r="S5726" s="181"/>
    </row>
    <row r="5727" spans="1:19" hidden="1">
      <c r="A5727" s="180" t="s">
        <v>8070</v>
      </c>
      <c r="B5727" s="181" t="str">
        <f>IFERROR(VLOOKUP(Proc[[#This Row],[App]],Table2[],3,0),"open")</f>
        <v>open</v>
      </c>
      <c r="C5727" s="182" t="s">
        <v>369</v>
      </c>
      <c r="D5727" t="s">
        <v>8098</v>
      </c>
      <c r="E5727" t="s">
        <v>8712</v>
      </c>
      <c r="F5727" s="183" t="s">
        <v>8712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1" t="s">
        <v>6434</v>
      </c>
      <c r="M5727" s="178">
        <v>46056</v>
      </c>
      <c r="N5727" s="178"/>
      <c r="O5727" s="178"/>
      <c r="P5727" s="178" t="str">
        <f ca="1">IF(Proc[[#This Row],[DaysAgeing]]&gt;5,"yep","on track")</f>
        <v>on track</v>
      </c>
      <c r="Q5727" s="3">
        <f ca="1">IF(Proc[[#This Row],[DateClosed]]="",ABS(NETWORKDAYS(Proc[[#This Row],[DateOpened]],TODAY()))-1,ABS(NETWORKDAYS(Proc[[#This Row],[DateOpened]],Proc[[#This Row],[DateClosed]]))-1)</f>
        <v>2</v>
      </c>
      <c r="R5727" s="178" t="s">
        <v>5708</v>
      </c>
      <c r="S5727" s="181"/>
    </row>
    <row r="5728" spans="1:19" hidden="1">
      <c r="A5728" s="180" t="s">
        <v>8070</v>
      </c>
      <c r="B5728" s="181" t="str">
        <f>IFERROR(VLOOKUP(Proc[[#This Row],[App]],Table2[],3,0),"open")</f>
        <v>open</v>
      </c>
      <c r="C5728" s="182" t="s">
        <v>369</v>
      </c>
      <c r="D5728" t="s">
        <v>8099</v>
      </c>
      <c r="E5728" t="s">
        <v>8712</v>
      </c>
      <c r="F5728" s="183" t="s">
        <v>8712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1" t="s">
        <v>6434</v>
      </c>
      <c r="M5728" s="178">
        <v>46056</v>
      </c>
      <c r="N5728" s="178"/>
      <c r="O5728" s="178"/>
      <c r="P5728" s="178" t="str">
        <f ca="1">IF(Proc[[#This Row],[DaysAgeing]]&gt;5,"yep","on track")</f>
        <v>on track</v>
      </c>
      <c r="Q5728" s="3">
        <f ca="1">IF(Proc[[#This Row],[DateClosed]]="",ABS(NETWORKDAYS(Proc[[#This Row],[DateOpened]],TODAY()))-1,ABS(NETWORKDAYS(Proc[[#This Row],[DateOpened]],Proc[[#This Row],[DateClosed]]))-1)</f>
        <v>2</v>
      </c>
      <c r="R5728" s="178" t="s">
        <v>5708</v>
      </c>
      <c r="S5728" s="181"/>
    </row>
    <row r="5729" spans="1:19" hidden="1">
      <c r="A5729" s="180" t="s">
        <v>8070</v>
      </c>
      <c r="B5729" s="181" t="str">
        <f>IFERROR(VLOOKUP(Proc[[#This Row],[App]],Table2[],3,0),"open")</f>
        <v>open</v>
      </c>
      <c r="C5729" s="182" t="s">
        <v>369</v>
      </c>
      <c r="D5729" t="s">
        <v>8100</v>
      </c>
      <c r="E5729" t="s">
        <v>8712</v>
      </c>
      <c r="F5729" s="183" t="s">
        <v>8712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1" t="s">
        <v>6434</v>
      </c>
      <c r="M5729" s="178">
        <v>46056</v>
      </c>
      <c r="N5729" s="178"/>
      <c r="O5729" s="178"/>
      <c r="P5729" s="178" t="str">
        <f ca="1">IF(Proc[[#This Row],[DaysAgeing]]&gt;5,"yep","on track")</f>
        <v>on track</v>
      </c>
      <c r="Q5729" s="3">
        <f ca="1">IF(Proc[[#This Row],[DateClosed]]="",ABS(NETWORKDAYS(Proc[[#This Row],[DateOpened]],TODAY()))-1,ABS(NETWORKDAYS(Proc[[#This Row],[DateOpened]],Proc[[#This Row],[DateClosed]]))-1)</f>
        <v>2</v>
      </c>
      <c r="R5729" s="178" t="s">
        <v>5708</v>
      </c>
      <c r="S5729" s="181"/>
    </row>
    <row r="5730" spans="1:19" hidden="1">
      <c r="A5730" s="180" t="s">
        <v>8070</v>
      </c>
      <c r="B5730" s="181" t="str">
        <f>IFERROR(VLOOKUP(Proc[[#This Row],[App]],Table2[],3,0),"open")</f>
        <v>open</v>
      </c>
      <c r="C5730" s="182" t="s">
        <v>369</v>
      </c>
      <c r="D5730" t="s">
        <v>8101</v>
      </c>
      <c r="E5730" t="s">
        <v>8712</v>
      </c>
      <c r="F5730" s="183" t="s">
        <v>8712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1" t="s">
        <v>6434</v>
      </c>
      <c r="M5730" s="178">
        <v>46056</v>
      </c>
      <c r="N5730" s="178"/>
      <c r="O5730" s="178"/>
      <c r="P5730" s="178" t="str">
        <f ca="1">IF(Proc[[#This Row],[DaysAgeing]]&gt;5,"yep","on track")</f>
        <v>on track</v>
      </c>
      <c r="Q5730" s="3">
        <f ca="1">IF(Proc[[#This Row],[DateClosed]]="",ABS(NETWORKDAYS(Proc[[#This Row],[DateOpened]],TODAY()))-1,ABS(NETWORKDAYS(Proc[[#This Row],[DateOpened]],Proc[[#This Row],[DateClosed]]))-1)</f>
        <v>2</v>
      </c>
      <c r="R5730" s="178" t="s">
        <v>5708</v>
      </c>
      <c r="S5730" s="181"/>
    </row>
    <row r="5731" spans="1:19" hidden="1">
      <c r="A5731" s="180" t="s">
        <v>8070</v>
      </c>
      <c r="B5731" s="181" t="str">
        <f>IFERROR(VLOOKUP(Proc[[#This Row],[App]],Table2[],3,0),"open")</f>
        <v>open</v>
      </c>
      <c r="C5731" s="182" t="s">
        <v>369</v>
      </c>
      <c r="D5731" t="s">
        <v>8102</v>
      </c>
      <c r="E5731" t="s">
        <v>8712</v>
      </c>
      <c r="F5731" s="183" t="s">
        <v>8712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1" t="s">
        <v>6434</v>
      </c>
      <c r="M5731" s="178">
        <v>46056</v>
      </c>
      <c r="N5731" s="178"/>
      <c r="O5731" s="178"/>
      <c r="P5731" s="178" t="str">
        <f ca="1">IF(Proc[[#This Row],[DaysAgeing]]&gt;5,"yep","on track")</f>
        <v>on track</v>
      </c>
      <c r="Q5731" s="3">
        <f ca="1">IF(Proc[[#This Row],[DateClosed]]="",ABS(NETWORKDAYS(Proc[[#This Row],[DateOpened]],TODAY()))-1,ABS(NETWORKDAYS(Proc[[#This Row],[DateOpened]],Proc[[#This Row],[DateClosed]]))-1)</f>
        <v>2</v>
      </c>
      <c r="R5731" s="178" t="s">
        <v>5708</v>
      </c>
      <c r="S5731" s="181"/>
    </row>
    <row r="5732" spans="1:19" hidden="1">
      <c r="A5732" s="180" t="s">
        <v>8070</v>
      </c>
      <c r="B5732" s="181" t="str">
        <f>IFERROR(VLOOKUP(Proc[[#This Row],[App]],Table2[],3,0),"open")</f>
        <v>open</v>
      </c>
      <c r="C5732" s="182" t="s">
        <v>369</v>
      </c>
      <c r="D5732" t="s">
        <v>8103</v>
      </c>
      <c r="E5732" t="s">
        <v>8712</v>
      </c>
      <c r="F5732" s="183" t="s">
        <v>8712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1" t="s">
        <v>6434</v>
      </c>
      <c r="M5732" s="178">
        <v>46056</v>
      </c>
      <c r="N5732" s="178"/>
      <c r="O5732" s="178"/>
      <c r="P5732" s="178" t="str">
        <f ca="1">IF(Proc[[#This Row],[DaysAgeing]]&gt;5,"yep","on track")</f>
        <v>on track</v>
      </c>
      <c r="Q5732" s="3">
        <f ca="1">IF(Proc[[#This Row],[DateClosed]]="",ABS(NETWORKDAYS(Proc[[#This Row],[DateOpened]],TODAY()))-1,ABS(NETWORKDAYS(Proc[[#This Row],[DateOpened]],Proc[[#This Row],[DateClosed]]))-1)</f>
        <v>2</v>
      </c>
      <c r="R5732" s="178" t="s">
        <v>5708</v>
      </c>
      <c r="S5732" s="181"/>
    </row>
    <row r="5733" spans="1:19" hidden="1">
      <c r="A5733" s="180" t="s">
        <v>8070</v>
      </c>
      <c r="B5733" s="181" t="str">
        <f>IFERROR(VLOOKUP(Proc[[#This Row],[App]],Table2[],3,0),"open")</f>
        <v>open</v>
      </c>
      <c r="C5733" s="182" t="s">
        <v>369</v>
      </c>
      <c r="D5733" t="s">
        <v>8104</v>
      </c>
      <c r="E5733" t="s">
        <v>8712</v>
      </c>
      <c r="F5733" s="183" t="s">
        <v>8712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1" t="s">
        <v>6434</v>
      </c>
      <c r="M5733" s="178">
        <v>46056</v>
      </c>
      <c r="N5733" s="178"/>
      <c r="O5733" s="178"/>
      <c r="P5733" s="178" t="str">
        <f ca="1">IF(Proc[[#This Row],[DaysAgeing]]&gt;5,"yep","on track")</f>
        <v>on track</v>
      </c>
      <c r="Q5733" s="3">
        <f ca="1">IF(Proc[[#This Row],[DateClosed]]="",ABS(NETWORKDAYS(Proc[[#This Row],[DateOpened]],TODAY()))-1,ABS(NETWORKDAYS(Proc[[#This Row],[DateOpened]],Proc[[#This Row],[DateClosed]]))-1)</f>
        <v>2</v>
      </c>
      <c r="R5733" s="178" t="s">
        <v>5708</v>
      </c>
      <c r="S5733" s="181"/>
    </row>
    <row r="5734" spans="1:19" hidden="1">
      <c r="A5734" s="180" t="s">
        <v>8070</v>
      </c>
      <c r="B5734" s="181" t="str">
        <f>IFERROR(VLOOKUP(Proc[[#This Row],[App]],Table2[],3,0),"open")</f>
        <v>open</v>
      </c>
      <c r="C5734" s="182" t="s">
        <v>369</v>
      </c>
      <c r="D5734" t="s">
        <v>8105</v>
      </c>
      <c r="E5734" t="s">
        <v>8712</v>
      </c>
      <c r="F5734" s="183" t="s">
        <v>8712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1" t="s">
        <v>6434</v>
      </c>
      <c r="M5734" s="178">
        <v>46056</v>
      </c>
      <c r="N5734" s="178"/>
      <c r="O5734" s="178"/>
      <c r="P5734" s="178" t="str">
        <f ca="1">IF(Proc[[#This Row],[DaysAgeing]]&gt;5,"yep","on track")</f>
        <v>on track</v>
      </c>
      <c r="Q5734" s="3">
        <f ca="1">IF(Proc[[#This Row],[DateClosed]]="",ABS(NETWORKDAYS(Proc[[#This Row],[DateOpened]],TODAY()))-1,ABS(NETWORKDAYS(Proc[[#This Row],[DateOpened]],Proc[[#This Row],[DateClosed]]))-1)</f>
        <v>2</v>
      </c>
      <c r="R5734" s="178" t="s">
        <v>5708</v>
      </c>
      <c r="S5734" s="181"/>
    </row>
    <row r="5735" spans="1:19" hidden="1">
      <c r="A5735" s="180" t="s">
        <v>8070</v>
      </c>
      <c r="B5735" s="181" t="str">
        <f>IFERROR(VLOOKUP(Proc[[#This Row],[App]],Table2[],3,0),"open")</f>
        <v>open</v>
      </c>
      <c r="C5735" s="182" t="s">
        <v>369</v>
      </c>
      <c r="D5735" t="s">
        <v>8106</v>
      </c>
      <c r="E5735" t="s">
        <v>8712</v>
      </c>
      <c r="F5735" s="183" t="s">
        <v>8712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1" t="s">
        <v>6434</v>
      </c>
      <c r="M5735" s="178">
        <v>46056</v>
      </c>
      <c r="N5735" s="178"/>
      <c r="O5735" s="178"/>
      <c r="P5735" s="178" t="str">
        <f ca="1">IF(Proc[[#This Row],[DaysAgeing]]&gt;5,"yep","on track")</f>
        <v>on track</v>
      </c>
      <c r="Q5735" s="3">
        <f ca="1">IF(Proc[[#This Row],[DateClosed]]="",ABS(NETWORKDAYS(Proc[[#This Row],[DateOpened]],TODAY()))-1,ABS(NETWORKDAYS(Proc[[#This Row],[DateOpened]],Proc[[#This Row],[DateClosed]]))-1)</f>
        <v>2</v>
      </c>
      <c r="R5735" s="178" t="s">
        <v>5708</v>
      </c>
      <c r="S5735" s="181"/>
    </row>
    <row r="5736" spans="1:19" hidden="1">
      <c r="A5736" s="180" t="s">
        <v>8070</v>
      </c>
      <c r="B5736" s="181" t="str">
        <f>IFERROR(VLOOKUP(Proc[[#This Row],[App]],Table2[],3,0),"open")</f>
        <v>open</v>
      </c>
      <c r="C5736" s="182" t="s">
        <v>369</v>
      </c>
      <c r="D5736" t="s">
        <v>8107</v>
      </c>
      <c r="E5736" t="s">
        <v>8712</v>
      </c>
      <c r="F5736" s="183" t="s">
        <v>8712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1" t="s">
        <v>6434</v>
      </c>
      <c r="M5736" s="178">
        <v>46056</v>
      </c>
      <c r="N5736" s="178"/>
      <c r="O5736" s="178"/>
      <c r="P5736" s="178" t="str">
        <f ca="1">IF(Proc[[#This Row],[DaysAgeing]]&gt;5,"yep","on track")</f>
        <v>on track</v>
      </c>
      <c r="Q5736" s="3">
        <f ca="1">IF(Proc[[#This Row],[DateClosed]]="",ABS(NETWORKDAYS(Proc[[#This Row],[DateOpened]],TODAY()))-1,ABS(NETWORKDAYS(Proc[[#This Row],[DateOpened]],Proc[[#This Row],[DateClosed]]))-1)</f>
        <v>2</v>
      </c>
      <c r="R5736" s="178" t="s">
        <v>5708</v>
      </c>
      <c r="S5736" s="181"/>
    </row>
    <row r="5737" spans="1:19" hidden="1">
      <c r="A5737" s="180" t="s">
        <v>8070</v>
      </c>
      <c r="B5737" s="181" t="str">
        <f>IFERROR(VLOOKUP(Proc[[#This Row],[App]],Table2[],3,0),"open")</f>
        <v>open</v>
      </c>
      <c r="C5737" s="182" t="s">
        <v>369</v>
      </c>
      <c r="D5737" t="s">
        <v>8108</v>
      </c>
      <c r="E5737" t="s">
        <v>8712</v>
      </c>
      <c r="F5737" s="183" t="s">
        <v>8712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1" t="s">
        <v>6434</v>
      </c>
      <c r="M5737" s="178">
        <v>46056</v>
      </c>
      <c r="N5737" s="178"/>
      <c r="O5737" s="178"/>
      <c r="P5737" s="178" t="str">
        <f ca="1">IF(Proc[[#This Row],[DaysAgeing]]&gt;5,"yep","on track")</f>
        <v>on track</v>
      </c>
      <c r="Q5737" s="3">
        <f ca="1">IF(Proc[[#This Row],[DateClosed]]="",ABS(NETWORKDAYS(Proc[[#This Row],[DateOpened]],TODAY()))-1,ABS(NETWORKDAYS(Proc[[#This Row],[DateOpened]],Proc[[#This Row],[DateClosed]]))-1)</f>
        <v>2</v>
      </c>
      <c r="R5737" s="178" t="s">
        <v>5708</v>
      </c>
      <c r="S5737" s="181"/>
    </row>
    <row r="5738" spans="1:19" hidden="1">
      <c r="A5738" s="180" t="s">
        <v>8070</v>
      </c>
      <c r="B5738" s="181" t="str">
        <f>IFERROR(VLOOKUP(Proc[[#This Row],[App]],Table2[],3,0),"open")</f>
        <v>open</v>
      </c>
      <c r="C5738" s="182" t="s">
        <v>369</v>
      </c>
      <c r="D5738" t="s">
        <v>8109</v>
      </c>
      <c r="E5738" t="s">
        <v>8712</v>
      </c>
      <c r="F5738" s="183" t="s">
        <v>8712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1" t="s">
        <v>6434</v>
      </c>
      <c r="M5738" s="178">
        <v>46056</v>
      </c>
      <c r="N5738" s="178"/>
      <c r="O5738" s="178"/>
      <c r="P5738" s="178" t="str">
        <f ca="1">IF(Proc[[#This Row],[DaysAgeing]]&gt;5,"yep","on track")</f>
        <v>on track</v>
      </c>
      <c r="Q5738" s="3">
        <f ca="1">IF(Proc[[#This Row],[DateClosed]]="",ABS(NETWORKDAYS(Proc[[#This Row],[DateOpened]],TODAY()))-1,ABS(NETWORKDAYS(Proc[[#This Row],[DateOpened]],Proc[[#This Row],[DateClosed]]))-1)</f>
        <v>2</v>
      </c>
      <c r="R5738" s="178" t="s">
        <v>5708</v>
      </c>
      <c r="S5738" s="181"/>
    </row>
    <row r="5739" spans="1:19" hidden="1">
      <c r="A5739" s="180" t="s">
        <v>8070</v>
      </c>
      <c r="B5739" s="181" t="str">
        <f>IFERROR(VLOOKUP(Proc[[#This Row],[App]],Table2[],3,0),"open")</f>
        <v>open</v>
      </c>
      <c r="C5739" s="182" t="s">
        <v>369</v>
      </c>
      <c r="D5739" t="s">
        <v>8110</v>
      </c>
      <c r="E5739" t="s">
        <v>8712</v>
      </c>
      <c r="F5739" s="183" t="s">
        <v>8712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1" t="s">
        <v>6434</v>
      </c>
      <c r="M5739" s="178">
        <v>46056</v>
      </c>
      <c r="N5739" s="178"/>
      <c r="O5739" s="178"/>
      <c r="P5739" s="178" t="str">
        <f ca="1">IF(Proc[[#This Row],[DaysAgeing]]&gt;5,"yep","on track")</f>
        <v>on track</v>
      </c>
      <c r="Q5739" s="3">
        <f ca="1">IF(Proc[[#This Row],[DateClosed]]="",ABS(NETWORKDAYS(Proc[[#This Row],[DateOpened]],TODAY()))-1,ABS(NETWORKDAYS(Proc[[#This Row],[DateOpened]],Proc[[#This Row],[DateClosed]]))-1)</f>
        <v>2</v>
      </c>
      <c r="R5739" s="178" t="s">
        <v>5708</v>
      </c>
      <c r="S5739" s="181"/>
    </row>
    <row r="5740" spans="1:19" hidden="1">
      <c r="A5740" s="180" t="s">
        <v>8070</v>
      </c>
      <c r="B5740" s="181" t="str">
        <f>IFERROR(VLOOKUP(Proc[[#This Row],[App]],Table2[],3,0),"open")</f>
        <v>open</v>
      </c>
      <c r="C5740" s="182" t="s">
        <v>369</v>
      </c>
      <c r="D5740" t="s">
        <v>8111</v>
      </c>
      <c r="E5740" t="s">
        <v>8712</v>
      </c>
      <c r="F5740" s="183" t="s">
        <v>8712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1" t="s">
        <v>6434</v>
      </c>
      <c r="M5740" s="178">
        <v>46056</v>
      </c>
      <c r="N5740" s="178"/>
      <c r="O5740" s="178"/>
      <c r="P5740" s="178" t="str">
        <f ca="1">IF(Proc[[#This Row],[DaysAgeing]]&gt;5,"yep","on track")</f>
        <v>on track</v>
      </c>
      <c r="Q5740" s="3">
        <f ca="1">IF(Proc[[#This Row],[DateClosed]]="",ABS(NETWORKDAYS(Proc[[#This Row],[DateOpened]],TODAY()))-1,ABS(NETWORKDAYS(Proc[[#This Row],[DateOpened]],Proc[[#This Row],[DateClosed]]))-1)</f>
        <v>2</v>
      </c>
      <c r="R5740" s="178" t="s">
        <v>5708</v>
      </c>
      <c r="S5740" s="181"/>
    </row>
    <row r="5741" spans="1:19" hidden="1">
      <c r="A5741" s="180" t="s">
        <v>8070</v>
      </c>
      <c r="B5741" s="181" t="str">
        <f>IFERROR(VLOOKUP(Proc[[#This Row],[App]],Table2[],3,0),"open")</f>
        <v>open</v>
      </c>
      <c r="C5741" s="182" t="s">
        <v>369</v>
      </c>
      <c r="D5741" t="s">
        <v>8112</v>
      </c>
      <c r="E5741" t="s">
        <v>8712</v>
      </c>
      <c r="F5741" s="183" t="s">
        <v>8712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1" t="s">
        <v>6434</v>
      </c>
      <c r="M5741" s="178">
        <v>46056</v>
      </c>
      <c r="N5741" s="178"/>
      <c r="O5741" s="178"/>
      <c r="P5741" s="178" t="str">
        <f ca="1">IF(Proc[[#This Row],[DaysAgeing]]&gt;5,"yep","on track")</f>
        <v>on track</v>
      </c>
      <c r="Q5741" s="3">
        <f ca="1">IF(Proc[[#This Row],[DateClosed]]="",ABS(NETWORKDAYS(Proc[[#This Row],[DateOpened]],TODAY()))-1,ABS(NETWORKDAYS(Proc[[#This Row],[DateOpened]],Proc[[#This Row],[DateClosed]]))-1)</f>
        <v>2</v>
      </c>
      <c r="R5741" s="178" t="s">
        <v>5708</v>
      </c>
      <c r="S5741" s="181"/>
    </row>
    <row r="5742" spans="1:19" hidden="1">
      <c r="A5742" s="180" t="s">
        <v>8070</v>
      </c>
      <c r="B5742" s="181" t="str">
        <f>IFERROR(VLOOKUP(Proc[[#This Row],[App]],Table2[],3,0),"open")</f>
        <v>open</v>
      </c>
      <c r="C5742" s="182" t="s">
        <v>369</v>
      </c>
      <c r="D5742" t="s">
        <v>8113</v>
      </c>
      <c r="E5742" t="s">
        <v>8712</v>
      </c>
      <c r="F5742" s="183" t="s">
        <v>8712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1" t="s">
        <v>6434</v>
      </c>
      <c r="M5742" s="178">
        <v>46056</v>
      </c>
      <c r="N5742" s="178"/>
      <c r="O5742" s="178"/>
      <c r="P5742" s="178" t="str">
        <f ca="1">IF(Proc[[#This Row],[DaysAgeing]]&gt;5,"yep","on track")</f>
        <v>on track</v>
      </c>
      <c r="Q5742" s="3">
        <f ca="1">IF(Proc[[#This Row],[DateClosed]]="",ABS(NETWORKDAYS(Proc[[#This Row],[DateOpened]],TODAY()))-1,ABS(NETWORKDAYS(Proc[[#This Row],[DateOpened]],Proc[[#This Row],[DateClosed]]))-1)</f>
        <v>2</v>
      </c>
      <c r="R5742" s="178" t="s">
        <v>5708</v>
      </c>
      <c r="S5742" s="181"/>
    </row>
    <row r="5743" spans="1:19" hidden="1">
      <c r="A5743" s="180" t="s">
        <v>8070</v>
      </c>
      <c r="B5743" s="181" t="str">
        <f>IFERROR(VLOOKUP(Proc[[#This Row],[App]],Table2[],3,0),"open")</f>
        <v>open</v>
      </c>
      <c r="C5743" s="182" t="s">
        <v>369</v>
      </c>
      <c r="D5743" t="s">
        <v>8114</v>
      </c>
      <c r="E5743" t="s">
        <v>8712</v>
      </c>
      <c r="F5743" s="183" t="s">
        <v>8712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1" t="s">
        <v>6434</v>
      </c>
      <c r="M5743" s="178">
        <v>46056</v>
      </c>
      <c r="N5743" s="178"/>
      <c r="O5743" s="178"/>
      <c r="P5743" s="178" t="str">
        <f ca="1">IF(Proc[[#This Row],[DaysAgeing]]&gt;5,"yep","on track")</f>
        <v>on track</v>
      </c>
      <c r="Q5743" s="3">
        <f ca="1">IF(Proc[[#This Row],[DateClosed]]="",ABS(NETWORKDAYS(Proc[[#This Row],[DateOpened]],TODAY()))-1,ABS(NETWORKDAYS(Proc[[#This Row],[DateOpened]],Proc[[#This Row],[DateClosed]]))-1)</f>
        <v>2</v>
      </c>
      <c r="R5743" s="178" t="s">
        <v>5708</v>
      </c>
      <c r="S5743" s="181"/>
    </row>
    <row r="5744" spans="1:19" hidden="1">
      <c r="A5744" s="180" t="s">
        <v>8070</v>
      </c>
      <c r="B5744" s="181" t="str">
        <f>IFERROR(VLOOKUP(Proc[[#This Row],[App]],Table2[],3,0),"open")</f>
        <v>open</v>
      </c>
      <c r="C5744" s="182" t="s">
        <v>369</v>
      </c>
      <c r="D5744" t="s">
        <v>8115</v>
      </c>
      <c r="E5744" t="s">
        <v>8712</v>
      </c>
      <c r="F5744" s="183" t="s">
        <v>8712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1" t="s">
        <v>6434</v>
      </c>
      <c r="M5744" s="178">
        <v>46056</v>
      </c>
      <c r="N5744" s="178"/>
      <c r="O5744" s="178"/>
      <c r="P5744" s="178" t="str">
        <f ca="1">IF(Proc[[#This Row],[DaysAgeing]]&gt;5,"yep","on track")</f>
        <v>on track</v>
      </c>
      <c r="Q5744" s="3">
        <f ca="1">IF(Proc[[#This Row],[DateClosed]]="",ABS(NETWORKDAYS(Proc[[#This Row],[DateOpened]],TODAY()))-1,ABS(NETWORKDAYS(Proc[[#This Row],[DateOpened]],Proc[[#This Row],[DateClosed]]))-1)</f>
        <v>2</v>
      </c>
      <c r="R5744" s="178" t="s">
        <v>5708</v>
      </c>
      <c r="S5744" s="181"/>
    </row>
    <row r="5745" spans="1:19" hidden="1">
      <c r="A5745" s="180" t="s">
        <v>8070</v>
      </c>
      <c r="B5745" s="181" t="str">
        <f>IFERROR(VLOOKUP(Proc[[#This Row],[App]],Table2[],3,0),"open")</f>
        <v>open</v>
      </c>
      <c r="C5745" s="182" t="s">
        <v>369</v>
      </c>
      <c r="D5745" t="s">
        <v>8116</v>
      </c>
      <c r="E5745" t="s">
        <v>8712</v>
      </c>
      <c r="F5745" s="183" t="s">
        <v>8712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1" t="s">
        <v>6434</v>
      </c>
      <c r="M5745" s="178">
        <v>46056</v>
      </c>
      <c r="N5745" s="178"/>
      <c r="O5745" s="178"/>
      <c r="P5745" s="178" t="str">
        <f ca="1">IF(Proc[[#This Row],[DaysAgeing]]&gt;5,"yep","on track")</f>
        <v>on track</v>
      </c>
      <c r="Q5745" s="3">
        <f ca="1">IF(Proc[[#This Row],[DateClosed]]="",ABS(NETWORKDAYS(Proc[[#This Row],[DateOpened]],TODAY()))-1,ABS(NETWORKDAYS(Proc[[#This Row],[DateOpened]],Proc[[#This Row],[DateClosed]]))-1)</f>
        <v>2</v>
      </c>
      <c r="R5745" s="178" t="s">
        <v>5708</v>
      </c>
      <c r="S5745" s="181"/>
    </row>
    <row r="5746" spans="1:19">
      <c r="A5746" s="180" t="s">
        <v>8070</v>
      </c>
      <c r="B5746" s="181" t="str">
        <f>IFERROR(VLOOKUP(Proc[[#This Row],[App]],Table2[],3,0),"open")</f>
        <v>open</v>
      </c>
      <c r="C5746" s="180" t="s">
        <v>370</v>
      </c>
      <c r="D5746" t="s">
        <v>8117</v>
      </c>
      <c r="E5746" t="s">
        <v>8712</v>
      </c>
      <c r="F5746" s="183" t="s">
        <v>7301</v>
      </c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1" t="s">
        <v>6434</v>
      </c>
      <c r="M5746" s="178">
        <v>46056</v>
      </c>
      <c r="N5746" s="178"/>
      <c r="O5746" s="178"/>
      <c r="P5746" s="178" t="str">
        <f ca="1">IF(Proc[[#This Row],[DaysAgeing]]&gt;5,"yep","on track")</f>
        <v>on track</v>
      </c>
      <c r="Q5746" s="3">
        <f ca="1">IF(Proc[[#This Row],[DateClosed]]="",ABS(NETWORKDAYS(Proc[[#This Row],[DateOpened]],TODAY()))-1,ABS(NETWORKDAYS(Proc[[#This Row],[DateOpened]],Proc[[#This Row],[DateClosed]]))-1)</f>
        <v>2</v>
      </c>
      <c r="R5746" s="178" t="s">
        <v>5708</v>
      </c>
      <c r="S5746" s="181"/>
    </row>
    <row r="5747" spans="1:19" hidden="1">
      <c r="A5747" s="180" t="s">
        <v>8070</v>
      </c>
      <c r="B5747" s="181" t="str">
        <f>IFERROR(VLOOKUP(Proc[[#This Row],[App]],Table2[],3,0),"open")</f>
        <v>open</v>
      </c>
      <c r="C5747" s="182" t="s">
        <v>369</v>
      </c>
      <c r="D5747" t="s">
        <v>8118</v>
      </c>
      <c r="E5747" t="s">
        <v>8712</v>
      </c>
      <c r="F5747" s="183" t="s">
        <v>8712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1" t="s">
        <v>6434</v>
      </c>
      <c r="M5747" s="178">
        <v>46056</v>
      </c>
      <c r="N5747" s="178"/>
      <c r="O5747" s="178"/>
      <c r="P5747" s="178" t="str">
        <f ca="1">IF(Proc[[#This Row],[DaysAgeing]]&gt;5,"yep","on track")</f>
        <v>on track</v>
      </c>
      <c r="Q5747" s="3">
        <f ca="1">IF(Proc[[#This Row],[DateClosed]]="",ABS(NETWORKDAYS(Proc[[#This Row],[DateOpened]],TODAY()))-1,ABS(NETWORKDAYS(Proc[[#This Row],[DateOpened]],Proc[[#This Row],[DateClosed]]))-1)</f>
        <v>2</v>
      </c>
      <c r="R5747" s="178" t="s">
        <v>5708</v>
      </c>
      <c r="S5747" s="181"/>
    </row>
    <row r="5748" spans="1:19" hidden="1">
      <c r="A5748" s="180" t="s">
        <v>8070</v>
      </c>
      <c r="B5748" s="181" t="str">
        <f>IFERROR(VLOOKUP(Proc[[#This Row],[App]],Table2[],3,0),"open")</f>
        <v>open</v>
      </c>
      <c r="C5748" s="182" t="s">
        <v>369</v>
      </c>
      <c r="D5748" t="s">
        <v>8119</v>
      </c>
      <c r="E5748" t="s">
        <v>8712</v>
      </c>
      <c r="F5748" s="183" t="s">
        <v>8712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1" t="s">
        <v>6434</v>
      </c>
      <c r="M5748" s="178">
        <v>46056</v>
      </c>
      <c r="N5748" s="178"/>
      <c r="O5748" s="178"/>
      <c r="P5748" s="178" t="str">
        <f ca="1">IF(Proc[[#This Row],[DaysAgeing]]&gt;5,"yep","on track")</f>
        <v>on track</v>
      </c>
      <c r="Q5748" s="3">
        <f ca="1">IF(Proc[[#This Row],[DateClosed]]="",ABS(NETWORKDAYS(Proc[[#This Row],[DateOpened]],TODAY()))-1,ABS(NETWORKDAYS(Proc[[#This Row],[DateOpened]],Proc[[#This Row],[DateClosed]]))-1)</f>
        <v>2</v>
      </c>
      <c r="R5748" s="178" t="s">
        <v>5708</v>
      </c>
      <c r="S5748" s="181"/>
    </row>
    <row r="5749" spans="1:19" hidden="1">
      <c r="A5749" s="180" t="s">
        <v>8070</v>
      </c>
      <c r="B5749" s="181" t="str">
        <f>IFERROR(VLOOKUP(Proc[[#This Row],[App]],Table2[],3,0),"open")</f>
        <v>open</v>
      </c>
      <c r="C5749" s="182" t="s">
        <v>369</v>
      </c>
      <c r="D5749" t="s">
        <v>8120</v>
      </c>
      <c r="E5749" t="s">
        <v>8712</v>
      </c>
      <c r="F5749" s="183" t="s">
        <v>8712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1" t="s">
        <v>6434</v>
      </c>
      <c r="M5749" s="178">
        <v>46056</v>
      </c>
      <c r="N5749" s="178"/>
      <c r="O5749" s="178"/>
      <c r="P5749" s="178" t="str">
        <f ca="1">IF(Proc[[#This Row],[DaysAgeing]]&gt;5,"yep","on track")</f>
        <v>on track</v>
      </c>
      <c r="Q5749" s="3">
        <f ca="1">IF(Proc[[#This Row],[DateClosed]]="",ABS(NETWORKDAYS(Proc[[#This Row],[DateOpened]],TODAY()))-1,ABS(NETWORKDAYS(Proc[[#This Row],[DateOpened]],Proc[[#This Row],[DateClosed]]))-1)</f>
        <v>2</v>
      </c>
      <c r="R5749" s="178" t="s">
        <v>5708</v>
      </c>
      <c r="S5749" s="181"/>
    </row>
    <row r="5750" spans="1:19" hidden="1">
      <c r="A5750" s="180" t="s">
        <v>8070</v>
      </c>
      <c r="B5750" s="181" t="str">
        <f>IFERROR(VLOOKUP(Proc[[#This Row],[App]],Table2[],3,0),"open")</f>
        <v>open</v>
      </c>
      <c r="C5750" s="182" t="s">
        <v>369</v>
      </c>
      <c r="D5750" t="s">
        <v>8121</v>
      </c>
      <c r="E5750" t="s">
        <v>8712</v>
      </c>
      <c r="F5750" s="183" t="s">
        <v>8712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1" t="s">
        <v>6434</v>
      </c>
      <c r="M5750" s="178">
        <v>46056</v>
      </c>
      <c r="N5750" s="178"/>
      <c r="O5750" s="178"/>
      <c r="P5750" s="178" t="str">
        <f ca="1">IF(Proc[[#This Row],[DaysAgeing]]&gt;5,"yep","on track")</f>
        <v>on track</v>
      </c>
      <c r="Q5750" s="3">
        <f ca="1">IF(Proc[[#This Row],[DateClosed]]="",ABS(NETWORKDAYS(Proc[[#This Row],[DateOpened]],TODAY()))-1,ABS(NETWORKDAYS(Proc[[#This Row],[DateOpened]],Proc[[#This Row],[DateClosed]]))-1)</f>
        <v>2</v>
      </c>
      <c r="R5750" s="178" t="s">
        <v>5708</v>
      </c>
      <c r="S5750" s="181"/>
    </row>
    <row r="5751" spans="1:19">
      <c r="A5751" s="180" t="s">
        <v>8070</v>
      </c>
      <c r="B5751" s="181" t="str">
        <f>IFERROR(VLOOKUP(Proc[[#This Row],[App]],Table2[],3,0),"open")</f>
        <v>open</v>
      </c>
      <c r="C5751" s="180" t="s">
        <v>370</v>
      </c>
      <c r="D5751" t="s">
        <v>8122</v>
      </c>
      <c r="E5751" t="s">
        <v>8712</v>
      </c>
      <c r="F5751" s="183" t="s">
        <v>7301</v>
      </c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1" t="s">
        <v>6434</v>
      </c>
      <c r="M5751" s="178">
        <v>46056</v>
      </c>
      <c r="N5751" s="178"/>
      <c r="O5751" s="178"/>
      <c r="P5751" s="178" t="str">
        <f ca="1">IF(Proc[[#This Row],[DaysAgeing]]&gt;5,"yep","on track")</f>
        <v>on track</v>
      </c>
      <c r="Q5751" s="3">
        <f ca="1">IF(Proc[[#This Row],[DateClosed]]="",ABS(NETWORKDAYS(Proc[[#This Row],[DateOpened]],TODAY()))-1,ABS(NETWORKDAYS(Proc[[#This Row],[DateOpened]],Proc[[#This Row],[DateClosed]]))-1)</f>
        <v>2</v>
      </c>
      <c r="R5751" s="178" t="s">
        <v>5708</v>
      </c>
      <c r="S5751" s="181"/>
    </row>
    <row r="5752" spans="1:19" hidden="1">
      <c r="A5752" s="180" t="s">
        <v>8070</v>
      </c>
      <c r="B5752" s="181" t="str">
        <f>IFERROR(VLOOKUP(Proc[[#This Row],[App]],Table2[],3,0),"open")</f>
        <v>open</v>
      </c>
      <c r="C5752" s="182" t="s">
        <v>369</v>
      </c>
      <c r="D5752" t="s">
        <v>8123</v>
      </c>
      <c r="E5752" t="s">
        <v>8712</v>
      </c>
      <c r="F5752" s="183" t="s">
        <v>8712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1" t="s">
        <v>6434</v>
      </c>
      <c r="M5752" s="178">
        <v>46056</v>
      </c>
      <c r="N5752" s="178"/>
      <c r="O5752" s="178"/>
      <c r="P5752" s="178" t="str">
        <f ca="1">IF(Proc[[#This Row],[DaysAgeing]]&gt;5,"yep","on track")</f>
        <v>on track</v>
      </c>
      <c r="Q5752" s="3">
        <f ca="1">IF(Proc[[#This Row],[DateClosed]]="",ABS(NETWORKDAYS(Proc[[#This Row],[DateOpened]],TODAY()))-1,ABS(NETWORKDAYS(Proc[[#This Row],[DateOpened]],Proc[[#This Row],[DateClosed]]))-1)</f>
        <v>2</v>
      </c>
      <c r="R5752" s="178" t="s">
        <v>5708</v>
      </c>
      <c r="S5752" s="181"/>
    </row>
    <row r="5753" spans="1:19" hidden="1">
      <c r="A5753" s="180" t="s">
        <v>8070</v>
      </c>
      <c r="B5753" s="181" t="str">
        <f>IFERROR(VLOOKUP(Proc[[#This Row],[App]],Table2[],3,0),"open")</f>
        <v>open</v>
      </c>
      <c r="C5753" s="182" t="s">
        <v>369</v>
      </c>
      <c r="D5753" t="s">
        <v>8124</v>
      </c>
      <c r="E5753" t="s">
        <v>8712</v>
      </c>
      <c r="F5753" s="183" t="s">
        <v>8712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1" t="s">
        <v>6434</v>
      </c>
      <c r="M5753" s="178">
        <v>46056</v>
      </c>
      <c r="N5753" s="178"/>
      <c r="O5753" s="178"/>
      <c r="P5753" s="178" t="str">
        <f ca="1">IF(Proc[[#This Row],[DaysAgeing]]&gt;5,"yep","on track")</f>
        <v>on track</v>
      </c>
      <c r="Q5753" s="3">
        <f ca="1">IF(Proc[[#This Row],[DateClosed]]="",ABS(NETWORKDAYS(Proc[[#This Row],[DateOpened]],TODAY()))-1,ABS(NETWORKDAYS(Proc[[#This Row],[DateOpened]],Proc[[#This Row],[DateClosed]]))-1)</f>
        <v>2</v>
      </c>
      <c r="R5753" s="178" t="s">
        <v>5708</v>
      </c>
      <c r="S5753" s="181"/>
    </row>
    <row r="5754" spans="1:19" hidden="1">
      <c r="A5754" s="180" t="s">
        <v>8070</v>
      </c>
      <c r="B5754" s="181" t="str">
        <f>IFERROR(VLOOKUP(Proc[[#This Row],[App]],Table2[],3,0),"open")</f>
        <v>open</v>
      </c>
      <c r="C5754" s="182" t="s">
        <v>369</v>
      </c>
      <c r="D5754" t="s">
        <v>8125</v>
      </c>
      <c r="E5754" t="s">
        <v>8712</v>
      </c>
      <c r="F5754" s="183" t="s">
        <v>8712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1" t="s">
        <v>6434</v>
      </c>
      <c r="M5754" s="178">
        <v>46056</v>
      </c>
      <c r="N5754" s="178"/>
      <c r="O5754" s="178"/>
      <c r="P5754" s="178" t="str">
        <f ca="1">IF(Proc[[#This Row],[DaysAgeing]]&gt;5,"yep","on track")</f>
        <v>on track</v>
      </c>
      <c r="Q5754" s="3">
        <f ca="1">IF(Proc[[#This Row],[DateClosed]]="",ABS(NETWORKDAYS(Proc[[#This Row],[DateOpened]],TODAY()))-1,ABS(NETWORKDAYS(Proc[[#This Row],[DateOpened]],Proc[[#This Row],[DateClosed]]))-1)</f>
        <v>2</v>
      </c>
      <c r="R5754" s="178" t="s">
        <v>5708</v>
      </c>
      <c r="S5754" s="181"/>
    </row>
    <row r="5755" spans="1:19" hidden="1">
      <c r="A5755" s="180" t="s">
        <v>8070</v>
      </c>
      <c r="B5755" s="181" t="str">
        <f>IFERROR(VLOOKUP(Proc[[#This Row],[App]],Table2[],3,0),"open")</f>
        <v>open</v>
      </c>
      <c r="C5755" s="182" t="s">
        <v>369</v>
      </c>
      <c r="D5755" t="s">
        <v>8126</v>
      </c>
      <c r="E5755" t="s">
        <v>8712</v>
      </c>
      <c r="F5755" s="183" t="s">
        <v>8712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1" t="s">
        <v>6434</v>
      </c>
      <c r="M5755" s="178">
        <v>46056</v>
      </c>
      <c r="N5755" s="178"/>
      <c r="O5755" s="178"/>
      <c r="P5755" s="178" t="str">
        <f ca="1">IF(Proc[[#This Row],[DaysAgeing]]&gt;5,"yep","on track")</f>
        <v>on track</v>
      </c>
      <c r="Q5755" s="3">
        <f ca="1">IF(Proc[[#This Row],[DateClosed]]="",ABS(NETWORKDAYS(Proc[[#This Row],[DateOpened]],TODAY()))-1,ABS(NETWORKDAYS(Proc[[#This Row],[DateOpened]],Proc[[#This Row],[DateClosed]]))-1)</f>
        <v>2</v>
      </c>
      <c r="R5755" s="178" t="s">
        <v>5708</v>
      </c>
      <c r="S5755" s="181"/>
    </row>
    <row r="5756" spans="1:19" hidden="1">
      <c r="A5756" s="180" t="s">
        <v>8070</v>
      </c>
      <c r="B5756" s="181" t="str">
        <f>IFERROR(VLOOKUP(Proc[[#This Row],[App]],Table2[],3,0),"open")</f>
        <v>open</v>
      </c>
      <c r="C5756" s="182" t="s">
        <v>369</v>
      </c>
      <c r="D5756" t="s">
        <v>8127</v>
      </c>
      <c r="E5756" t="s">
        <v>8712</v>
      </c>
      <c r="F5756" s="183" t="s">
        <v>8712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1" t="s">
        <v>6434</v>
      </c>
      <c r="M5756" s="178">
        <v>46056</v>
      </c>
      <c r="N5756" s="178"/>
      <c r="O5756" s="178"/>
      <c r="P5756" s="178" t="str">
        <f ca="1">IF(Proc[[#This Row],[DaysAgeing]]&gt;5,"yep","on track")</f>
        <v>on track</v>
      </c>
      <c r="Q5756" s="3">
        <f ca="1">IF(Proc[[#This Row],[DateClosed]]="",ABS(NETWORKDAYS(Proc[[#This Row],[DateOpened]],TODAY()))-1,ABS(NETWORKDAYS(Proc[[#This Row],[DateOpened]],Proc[[#This Row],[DateClosed]]))-1)</f>
        <v>2</v>
      </c>
      <c r="R5756" s="178" t="s">
        <v>5708</v>
      </c>
      <c r="S5756" s="181"/>
    </row>
    <row r="5757" spans="1:19" hidden="1">
      <c r="A5757" s="180" t="s">
        <v>8070</v>
      </c>
      <c r="B5757" s="181" t="str">
        <f>IFERROR(VLOOKUP(Proc[[#This Row],[App]],Table2[],3,0),"open")</f>
        <v>open</v>
      </c>
      <c r="C5757" s="182" t="s">
        <v>369</v>
      </c>
      <c r="D5757" t="s">
        <v>8128</v>
      </c>
      <c r="E5757" t="s">
        <v>8712</v>
      </c>
      <c r="F5757" s="183" t="s">
        <v>8712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1" t="s">
        <v>6434</v>
      </c>
      <c r="M5757" s="178">
        <v>46056</v>
      </c>
      <c r="N5757" s="178"/>
      <c r="O5757" s="178"/>
      <c r="P5757" s="178" t="str">
        <f ca="1">IF(Proc[[#This Row],[DaysAgeing]]&gt;5,"yep","on track")</f>
        <v>on track</v>
      </c>
      <c r="Q5757" s="3">
        <f ca="1">IF(Proc[[#This Row],[DateClosed]]="",ABS(NETWORKDAYS(Proc[[#This Row],[DateOpened]],TODAY()))-1,ABS(NETWORKDAYS(Proc[[#This Row],[DateOpened]],Proc[[#This Row],[DateClosed]]))-1)</f>
        <v>2</v>
      </c>
      <c r="R5757" s="178" t="s">
        <v>5708</v>
      </c>
      <c r="S5757" s="181"/>
    </row>
    <row r="5758" spans="1:19" hidden="1">
      <c r="A5758" s="180" t="s">
        <v>8070</v>
      </c>
      <c r="B5758" s="181" t="str">
        <f>IFERROR(VLOOKUP(Proc[[#This Row],[App]],Table2[],3,0),"open")</f>
        <v>open</v>
      </c>
      <c r="C5758" s="182" t="s">
        <v>369</v>
      </c>
      <c r="D5758" t="s">
        <v>8129</v>
      </c>
      <c r="E5758" t="s">
        <v>8712</v>
      </c>
      <c r="F5758" s="183" t="s">
        <v>8712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1" t="s">
        <v>6434</v>
      </c>
      <c r="M5758" s="178">
        <v>46056</v>
      </c>
      <c r="N5758" s="178"/>
      <c r="O5758" s="178"/>
      <c r="P5758" s="178" t="str">
        <f ca="1">IF(Proc[[#This Row],[DaysAgeing]]&gt;5,"yep","on track")</f>
        <v>on track</v>
      </c>
      <c r="Q5758" s="3">
        <f ca="1">IF(Proc[[#This Row],[DateClosed]]="",ABS(NETWORKDAYS(Proc[[#This Row],[DateOpened]],TODAY()))-1,ABS(NETWORKDAYS(Proc[[#This Row],[DateOpened]],Proc[[#This Row],[DateClosed]]))-1)</f>
        <v>2</v>
      </c>
      <c r="R5758" s="178" t="s">
        <v>5708</v>
      </c>
      <c r="S5758" s="181"/>
    </row>
    <row r="5759" spans="1:19" hidden="1">
      <c r="A5759" s="180" t="s">
        <v>8070</v>
      </c>
      <c r="B5759" s="181" t="str">
        <f>IFERROR(VLOOKUP(Proc[[#This Row],[App]],Table2[],3,0),"open")</f>
        <v>open</v>
      </c>
      <c r="C5759" s="182" t="s">
        <v>369</v>
      </c>
      <c r="D5759" t="s">
        <v>8130</v>
      </c>
      <c r="E5759" t="s">
        <v>8712</v>
      </c>
      <c r="F5759" s="183" t="s">
        <v>8712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1" t="s">
        <v>6434</v>
      </c>
      <c r="M5759" s="178">
        <v>46056</v>
      </c>
      <c r="N5759" s="178"/>
      <c r="O5759" s="178"/>
      <c r="P5759" s="178" t="str">
        <f ca="1">IF(Proc[[#This Row],[DaysAgeing]]&gt;5,"yep","on track")</f>
        <v>on track</v>
      </c>
      <c r="Q5759" s="3">
        <f ca="1">IF(Proc[[#This Row],[DateClosed]]="",ABS(NETWORKDAYS(Proc[[#This Row],[DateOpened]],TODAY()))-1,ABS(NETWORKDAYS(Proc[[#This Row],[DateOpened]],Proc[[#This Row],[DateClosed]]))-1)</f>
        <v>2</v>
      </c>
      <c r="R5759" s="178" t="s">
        <v>5708</v>
      </c>
      <c r="S5759" s="181"/>
    </row>
    <row r="5760" spans="1:19" hidden="1">
      <c r="A5760" s="180" t="s">
        <v>8070</v>
      </c>
      <c r="B5760" s="181" t="str">
        <f>IFERROR(VLOOKUP(Proc[[#This Row],[App]],Table2[],3,0),"open")</f>
        <v>open</v>
      </c>
      <c r="C5760" s="182" t="s">
        <v>369</v>
      </c>
      <c r="D5760" t="s">
        <v>8131</v>
      </c>
      <c r="E5760" t="s">
        <v>8712</v>
      </c>
      <c r="F5760" s="183" t="s">
        <v>8712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1" t="s">
        <v>6434</v>
      </c>
      <c r="M5760" s="178">
        <v>46056</v>
      </c>
      <c r="N5760" s="178"/>
      <c r="O5760" s="178"/>
      <c r="P5760" s="178" t="str">
        <f ca="1">IF(Proc[[#This Row],[DaysAgeing]]&gt;5,"yep","on track")</f>
        <v>on track</v>
      </c>
      <c r="Q5760" s="3">
        <f ca="1">IF(Proc[[#This Row],[DateClosed]]="",ABS(NETWORKDAYS(Proc[[#This Row],[DateOpened]],TODAY()))-1,ABS(NETWORKDAYS(Proc[[#This Row],[DateOpened]],Proc[[#This Row],[DateClosed]]))-1)</f>
        <v>2</v>
      </c>
      <c r="R5760" s="178" t="s">
        <v>5708</v>
      </c>
      <c r="S5760" s="181"/>
    </row>
    <row r="5761" spans="1:19" hidden="1">
      <c r="A5761" s="180" t="s">
        <v>8070</v>
      </c>
      <c r="B5761" s="181" t="str">
        <f>IFERROR(VLOOKUP(Proc[[#This Row],[App]],Table2[],3,0),"open")</f>
        <v>open</v>
      </c>
      <c r="C5761" s="182" t="s">
        <v>369</v>
      </c>
      <c r="D5761" t="s">
        <v>8132</v>
      </c>
      <c r="E5761" t="s">
        <v>8712</v>
      </c>
      <c r="F5761" s="183" t="s">
        <v>8712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1" t="s">
        <v>6434</v>
      </c>
      <c r="M5761" s="178">
        <v>46056</v>
      </c>
      <c r="N5761" s="178"/>
      <c r="O5761" s="178"/>
      <c r="P5761" s="178" t="str">
        <f ca="1">IF(Proc[[#This Row],[DaysAgeing]]&gt;5,"yep","on track")</f>
        <v>on track</v>
      </c>
      <c r="Q5761" s="3">
        <f ca="1">IF(Proc[[#This Row],[DateClosed]]="",ABS(NETWORKDAYS(Proc[[#This Row],[DateOpened]],TODAY()))-1,ABS(NETWORKDAYS(Proc[[#This Row],[DateOpened]],Proc[[#This Row],[DateClosed]]))-1)</f>
        <v>2</v>
      </c>
      <c r="R5761" s="178" t="s">
        <v>5708</v>
      </c>
      <c r="S5761" s="181"/>
    </row>
    <row r="5762" spans="1:19" hidden="1">
      <c r="A5762" s="180" t="s">
        <v>8070</v>
      </c>
      <c r="B5762" s="181" t="str">
        <f>IFERROR(VLOOKUP(Proc[[#This Row],[App]],Table2[],3,0),"open")</f>
        <v>open</v>
      </c>
      <c r="C5762" s="182" t="s">
        <v>369</v>
      </c>
      <c r="D5762" t="s">
        <v>8133</v>
      </c>
      <c r="E5762" t="s">
        <v>8712</v>
      </c>
      <c r="F5762" s="183" t="s">
        <v>8712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1" t="s">
        <v>6434</v>
      </c>
      <c r="M5762" s="178">
        <v>46056</v>
      </c>
      <c r="N5762" s="178"/>
      <c r="O5762" s="178"/>
      <c r="P5762" s="178" t="str">
        <f ca="1">IF(Proc[[#This Row],[DaysAgeing]]&gt;5,"yep","on track")</f>
        <v>on track</v>
      </c>
      <c r="Q5762" s="3">
        <f ca="1">IF(Proc[[#This Row],[DateClosed]]="",ABS(NETWORKDAYS(Proc[[#This Row],[DateOpened]],TODAY()))-1,ABS(NETWORKDAYS(Proc[[#This Row],[DateOpened]],Proc[[#This Row],[DateClosed]]))-1)</f>
        <v>2</v>
      </c>
      <c r="R5762" s="178" t="s">
        <v>5708</v>
      </c>
      <c r="S5762" s="181"/>
    </row>
    <row r="5763" spans="1:19" hidden="1">
      <c r="A5763" s="180" t="s">
        <v>8070</v>
      </c>
      <c r="B5763" s="181" t="str">
        <f>IFERROR(VLOOKUP(Proc[[#This Row],[App]],Table2[],3,0),"open")</f>
        <v>open</v>
      </c>
      <c r="C5763" s="182" t="s">
        <v>369</v>
      </c>
      <c r="D5763" t="s">
        <v>8134</v>
      </c>
      <c r="E5763" t="s">
        <v>8712</v>
      </c>
      <c r="F5763" s="183" t="s">
        <v>8712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1" t="s">
        <v>6434</v>
      </c>
      <c r="M5763" s="178">
        <v>46056</v>
      </c>
      <c r="N5763" s="178"/>
      <c r="O5763" s="178"/>
      <c r="P5763" s="178" t="str">
        <f ca="1">IF(Proc[[#This Row],[DaysAgeing]]&gt;5,"yep","on track")</f>
        <v>on track</v>
      </c>
      <c r="Q5763" s="3">
        <f ca="1">IF(Proc[[#This Row],[DateClosed]]="",ABS(NETWORKDAYS(Proc[[#This Row],[DateOpened]],TODAY()))-1,ABS(NETWORKDAYS(Proc[[#This Row],[DateOpened]],Proc[[#This Row],[DateClosed]]))-1)</f>
        <v>2</v>
      </c>
      <c r="R5763" s="178" t="s">
        <v>5708</v>
      </c>
      <c r="S5763" s="181"/>
    </row>
    <row r="5764" spans="1:19">
      <c r="A5764" t="s">
        <v>8481</v>
      </c>
      <c r="B5764" s="181" t="str">
        <f>IFERROR(VLOOKUP(Proc[[#This Row],[App]],Table2[],3,0),"open")</f>
        <v>open</v>
      </c>
      <c r="C5764" s="182" t="s">
        <v>375</v>
      </c>
      <c r="D5764" t="s">
        <v>8139</v>
      </c>
      <c r="E5764" t="s">
        <v>8479</v>
      </c>
      <c r="F5764" s="183" t="str">
        <f>VLOOKUP(Proc[[#This Row],[Obj]],Sheet5!A:B,2,0)</f>
        <v>O000000005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0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1" t="s">
        <v>6434</v>
      </c>
      <c r="M5764" s="178">
        <v>46057</v>
      </c>
      <c r="N5764" s="178"/>
      <c r="O5764" s="178"/>
      <c r="P5764" s="178" t="str">
        <f ca="1">IF(Proc[[#This Row],[DaysAgeing]]&gt;5,"yep","on track")</f>
        <v>on track</v>
      </c>
      <c r="Q5764" s="3">
        <f ca="1">IF(Proc[[#This Row],[DateClosed]]="",ABS(NETWORKDAYS(Proc[[#This Row],[DateOpened]],TODAY()))-1,ABS(NETWORKDAYS(Proc[[#This Row],[DateOpened]],Proc[[#This Row],[DateClosed]]))-1)</f>
        <v>1</v>
      </c>
      <c r="R5764" s="178" t="s">
        <v>422</v>
      </c>
      <c r="S5764" s="181"/>
    </row>
    <row r="5765" spans="1:19">
      <c r="A5765" s="180" t="s">
        <v>8481</v>
      </c>
      <c r="B5765" s="181" t="str">
        <f>IFERROR(VLOOKUP(Proc[[#This Row],[App]],Table2[],3,0),"open")</f>
        <v>open</v>
      </c>
      <c r="C5765" s="182" t="s">
        <v>375</v>
      </c>
      <c r="D5765" t="s">
        <v>8140</v>
      </c>
      <c r="E5765" t="s">
        <v>8479</v>
      </c>
      <c r="F5765" s="183" t="str">
        <f>VLOOKUP(Proc[[#This Row],[Obj]],Sheet5!A:B,2,0)</f>
        <v>O000000005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0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1" t="s">
        <v>6434</v>
      </c>
      <c r="M5765" s="178">
        <v>46057</v>
      </c>
      <c r="N5765" s="178"/>
      <c r="O5765" s="178"/>
      <c r="P5765" s="178" t="str">
        <f ca="1">IF(Proc[[#This Row],[DaysAgeing]]&gt;5,"yep","on track")</f>
        <v>on track</v>
      </c>
      <c r="Q5765" s="3">
        <f ca="1">IF(Proc[[#This Row],[DateClosed]]="",ABS(NETWORKDAYS(Proc[[#This Row],[DateOpened]],TODAY()))-1,ABS(NETWORKDAYS(Proc[[#This Row],[DateOpened]],Proc[[#This Row],[DateClosed]]))-1)</f>
        <v>1</v>
      </c>
      <c r="R5765" s="178" t="s">
        <v>422</v>
      </c>
      <c r="S5765" s="181"/>
    </row>
    <row r="5766" spans="1:19">
      <c r="A5766" s="180" t="s">
        <v>8481</v>
      </c>
      <c r="B5766" s="181" t="str">
        <f>IFERROR(VLOOKUP(Proc[[#This Row],[App]],Table2[],3,0),"open")</f>
        <v>open</v>
      </c>
      <c r="C5766" s="182" t="s">
        <v>375</v>
      </c>
      <c r="D5766" t="s">
        <v>8141</v>
      </c>
      <c r="E5766" t="s">
        <v>8479</v>
      </c>
      <c r="F5766" s="183" t="str">
        <f>VLOOKUP(Proc[[#This Row],[Obj]],Sheet5!A:B,2,0)</f>
        <v>O000000005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0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1" t="s">
        <v>6434</v>
      </c>
      <c r="M5766" s="178">
        <v>46057</v>
      </c>
      <c r="N5766" s="178"/>
      <c r="O5766" s="178"/>
      <c r="P5766" s="178" t="str">
        <f ca="1">IF(Proc[[#This Row],[DaysAgeing]]&gt;5,"yep","on track")</f>
        <v>on track</v>
      </c>
      <c r="Q5766" s="3">
        <f ca="1">IF(Proc[[#This Row],[DateClosed]]="",ABS(NETWORKDAYS(Proc[[#This Row],[DateOpened]],TODAY()))-1,ABS(NETWORKDAYS(Proc[[#This Row],[DateOpened]],Proc[[#This Row],[DateClosed]]))-1)</f>
        <v>1</v>
      </c>
      <c r="R5766" s="178" t="s">
        <v>422</v>
      </c>
      <c r="S5766" s="181"/>
    </row>
    <row r="5767" spans="1:19">
      <c r="A5767" s="180" t="s">
        <v>8481</v>
      </c>
      <c r="B5767" s="181" t="str">
        <f>IFERROR(VLOOKUP(Proc[[#This Row],[App]],Table2[],3,0),"open")</f>
        <v>open</v>
      </c>
      <c r="C5767" s="182" t="s">
        <v>375</v>
      </c>
      <c r="D5767" t="s">
        <v>8142</v>
      </c>
      <c r="E5767" t="s">
        <v>8479</v>
      </c>
      <c r="F5767" s="183" t="str">
        <f>VLOOKUP(Proc[[#This Row],[Obj]],Sheet5!A:B,2,0)</f>
        <v>O000000005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0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1" t="s">
        <v>6434</v>
      </c>
      <c r="M5767" s="178">
        <v>46057</v>
      </c>
      <c r="N5767" s="178"/>
      <c r="O5767" s="178"/>
      <c r="P5767" s="178" t="str">
        <f ca="1">IF(Proc[[#This Row],[DaysAgeing]]&gt;5,"yep","on track")</f>
        <v>on track</v>
      </c>
      <c r="Q5767" s="3">
        <f ca="1">IF(Proc[[#This Row],[DateClosed]]="",ABS(NETWORKDAYS(Proc[[#This Row],[DateOpened]],TODAY()))-1,ABS(NETWORKDAYS(Proc[[#This Row],[DateOpened]],Proc[[#This Row],[DateClosed]]))-1)</f>
        <v>1</v>
      </c>
      <c r="R5767" s="178" t="s">
        <v>422</v>
      </c>
      <c r="S5767" s="181"/>
    </row>
    <row r="5768" spans="1:19">
      <c r="A5768" s="180" t="s">
        <v>8481</v>
      </c>
      <c r="B5768" s="181" t="str">
        <f>IFERROR(VLOOKUP(Proc[[#This Row],[App]],Table2[],3,0),"open")</f>
        <v>open</v>
      </c>
      <c r="C5768" s="182" t="s">
        <v>375</v>
      </c>
      <c r="D5768" t="s">
        <v>8143</v>
      </c>
      <c r="E5768" t="s">
        <v>8479</v>
      </c>
      <c r="F5768" s="183" t="str">
        <f>VLOOKUP(Proc[[#This Row],[Obj]],Sheet5!A:B,2,0)</f>
        <v>O000000005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0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1" t="s">
        <v>6434</v>
      </c>
      <c r="M5768" s="178">
        <v>46057</v>
      </c>
      <c r="N5768" s="178"/>
      <c r="O5768" s="178"/>
      <c r="P5768" s="178" t="str">
        <f ca="1">IF(Proc[[#This Row],[DaysAgeing]]&gt;5,"yep","on track")</f>
        <v>on track</v>
      </c>
      <c r="Q5768" s="3">
        <f ca="1">IF(Proc[[#This Row],[DateClosed]]="",ABS(NETWORKDAYS(Proc[[#This Row],[DateOpened]],TODAY()))-1,ABS(NETWORKDAYS(Proc[[#This Row],[DateOpened]],Proc[[#This Row],[DateClosed]]))-1)</f>
        <v>1</v>
      </c>
      <c r="R5768" s="178" t="s">
        <v>422</v>
      </c>
      <c r="S5768" s="181"/>
    </row>
    <row r="5769" spans="1:19">
      <c r="A5769" s="180" t="s">
        <v>8481</v>
      </c>
      <c r="B5769" s="181" t="str">
        <f>IFERROR(VLOOKUP(Proc[[#This Row],[App]],Table2[],3,0),"open")</f>
        <v>open</v>
      </c>
      <c r="C5769" s="182" t="s">
        <v>375</v>
      </c>
      <c r="D5769" t="s">
        <v>8144</v>
      </c>
      <c r="E5769" t="s">
        <v>8479</v>
      </c>
      <c r="F5769" s="183" t="str">
        <f>VLOOKUP(Proc[[#This Row],[Obj]],Sheet5!A:B,2,0)</f>
        <v>O000000005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0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1" t="s">
        <v>6434</v>
      </c>
      <c r="M5769" s="178">
        <v>46057</v>
      </c>
      <c r="N5769" s="178"/>
      <c r="O5769" s="178"/>
      <c r="P5769" s="178" t="str">
        <f ca="1">IF(Proc[[#This Row],[DaysAgeing]]&gt;5,"yep","on track")</f>
        <v>on track</v>
      </c>
      <c r="Q5769" s="3">
        <f ca="1">IF(Proc[[#This Row],[DateClosed]]="",ABS(NETWORKDAYS(Proc[[#This Row],[DateOpened]],TODAY()))-1,ABS(NETWORKDAYS(Proc[[#This Row],[DateOpened]],Proc[[#This Row],[DateClosed]]))-1)</f>
        <v>1</v>
      </c>
      <c r="R5769" s="178" t="s">
        <v>422</v>
      </c>
      <c r="S5769" s="181"/>
    </row>
    <row r="5770" spans="1:19">
      <c r="A5770" s="180" t="s">
        <v>8481</v>
      </c>
      <c r="B5770" s="181" t="str">
        <f>IFERROR(VLOOKUP(Proc[[#This Row],[App]],Table2[],3,0),"open")</f>
        <v>open</v>
      </c>
      <c r="C5770" s="182" t="s">
        <v>375</v>
      </c>
      <c r="D5770" t="s">
        <v>8145</v>
      </c>
      <c r="E5770" t="s">
        <v>8479</v>
      </c>
      <c r="F5770" s="183" t="str">
        <f>VLOOKUP(Proc[[#This Row],[Obj]],Sheet5!A:B,2,0)</f>
        <v>O000000005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0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1" t="s">
        <v>6434</v>
      </c>
      <c r="M5770" s="178">
        <v>46057</v>
      </c>
      <c r="N5770" s="178"/>
      <c r="O5770" s="178"/>
      <c r="P5770" s="178" t="str">
        <f ca="1">IF(Proc[[#This Row],[DaysAgeing]]&gt;5,"yep","on track")</f>
        <v>on track</v>
      </c>
      <c r="Q5770" s="3">
        <f ca="1">IF(Proc[[#This Row],[DateClosed]]="",ABS(NETWORKDAYS(Proc[[#This Row],[DateOpened]],TODAY()))-1,ABS(NETWORKDAYS(Proc[[#This Row],[DateOpened]],Proc[[#This Row],[DateClosed]]))-1)</f>
        <v>1</v>
      </c>
      <c r="R5770" s="178" t="s">
        <v>422</v>
      </c>
      <c r="S5770" s="181"/>
    </row>
    <row r="5771" spans="1:19">
      <c r="A5771" s="180" t="s">
        <v>8481</v>
      </c>
      <c r="B5771" s="181" t="str">
        <f>IFERROR(VLOOKUP(Proc[[#This Row],[App]],Table2[],3,0),"open")</f>
        <v>open</v>
      </c>
      <c r="C5771" s="182" t="s">
        <v>375</v>
      </c>
      <c r="D5771" t="s">
        <v>8146</v>
      </c>
      <c r="E5771" t="s">
        <v>8479</v>
      </c>
      <c r="F5771" s="183" t="str">
        <f>VLOOKUP(Proc[[#This Row],[Obj]],Sheet5!A:B,2,0)</f>
        <v>O000000005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0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1" t="s">
        <v>6434</v>
      </c>
      <c r="M5771" s="178">
        <v>46057</v>
      </c>
      <c r="N5771" s="178"/>
      <c r="O5771" s="178"/>
      <c r="P5771" s="178" t="str">
        <f ca="1">IF(Proc[[#This Row],[DaysAgeing]]&gt;5,"yep","on track")</f>
        <v>on track</v>
      </c>
      <c r="Q5771" s="3">
        <f ca="1">IF(Proc[[#This Row],[DateClosed]]="",ABS(NETWORKDAYS(Proc[[#This Row],[DateOpened]],TODAY()))-1,ABS(NETWORKDAYS(Proc[[#This Row],[DateOpened]],Proc[[#This Row],[DateClosed]]))-1)</f>
        <v>1</v>
      </c>
      <c r="R5771" s="178" t="s">
        <v>422</v>
      </c>
      <c r="S5771" s="181"/>
    </row>
    <row r="5772" spans="1:19">
      <c r="A5772" s="180" t="s">
        <v>8481</v>
      </c>
      <c r="B5772" s="181" t="str">
        <f>IFERROR(VLOOKUP(Proc[[#This Row],[App]],Table2[],3,0),"open")</f>
        <v>open</v>
      </c>
      <c r="C5772" s="182" t="s">
        <v>375</v>
      </c>
      <c r="D5772" t="s">
        <v>8147</v>
      </c>
      <c r="E5772" t="s">
        <v>8479</v>
      </c>
      <c r="F5772" s="183" t="str">
        <f>VLOOKUP(Proc[[#This Row],[Obj]],Sheet5!A:B,2,0)</f>
        <v>O000000005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0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1" t="s">
        <v>6434</v>
      </c>
      <c r="M5772" s="178">
        <v>46057</v>
      </c>
      <c r="N5772" s="178"/>
      <c r="O5772" s="178"/>
      <c r="P5772" s="178" t="str">
        <f ca="1">IF(Proc[[#This Row],[DaysAgeing]]&gt;5,"yep","on track")</f>
        <v>on track</v>
      </c>
      <c r="Q5772" s="3">
        <f ca="1">IF(Proc[[#This Row],[DateClosed]]="",ABS(NETWORKDAYS(Proc[[#This Row],[DateOpened]],TODAY()))-1,ABS(NETWORKDAYS(Proc[[#This Row],[DateOpened]],Proc[[#This Row],[DateClosed]]))-1)</f>
        <v>1</v>
      </c>
      <c r="R5772" s="178" t="s">
        <v>422</v>
      </c>
      <c r="S5772" s="181"/>
    </row>
    <row r="5773" spans="1:19">
      <c r="A5773" s="180" t="s">
        <v>8481</v>
      </c>
      <c r="B5773" s="181" t="str">
        <f>IFERROR(VLOOKUP(Proc[[#This Row],[App]],Table2[],3,0),"open")</f>
        <v>open</v>
      </c>
      <c r="C5773" s="182" t="s">
        <v>375</v>
      </c>
      <c r="D5773" t="s">
        <v>8148</v>
      </c>
      <c r="E5773" t="s">
        <v>8479</v>
      </c>
      <c r="F5773" s="183" t="str">
        <f>VLOOKUP(Proc[[#This Row],[Obj]],Sheet5!A:B,2,0)</f>
        <v>O000000005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0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1" t="s">
        <v>6434</v>
      </c>
      <c r="M5773" s="178">
        <v>46057</v>
      </c>
      <c r="N5773" s="178"/>
      <c r="O5773" s="178"/>
      <c r="P5773" s="178" t="str">
        <f ca="1">IF(Proc[[#This Row],[DaysAgeing]]&gt;5,"yep","on track")</f>
        <v>on track</v>
      </c>
      <c r="Q5773" s="3">
        <f ca="1">IF(Proc[[#This Row],[DateClosed]]="",ABS(NETWORKDAYS(Proc[[#This Row],[DateOpened]],TODAY()))-1,ABS(NETWORKDAYS(Proc[[#This Row],[DateOpened]],Proc[[#This Row],[DateClosed]]))-1)</f>
        <v>1</v>
      </c>
      <c r="R5773" s="178" t="s">
        <v>422</v>
      </c>
      <c r="S5773" s="181"/>
    </row>
    <row r="5774" spans="1:19">
      <c r="A5774" s="180" t="s">
        <v>8481</v>
      </c>
      <c r="B5774" s="181" t="str">
        <f>IFERROR(VLOOKUP(Proc[[#This Row],[App]],Table2[],3,0),"open")</f>
        <v>open</v>
      </c>
      <c r="C5774" s="182" t="s">
        <v>375</v>
      </c>
      <c r="D5774" t="s">
        <v>8149</v>
      </c>
      <c r="E5774" t="s">
        <v>8479</v>
      </c>
      <c r="F5774" s="183" t="str">
        <f>VLOOKUP(Proc[[#This Row],[Obj]],Sheet5!A:B,2,0)</f>
        <v>O000000005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0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1" t="s">
        <v>6434</v>
      </c>
      <c r="M5774" s="178">
        <v>46057</v>
      </c>
      <c r="N5774" s="178"/>
      <c r="O5774" s="178"/>
      <c r="P5774" s="178" t="str">
        <f ca="1">IF(Proc[[#This Row],[DaysAgeing]]&gt;5,"yep","on track")</f>
        <v>on track</v>
      </c>
      <c r="Q5774" s="3">
        <f ca="1">IF(Proc[[#This Row],[DateClosed]]="",ABS(NETWORKDAYS(Proc[[#This Row],[DateOpened]],TODAY()))-1,ABS(NETWORKDAYS(Proc[[#This Row],[DateOpened]],Proc[[#This Row],[DateClosed]]))-1)</f>
        <v>1</v>
      </c>
      <c r="R5774" s="178" t="s">
        <v>422</v>
      </c>
      <c r="S5774" s="181"/>
    </row>
    <row r="5775" spans="1:19">
      <c r="A5775" s="180" t="s">
        <v>8481</v>
      </c>
      <c r="B5775" s="181" t="str">
        <f>IFERROR(VLOOKUP(Proc[[#This Row],[App]],Table2[],3,0),"open")</f>
        <v>open</v>
      </c>
      <c r="C5775" s="182" t="s">
        <v>375</v>
      </c>
      <c r="D5775" t="s">
        <v>8150</v>
      </c>
      <c r="E5775" t="s">
        <v>8479</v>
      </c>
      <c r="F5775" s="183" t="str">
        <f>VLOOKUP(Proc[[#This Row],[Obj]],Sheet5!A:B,2,0)</f>
        <v>O000000005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0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1" t="s">
        <v>6434</v>
      </c>
      <c r="M5775" s="178">
        <v>46057</v>
      </c>
      <c r="N5775" s="178"/>
      <c r="O5775" s="178"/>
      <c r="P5775" s="178" t="str">
        <f ca="1">IF(Proc[[#This Row],[DaysAgeing]]&gt;5,"yep","on track")</f>
        <v>on track</v>
      </c>
      <c r="Q5775" s="3">
        <f ca="1">IF(Proc[[#This Row],[DateClosed]]="",ABS(NETWORKDAYS(Proc[[#This Row],[DateOpened]],TODAY()))-1,ABS(NETWORKDAYS(Proc[[#This Row],[DateOpened]],Proc[[#This Row],[DateClosed]]))-1)</f>
        <v>1</v>
      </c>
      <c r="R5775" s="178" t="s">
        <v>422</v>
      </c>
      <c r="S5775" s="181"/>
    </row>
    <row r="5776" spans="1:19">
      <c r="A5776" s="180" t="s">
        <v>8481</v>
      </c>
      <c r="B5776" s="181" t="str">
        <f>IFERROR(VLOOKUP(Proc[[#This Row],[App]],Table2[],3,0),"open")</f>
        <v>open</v>
      </c>
      <c r="C5776" s="182" t="s">
        <v>375</v>
      </c>
      <c r="D5776" t="s">
        <v>8151</v>
      </c>
      <c r="E5776" t="s">
        <v>8479</v>
      </c>
      <c r="F5776" s="183" t="str">
        <f>VLOOKUP(Proc[[#This Row],[Obj]],Sheet5!A:B,2,0)</f>
        <v>O000000005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0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1" t="s">
        <v>6434</v>
      </c>
      <c r="M5776" s="178">
        <v>46057</v>
      </c>
      <c r="N5776" s="178"/>
      <c r="O5776" s="178"/>
      <c r="P5776" s="178" t="str">
        <f ca="1">IF(Proc[[#This Row],[DaysAgeing]]&gt;5,"yep","on track")</f>
        <v>on track</v>
      </c>
      <c r="Q5776" s="3">
        <f ca="1">IF(Proc[[#This Row],[DateClosed]]="",ABS(NETWORKDAYS(Proc[[#This Row],[DateOpened]],TODAY()))-1,ABS(NETWORKDAYS(Proc[[#This Row],[DateOpened]],Proc[[#This Row],[DateClosed]]))-1)</f>
        <v>1</v>
      </c>
      <c r="R5776" s="178" t="s">
        <v>422</v>
      </c>
      <c r="S5776" s="181"/>
    </row>
    <row r="5777" spans="1:19">
      <c r="A5777" s="180" t="s">
        <v>8481</v>
      </c>
      <c r="B5777" s="181" t="str">
        <f>IFERROR(VLOOKUP(Proc[[#This Row],[App]],Table2[],3,0),"open")</f>
        <v>open</v>
      </c>
      <c r="C5777" s="182" t="s">
        <v>375</v>
      </c>
      <c r="D5777" t="s">
        <v>8152</v>
      </c>
      <c r="E5777" t="s">
        <v>8479</v>
      </c>
      <c r="F5777" s="183" t="str">
        <f>VLOOKUP(Proc[[#This Row],[Obj]],Sheet5!A:B,2,0)</f>
        <v>O000000005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0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1" t="s">
        <v>6434</v>
      </c>
      <c r="M5777" s="178">
        <v>46057</v>
      </c>
      <c r="N5777" s="178"/>
      <c r="O5777" s="178"/>
      <c r="P5777" s="178" t="str">
        <f ca="1">IF(Proc[[#This Row],[DaysAgeing]]&gt;5,"yep","on track")</f>
        <v>on track</v>
      </c>
      <c r="Q5777" s="3">
        <f ca="1">IF(Proc[[#This Row],[DateClosed]]="",ABS(NETWORKDAYS(Proc[[#This Row],[DateOpened]],TODAY()))-1,ABS(NETWORKDAYS(Proc[[#This Row],[DateOpened]],Proc[[#This Row],[DateClosed]]))-1)</f>
        <v>1</v>
      </c>
      <c r="R5777" s="178" t="s">
        <v>422</v>
      </c>
      <c r="S5777" s="181"/>
    </row>
    <row r="5778" spans="1:19">
      <c r="A5778" s="180" t="s">
        <v>8481</v>
      </c>
      <c r="B5778" s="181" t="str">
        <f>IFERROR(VLOOKUP(Proc[[#This Row],[App]],Table2[],3,0),"open")</f>
        <v>open</v>
      </c>
      <c r="C5778" s="182" t="s">
        <v>375</v>
      </c>
      <c r="D5778" t="s">
        <v>8153</v>
      </c>
      <c r="E5778" t="s">
        <v>8479</v>
      </c>
      <c r="F5778" s="183" t="str">
        <f>VLOOKUP(Proc[[#This Row],[Obj]],Sheet5!A:B,2,0)</f>
        <v>O000000005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0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1" t="s">
        <v>6434</v>
      </c>
      <c r="M5778" s="178">
        <v>46057</v>
      </c>
      <c r="N5778" s="178"/>
      <c r="O5778" s="178"/>
      <c r="P5778" s="178" t="str">
        <f ca="1">IF(Proc[[#This Row],[DaysAgeing]]&gt;5,"yep","on track")</f>
        <v>on track</v>
      </c>
      <c r="Q5778" s="3">
        <f ca="1">IF(Proc[[#This Row],[DateClosed]]="",ABS(NETWORKDAYS(Proc[[#This Row],[DateOpened]],TODAY()))-1,ABS(NETWORKDAYS(Proc[[#This Row],[DateOpened]],Proc[[#This Row],[DateClosed]]))-1)</f>
        <v>1</v>
      </c>
      <c r="R5778" s="178" t="s">
        <v>422</v>
      </c>
      <c r="S5778" s="181"/>
    </row>
    <row r="5779" spans="1:19">
      <c r="A5779" s="180" t="s">
        <v>8481</v>
      </c>
      <c r="B5779" s="181" t="str">
        <f>IFERROR(VLOOKUP(Proc[[#This Row],[App]],Table2[],3,0),"open")</f>
        <v>open</v>
      </c>
      <c r="C5779" s="182" t="s">
        <v>375</v>
      </c>
      <c r="D5779" t="s">
        <v>8154</v>
      </c>
      <c r="E5779" t="s">
        <v>8479</v>
      </c>
      <c r="F5779" s="183" t="str">
        <f>VLOOKUP(Proc[[#This Row],[Obj]],Sheet5!A:B,2,0)</f>
        <v>O000000005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0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1" t="s">
        <v>6434</v>
      </c>
      <c r="M5779" s="178">
        <v>46057</v>
      </c>
      <c r="N5779" s="178"/>
      <c r="O5779" s="178"/>
      <c r="P5779" s="178" t="str">
        <f ca="1">IF(Proc[[#This Row],[DaysAgeing]]&gt;5,"yep","on track")</f>
        <v>on track</v>
      </c>
      <c r="Q5779" s="3">
        <f ca="1">IF(Proc[[#This Row],[DateClosed]]="",ABS(NETWORKDAYS(Proc[[#This Row],[DateOpened]],TODAY()))-1,ABS(NETWORKDAYS(Proc[[#This Row],[DateOpened]],Proc[[#This Row],[DateClosed]]))-1)</f>
        <v>1</v>
      </c>
      <c r="R5779" s="178" t="s">
        <v>422</v>
      </c>
      <c r="S5779" s="181"/>
    </row>
    <row r="5780" spans="1:19">
      <c r="A5780" s="180" t="s">
        <v>8481</v>
      </c>
      <c r="B5780" s="181" t="str">
        <f>IFERROR(VLOOKUP(Proc[[#This Row],[App]],Table2[],3,0),"open")</f>
        <v>open</v>
      </c>
      <c r="C5780" s="182" t="s">
        <v>375</v>
      </c>
      <c r="D5780" t="s">
        <v>8155</v>
      </c>
      <c r="E5780" t="s">
        <v>8479</v>
      </c>
      <c r="F5780" s="183" t="str">
        <f>VLOOKUP(Proc[[#This Row],[Obj]],Sheet5!A:B,2,0)</f>
        <v>O000000005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0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1" t="s">
        <v>6434</v>
      </c>
      <c r="M5780" s="178">
        <v>46057</v>
      </c>
      <c r="N5780" s="178"/>
      <c r="O5780" s="178"/>
      <c r="P5780" s="178" t="str">
        <f ca="1">IF(Proc[[#This Row],[DaysAgeing]]&gt;5,"yep","on track")</f>
        <v>on track</v>
      </c>
      <c r="Q5780" s="3">
        <f ca="1">IF(Proc[[#This Row],[DateClosed]]="",ABS(NETWORKDAYS(Proc[[#This Row],[DateOpened]],TODAY()))-1,ABS(NETWORKDAYS(Proc[[#This Row],[DateOpened]],Proc[[#This Row],[DateClosed]]))-1)</f>
        <v>1</v>
      </c>
      <c r="R5780" s="178" t="s">
        <v>422</v>
      </c>
      <c r="S5780" s="181"/>
    </row>
    <row r="5781" spans="1:19">
      <c r="A5781" s="180" t="s">
        <v>8481</v>
      </c>
      <c r="B5781" s="181" t="str">
        <f>IFERROR(VLOOKUP(Proc[[#This Row],[App]],Table2[],3,0),"open")</f>
        <v>open</v>
      </c>
      <c r="C5781" s="182" t="s">
        <v>375</v>
      </c>
      <c r="D5781" t="s">
        <v>8156</v>
      </c>
      <c r="E5781" t="s">
        <v>8479</v>
      </c>
      <c r="F5781" s="183" t="str">
        <f>VLOOKUP(Proc[[#This Row],[Obj]],Sheet5!A:B,2,0)</f>
        <v>O000000005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0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1" t="s">
        <v>6434</v>
      </c>
      <c r="M5781" s="178">
        <v>46057</v>
      </c>
      <c r="N5781" s="178"/>
      <c r="O5781" s="178"/>
      <c r="P5781" s="178" t="str">
        <f ca="1">IF(Proc[[#This Row],[DaysAgeing]]&gt;5,"yep","on track")</f>
        <v>on track</v>
      </c>
      <c r="Q5781" s="3">
        <f ca="1">IF(Proc[[#This Row],[DateClosed]]="",ABS(NETWORKDAYS(Proc[[#This Row],[DateOpened]],TODAY()))-1,ABS(NETWORKDAYS(Proc[[#This Row],[DateOpened]],Proc[[#This Row],[DateClosed]]))-1)</f>
        <v>1</v>
      </c>
      <c r="R5781" s="178" t="s">
        <v>422</v>
      </c>
      <c r="S5781" s="181"/>
    </row>
    <row r="5782" spans="1:19">
      <c r="A5782" s="180" t="s">
        <v>8481</v>
      </c>
      <c r="B5782" s="181" t="str">
        <f>IFERROR(VLOOKUP(Proc[[#This Row],[App]],Table2[],3,0),"open")</f>
        <v>open</v>
      </c>
      <c r="C5782" s="182" t="s">
        <v>375</v>
      </c>
      <c r="D5782" t="s">
        <v>8157</v>
      </c>
      <c r="E5782" t="s">
        <v>8479</v>
      </c>
      <c r="F5782" s="183" t="str">
        <f>VLOOKUP(Proc[[#This Row],[Obj]],Sheet5!A:B,2,0)</f>
        <v>O000000005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0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1" t="s">
        <v>6434</v>
      </c>
      <c r="M5782" s="178">
        <v>46057</v>
      </c>
      <c r="N5782" s="178"/>
      <c r="O5782" s="178"/>
      <c r="P5782" s="178" t="str">
        <f ca="1">IF(Proc[[#This Row],[DaysAgeing]]&gt;5,"yep","on track")</f>
        <v>on track</v>
      </c>
      <c r="Q5782" s="3">
        <f ca="1">IF(Proc[[#This Row],[DateClosed]]="",ABS(NETWORKDAYS(Proc[[#This Row],[DateOpened]],TODAY()))-1,ABS(NETWORKDAYS(Proc[[#This Row],[DateOpened]],Proc[[#This Row],[DateClosed]]))-1)</f>
        <v>1</v>
      </c>
      <c r="R5782" s="178" t="s">
        <v>422</v>
      </c>
      <c r="S5782" s="181"/>
    </row>
    <row r="5783" spans="1:19">
      <c r="A5783" s="180" t="s">
        <v>8481</v>
      </c>
      <c r="B5783" s="181" t="str">
        <f>IFERROR(VLOOKUP(Proc[[#This Row],[App]],Table2[],3,0),"open")</f>
        <v>open</v>
      </c>
      <c r="C5783" s="182" t="s">
        <v>375</v>
      </c>
      <c r="D5783" t="s">
        <v>8158</v>
      </c>
      <c r="E5783" t="s">
        <v>8479</v>
      </c>
      <c r="F5783" s="183" t="str">
        <f>VLOOKUP(Proc[[#This Row],[Obj]],Sheet5!A:B,2,0)</f>
        <v>O000000005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0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1" t="s">
        <v>6434</v>
      </c>
      <c r="M5783" s="178">
        <v>46057</v>
      </c>
      <c r="N5783" s="178"/>
      <c r="O5783" s="178"/>
      <c r="P5783" s="178" t="str">
        <f ca="1">IF(Proc[[#This Row],[DaysAgeing]]&gt;5,"yep","on track")</f>
        <v>on track</v>
      </c>
      <c r="Q5783" s="3">
        <f ca="1">IF(Proc[[#This Row],[DateClosed]]="",ABS(NETWORKDAYS(Proc[[#This Row],[DateOpened]],TODAY()))-1,ABS(NETWORKDAYS(Proc[[#This Row],[DateOpened]],Proc[[#This Row],[DateClosed]]))-1)</f>
        <v>1</v>
      </c>
      <c r="R5783" s="178" t="s">
        <v>422</v>
      </c>
      <c r="S5783" s="181"/>
    </row>
    <row r="5784" spans="1:19">
      <c r="A5784" s="180" t="s">
        <v>8481</v>
      </c>
      <c r="B5784" s="181" t="str">
        <f>IFERROR(VLOOKUP(Proc[[#This Row],[App]],Table2[],3,0),"open")</f>
        <v>open</v>
      </c>
      <c r="C5784" s="182" t="s">
        <v>375</v>
      </c>
      <c r="D5784" t="s">
        <v>8159</v>
      </c>
      <c r="E5784" t="s">
        <v>8479</v>
      </c>
      <c r="F5784" s="183" t="str">
        <f>VLOOKUP(Proc[[#This Row],[Obj]],Sheet5!A:B,2,0)</f>
        <v>O000000005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0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1" t="s">
        <v>6434</v>
      </c>
      <c r="M5784" s="178">
        <v>46057</v>
      </c>
      <c r="N5784" s="178"/>
      <c r="O5784" s="178"/>
      <c r="P5784" s="178" t="str">
        <f ca="1">IF(Proc[[#This Row],[DaysAgeing]]&gt;5,"yep","on track")</f>
        <v>on track</v>
      </c>
      <c r="Q5784" s="3">
        <f ca="1">IF(Proc[[#This Row],[DateClosed]]="",ABS(NETWORKDAYS(Proc[[#This Row],[DateOpened]],TODAY()))-1,ABS(NETWORKDAYS(Proc[[#This Row],[DateOpened]],Proc[[#This Row],[DateClosed]]))-1)</f>
        <v>1</v>
      </c>
      <c r="R5784" s="178" t="s">
        <v>422</v>
      </c>
      <c r="S5784" s="181"/>
    </row>
    <row r="5785" spans="1:19">
      <c r="A5785" s="180" t="s">
        <v>8481</v>
      </c>
      <c r="B5785" s="181" t="str">
        <f>IFERROR(VLOOKUP(Proc[[#This Row],[App]],Table2[],3,0),"open")</f>
        <v>open</v>
      </c>
      <c r="C5785" s="182" t="s">
        <v>375</v>
      </c>
      <c r="D5785" t="s">
        <v>8160</v>
      </c>
      <c r="E5785" t="s">
        <v>8479</v>
      </c>
      <c r="F5785" s="183" t="str">
        <f>VLOOKUP(Proc[[#This Row],[Obj]],Sheet5!A:B,2,0)</f>
        <v>O000000005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0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1" t="s">
        <v>6434</v>
      </c>
      <c r="M5785" s="178">
        <v>46057</v>
      </c>
      <c r="N5785" s="178"/>
      <c r="O5785" s="178"/>
      <c r="P5785" s="178" t="str">
        <f ca="1">IF(Proc[[#This Row],[DaysAgeing]]&gt;5,"yep","on track")</f>
        <v>on track</v>
      </c>
      <c r="Q5785" s="3">
        <f ca="1">IF(Proc[[#This Row],[DateClosed]]="",ABS(NETWORKDAYS(Proc[[#This Row],[DateOpened]],TODAY()))-1,ABS(NETWORKDAYS(Proc[[#This Row],[DateOpened]],Proc[[#This Row],[DateClosed]]))-1)</f>
        <v>1</v>
      </c>
      <c r="R5785" s="178" t="s">
        <v>422</v>
      </c>
      <c r="S5785" s="181"/>
    </row>
    <row r="5786" spans="1:19">
      <c r="A5786" s="180" t="s">
        <v>8481</v>
      </c>
      <c r="B5786" s="181" t="str">
        <f>IFERROR(VLOOKUP(Proc[[#This Row],[App]],Table2[],3,0),"open")</f>
        <v>open</v>
      </c>
      <c r="C5786" s="182" t="s">
        <v>375</v>
      </c>
      <c r="D5786" t="s">
        <v>8161</v>
      </c>
      <c r="E5786" t="s">
        <v>8479</v>
      </c>
      <c r="F5786" s="183" t="str">
        <f>VLOOKUP(Proc[[#This Row],[Obj]],Sheet5!A:B,2,0)</f>
        <v>O000000005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0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1" t="s">
        <v>6434</v>
      </c>
      <c r="M5786" s="178">
        <v>46057</v>
      </c>
      <c r="N5786" s="178"/>
      <c r="O5786" s="178"/>
      <c r="P5786" s="178" t="str">
        <f ca="1">IF(Proc[[#This Row],[DaysAgeing]]&gt;5,"yep","on track")</f>
        <v>on track</v>
      </c>
      <c r="Q5786" s="3">
        <f ca="1">IF(Proc[[#This Row],[DateClosed]]="",ABS(NETWORKDAYS(Proc[[#This Row],[DateOpened]],TODAY()))-1,ABS(NETWORKDAYS(Proc[[#This Row],[DateOpened]],Proc[[#This Row],[DateClosed]]))-1)</f>
        <v>1</v>
      </c>
      <c r="R5786" s="178" t="s">
        <v>422</v>
      </c>
      <c r="S5786" s="181"/>
    </row>
    <row r="5787" spans="1:19">
      <c r="A5787" s="180" t="s">
        <v>8481</v>
      </c>
      <c r="B5787" s="181" t="str">
        <f>IFERROR(VLOOKUP(Proc[[#This Row],[App]],Table2[],3,0),"open")</f>
        <v>open</v>
      </c>
      <c r="C5787" s="182" t="s">
        <v>375</v>
      </c>
      <c r="D5787" t="s">
        <v>8162</v>
      </c>
      <c r="E5787" t="s">
        <v>8479</v>
      </c>
      <c r="F5787" s="183" t="str">
        <f>VLOOKUP(Proc[[#This Row],[Obj]],Sheet5!A:B,2,0)</f>
        <v>O000000005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0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1" t="s">
        <v>6434</v>
      </c>
      <c r="M5787" s="178">
        <v>46057</v>
      </c>
      <c r="N5787" s="178"/>
      <c r="O5787" s="178"/>
      <c r="P5787" s="178" t="str">
        <f ca="1">IF(Proc[[#This Row],[DaysAgeing]]&gt;5,"yep","on track")</f>
        <v>on track</v>
      </c>
      <c r="Q5787" s="3">
        <f ca="1">IF(Proc[[#This Row],[DateClosed]]="",ABS(NETWORKDAYS(Proc[[#This Row],[DateOpened]],TODAY()))-1,ABS(NETWORKDAYS(Proc[[#This Row],[DateOpened]],Proc[[#This Row],[DateClosed]]))-1)</f>
        <v>1</v>
      </c>
      <c r="R5787" s="178" t="s">
        <v>422</v>
      </c>
      <c r="S5787" s="181"/>
    </row>
    <row r="5788" spans="1:19">
      <c r="A5788" s="180" t="s">
        <v>8481</v>
      </c>
      <c r="B5788" s="181" t="str">
        <f>IFERROR(VLOOKUP(Proc[[#This Row],[App]],Table2[],3,0),"open")</f>
        <v>open</v>
      </c>
      <c r="C5788" s="182" t="s">
        <v>375</v>
      </c>
      <c r="D5788" t="s">
        <v>8163</v>
      </c>
      <c r="E5788" t="s">
        <v>8479</v>
      </c>
      <c r="F5788" s="183" t="str">
        <f>VLOOKUP(Proc[[#This Row],[Obj]],Sheet5!A:B,2,0)</f>
        <v>O000000005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0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1" t="s">
        <v>6434</v>
      </c>
      <c r="M5788" s="178">
        <v>46057</v>
      </c>
      <c r="N5788" s="178"/>
      <c r="O5788" s="178"/>
      <c r="P5788" s="178" t="str">
        <f ca="1">IF(Proc[[#This Row],[DaysAgeing]]&gt;5,"yep","on track")</f>
        <v>on track</v>
      </c>
      <c r="Q5788" s="3">
        <f ca="1">IF(Proc[[#This Row],[DateClosed]]="",ABS(NETWORKDAYS(Proc[[#This Row],[DateOpened]],TODAY()))-1,ABS(NETWORKDAYS(Proc[[#This Row],[DateOpened]],Proc[[#This Row],[DateClosed]]))-1)</f>
        <v>1</v>
      </c>
      <c r="R5788" s="178" t="s">
        <v>422</v>
      </c>
      <c r="S5788" s="181"/>
    </row>
    <row r="5789" spans="1:19">
      <c r="A5789" s="180" t="s">
        <v>8481</v>
      </c>
      <c r="B5789" s="181" t="str">
        <f>IFERROR(VLOOKUP(Proc[[#This Row],[App]],Table2[],3,0),"open")</f>
        <v>open</v>
      </c>
      <c r="C5789" s="182" t="s">
        <v>375</v>
      </c>
      <c r="D5789" t="s">
        <v>8164</v>
      </c>
      <c r="E5789" t="s">
        <v>8479</v>
      </c>
      <c r="F5789" s="183" t="str">
        <f>VLOOKUP(Proc[[#This Row],[Obj]],Sheet5!A:B,2,0)</f>
        <v>O000000005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0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1" t="s">
        <v>6434</v>
      </c>
      <c r="M5789" s="178">
        <v>46057</v>
      </c>
      <c r="N5789" s="178"/>
      <c r="O5789" s="178"/>
      <c r="P5789" s="178" t="str">
        <f ca="1">IF(Proc[[#This Row],[DaysAgeing]]&gt;5,"yep","on track")</f>
        <v>on track</v>
      </c>
      <c r="Q5789" s="3">
        <f ca="1">IF(Proc[[#This Row],[DateClosed]]="",ABS(NETWORKDAYS(Proc[[#This Row],[DateOpened]],TODAY()))-1,ABS(NETWORKDAYS(Proc[[#This Row],[DateOpened]],Proc[[#This Row],[DateClosed]]))-1)</f>
        <v>1</v>
      </c>
      <c r="R5789" s="178" t="s">
        <v>422</v>
      </c>
      <c r="S5789" s="181"/>
    </row>
    <row r="5790" spans="1:19">
      <c r="A5790" s="180" t="s">
        <v>8481</v>
      </c>
      <c r="B5790" s="181" t="str">
        <f>IFERROR(VLOOKUP(Proc[[#This Row],[App]],Table2[],3,0),"open")</f>
        <v>open</v>
      </c>
      <c r="C5790" s="182" t="s">
        <v>375</v>
      </c>
      <c r="D5790" t="s">
        <v>8165</v>
      </c>
      <c r="E5790" t="s">
        <v>8479</v>
      </c>
      <c r="F5790" s="183" t="str">
        <f>VLOOKUP(Proc[[#This Row],[Obj]],Sheet5!A:B,2,0)</f>
        <v>O000000005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0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1" t="s">
        <v>6434</v>
      </c>
      <c r="M5790" s="178">
        <v>46057</v>
      </c>
      <c r="N5790" s="178"/>
      <c r="O5790" s="178"/>
      <c r="P5790" s="178" t="str">
        <f ca="1">IF(Proc[[#This Row],[DaysAgeing]]&gt;5,"yep","on track")</f>
        <v>on track</v>
      </c>
      <c r="Q5790" s="3">
        <f ca="1">IF(Proc[[#This Row],[DateClosed]]="",ABS(NETWORKDAYS(Proc[[#This Row],[DateOpened]],TODAY()))-1,ABS(NETWORKDAYS(Proc[[#This Row],[DateOpened]],Proc[[#This Row],[DateClosed]]))-1)</f>
        <v>1</v>
      </c>
      <c r="R5790" s="178" t="s">
        <v>422</v>
      </c>
      <c r="S5790" s="181"/>
    </row>
    <row r="5791" spans="1:19">
      <c r="A5791" s="180" t="s">
        <v>8481</v>
      </c>
      <c r="B5791" s="181" t="str">
        <f>IFERROR(VLOOKUP(Proc[[#This Row],[App]],Table2[],3,0),"open")</f>
        <v>open</v>
      </c>
      <c r="C5791" s="182" t="s">
        <v>375</v>
      </c>
      <c r="D5791" t="s">
        <v>8166</v>
      </c>
      <c r="E5791" t="s">
        <v>8479</v>
      </c>
      <c r="F5791" s="183" t="str">
        <f>VLOOKUP(Proc[[#This Row],[Obj]],Sheet5!A:B,2,0)</f>
        <v>O000000005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0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1" t="s">
        <v>6434</v>
      </c>
      <c r="M5791" s="178">
        <v>46057</v>
      </c>
      <c r="N5791" s="178"/>
      <c r="O5791" s="178"/>
      <c r="P5791" s="178" t="str">
        <f ca="1">IF(Proc[[#This Row],[DaysAgeing]]&gt;5,"yep","on track")</f>
        <v>on track</v>
      </c>
      <c r="Q5791" s="3">
        <f ca="1">IF(Proc[[#This Row],[DateClosed]]="",ABS(NETWORKDAYS(Proc[[#This Row],[DateOpened]],TODAY()))-1,ABS(NETWORKDAYS(Proc[[#This Row],[DateOpened]],Proc[[#This Row],[DateClosed]]))-1)</f>
        <v>1</v>
      </c>
      <c r="R5791" s="178" t="s">
        <v>422</v>
      </c>
      <c r="S5791" s="181"/>
    </row>
    <row r="5792" spans="1:19">
      <c r="A5792" s="180" t="s">
        <v>8481</v>
      </c>
      <c r="B5792" s="181" t="str">
        <f>IFERROR(VLOOKUP(Proc[[#This Row],[App]],Table2[],3,0),"open")</f>
        <v>open</v>
      </c>
      <c r="C5792" s="182" t="s">
        <v>375</v>
      </c>
      <c r="D5792" t="s">
        <v>8167</v>
      </c>
      <c r="E5792" t="s">
        <v>8479</v>
      </c>
      <c r="F5792" s="183" t="str">
        <f>VLOOKUP(Proc[[#This Row],[Obj]],Sheet5!A:B,2,0)</f>
        <v>O000000005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0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1" t="s">
        <v>6434</v>
      </c>
      <c r="M5792" s="178">
        <v>46057</v>
      </c>
      <c r="N5792" s="178"/>
      <c r="O5792" s="178"/>
      <c r="P5792" s="178" t="str">
        <f ca="1">IF(Proc[[#This Row],[DaysAgeing]]&gt;5,"yep","on track")</f>
        <v>on track</v>
      </c>
      <c r="Q5792" s="3">
        <f ca="1">IF(Proc[[#This Row],[DateClosed]]="",ABS(NETWORKDAYS(Proc[[#This Row],[DateOpened]],TODAY()))-1,ABS(NETWORKDAYS(Proc[[#This Row],[DateOpened]],Proc[[#This Row],[DateClosed]]))-1)</f>
        <v>1</v>
      </c>
      <c r="R5792" s="178" t="s">
        <v>422</v>
      </c>
      <c r="S5792" s="181"/>
    </row>
    <row r="5793" spans="1:19">
      <c r="A5793" s="180" t="s">
        <v>8481</v>
      </c>
      <c r="B5793" s="181" t="str">
        <f>IFERROR(VLOOKUP(Proc[[#This Row],[App]],Table2[],3,0),"open")</f>
        <v>open</v>
      </c>
      <c r="C5793" s="182" t="s">
        <v>375</v>
      </c>
      <c r="D5793" t="s">
        <v>8168</v>
      </c>
      <c r="E5793" t="s">
        <v>8479</v>
      </c>
      <c r="F5793" s="183" t="str">
        <f>VLOOKUP(Proc[[#This Row],[Obj]],Sheet5!A:B,2,0)</f>
        <v>O000000005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0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1" t="s">
        <v>6434</v>
      </c>
      <c r="M5793" s="178">
        <v>46057</v>
      </c>
      <c r="N5793" s="178"/>
      <c r="O5793" s="178"/>
      <c r="P5793" s="178" t="str">
        <f ca="1">IF(Proc[[#This Row],[DaysAgeing]]&gt;5,"yep","on track")</f>
        <v>on track</v>
      </c>
      <c r="Q5793" s="3">
        <f ca="1">IF(Proc[[#This Row],[DateClosed]]="",ABS(NETWORKDAYS(Proc[[#This Row],[DateOpened]],TODAY()))-1,ABS(NETWORKDAYS(Proc[[#This Row],[DateOpened]],Proc[[#This Row],[DateClosed]]))-1)</f>
        <v>1</v>
      </c>
      <c r="R5793" s="178" t="s">
        <v>422</v>
      </c>
      <c r="S5793" s="181"/>
    </row>
    <row r="5794" spans="1:19">
      <c r="A5794" s="180" t="s">
        <v>8481</v>
      </c>
      <c r="B5794" s="181" t="str">
        <f>IFERROR(VLOOKUP(Proc[[#This Row],[App]],Table2[],3,0),"open")</f>
        <v>open</v>
      </c>
      <c r="C5794" s="182" t="s">
        <v>375</v>
      </c>
      <c r="D5794" t="s">
        <v>8169</v>
      </c>
      <c r="E5794" t="s">
        <v>8479</v>
      </c>
      <c r="F5794" s="183" t="str">
        <f>VLOOKUP(Proc[[#This Row],[Obj]],Sheet5!A:B,2,0)</f>
        <v>O000000005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0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1" t="s">
        <v>6434</v>
      </c>
      <c r="M5794" s="178">
        <v>46057</v>
      </c>
      <c r="N5794" s="178"/>
      <c r="O5794" s="178"/>
      <c r="P5794" s="178" t="str">
        <f ca="1">IF(Proc[[#This Row],[DaysAgeing]]&gt;5,"yep","on track")</f>
        <v>on track</v>
      </c>
      <c r="Q5794" s="3">
        <f ca="1">IF(Proc[[#This Row],[DateClosed]]="",ABS(NETWORKDAYS(Proc[[#This Row],[DateOpened]],TODAY()))-1,ABS(NETWORKDAYS(Proc[[#This Row],[DateOpened]],Proc[[#This Row],[DateClosed]]))-1)</f>
        <v>1</v>
      </c>
      <c r="R5794" s="178" t="s">
        <v>422</v>
      </c>
      <c r="S5794" s="181"/>
    </row>
    <row r="5795" spans="1:19">
      <c r="A5795" s="180" t="s">
        <v>8481</v>
      </c>
      <c r="B5795" s="181" t="str">
        <f>IFERROR(VLOOKUP(Proc[[#This Row],[App]],Table2[],3,0),"open")</f>
        <v>open</v>
      </c>
      <c r="C5795" s="182" t="s">
        <v>375</v>
      </c>
      <c r="D5795" t="s">
        <v>8170</v>
      </c>
      <c r="E5795" t="s">
        <v>8479</v>
      </c>
      <c r="F5795" s="183" t="str">
        <f>VLOOKUP(Proc[[#This Row],[Obj]],Sheet5!A:B,2,0)</f>
        <v>O000000005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0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1" t="s">
        <v>6434</v>
      </c>
      <c r="M5795" s="178">
        <v>46057</v>
      </c>
      <c r="N5795" s="178"/>
      <c r="O5795" s="178"/>
      <c r="P5795" s="178" t="str">
        <f ca="1">IF(Proc[[#This Row],[DaysAgeing]]&gt;5,"yep","on track")</f>
        <v>on track</v>
      </c>
      <c r="Q5795" s="3">
        <f ca="1">IF(Proc[[#This Row],[DateClosed]]="",ABS(NETWORKDAYS(Proc[[#This Row],[DateOpened]],TODAY()))-1,ABS(NETWORKDAYS(Proc[[#This Row],[DateOpened]],Proc[[#This Row],[DateClosed]]))-1)</f>
        <v>1</v>
      </c>
      <c r="R5795" s="178" t="s">
        <v>422</v>
      </c>
      <c r="S5795" s="181"/>
    </row>
    <row r="5796" spans="1:19">
      <c r="A5796" s="180" t="s">
        <v>8481</v>
      </c>
      <c r="B5796" s="181" t="str">
        <f>IFERROR(VLOOKUP(Proc[[#This Row],[App]],Table2[],3,0),"open")</f>
        <v>open</v>
      </c>
      <c r="C5796" s="182" t="s">
        <v>375</v>
      </c>
      <c r="D5796" t="s">
        <v>8171</v>
      </c>
      <c r="E5796" t="s">
        <v>8479</v>
      </c>
      <c r="F5796" s="183" t="str">
        <f>VLOOKUP(Proc[[#This Row],[Obj]],Sheet5!A:B,2,0)</f>
        <v>O000000005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0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1" t="s">
        <v>6434</v>
      </c>
      <c r="M5796" s="178">
        <v>46057</v>
      </c>
      <c r="N5796" s="178"/>
      <c r="O5796" s="178"/>
      <c r="P5796" s="178" t="str">
        <f ca="1">IF(Proc[[#This Row],[DaysAgeing]]&gt;5,"yep","on track")</f>
        <v>on track</v>
      </c>
      <c r="Q5796" s="3">
        <f ca="1">IF(Proc[[#This Row],[DateClosed]]="",ABS(NETWORKDAYS(Proc[[#This Row],[DateOpened]],TODAY()))-1,ABS(NETWORKDAYS(Proc[[#This Row],[DateOpened]],Proc[[#This Row],[DateClosed]]))-1)</f>
        <v>1</v>
      </c>
      <c r="R5796" s="178" t="s">
        <v>422</v>
      </c>
      <c r="S5796" s="181"/>
    </row>
    <row r="5797" spans="1:19">
      <c r="A5797" s="180" t="s">
        <v>8481</v>
      </c>
      <c r="B5797" s="181" t="str">
        <f>IFERROR(VLOOKUP(Proc[[#This Row],[App]],Table2[],3,0),"open")</f>
        <v>open</v>
      </c>
      <c r="C5797" s="182" t="s">
        <v>375</v>
      </c>
      <c r="D5797" t="s">
        <v>8172</v>
      </c>
      <c r="E5797" t="s">
        <v>8479</v>
      </c>
      <c r="F5797" s="183" t="str">
        <f>VLOOKUP(Proc[[#This Row],[Obj]],Sheet5!A:B,2,0)</f>
        <v>O000000005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0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1" t="s">
        <v>6434</v>
      </c>
      <c r="M5797" s="178">
        <v>46057</v>
      </c>
      <c r="N5797" s="178"/>
      <c r="O5797" s="178"/>
      <c r="P5797" s="178" t="str">
        <f ca="1">IF(Proc[[#This Row],[DaysAgeing]]&gt;5,"yep","on track")</f>
        <v>on track</v>
      </c>
      <c r="Q5797" s="3">
        <f ca="1">IF(Proc[[#This Row],[DateClosed]]="",ABS(NETWORKDAYS(Proc[[#This Row],[DateOpened]],TODAY()))-1,ABS(NETWORKDAYS(Proc[[#This Row],[DateOpened]],Proc[[#This Row],[DateClosed]]))-1)</f>
        <v>1</v>
      </c>
      <c r="R5797" s="178" t="s">
        <v>422</v>
      </c>
      <c r="S5797" s="181"/>
    </row>
    <row r="5798" spans="1:19">
      <c r="A5798" s="180" t="s">
        <v>8481</v>
      </c>
      <c r="B5798" s="181" t="str">
        <f>IFERROR(VLOOKUP(Proc[[#This Row],[App]],Table2[],3,0),"open")</f>
        <v>open</v>
      </c>
      <c r="C5798" s="182" t="s">
        <v>375</v>
      </c>
      <c r="D5798" t="s">
        <v>8173</v>
      </c>
      <c r="E5798" t="s">
        <v>8479</v>
      </c>
      <c r="F5798" s="183" t="str">
        <f>VLOOKUP(Proc[[#This Row],[Obj]],Sheet5!A:B,2,0)</f>
        <v>O000000005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0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1" t="s">
        <v>6434</v>
      </c>
      <c r="M5798" s="178">
        <v>46057</v>
      </c>
      <c r="N5798" s="178"/>
      <c r="O5798" s="178"/>
      <c r="P5798" s="178" t="str">
        <f ca="1">IF(Proc[[#This Row],[DaysAgeing]]&gt;5,"yep","on track")</f>
        <v>on track</v>
      </c>
      <c r="Q5798" s="3">
        <f ca="1">IF(Proc[[#This Row],[DateClosed]]="",ABS(NETWORKDAYS(Proc[[#This Row],[DateOpened]],TODAY()))-1,ABS(NETWORKDAYS(Proc[[#This Row],[DateOpened]],Proc[[#This Row],[DateClosed]]))-1)</f>
        <v>1</v>
      </c>
      <c r="R5798" s="178" t="s">
        <v>422</v>
      </c>
      <c r="S5798" s="181"/>
    </row>
    <row r="5799" spans="1:19">
      <c r="A5799" s="180" t="s">
        <v>8481</v>
      </c>
      <c r="B5799" s="181" t="str">
        <f>IFERROR(VLOOKUP(Proc[[#This Row],[App]],Table2[],3,0),"open")</f>
        <v>open</v>
      </c>
      <c r="C5799" s="182" t="s">
        <v>375</v>
      </c>
      <c r="D5799" t="s">
        <v>8174</v>
      </c>
      <c r="E5799" t="s">
        <v>8479</v>
      </c>
      <c r="F5799" s="183" t="str">
        <f>VLOOKUP(Proc[[#This Row],[Obj]],Sheet5!A:B,2,0)</f>
        <v>O000000005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0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1" t="s">
        <v>6434</v>
      </c>
      <c r="M5799" s="178">
        <v>46057</v>
      </c>
      <c r="N5799" s="178"/>
      <c r="O5799" s="178"/>
      <c r="P5799" s="178" t="str">
        <f ca="1">IF(Proc[[#This Row],[DaysAgeing]]&gt;5,"yep","on track")</f>
        <v>on track</v>
      </c>
      <c r="Q5799" s="3">
        <f ca="1">IF(Proc[[#This Row],[DateClosed]]="",ABS(NETWORKDAYS(Proc[[#This Row],[DateOpened]],TODAY()))-1,ABS(NETWORKDAYS(Proc[[#This Row],[DateOpened]],Proc[[#This Row],[DateClosed]]))-1)</f>
        <v>1</v>
      </c>
      <c r="R5799" s="178" t="s">
        <v>422</v>
      </c>
      <c r="S5799" s="181"/>
    </row>
    <row r="5800" spans="1:19">
      <c r="A5800" s="180" t="s">
        <v>8481</v>
      </c>
      <c r="B5800" s="181" t="str">
        <f>IFERROR(VLOOKUP(Proc[[#This Row],[App]],Table2[],3,0),"open")</f>
        <v>open</v>
      </c>
      <c r="C5800" s="182" t="s">
        <v>375</v>
      </c>
      <c r="D5800" t="s">
        <v>8175</v>
      </c>
      <c r="E5800" t="s">
        <v>8479</v>
      </c>
      <c r="F5800" s="183" t="str">
        <f>VLOOKUP(Proc[[#This Row],[Obj]],Sheet5!A:B,2,0)</f>
        <v>O000000005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0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1" t="s">
        <v>6434</v>
      </c>
      <c r="M5800" s="178">
        <v>46057</v>
      </c>
      <c r="N5800" s="178"/>
      <c r="O5800" s="178"/>
      <c r="P5800" s="178" t="str">
        <f ca="1">IF(Proc[[#This Row],[DaysAgeing]]&gt;5,"yep","on track")</f>
        <v>on track</v>
      </c>
      <c r="Q5800" s="3">
        <f ca="1">IF(Proc[[#This Row],[DateClosed]]="",ABS(NETWORKDAYS(Proc[[#This Row],[DateOpened]],TODAY()))-1,ABS(NETWORKDAYS(Proc[[#This Row],[DateOpened]],Proc[[#This Row],[DateClosed]]))-1)</f>
        <v>1</v>
      </c>
      <c r="R5800" s="178" t="s">
        <v>422</v>
      </c>
      <c r="S5800" s="181"/>
    </row>
    <row r="5801" spans="1:19">
      <c r="A5801" s="180" t="s">
        <v>8481</v>
      </c>
      <c r="B5801" s="181" t="str">
        <f>IFERROR(VLOOKUP(Proc[[#This Row],[App]],Table2[],3,0),"open")</f>
        <v>open</v>
      </c>
      <c r="C5801" s="182" t="s">
        <v>375</v>
      </c>
      <c r="D5801" t="s">
        <v>8176</v>
      </c>
      <c r="E5801" t="s">
        <v>8479</v>
      </c>
      <c r="F5801" s="183" t="str">
        <f>VLOOKUP(Proc[[#This Row],[Obj]],Sheet5!A:B,2,0)</f>
        <v>O000000005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0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1" t="s">
        <v>6434</v>
      </c>
      <c r="M5801" s="178">
        <v>46057</v>
      </c>
      <c r="N5801" s="178"/>
      <c r="O5801" s="178"/>
      <c r="P5801" s="178" t="str">
        <f ca="1">IF(Proc[[#This Row],[DaysAgeing]]&gt;5,"yep","on track")</f>
        <v>on track</v>
      </c>
      <c r="Q5801" s="3">
        <f ca="1">IF(Proc[[#This Row],[DateClosed]]="",ABS(NETWORKDAYS(Proc[[#This Row],[DateOpened]],TODAY()))-1,ABS(NETWORKDAYS(Proc[[#This Row],[DateOpened]],Proc[[#This Row],[DateClosed]]))-1)</f>
        <v>1</v>
      </c>
      <c r="R5801" s="178" t="s">
        <v>422</v>
      </c>
      <c r="S5801" s="181"/>
    </row>
    <row r="5802" spans="1:19">
      <c r="A5802" s="180" t="s">
        <v>8481</v>
      </c>
      <c r="B5802" s="181" t="str">
        <f>IFERROR(VLOOKUP(Proc[[#This Row],[App]],Table2[],3,0),"open")</f>
        <v>open</v>
      </c>
      <c r="C5802" s="180" t="s">
        <v>370</v>
      </c>
      <c r="D5802" t="s">
        <v>8177</v>
      </c>
      <c r="E5802" t="s">
        <v>8479</v>
      </c>
      <c r="F5802" s="183" t="s">
        <v>2681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0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1" t="s">
        <v>6434</v>
      </c>
      <c r="M5802" s="178">
        <v>46057</v>
      </c>
      <c r="N5802" s="178"/>
      <c r="O5802" s="178"/>
      <c r="P5802" s="178" t="str">
        <f ca="1">IF(Proc[[#This Row],[DaysAgeing]]&gt;5,"yep","on track")</f>
        <v>on track</v>
      </c>
      <c r="Q5802" s="3">
        <f ca="1">IF(Proc[[#This Row],[DateClosed]]="",ABS(NETWORKDAYS(Proc[[#This Row],[DateOpened]],TODAY()))-1,ABS(NETWORKDAYS(Proc[[#This Row],[DateOpened]],Proc[[#This Row],[DateClosed]]))-1)</f>
        <v>1</v>
      </c>
      <c r="R5802" s="178" t="s">
        <v>422</v>
      </c>
      <c r="S5802" s="181"/>
    </row>
    <row r="5803" spans="1:19">
      <c r="A5803" s="180" t="s">
        <v>8481</v>
      </c>
      <c r="B5803" s="181" t="str">
        <f>IFERROR(VLOOKUP(Proc[[#This Row],[App]],Table2[],3,0),"open")</f>
        <v>open</v>
      </c>
      <c r="C5803" s="182" t="s">
        <v>375</v>
      </c>
      <c r="D5803" t="s">
        <v>8178</v>
      </c>
      <c r="E5803" t="s">
        <v>8480</v>
      </c>
      <c r="F5803" s="183" t="str">
        <f>VLOOKUP(Proc[[#This Row],[Obj]],Sheet5!A:B,2,0)</f>
        <v>O000000010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0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1" t="s">
        <v>6434</v>
      </c>
      <c r="M5803" s="178">
        <v>46057</v>
      </c>
      <c r="N5803" s="178"/>
      <c r="O5803" s="178"/>
      <c r="P5803" s="178" t="str">
        <f ca="1">IF(Proc[[#This Row],[DaysAgeing]]&gt;5,"yep","on track")</f>
        <v>on track</v>
      </c>
      <c r="Q5803" s="3">
        <f ca="1">IF(Proc[[#This Row],[DateClosed]]="",ABS(NETWORKDAYS(Proc[[#This Row],[DateOpened]],TODAY()))-1,ABS(NETWORKDAYS(Proc[[#This Row],[DateOpened]],Proc[[#This Row],[DateClosed]]))-1)</f>
        <v>1</v>
      </c>
      <c r="R5803" s="178" t="s">
        <v>422</v>
      </c>
      <c r="S5803" s="181"/>
    </row>
    <row r="5804" spans="1:19">
      <c r="A5804" s="180" t="s">
        <v>8481</v>
      </c>
      <c r="B5804" s="181" t="str">
        <f>IFERROR(VLOOKUP(Proc[[#This Row],[App]],Table2[],3,0),"open")</f>
        <v>open</v>
      </c>
      <c r="C5804" s="182" t="s">
        <v>375</v>
      </c>
      <c r="D5804" t="s">
        <v>8179</v>
      </c>
      <c r="E5804" t="s">
        <v>8480</v>
      </c>
      <c r="F5804" s="183" t="str">
        <f>VLOOKUP(Proc[[#This Row],[Obj]],Sheet5!A:B,2,0)</f>
        <v>O000000010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0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1" t="s">
        <v>6434</v>
      </c>
      <c r="M5804" s="178">
        <v>46057</v>
      </c>
      <c r="N5804" s="178"/>
      <c r="O5804" s="178"/>
      <c r="P5804" s="178" t="str">
        <f ca="1">IF(Proc[[#This Row],[DaysAgeing]]&gt;5,"yep","on track")</f>
        <v>on track</v>
      </c>
      <c r="Q5804" s="3">
        <f ca="1">IF(Proc[[#This Row],[DateClosed]]="",ABS(NETWORKDAYS(Proc[[#This Row],[DateOpened]],TODAY()))-1,ABS(NETWORKDAYS(Proc[[#This Row],[DateOpened]],Proc[[#This Row],[DateClosed]]))-1)</f>
        <v>1</v>
      </c>
      <c r="R5804" s="178" t="s">
        <v>422</v>
      </c>
      <c r="S5804" s="181"/>
    </row>
    <row r="5805" spans="1:19">
      <c r="A5805" s="180" t="s">
        <v>8481</v>
      </c>
      <c r="B5805" s="181" t="str">
        <f>IFERROR(VLOOKUP(Proc[[#This Row],[App]],Table2[],3,0),"open")</f>
        <v>open</v>
      </c>
      <c r="C5805" s="182" t="s">
        <v>375</v>
      </c>
      <c r="D5805" t="s">
        <v>8180</v>
      </c>
      <c r="E5805" t="s">
        <v>8480</v>
      </c>
      <c r="F5805" s="183" t="str">
        <f>VLOOKUP(Proc[[#This Row],[Obj]],Sheet5!A:B,2,0)</f>
        <v>O000000010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0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1" t="s">
        <v>6434</v>
      </c>
      <c r="M5805" s="178">
        <v>46057</v>
      </c>
      <c r="N5805" s="178"/>
      <c r="O5805" s="178"/>
      <c r="P5805" s="178" t="str">
        <f ca="1">IF(Proc[[#This Row],[DaysAgeing]]&gt;5,"yep","on track")</f>
        <v>on track</v>
      </c>
      <c r="Q5805" s="3">
        <f ca="1">IF(Proc[[#This Row],[DateClosed]]="",ABS(NETWORKDAYS(Proc[[#This Row],[DateOpened]],TODAY()))-1,ABS(NETWORKDAYS(Proc[[#This Row],[DateOpened]],Proc[[#This Row],[DateClosed]]))-1)</f>
        <v>1</v>
      </c>
      <c r="R5805" s="178" t="s">
        <v>422</v>
      </c>
      <c r="S5805" s="181"/>
    </row>
    <row r="5806" spans="1:19">
      <c r="A5806" s="180" t="s">
        <v>8481</v>
      </c>
      <c r="B5806" s="181" t="str">
        <f>IFERROR(VLOOKUP(Proc[[#This Row],[App]],Table2[],3,0),"open")</f>
        <v>open</v>
      </c>
      <c r="C5806" s="182" t="s">
        <v>375</v>
      </c>
      <c r="D5806" t="s">
        <v>8181</v>
      </c>
      <c r="E5806" t="s">
        <v>8480</v>
      </c>
      <c r="F5806" s="183" t="str">
        <f>VLOOKUP(Proc[[#This Row],[Obj]],Sheet5!A:B,2,0)</f>
        <v>O000000010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0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1" t="s">
        <v>6434</v>
      </c>
      <c r="M5806" s="178">
        <v>46057</v>
      </c>
      <c r="N5806" s="178"/>
      <c r="O5806" s="178"/>
      <c r="P5806" s="178" t="str">
        <f ca="1">IF(Proc[[#This Row],[DaysAgeing]]&gt;5,"yep","on track")</f>
        <v>on track</v>
      </c>
      <c r="Q5806" s="3">
        <f ca="1">IF(Proc[[#This Row],[DateClosed]]="",ABS(NETWORKDAYS(Proc[[#This Row],[DateOpened]],TODAY()))-1,ABS(NETWORKDAYS(Proc[[#This Row],[DateOpened]],Proc[[#This Row],[DateClosed]]))-1)</f>
        <v>1</v>
      </c>
      <c r="R5806" s="178" t="s">
        <v>422</v>
      </c>
      <c r="S5806" s="181"/>
    </row>
    <row r="5807" spans="1:19">
      <c r="A5807" s="180" t="s">
        <v>8481</v>
      </c>
      <c r="B5807" s="181" t="str">
        <f>IFERROR(VLOOKUP(Proc[[#This Row],[App]],Table2[],3,0),"open")</f>
        <v>open</v>
      </c>
      <c r="C5807" s="182" t="s">
        <v>375</v>
      </c>
      <c r="D5807" t="s">
        <v>8182</v>
      </c>
      <c r="E5807" t="s">
        <v>8480</v>
      </c>
      <c r="F5807" s="183" t="str">
        <f>VLOOKUP(Proc[[#This Row],[Obj]],Sheet5!A:B,2,0)</f>
        <v>O000000010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0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1" t="s">
        <v>6434</v>
      </c>
      <c r="M5807" s="178">
        <v>46057</v>
      </c>
      <c r="N5807" s="178"/>
      <c r="O5807" s="178"/>
      <c r="P5807" s="178" t="str">
        <f ca="1">IF(Proc[[#This Row],[DaysAgeing]]&gt;5,"yep","on track")</f>
        <v>on track</v>
      </c>
      <c r="Q5807" s="3">
        <f ca="1">IF(Proc[[#This Row],[DateClosed]]="",ABS(NETWORKDAYS(Proc[[#This Row],[DateOpened]],TODAY()))-1,ABS(NETWORKDAYS(Proc[[#This Row],[DateOpened]],Proc[[#This Row],[DateClosed]]))-1)</f>
        <v>1</v>
      </c>
      <c r="R5807" s="178" t="s">
        <v>422</v>
      </c>
      <c r="S5807" s="181"/>
    </row>
    <row r="5808" spans="1:19">
      <c r="A5808" s="180" t="s">
        <v>8481</v>
      </c>
      <c r="B5808" s="181" t="str">
        <f>IFERROR(VLOOKUP(Proc[[#This Row],[App]],Table2[],3,0),"open")</f>
        <v>open</v>
      </c>
      <c r="C5808" s="182" t="s">
        <v>375</v>
      </c>
      <c r="D5808" t="s">
        <v>8183</v>
      </c>
      <c r="E5808" t="s">
        <v>8480</v>
      </c>
      <c r="F5808" s="183" t="str">
        <f>VLOOKUP(Proc[[#This Row],[Obj]],Sheet5!A:B,2,0)</f>
        <v>O000000010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0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1" t="s">
        <v>6434</v>
      </c>
      <c r="M5808" s="178">
        <v>46057</v>
      </c>
      <c r="N5808" s="178"/>
      <c r="O5808" s="178"/>
      <c r="P5808" s="178" t="str">
        <f ca="1">IF(Proc[[#This Row],[DaysAgeing]]&gt;5,"yep","on track")</f>
        <v>on track</v>
      </c>
      <c r="Q5808" s="3">
        <f ca="1">IF(Proc[[#This Row],[DateClosed]]="",ABS(NETWORKDAYS(Proc[[#This Row],[DateOpened]],TODAY()))-1,ABS(NETWORKDAYS(Proc[[#This Row],[DateOpened]],Proc[[#This Row],[DateClosed]]))-1)</f>
        <v>1</v>
      </c>
      <c r="R5808" s="178" t="s">
        <v>422</v>
      </c>
      <c r="S5808" s="181"/>
    </row>
    <row r="5809" spans="1:19">
      <c r="A5809" s="180" t="s">
        <v>8481</v>
      </c>
      <c r="B5809" s="181" t="str">
        <f>IFERROR(VLOOKUP(Proc[[#This Row],[App]],Table2[],3,0),"open")</f>
        <v>open</v>
      </c>
      <c r="C5809" s="182" t="s">
        <v>375</v>
      </c>
      <c r="D5809" t="s">
        <v>8184</v>
      </c>
      <c r="E5809" t="s">
        <v>8480</v>
      </c>
      <c r="F5809" s="183" t="str">
        <f>VLOOKUP(Proc[[#This Row],[Obj]],Sheet5!A:B,2,0)</f>
        <v>O000000010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0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1" t="s">
        <v>6434</v>
      </c>
      <c r="M5809" s="178">
        <v>46057</v>
      </c>
      <c r="N5809" s="178"/>
      <c r="O5809" s="178"/>
      <c r="P5809" s="178" t="str">
        <f ca="1">IF(Proc[[#This Row],[DaysAgeing]]&gt;5,"yep","on track")</f>
        <v>on track</v>
      </c>
      <c r="Q5809" s="3">
        <f ca="1">IF(Proc[[#This Row],[DateClosed]]="",ABS(NETWORKDAYS(Proc[[#This Row],[DateOpened]],TODAY()))-1,ABS(NETWORKDAYS(Proc[[#This Row],[DateOpened]],Proc[[#This Row],[DateClosed]]))-1)</f>
        <v>1</v>
      </c>
      <c r="R5809" s="178" t="s">
        <v>422</v>
      </c>
      <c r="S5809" s="181"/>
    </row>
    <row r="5810" spans="1:19">
      <c r="A5810" s="180" t="s">
        <v>8481</v>
      </c>
      <c r="B5810" s="181" t="str">
        <f>IFERROR(VLOOKUP(Proc[[#This Row],[App]],Table2[],3,0),"open")</f>
        <v>open</v>
      </c>
      <c r="C5810" s="182" t="s">
        <v>370</v>
      </c>
      <c r="D5810" t="s">
        <v>8185</v>
      </c>
      <c r="E5810" t="s">
        <v>8480</v>
      </c>
      <c r="F5810" s="183" t="s">
        <v>8713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0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1" t="s">
        <v>6434</v>
      </c>
      <c r="M5810" s="178">
        <v>46057</v>
      </c>
      <c r="N5810" s="178"/>
      <c r="O5810" s="178"/>
      <c r="P5810" s="178" t="str">
        <f ca="1">IF(Proc[[#This Row],[DaysAgeing]]&gt;5,"yep","on track")</f>
        <v>on track</v>
      </c>
      <c r="Q5810" s="3">
        <f ca="1">IF(Proc[[#This Row],[DateClosed]]="",ABS(NETWORKDAYS(Proc[[#This Row],[DateOpened]],TODAY()))-1,ABS(NETWORKDAYS(Proc[[#This Row],[DateOpened]],Proc[[#This Row],[DateClosed]]))-1)</f>
        <v>1</v>
      </c>
      <c r="R5810" s="178" t="s">
        <v>422</v>
      </c>
      <c r="S5810" s="181"/>
    </row>
    <row r="5811" spans="1:19">
      <c r="A5811" s="180" t="s">
        <v>8481</v>
      </c>
      <c r="B5811" s="181" t="str">
        <f>IFERROR(VLOOKUP(Proc[[#This Row],[App]],Table2[],3,0),"open")</f>
        <v>open</v>
      </c>
      <c r="C5811" s="182" t="s">
        <v>370</v>
      </c>
      <c r="D5811" t="s">
        <v>8186</v>
      </c>
      <c r="E5811" t="s">
        <v>8480</v>
      </c>
      <c r="F5811" s="183" t="s">
        <v>8713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0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1" t="s">
        <v>6434</v>
      </c>
      <c r="M5811" s="178">
        <v>46057</v>
      </c>
      <c r="N5811" s="178"/>
      <c r="O5811" s="178"/>
      <c r="P5811" s="178" t="str">
        <f ca="1">IF(Proc[[#This Row],[DaysAgeing]]&gt;5,"yep","on track")</f>
        <v>on track</v>
      </c>
      <c r="Q5811" s="3">
        <f ca="1">IF(Proc[[#This Row],[DateClosed]]="",ABS(NETWORKDAYS(Proc[[#This Row],[DateOpened]],TODAY()))-1,ABS(NETWORKDAYS(Proc[[#This Row],[DateOpened]],Proc[[#This Row],[DateClosed]]))-1)</f>
        <v>1</v>
      </c>
      <c r="R5811" s="178" t="s">
        <v>422</v>
      </c>
      <c r="S5811" s="181"/>
    </row>
    <row r="5812" spans="1:19">
      <c r="A5812" s="180" t="s">
        <v>8481</v>
      </c>
      <c r="B5812" s="181" t="str">
        <f>IFERROR(VLOOKUP(Proc[[#This Row],[App]],Table2[],3,0),"open")</f>
        <v>open</v>
      </c>
      <c r="C5812" s="182" t="s">
        <v>370</v>
      </c>
      <c r="D5812" t="s">
        <v>8187</v>
      </c>
      <c r="E5812" t="s">
        <v>8480</v>
      </c>
      <c r="F5812" s="183" t="s">
        <v>8713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0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1" t="s">
        <v>6434</v>
      </c>
      <c r="M5812" s="178">
        <v>46057</v>
      </c>
      <c r="N5812" s="178"/>
      <c r="O5812" s="178"/>
      <c r="P5812" s="178" t="str">
        <f ca="1">IF(Proc[[#This Row],[DaysAgeing]]&gt;5,"yep","on track")</f>
        <v>on track</v>
      </c>
      <c r="Q5812" s="3">
        <f ca="1">IF(Proc[[#This Row],[DateClosed]]="",ABS(NETWORKDAYS(Proc[[#This Row],[DateOpened]],TODAY()))-1,ABS(NETWORKDAYS(Proc[[#This Row],[DateOpened]],Proc[[#This Row],[DateClosed]]))-1)</f>
        <v>1</v>
      </c>
      <c r="R5812" s="178" t="s">
        <v>422</v>
      </c>
      <c r="S5812" s="181"/>
    </row>
    <row r="5813" spans="1:19">
      <c r="A5813" s="180" t="s">
        <v>8481</v>
      </c>
      <c r="B5813" s="181" t="str">
        <f>IFERROR(VLOOKUP(Proc[[#This Row],[App]],Table2[],3,0),"open")</f>
        <v>open</v>
      </c>
      <c r="C5813" s="182" t="s">
        <v>370</v>
      </c>
      <c r="D5813" t="s">
        <v>8188</v>
      </c>
      <c r="E5813" t="s">
        <v>8480</v>
      </c>
      <c r="F5813" s="183" t="s">
        <v>8713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0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1" t="s">
        <v>6434</v>
      </c>
      <c r="M5813" s="178">
        <v>46057</v>
      </c>
      <c r="N5813" s="178"/>
      <c r="O5813" s="178"/>
      <c r="P5813" s="178" t="str">
        <f ca="1">IF(Proc[[#This Row],[DaysAgeing]]&gt;5,"yep","on track")</f>
        <v>on track</v>
      </c>
      <c r="Q5813" s="3">
        <f ca="1">IF(Proc[[#This Row],[DateClosed]]="",ABS(NETWORKDAYS(Proc[[#This Row],[DateOpened]],TODAY()))-1,ABS(NETWORKDAYS(Proc[[#This Row],[DateOpened]],Proc[[#This Row],[DateClosed]]))-1)</f>
        <v>1</v>
      </c>
      <c r="R5813" s="178" t="s">
        <v>422</v>
      </c>
      <c r="S5813" s="181"/>
    </row>
    <row r="5814" spans="1:19">
      <c r="A5814" s="180" t="s">
        <v>8481</v>
      </c>
      <c r="B5814" s="181" t="str">
        <f>IFERROR(VLOOKUP(Proc[[#This Row],[App]],Table2[],3,0),"open")</f>
        <v>open</v>
      </c>
      <c r="C5814" s="182" t="s">
        <v>370</v>
      </c>
      <c r="D5814" t="s">
        <v>8189</v>
      </c>
      <c r="E5814" t="s">
        <v>8480</v>
      </c>
      <c r="F5814" s="183" t="s">
        <v>8713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0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1" t="s">
        <v>6434</v>
      </c>
      <c r="M5814" s="178">
        <v>46057</v>
      </c>
      <c r="N5814" s="178"/>
      <c r="O5814" s="178"/>
      <c r="P5814" s="178" t="str">
        <f ca="1">IF(Proc[[#This Row],[DaysAgeing]]&gt;5,"yep","on track")</f>
        <v>on track</v>
      </c>
      <c r="Q5814" s="3">
        <f ca="1">IF(Proc[[#This Row],[DateClosed]]="",ABS(NETWORKDAYS(Proc[[#This Row],[DateOpened]],TODAY()))-1,ABS(NETWORKDAYS(Proc[[#This Row],[DateOpened]],Proc[[#This Row],[DateClosed]]))-1)</f>
        <v>1</v>
      </c>
      <c r="R5814" s="178" t="s">
        <v>422</v>
      </c>
      <c r="S5814" s="181"/>
    </row>
    <row r="5815" spans="1:19">
      <c r="A5815" s="180" t="s">
        <v>8481</v>
      </c>
      <c r="B5815" s="181" t="str">
        <f>IFERROR(VLOOKUP(Proc[[#This Row],[App]],Table2[],3,0),"open")</f>
        <v>open</v>
      </c>
      <c r="C5815" s="182" t="s">
        <v>370</v>
      </c>
      <c r="D5815" t="s">
        <v>8190</v>
      </c>
      <c r="E5815" t="s">
        <v>8480</v>
      </c>
      <c r="F5815" s="183" t="s">
        <v>8713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0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1" t="s">
        <v>6434</v>
      </c>
      <c r="M5815" s="178">
        <v>46057</v>
      </c>
      <c r="N5815" s="178"/>
      <c r="O5815" s="178"/>
      <c r="P5815" s="178" t="str">
        <f ca="1">IF(Proc[[#This Row],[DaysAgeing]]&gt;5,"yep","on track")</f>
        <v>on track</v>
      </c>
      <c r="Q5815" s="3">
        <f ca="1">IF(Proc[[#This Row],[DateClosed]]="",ABS(NETWORKDAYS(Proc[[#This Row],[DateOpened]],TODAY()))-1,ABS(NETWORKDAYS(Proc[[#This Row],[DateOpened]],Proc[[#This Row],[DateClosed]]))-1)</f>
        <v>1</v>
      </c>
      <c r="R5815" s="178" t="s">
        <v>422</v>
      </c>
      <c r="S5815" s="181"/>
    </row>
    <row r="5816" spans="1:19">
      <c r="A5816" s="180" t="s">
        <v>8481</v>
      </c>
      <c r="B5816" s="181" t="str">
        <f>IFERROR(VLOOKUP(Proc[[#This Row],[App]],Table2[],3,0),"open")</f>
        <v>open</v>
      </c>
      <c r="C5816" s="182" t="s">
        <v>370</v>
      </c>
      <c r="D5816" t="s">
        <v>8191</v>
      </c>
      <c r="E5816" t="s">
        <v>8480</v>
      </c>
      <c r="F5816" s="183" t="s">
        <v>8713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0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1" t="s">
        <v>6434</v>
      </c>
      <c r="M5816" s="178">
        <v>46057</v>
      </c>
      <c r="N5816" s="178"/>
      <c r="O5816" s="178"/>
      <c r="P5816" s="178" t="str">
        <f ca="1">IF(Proc[[#This Row],[DaysAgeing]]&gt;5,"yep","on track")</f>
        <v>on track</v>
      </c>
      <c r="Q5816" s="3">
        <f ca="1">IF(Proc[[#This Row],[DateClosed]]="",ABS(NETWORKDAYS(Proc[[#This Row],[DateOpened]],TODAY()))-1,ABS(NETWORKDAYS(Proc[[#This Row],[DateOpened]],Proc[[#This Row],[DateClosed]]))-1)</f>
        <v>1</v>
      </c>
      <c r="R5816" s="178" t="s">
        <v>422</v>
      </c>
      <c r="S5816" s="181"/>
    </row>
    <row r="5817" spans="1:19">
      <c r="A5817" s="180" t="s">
        <v>8481</v>
      </c>
      <c r="B5817" s="181" t="str">
        <f>IFERROR(VLOOKUP(Proc[[#This Row],[App]],Table2[],3,0),"open")</f>
        <v>open</v>
      </c>
      <c r="C5817" s="182" t="s">
        <v>370</v>
      </c>
      <c r="D5817" t="s">
        <v>8192</v>
      </c>
      <c r="E5817" t="s">
        <v>8480</v>
      </c>
      <c r="F5817" s="183" t="s">
        <v>8713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0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1" t="s">
        <v>6434</v>
      </c>
      <c r="M5817" s="178">
        <v>46057</v>
      </c>
      <c r="N5817" s="178"/>
      <c r="O5817" s="178"/>
      <c r="P5817" s="178" t="str">
        <f ca="1">IF(Proc[[#This Row],[DaysAgeing]]&gt;5,"yep","on track")</f>
        <v>on track</v>
      </c>
      <c r="Q5817" s="3">
        <f ca="1">IF(Proc[[#This Row],[DateClosed]]="",ABS(NETWORKDAYS(Proc[[#This Row],[DateOpened]],TODAY()))-1,ABS(NETWORKDAYS(Proc[[#This Row],[DateOpened]],Proc[[#This Row],[DateClosed]]))-1)</f>
        <v>1</v>
      </c>
      <c r="R5817" s="178" t="s">
        <v>422</v>
      </c>
      <c r="S5817" s="181"/>
    </row>
    <row r="5818" spans="1:19">
      <c r="A5818" s="180" t="s">
        <v>8481</v>
      </c>
      <c r="B5818" s="181" t="str">
        <f>IFERROR(VLOOKUP(Proc[[#This Row],[App]],Table2[],3,0),"open")</f>
        <v>open</v>
      </c>
      <c r="C5818" s="182" t="s">
        <v>370</v>
      </c>
      <c r="D5818" t="s">
        <v>8193</v>
      </c>
      <c r="E5818" t="s">
        <v>8480</v>
      </c>
      <c r="F5818" s="183" t="s">
        <v>8713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0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1" t="s">
        <v>6434</v>
      </c>
      <c r="M5818" s="178">
        <v>46057</v>
      </c>
      <c r="N5818" s="178"/>
      <c r="O5818" s="178"/>
      <c r="P5818" s="178" t="str">
        <f ca="1">IF(Proc[[#This Row],[DaysAgeing]]&gt;5,"yep","on track")</f>
        <v>on track</v>
      </c>
      <c r="Q5818" s="3">
        <f ca="1">IF(Proc[[#This Row],[DateClosed]]="",ABS(NETWORKDAYS(Proc[[#This Row],[DateOpened]],TODAY()))-1,ABS(NETWORKDAYS(Proc[[#This Row],[DateOpened]],Proc[[#This Row],[DateClosed]]))-1)</f>
        <v>1</v>
      </c>
      <c r="R5818" s="178" t="s">
        <v>422</v>
      </c>
      <c r="S5818" s="181"/>
    </row>
    <row r="5819" spans="1:19">
      <c r="A5819" s="180" t="s">
        <v>8481</v>
      </c>
      <c r="B5819" s="181" t="str">
        <f>IFERROR(VLOOKUP(Proc[[#This Row],[App]],Table2[],3,0),"open")</f>
        <v>open</v>
      </c>
      <c r="C5819" s="182" t="s">
        <v>370</v>
      </c>
      <c r="D5819" t="s">
        <v>8194</v>
      </c>
      <c r="E5819" t="s">
        <v>8480</v>
      </c>
      <c r="F5819" s="183" t="s">
        <v>8713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0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1" t="s">
        <v>6434</v>
      </c>
      <c r="M5819" s="178">
        <v>46057</v>
      </c>
      <c r="N5819" s="178"/>
      <c r="O5819" s="178"/>
      <c r="P5819" s="178" t="str">
        <f ca="1">IF(Proc[[#This Row],[DaysAgeing]]&gt;5,"yep","on track")</f>
        <v>on track</v>
      </c>
      <c r="Q5819" s="3">
        <f ca="1">IF(Proc[[#This Row],[DateClosed]]="",ABS(NETWORKDAYS(Proc[[#This Row],[DateOpened]],TODAY()))-1,ABS(NETWORKDAYS(Proc[[#This Row],[DateOpened]],Proc[[#This Row],[DateClosed]]))-1)</f>
        <v>1</v>
      </c>
      <c r="R5819" s="178" t="s">
        <v>422</v>
      </c>
      <c r="S5819" s="181"/>
    </row>
    <row r="5820" spans="1:19">
      <c r="A5820" s="180" t="s">
        <v>8481</v>
      </c>
      <c r="B5820" s="181" t="str">
        <f>IFERROR(VLOOKUP(Proc[[#This Row],[App]],Table2[],3,0),"open")</f>
        <v>open</v>
      </c>
      <c r="C5820" s="182" t="s">
        <v>370</v>
      </c>
      <c r="D5820" t="s">
        <v>8195</v>
      </c>
      <c r="E5820" t="s">
        <v>8480</v>
      </c>
      <c r="F5820" s="183" t="s">
        <v>8713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0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1" t="s">
        <v>6434</v>
      </c>
      <c r="M5820" s="178">
        <v>46057</v>
      </c>
      <c r="N5820" s="178"/>
      <c r="O5820" s="178"/>
      <c r="P5820" s="178" t="str">
        <f ca="1">IF(Proc[[#This Row],[DaysAgeing]]&gt;5,"yep","on track")</f>
        <v>on track</v>
      </c>
      <c r="Q5820" s="3">
        <f ca="1">IF(Proc[[#This Row],[DateClosed]]="",ABS(NETWORKDAYS(Proc[[#This Row],[DateOpened]],TODAY()))-1,ABS(NETWORKDAYS(Proc[[#This Row],[DateOpened]],Proc[[#This Row],[DateClosed]]))-1)</f>
        <v>1</v>
      </c>
      <c r="R5820" s="178" t="s">
        <v>422</v>
      </c>
      <c r="S5820" s="181"/>
    </row>
    <row r="5821" spans="1:19">
      <c r="A5821" s="180" t="s">
        <v>8481</v>
      </c>
      <c r="B5821" s="181" t="str">
        <f>IFERROR(VLOOKUP(Proc[[#This Row],[App]],Table2[],3,0),"open")</f>
        <v>open</v>
      </c>
      <c r="C5821" s="182" t="s">
        <v>370</v>
      </c>
      <c r="D5821" t="s">
        <v>8196</v>
      </c>
      <c r="E5821" t="s">
        <v>8480</v>
      </c>
      <c r="F5821" s="183" t="s">
        <v>8713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0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1" t="s">
        <v>6434</v>
      </c>
      <c r="M5821" s="178">
        <v>46057</v>
      </c>
      <c r="N5821" s="178"/>
      <c r="O5821" s="178"/>
      <c r="P5821" s="178" t="str">
        <f ca="1">IF(Proc[[#This Row],[DaysAgeing]]&gt;5,"yep","on track")</f>
        <v>on track</v>
      </c>
      <c r="Q5821" s="3">
        <f ca="1">IF(Proc[[#This Row],[DateClosed]]="",ABS(NETWORKDAYS(Proc[[#This Row],[DateOpened]],TODAY()))-1,ABS(NETWORKDAYS(Proc[[#This Row],[DateOpened]],Proc[[#This Row],[DateClosed]]))-1)</f>
        <v>1</v>
      </c>
      <c r="R5821" s="178" t="s">
        <v>422</v>
      </c>
      <c r="S5821" s="181"/>
    </row>
    <row r="5822" spans="1:19">
      <c r="A5822" s="180" t="s">
        <v>8481</v>
      </c>
      <c r="B5822" s="181" t="str">
        <f>IFERROR(VLOOKUP(Proc[[#This Row],[App]],Table2[],3,0),"open")</f>
        <v>open</v>
      </c>
      <c r="C5822" s="182" t="s">
        <v>370</v>
      </c>
      <c r="D5822" t="s">
        <v>8197</v>
      </c>
      <c r="E5822" t="s">
        <v>8480</v>
      </c>
      <c r="F5822" s="183" t="s">
        <v>8713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0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1" t="s">
        <v>6434</v>
      </c>
      <c r="M5822" s="178">
        <v>46057</v>
      </c>
      <c r="N5822" s="178"/>
      <c r="O5822" s="178"/>
      <c r="P5822" s="178" t="str">
        <f ca="1">IF(Proc[[#This Row],[DaysAgeing]]&gt;5,"yep","on track")</f>
        <v>on track</v>
      </c>
      <c r="Q5822" s="3">
        <f ca="1">IF(Proc[[#This Row],[DateClosed]]="",ABS(NETWORKDAYS(Proc[[#This Row],[DateOpened]],TODAY()))-1,ABS(NETWORKDAYS(Proc[[#This Row],[DateOpened]],Proc[[#This Row],[DateClosed]]))-1)</f>
        <v>1</v>
      </c>
      <c r="R5822" s="178" t="s">
        <v>422</v>
      </c>
      <c r="S5822" s="181"/>
    </row>
    <row r="5823" spans="1:19">
      <c r="A5823" s="180" t="s">
        <v>8481</v>
      </c>
      <c r="B5823" s="181" t="str">
        <f>IFERROR(VLOOKUP(Proc[[#This Row],[App]],Table2[],3,0),"open")</f>
        <v>open</v>
      </c>
      <c r="C5823" s="182" t="s">
        <v>370</v>
      </c>
      <c r="D5823" t="s">
        <v>8198</v>
      </c>
      <c r="E5823" t="s">
        <v>8480</v>
      </c>
      <c r="F5823" s="183" t="s">
        <v>8713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0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1" t="s">
        <v>6434</v>
      </c>
      <c r="M5823" s="178">
        <v>46057</v>
      </c>
      <c r="N5823" s="178"/>
      <c r="O5823" s="178"/>
      <c r="P5823" s="178" t="str">
        <f ca="1">IF(Proc[[#This Row],[DaysAgeing]]&gt;5,"yep","on track")</f>
        <v>on track</v>
      </c>
      <c r="Q5823" s="3">
        <f ca="1">IF(Proc[[#This Row],[DateClosed]]="",ABS(NETWORKDAYS(Proc[[#This Row],[DateOpened]],TODAY()))-1,ABS(NETWORKDAYS(Proc[[#This Row],[DateOpened]],Proc[[#This Row],[DateClosed]]))-1)</f>
        <v>1</v>
      </c>
      <c r="R5823" s="178" t="s">
        <v>422</v>
      </c>
      <c r="S5823" s="181"/>
    </row>
    <row r="5824" spans="1:19">
      <c r="A5824" s="180" t="s">
        <v>8481</v>
      </c>
      <c r="B5824" s="181" t="str">
        <f>IFERROR(VLOOKUP(Proc[[#This Row],[App]],Table2[],3,0),"open")</f>
        <v>open</v>
      </c>
      <c r="C5824" s="182" t="s">
        <v>370</v>
      </c>
      <c r="D5824" t="s">
        <v>8199</v>
      </c>
      <c r="E5824" t="s">
        <v>8480</v>
      </c>
      <c r="F5824" s="183" t="s">
        <v>8713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0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1" t="s">
        <v>6434</v>
      </c>
      <c r="M5824" s="178">
        <v>46057</v>
      </c>
      <c r="N5824" s="178"/>
      <c r="O5824" s="178"/>
      <c r="P5824" s="178" t="str">
        <f ca="1">IF(Proc[[#This Row],[DaysAgeing]]&gt;5,"yep","on track")</f>
        <v>on track</v>
      </c>
      <c r="Q5824" s="3">
        <f ca="1">IF(Proc[[#This Row],[DateClosed]]="",ABS(NETWORKDAYS(Proc[[#This Row],[DateOpened]],TODAY()))-1,ABS(NETWORKDAYS(Proc[[#This Row],[DateOpened]],Proc[[#This Row],[DateClosed]]))-1)</f>
        <v>1</v>
      </c>
      <c r="R5824" s="178" t="s">
        <v>422</v>
      </c>
      <c r="S5824" s="181"/>
    </row>
    <row r="5825" spans="1:19">
      <c r="A5825" s="180" t="s">
        <v>8481</v>
      </c>
      <c r="B5825" s="181" t="str">
        <f>IFERROR(VLOOKUP(Proc[[#This Row],[App]],Table2[],3,0),"open")</f>
        <v>open</v>
      </c>
      <c r="C5825" s="182" t="s">
        <v>370</v>
      </c>
      <c r="D5825" t="s">
        <v>8200</v>
      </c>
      <c r="E5825" t="s">
        <v>8480</v>
      </c>
      <c r="F5825" s="183" t="s">
        <v>8713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0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1" t="s">
        <v>6434</v>
      </c>
      <c r="M5825" s="178">
        <v>46057</v>
      </c>
      <c r="N5825" s="178"/>
      <c r="O5825" s="178"/>
      <c r="P5825" s="178" t="str">
        <f ca="1">IF(Proc[[#This Row],[DaysAgeing]]&gt;5,"yep","on track")</f>
        <v>on track</v>
      </c>
      <c r="Q5825" s="3">
        <f ca="1">IF(Proc[[#This Row],[DateClosed]]="",ABS(NETWORKDAYS(Proc[[#This Row],[DateOpened]],TODAY()))-1,ABS(NETWORKDAYS(Proc[[#This Row],[DateOpened]],Proc[[#This Row],[DateClosed]]))-1)</f>
        <v>1</v>
      </c>
      <c r="R5825" s="178" t="s">
        <v>422</v>
      </c>
      <c r="S5825" s="181"/>
    </row>
    <row r="5826" spans="1:19">
      <c r="A5826" s="180" t="s">
        <v>8481</v>
      </c>
      <c r="B5826" s="181" t="str">
        <f>IFERROR(VLOOKUP(Proc[[#This Row],[App]],Table2[],3,0),"open")</f>
        <v>open</v>
      </c>
      <c r="C5826" s="182" t="s">
        <v>370</v>
      </c>
      <c r="D5826" t="s">
        <v>8201</v>
      </c>
      <c r="E5826" t="s">
        <v>8480</v>
      </c>
      <c r="F5826" s="183" t="s">
        <v>8713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0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1" t="s">
        <v>6434</v>
      </c>
      <c r="M5826" s="178">
        <v>46057</v>
      </c>
      <c r="N5826" s="178"/>
      <c r="O5826" s="178"/>
      <c r="P5826" s="178" t="str">
        <f ca="1">IF(Proc[[#This Row],[DaysAgeing]]&gt;5,"yep","on track")</f>
        <v>on track</v>
      </c>
      <c r="Q5826" s="3">
        <f ca="1">IF(Proc[[#This Row],[DateClosed]]="",ABS(NETWORKDAYS(Proc[[#This Row],[DateOpened]],TODAY()))-1,ABS(NETWORKDAYS(Proc[[#This Row],[DateOpened]],Proc[[#This Row],[DateClosed]]))-1)</f>
        <v>1</v>
      </c>
      <c r="R5826" s="178" t="s">
        <v>422</v>
      </c>
      <c r="S5826" s="181"/>
    </row>
    <row r="5827" spans="1:19">
      <c r="A5827" s="180" t="s">
        <v>8481</v>
      </c>
      <c r="B5827" s="181" t="str">
        <f>IFERROR(VLOOKUP(Proc[[#This Row],[App]],Table2[],3,0),"open")</f>
        <v>open</v>
      </c>
      <c r="C5827" s="182" t="s">
        <v>370</v>
      </c>
      <c r="D5827" t="s">
        <v>8202</v>
      </c>
      <c r="E5827" t="s">
        <v>8480</v>
      </c>
      <c r="F5827" s="183" t="s">
        <v>8713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0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1" t="s">
        <v>6434</v>
      </c>
      <c r="M5827" s="178">
        <v>46057</v>
      </c>
      <c r="N5827" s="178"/>
      <c r="O5827" s="178"/>
      <c r="P5827" s="178" t="str">
        <f ca="1">IF(Proc[[#This Row],[DaysAgeing]]&gt;5,"yep","on track")</f>
        <v>on track</v>
      </c>
      <c r="Q5827" s="3">
        <f ca="1">IF(Proc[[#This Row],[DateClosed]]="",ABS(NETWORKDAYS(Proc[[#This Row],[DateOpened]],TODAY()))-1,ABS(NETWORKDAYS(Proc[[#This Row],[DateOpened]],Proc[[#This Row],[DateClosed]]))-1)</f>
        <v>1</v>
      </c>
      <c r="R5827" s="178" t="s">
        <v>422</v>
      </c>
      <c r="S5827" s="181"/>
    </row>
    <row r="5828" spans="1:19">
      <c r="A5828" s="180" t="s">
        <v>8481</v>
      </c>
      <c r="B5828" s="181" t="str">
        <f>IFERROR(VLOOKUP(Proc[[#This Row],[App]],Table2[],3,0),"open")</f>
        <v>open</v>
      </c>
      <c r="C5828" s="182" t="s">
        <v>370</v>
      </c>
      <c r="D5828" t="s">
        <v>8203</v>
      </c>
      <c r="E5828" t="s">
        <v>8480</v>
      </c>
      <c r="F5828" s="183" t="s">
        <v>8713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0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1" t="s">
        <v>6434</v>
      </c>
      <c r="M5828" s="178">
        <v>46057</v>
      </c>
      <c r="N5828" s="178"/>
      <c r="O5828" s="178"/>
      <c r="P5828" s="178" t="str">
        <f ca="1">IF(Proc[[#This Row],[DaysAgeing]]&gt;5,"yep","on track")</f>
        <v>on track</v>
      </c>
      <c r="Q5828" s="3">
        <f ca="1">IF(Proc[[#This Row],[DateClosed]]="",ABS(NETWORKDAYS(Proc[[#This Row],[DateOpened]],TODAY()))-1,ABS(NETWORKDAYS(Proc[[#This Row],[DateOpened]],Proc[[#This Row],[DateClosed]]))-1)</f>
        <v>1</v>
      </c>
      <c r="R5828" s="178" t="s">
        <v>422</v>
      </c>
      <c r="S5828" s="181"/>
    </row>
    <row r="5829" spans="1:19">
      <c r="A5829" s="180" t="s">
        <v>8481</v>
      </c>
      <c r="B5829" s="181" t="str">
        <f>IFERROR(VLOOKUP(Proc[[#This Row],[App]],Table2[],3,0),"open")</f>
        <v>open</v>
      </c>
      <c r="C5829" s="182" t="s">
        <v>370</v>
      </c>
      <c r="D5829" t="s">
        <v>8204</v>
      </c>
      <c r="E5829" t="s">
        <v>8480</v>
      </c>
      <c r="F5829" s="183" t="s">
        <v>8713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0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1" t="s">
        <v>6434</v>
      </c>
      <c r="M5829" s="178">
        <v>46057</v>
      </c>
      <c r="N5829" s="178"/>
      <c r="O5829" s="178"/>
      <c r="P5829" s="178" t="str">
        <f ca="1">IF(Proc[[#This Row],[DaysAgeing]]&gt;5,"yep","on track")</f>
        <v>on track</v>
      </c>
      <c r="Q5829" s="3">
        <f ca="1">IF(Proc[[#This Row],[DateClosed]]="",ABS(NETWORKDAYS(Proc[[#This Row],[DateOpened]],TODAY()))-1,ABS(NETWORKDAYS(Proc[[#This Row],[DateOpened]],Proc[[#This Row],[DateClosed]]))-1)</f>
        <v>1</v>
      </c>
      <c r="R5829" s="178" t="s">
        <v>422</v>
      </c>
      <c r="S5829" s="181"/>
    </row>
    <row r="5830" spans="1:19">
      <c r="A5830" s="180" t="s">
        <v>8481</v>
      </c>
      <c r="B5830" s="181" t="str">
        <f>IFERROR(VLOOKUP(Proc[[#This Row],[App]],Table2[],3,0),"open")</f>
        <v>open</v>
      </c>
      <c r="C5830" s="182" t="s">
        <v>370</v>
      </c>
      <c r="D5830" t="s">
        <v>8205</v>
      </c>
      <c r="E5830" t="s">
        <v>8480</v>
      </c>
      <c r="F5830" s="183" t="s">
        <v>8713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0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1" t="s">
        <v>6434</v>
      </c>
      <c r="M5830" s="178">
        <v>46057</v>
      </c>
      <c r="N5830" s="178"/>
      <c r="O5830" s="178"/>
      <c r="P5830" s="178" t="str">
        <f ca="1">IF(Proc[[#This Row],[DaysAgeing]]&gt;5,"yep","on track")</f>
        <v>on track</v>
      </c>
      <c r="Q5830" s="3">
        <f ca="1">IF(Proc[[#This Row],[DateClosed]]="",ABS(NETWORKDAYS(Proc[[#This Row],[DateOpened]],TODAY()))-1,ABS(NETWORKDAYS(Proc[[#This Row],[DateOpened]],Proc[[#This Row],[DateClosed]]))-1)</f>
        <v>1</v>
      </c>
      <c r="R5830" s="178" t="s">
        <v>422</v>
      </c>
      <c r="S5830" s="181"/>
    </row>
    <row r="5831" spans="1:19">
      <c r="A5831" s="180" t="s">
        <v>8481</v>
      </c>
      <c r="B5831" s="181" t="str">
        <f>IFERROR(VLOOKUP(Proc[[#This Row],[App]],Table2[],3,0),"open")</f>
        <v>open</v>
      </c>
      <c r="C5831" s="182" t="s">
        <v>370</v>
      </c>
      <c r="D5831" t="s">
        <v>8206</v>
      </c>
      <c r="E5831" t="s">
        <v>8480</v>
      </c>
      <c r="F5831" s="183" t="s">
        <v>8713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0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1" t="s">
        <v>6434</v>
      </c>
      <c r="M5831" s="178">
        <v>46057</v>
      </c>
      <c r="N5831" s="178"/>
      <c r="O5831" s="178"/>
      <c r="P5831" s="178" t="str">
        <f ca="1">IF(Proc[[#This Row],[DaysAgeing]]&gt;5,"yep","on track")</f>
        <v>on track</v>
      </c>
      <c r="Q5831" s="3">
        <f ca="1">IF(Proc[[#This Row],[DateClosed]]="",ABS(NETWORKDAYS(Proc[[#This Row],[DateOpened]],TODAY()))-1,ABS(NETWORKDAYS(Proc[[#This Row],[DateOpened]],Proc[[#This Row],[DateClosed]]))-1)</f>
        <v>1</v>
      </c>
      <c r="R5831" s="178" t="s">
        <v>422</v>
      </c>
      <c r="S5831" s="181"/>
    </row>
    <row r="5832" spans="1:19">
      <c r="A5832" s="180" t="s">
        <v>8481</v>
      </c>
      <c r="B5832" s="181" t="str">
        <f>IFERROR(VLOOKUP(Proc[[#This Row],[App]],Table2[],3,0),"open")</f>
        <v>open</v>
      </c>
      <c r="C5832" s="182" t="s">
        <v>370</v>
      </c>
      <c r="D5832" t="s">
        <v>8207</v>
      </c>
      <c r="E5832" t="s">
        <v>8480</v>
      </c>
      <c r="F5832" s="183" t="s">
        <v>8713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0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1" t="s">
        <v>6434</v>
      </c>
      <c r="M5832" s="178">
        <v>46057</v>
      </c>
      <c r="N5832" s="178"/>
      <c r="O5832" s="178"/>
      <c r="P5832" s="178" t="str">
        <f ca="1">IF(Proc[[#This Row],[DaysAgeing]]&gt;5,"yep","on track")</f>
        <v>on track</v>
      </c>
      <c r="Q5832" s="3">
        <f ca="1">IF(Proc[[#This Row],[DateClosed]]="",ABS(NETWORKDAYS(Proc[[#This Row],[DateOpened]],TODAY()))-1,ABS(NETWORKDAYS(Proc[[#This Row],[DateOpened]],Proc[[#This Row],[DateClosed]]))-1)</f>
        <v>1</v>
      </c>
      <c r="R5832" s="178" t="s">
        <v>422</v>
      </c>
      <c r="S5832" s="181"/>
    </row>
    <row r="5833" spans="1:19">
      <c r="A5833" s="180" t="s">
        <v>8481</v>
      </c>
      <c r="B5833" s="181" t="str">
        <f>IFERROR(VLOOKUP(Proc[[#This Row],[App]],Table2[],3,0),"open")</f>
        <v>open</v>
      </c>
      <c r="C5833" s="182" t="s">
        <v>370</v>
      </c>
      <c r="D5833" t="s">
        <v>8208</v>
      </c>
      <c r="E5833" t="s">
        <v>8480</v>
      </c>
      <c r="F5833" s="183" t="s">
        <v>8713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0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1" t="s">
        <v>6434</v>
      </c>
      <c r="M5833" s="178">
        <v>46057</v>
      </c>
      <c r="N5833" s="178"/>
      <c r="O5833" s="178"/>
      <c r="P5833" s="178" t="str">
        <f ca="1">IF(Proc[[#This Row],[DaysAgeing]]&gt;5,"yep","on track")</f>
        <v>on track</v>
      </c>
      <c r="Q5833" s="3">
        <f ca="1">IF(Proc[[#This Row],[DateClosed]]="",ABS(NETWORKDAYS(Proc[[#This Row],[DateOpened]],TODAY()))-1,ABS(NETWORKDAYS(Proc[[#This Row],[DateOpened]],Proc[[#This Row],[DateClosed]]))-1)</f>
        <v>1</v>
      </c>
      <c r="R5833" s="178" t="s">
        <v>422</v>
      </c>
      <c r="S5833" s="181"/>
    </row>
    <row r="5834" spans="1:19">
      <c r="A5834" s="180" t="s">
        <v>8481</v>
      </c>
      <c r="B5834" s="181" t="str">
        <f>IFERROR(VLOOKUP(Proc[[#This Row],[App]],Table2[],3,0),"open")</f>
        <v>open</v>
      </c>
      <c r="C5834" s="182" t="s">
        <v>370</v>
      </c>
      <c r="D5834" t="s">
        <v>8209</v>
      </c>
      <c r="E5834" t="s">
        <v>8480</v>
      </c>
      <c r="F5834" s="183" t="s">
        <v>8713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0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1" t="s">
        <v>6434</v>
      </c>
      <c r="M5834" s="178">
        <v>46057</v>
      </c>
      <c r="N5834" s="178"/>
      <c r="O5834" s="178"/>
      <c r="P5834" s="178" t="str">
        <f ca="1">IF(Proc[[#This Row],[DaysAgeing]]&gt;5,"yep","on track")</f>
        <v>on track</v>
      </c>
      <c r="Q5834" s="3">
        <f ca="1">IF(Proc[[#This Row],[DateClosed]]="",ABS(NETWORKDAYS(Proc[[#This Row],[DateOpened]],TODAY()))-1,ABS(NETWORKDAYS(Proc[[#This Row],[DateOpened]],Proc[[#This Row],[DateClosed]]))-1)</f>
        <v>1</v>
      </c>
      <c r="R5834" s="178" t="s">
        <v>422</v>
      </c>
      <c r="S5834" s="181"/>
    </row>
    <row r="5835" spans="1:19">
      <c r="A5835" s="180" t="s">
        <v>8481</v>
      </c>
      <c r="B5835" s="181" t="str">
        <f>IFERROR(VLOOKUP(Proc[[#This Row],[App]],Table2[],3,0),"open")</f>
        <v>open</v>
      </c>
      <c r="C5835" s="182" t="s">
        <v>370</v>
      </c>
      <c r="D5835" t="s">
        <v>8210</v>
      </c>
      <c r="E5835" t="s">
        <v>8480</v>
      </c>
      <c r="F5835" s="183" t="s">
        <v>8713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0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1" t="s">
        <v>6434</v>
      </c>
      <c r="M5835" s="178">
        <v>46057</v>
      </c>
      <c r="N5835" s="178"/>
      <c r="O5835" s="178"/>
      <c r="P5835" s="178" t="str">
        <f ca="1">IF(Proc[[#This Row],[DaysAgeing]]&gt;5,"yep","on track")</f>
        <v>on track</v>
      </c>
      <c r="Q5835" s="3">
        <f ca="1">IF(Proc[[#This Row],[DateClosed]]="",ABS(NETWORKDAYS(Proc[[#This Row],[DateOpened]],TODAY()))-1,ABS(NETWORKDAYS(Proc[[#This Row],[DateOpened]],Proc[[#This Row],[DateClosed]]))-1)</f>
        <v>1</v>
      </c>
      <c r="R5835" s="178" t="s">
        <v>422</v>
      </c>
      <c r="S5835" s="181"/>
    </row>
    <row r="5836" spans="1:19">
      <c r="A5836" s="180" t="s">
        <v>8481</v>
      </c>
      <c r="B5836" s="181" t="str">
        <f>IFERROR(VLOOKUP(Proc[[#This Row],[App]],Table2[],3,0),"open")</f>
        <v>open</v>
      </c>
      <c r="C5836" s="182" t="s">
        <v>370</v>
      </c>
      <c r="D5836" t="s">
        <v>8211</v>
      </c>
      <c r="E5836" t="s">
        <v>8480</v>
      </c>
      <c r="F5836" s="183" t="s">
        <v>8713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0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1" t="s">
        <v>6434</v>
      </c>
      <c r="M5836" s="178">
        <v>46057</v>
      </c>
      <c r="N5836" s="178"/>
      <c r="O5836" s="178"/>
      <c r="P5836" s="178" t="str">
        <f ca="1">IF(Proc[[#This Row],[DaysAgeing]]&gt;5,"yep","on track")</f>
        <v>on track</v>
      </c>
      <c r="Q5836" s="3">
        <f ca="1">IF(Proc[[#This Row],[DateClosed]]="",ABS(NETWORKDAYS(Proc[[#This Row],[DateOpened]],TODAY()))-1,ABS(NETWORKDAYS(Proc[[#This Row],[DateOpened]],Proc[[#This Row],[DateClosed]]))-1)</f>
        <v>1</v>
      </c>
      <c r="R5836" s="178" t="s">
        <v>422</v>
      </c>
      <c r="S5836" s="181"/>
    </row>
    <row r="5837" spans="1:19">
      <c r="A5837" s="180" t="s">
        <v>8481</v>
      </c>
      <c r="B5837" s="181" t="str">
        <f>IFERROR(VLOOKUP(Proc[[#This Row],[App]],Table2[],3,0),"open")</f>
        <v>open</v>
      </c>
      <c r="C5837" s="182" t="s">
        <v>370</v>
      </c>
      <c r="D5837" t="s">
        <v>8212</v>
      </c>
      <c r="E5837" t="s">
        <v>8480</v>
      </c>
      <c r="F5837" s="183" t="s">
        <v>8713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0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1" t="s">
        <v>6434</v>
      </c>
      <c r="M5837" s="178">
        <v>46057</v>
      </c>
      <c r="N5837" s="178"/>
      <c r="O5837" s="178"/>
      <c r="P5837" s="178" t="str">
        <f ca="1">IF(Proc[[#This Row],[DaysAgeing]]&gt;5,"yep","on track")</f>
        <v>on track</v>
      </c>
      <c r="Q5837" s="3">
        <f ca="1">IF(Proc[[#This Row],[DateClosed]]="",ABS(NETWORKDAYS(Proc[[#This Row],[DateOpened]],TODAY()))-1,ABS(NETWORKDAYS(Proc[[#This Row],[DateOpened]],Proc[[#This Row],[DateClosed]]))-1)</f>
        <v>1</v>
      </c>
      <c r="R5837" s="178" t="s">
        <v>422</v>
      </c>
      <c r="S5837" s="181"/>
    </row>
    <row r="5838" spans="1:19">
      <c r="A5838" s="180" t="s">
        <v>8481</v>
      </c>
      <c r="B5838" s="181" t="str">
        <f>IFERROR(VLOOKUP(Proc[[#This Row],[App]],Table2[],3,0),"open")</f>
        <v>open</v>
      </c>
      <c r="C5838" s="182" t="s">
        <v>370</v>
      </c>
      <c r="D5838" t="s">
        <v>8213</v>
      </c>
      <c r="E5838" t="s">
        <v>8480</v>
      </c>
      <c r="F5838" s="183" t="s">
        <v>8713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0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1" t="s">
        <v>6434</v>
      </c>
      <c r="M5838" s="178">
        <v>46057</v>
      </c>
      <c r="N5838" s="178"/>
      <c r="O5838" s="178"/>
      <c r="P5838" s="178" t="str">
        <f ca="1">IF(Proc[[#This Row],[DaysAgeing]]&gt;5,"yep","on track")</f>
        <v>on track</v>
      </c>
      <c r="Q5838" s="3">
        <f ca="1">IF(Proc[[#This Row],[DateClosed]]="",ABS(NETWORKDAYS(Proc[[#This Row],[DateOpened]],TODAY()))-1,ABS(NETWORKDAYS(Proc[[#This Row],[DateOpened]],Proc[[#This Row],[DateClosed]]))-1)</f>
        <v>1</v>
      </c>
      <c r="R5838" s="178" t="s">
        <v>422</v>
      </c>
      <c r="S5838" s="181"/>
    </row>
    <row r="5839" spans="1:19">
      <c r="A5839" s="180" t="s">
        <v>8481</v>
      </c>
      <c r="B5839" s="181" t="str">
        <f>IFERROR(VLOOKUP(Proc[[#This Row],[App]],Table2[],3,0),"open")</f>
        <v>open</v>
      </c>
      <c r="C5839" s="182" t="s">
        <v>370</v>
      </c>
      <c r="D5839" t="s">
        <v>8214</v>
      </c>
      <c r="E5839" t="s">
        <v>8480</v>
      </c>
      <c r="F5839" s="183" t="s">
        <v>8713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0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1" t="s">
        <v>6434</v>
      </c>
      <c r="M5839" s="178">
        <v>46057</v>
      </c>
      <c r="N5839" s="178"/>
      <c r="O5839" s="178"/>
      <c r="P5839" s="178" t="str">
        <f ca="1">IF(Proc[[#This Row],[DaysAgeing]]&gt;5,"yep","on track")</f>
        <v>on track</v>
      </c>
      <c r="Q5839" s="3">
        <f ca="1">IF(Proc[[#This Row],[DateClosed]]="",ABS(NETWORKDAYS(Proc[[#This Row],[DateOpened]],TODAY()))-1,ABS(NETWORKDAYS(Proc[[#This Row],[DateOpened]],Proc[[#This Row],[DateClosed]]))-1)</f>
        <v>1</v>
      </c>
      <c r="R5839" s="178" t="s">
        <v>422</v>
      </c>
      <c r="S5839" s="181"/>
    </row>
    <row r="5840" spans="1:19">
      <c r="A5840" s="180" t="s">
        <v>8481</v>
      </c>
      <c r="B5840" s="181" t="str">
        <f>IFERROR(VLOOKUP(Proc[[#This Row],[App]],Table2[],3,0),"open")</f>
        <v>open</v>
      </c>
      <c r="C5840" s="182" t="s">
        <v>370</v>
      </c>
      <c r="D5840" t="s">
        <v>8215</v>
      </c>
      <c r="E5840" t="s">
        <v>8480</v>
      </c>
      <c r="F5840" s="183" t="s">
        <v>8713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0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1" t="s">
        <v>6434</v>
      </c>
      <c r="M5840" s="178">
        <v>46057</v>
      </c>
      <c r="N5840" s="178"/>
      <c r="O5840" s="178"/>
      <c r="P5840" s="178" t="str">
        <f ca="1">IF(Proc[[#This Row],[DaysAgeing]]&gt;5,"yep","on track")</f>
        <v>on track</v>
      </c>
      <c r="Q5840" s="3">
        <f ca="1">IF(Proc[[#This Row],[DateClosed]]="",ABS(NETWORKDAYS(Proc[[#This Row],[DateOpened]],TODAY()))-1,ABS(NETWORKDAYS(Proc[[#This Row],[DateOpened]],Proc[[#This Row],[DateClosed]]))-1)</f>
        <v>1</v>
      </c>
      <c r="R5840" s="178" t="s">
        <v>422</v>
      </c>
      <c r="S5840" s="181"/>
    </row>
    <row r="5841" spans="1:19">
      <c r="A5841" s="180" t="s">
        <v>8481</v>
      </c>
      <c r="B5841" s="181" t="str">
        <f>IFERROR(VLOOKUP(Proc[[#This Row],[App]],Table2[],3,0),"open")</f>
        <v>open</v>
      </c>
      <c r="C5841" s="182" t="s">
        <v>370</v>
      </c>
      <c r="D5841" t="s">
        <v>8216</v>
      </c>
      <c r="E5841" t="s">
        <v>8480</v>
      </c>
      <c r="F5841" s="183" t="s">
        <v>8713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0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1" t="s">
        <v>6434</v>
      </c>
      <c r="M5841" s="178">
        <v>46057</v>
      </c>
      <c r="N5841" s="178"/>
      <c r="O5841" s="178"/>
      <c r="P5841" s="178" t="str">
        <f ca="1">IF(Proc[[#This Row],[DaysAgeing]]&gt;5,"yep","on track")</f>
        <v>on track</v>
      </c>
      <c r="Q5841" s="3">
        <f ca="1">IF(Proc[[#This Row],[DateClosed]]="",ABS(NETWORKDAYS(Proc[[#This Row],[DateOpened]],TODAY()))-1,ABS(NETWORKDAYS(Proc[[#This Row],[DateOpened]],Proc[[#This Row],[DateClosed]]))-1)</f>
        <v>1</v>
      </c>
      <c r="R5841" s="178" t="s">
        <v>422</v>
      </c>
      <c r="S5841" s="181"/>
    </row>
    <row r="5842" spans="1:19">
      <c r="A5842" s="180" t="s">
        <v>8481</v>
      </c>
      <c r="B5842" s="181" t="str">
        <f>IFERROR(VLOOKUP(Proc[[#This Row],[App]],Table2[],3,0),"open")</f>
        <v>open</v>
      </c>
      <c r="C5842" s="182" t="s">
        <v>370</v>
      </c>
      <c r="D5842" t="s">
        <v>8217</v>
      </c>
      <c r="E5842" t="s">
        <v>8480</v>
      </c>
      <c r="F5842" s="183" t="s">
        <v>8713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0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1" t="s">
        <v>6434</v>
      </c>
      <c r="M5842" s="178">
        <v>46057</v>
      </c>
      <c r="N5842" s="178"/>
      <c r="O5842" s="178"/>
      <c r="P5842" s="178" t="str">
        <f ca="1">IF(Proc[[#This Row],[DaysAgeing]]&gt;5,"yep","on track")</f>
        <v>on track</v>
      </c>
      <c r="Q5842" s="3">
        <f ca="1">IF(Proc[[#This Row],[DateClosed]]="",ABS(NETWORKDAYS(Proc[[#This Row],[DateOpened]],TODAY()))-1,ABS(NETWORKDAYS(Proc[[#This Row],[DateOpened]],Proc[[#This Row],[DateClosed]]))-1)</f>
        <v>1</v>
      </c>
      <c r="R5842" s="178" t="s">
        <v>422</v>
      </c>
      <c r="S5842" s="181"/>
    </row>
    <row r="5843" spans="1:19">
      <c r="A5843" s="180" t="s">
        <v>8481</v>
      </c>
      <c r="B5843" s="181" t="str">
        <f>IFERROR(VLOOKUP(Proc[[#This Row],[App]],Table2[],3,0),"open")</f>
        <v>open</v>
      </c>
      <c r="C5843" s="182" t="s">
        <v>370</v>
      </c>
      <c r="D5843" t="s">
        <v>8218</v>
      </c>
      <c r="E5843" t="s">
        <v>8480</v>
      </c>
      <c r="F5843" s="183" t="s">
        <v>8713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0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1" t="s">
        <v>6434</v>
      </c>
      <c r="M5843" s="178">
        <v>46057</v>
      </c>
      <c r="N5843" s="178"/>
      <c r="O5843" s="178"/>
      <c r="P5843" s="178" t="str">
        <f ca="1">IF(Proc[[#This Row],[DaysAgeing]]&gt;5,"yep","on track")</f>
        <v>on track</v>
      </c>
      <c r="Q5843" s="3">
        <f ca="1">IF(Proc[[#This Row],[DateClosed]]="",ABS(NETWORKDAYS(Proc[[#This Row],[DateOpened]],TODAY()))-1,ABS(NETWORKDAYS(Proc[[#This Row],[DateOpened]],Proc[[#This Row],[DateClosed]]))-1)</f>
        <v>1</v>
      </c>
      <c r="R5843" s="178" t="s">
        <v>422</v>
      </c>
      <c r="S5843" s="181"/>
    </row>
    <row r="5844" spans="1:19">
      <c r="A5844" s="180" t="s">
        <v>8481</v>
      </c>
      <c r="B5844" s="181" t="str">
        <f>IFERROR(VLOOKUP(Proc[[#This Row],[App]],Table2[],3,0),"open")</f>
        <v>open</v>
      </c>
      <c r="C5844" s="182" t="s">
        <v>370</v>
      </c>
      <c r="D5844" t="s">
        <v>8219</v>
      </c>
      <c r="E5844" t="s">
        <v>8480</v>
      </c>
      <c r="F5844" s="183" t="s">
        <v>8713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0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1" t="s">
        <v>6434</v>
      </c>
      <c r="M5844" s="178">
        <v>46057</v>
      </c>
      <c r="N5844" s="178"/>
      <c r="O5844" s="178"/>
      <c r="P5844" s="178" t="str">
        <f ca="1">IF(Proc[[#This Row],[DaysAgeing]]&gt;5,"yep","on track")</f>
        <v>on track</v>
      </c>
      <c r="Q5844" s="3">
        <f ca="1">IF(Proc[[#This Row],[DateClosed]]="",ABS(NETWORKDAYS(Proc[[#This Row],[DateOpened]],TODAY()))-1,ABS(NETWORKDAYS(Proc[[#This Row],[DateOpened]],Proc[[#This Row],[DateClosed]]))-1)</f>
        <v>1</v>
      </c>
      <c r="R5844" s="178" t="s">
        <v>422</v>
      </c>
      <c r="S5844" s="181"/>
    </row>
    <row r="5845" spans="1:19">
      <c r="A5845" s="180" t="s">
        <v>8481</v>
      </c>
      <c r="B5845" s="181" t="str">
        <f>IFERROR(VLOOKUP(Proc[[#This Row],[App]],Table2[],3,0),"open")</f>
        <v>open</v>
      </c>
      <c r="C5845" s="182" t="s">
        <v>370</v>
      </c>
      <c r="D5845" t="s">
        <v>8220</v>
      </c>
      <c r="E5845" t="s">
        <v>8480</v>
      </c>
      <c r="F5845" s="183" t="s">
        <v>8713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0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1" t="s">
        <v>6434</v>
      </c>
      <c r="M5845" s="178">
        <v>46057</v>
      </c>
      <c r="N5845" s="178"/>
      <c r="O5845" s="178"/>
      <c r="P5845" s="178" t="str">
        <f ca="1">IF(Proc[[#This Row],[DaysAgeing]]&gt;5,"yep","on track")</f>
        <v>on track</v>
      </c>
      <c r="Q5845" s="3">
        <f ca="1">IF(Proc[[#This Row],[DateClosed]]="",ABS(NETWORKDAYS(Proc[[#This Row],[DateOpened]],TODAY()))-1,ABS(NETWORKDAYS(Proc[[#This Row],[DateOpened]],Proc[[#This Row],[DateClosed]]))-1)</f>
        <v>1</v>
      </c>
      <c r="R5845" s="178" t="s">
        <v>422</v>
      </c>
      <c r="S5845" s="181"/>
    </row>
    <row r="5846" spans="1:19">
      <c r="A5846" s="180" t="s">
        <v>8481</v>
      </c>
      <c r="B5846" s="181" t="str">
        <f>IFERROR(VLOOKUP(Proc[[#This Row],[App]],Table2[],3,0),"open")</f>
        <v>open</v>
      </c>
      <c r="C5846" s="182" t="s">
        <v>370</v>
      </c>
      <c r="D5846" t="s">
        <v>8221</v>
      </c>
      <c r="E5846" t="s">
        <v>8480</v>
      </c>
      <c r="F5846" s="183" t="s">
        <v>8713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0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1" t="s">
        <v>6434</v>
      </c>
      <c r="M5846" s="178">
        <v>46057</v>
      </c>
      <c r="N5846" s="178"/>
      <c r="O5846" s="178"/>
      <c r="P5846" s="178" t="str">
        <f ca="1">IF(Proc[[#This Row],[DaysAgeing]]&gt;5,"yep","on track")</f>
        <v>on track</v>
      </c>
      <c r="Q5846" s="3">
        <f ca="1">IF(Proc[[#This Row],[DateClosed]]="",ABS(NETWORKDAYS(Proc[[#This Row],[DateOpened]],TODAY()))-1,ABS(NETWORKDAYS(Proc[[#This Row],[DateOpened]],Proc[[#This Row],[DateClosed]]))-1)</f>
        <v>1</v>
      </c>
      <c r="R5846" s="178" t="s">
        <v>422</v>
      </c>
      <c r="S5846" s="181"/>
    </row>
    <row r="5847" spans="1:19">
      <c r="A5847" s="180" t="s">
        <v>8481</v>
      </c>
      <c r="B5847" s="181" t="str">
        <f>IFERROR(VLOOKUP(Proc[[#This Row],[App]],Table2[],3,0),"open")</f>
        <v>open</v>
      </c>
      <c r="C5847" s="182" t="s">
        <v>370</v>
      </c>
      <c r="D5847" t="s">
        <v>8222</v>
      </c>
      <c r="E5847" t="s">
        <v>8480</v>
      </c>
      <c r="F5847" s="183" t="s">
        <v>8713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0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1" t="s">
        <v>6434</v>
      </c>
      <c r="M5847" s="178">
        <v>46057</v>
      </c>
      <c r="N5847" s="178"/>
      <c r="O5847" s="178"/>
      <c r="P5847" s="178" t="str">
        <f ca="1">IF(Proc[[#This Row],[DaysAgeing]]&gt;5,"yep","on track")</f>
        <v>on track</v>
      </c>
      <c r="Q5847" s="3">
        <f ca="1">IF(Proc[[#This Row],[DateClosed]]="",ABS(NETWORKDAYS(Proc[[#This Row],[DateOpened]],TODAY()))-1,ABS(NETWORKDAYS(Proc[[#This Row],[DateOpened]],Proc[[#This Row],[DateClosed]]))-1)</f>
        <v>1</v>
      </c>
      <c r="R5847" s="178" t="s">
        <v>422</v>
      </c>
      <c r="S5847" s="181"/>
    </row>
    <row r="5848" spans="1:19">
      <c r="A5848" s="180" t="s">
        <v>8481</v>
      </c>
      <c r="B5848" s="181" t="str">
        <f>IFERROR(VLOOKUP(Proc[[#This Row],[App]],Table2[],3,0),"open")</f>
        <v>open</v>
      </c>
      <c r="C5848" s="182" t="s">
        <v>375</v>
      </c>
      <c r="D5848" t="s">
        <v>8223</v>
      </c>
      <c r="E5848" t="s">
        <v>8480</v>
      </c>
      <c r="F5848" s="183" t="str">
        <f>VLOOKUP(Proc[[#This Row],[Obj]],Sheet5!A:B,2,0)</f>
        <v>O000000005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0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1" t="s">
        <v>6434</v>
      </c>
      <c r="M5848" s="178">
        <v>46057</v>
      </c>
      <c r="N5848" s="178"/>
      <c r="O5848" s="178"/>
      <c r="P5848" s="178" t="str">
        <f ca="1">IF(Proc[[#This Row],[DaysAgeing]]&gt;5,"yep","on track")</f>
        <v>on track</v>
      </c>
      <c r="Q5848" s="3">
        <f ca="1">IF(Proc[[#This Row],[DateClosed]]="",ABS(NETWORKDAYS(Proc[[#This Row],[DateOpened]],TODAY()))-1,ABS(NETWORKDAYS(Proc[[#This Row],[DateOpened]],Proc[[#This Row],[DateClosed]]))-1)</f>
        <v>1</v>
      </c>
      <c r="R5848" s="178" t="s">
        <v>422</v>
      </c>
      <c r="S5848" s="181"/>
    </row>
    <row r="5849" spans="1:19">
      <c r="A5849" s="180" t="s">
        <v>8481</v>
      </c>
      <c r="B5849" s="181" t="str">
        <f>IFERROR(VLOOKUP(Proc[[#This Row],[App]],Table2[],3,0),"open")</f>
        <v>open</v>
      </c>
      <c r="C5849" s="182" t="s">
        <v>375</v>
      </c>
      <c r="D5849" t="s">
        <v>8224</v>
      </c>
      <c r="E5849" t="s">
        <v>8480</v>
      </c>
      <c r="F5849" s="183" t="str">
        <f>VLOOKUP(Proc[[#This Row],[Obj]],Sheet5!A:B,2,0)</f>
        <v>O000000005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0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1" t="s">
        <v>6434</v>
      </c>
      <c r="M5849" s="178">
        <v>46057</v>
      </c>
      <c r="N5849" s="178"/>
      <c r="O5849" s="178"/>
      <c r="P5849" s="178" t="str">
        <f ca="1">IF(Proc[[#This Row],[DaysAgeing]]&gt;5,"yep","on track")</f>
        <v>on track</v>
      </c>
      <c r="Q5849" s="3">
        <f ca="1">IF(Proc[[#This Row],[DateClosed]]="",ABS(NETWORKDAYS(Proc[[#This Row],[DateOpened]],TODAY()))-1,ABS(NETWORKDAYS(Proc[[#This Row],[DateOpened]],Proc[[#This Row],[DateClosed]]))-1)</f>
        <v>1</v>
      </c>
      <c r="R5849" s="178" t="s">
        <v>422</v>
      </c>
      <c r="S5849" s="181"/>
    </row>
    <row r="5850" spans="1:19">
      <c r="A5850" s="180" t="s">
        <v>8481</v>
      </c>
      <c r="B5850" s="181" t="str">
        <f>IFERROR(VLOOKUP(Proc[[#This Row],[App]],Table2[],3,0),"open")</f>
        <v>open</v>
      </c>
      <c r="C5850" s="182" t="s">
        <v>375</v>
      </c>
      <c r="D5850" t="s">
        <v>8225</v>
      </c>
      <c r="E5850" t="s">
        <v>8480</v>
      </c>
      <c r="F5850" s="183" t="str">
        <f>VLOOKUP(Proc[[#This Row],[Obj]],Sheet5!A:B,2,0)</f>
        <v>O000000005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0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1" t="s">
        <v>6434</v>
      </c>
      <c r="M5850" s="178">
        <v>46057</v>
      </c>
      <c r="N5850" s="178"/>
      <c r="O5850" s="178"/>
      <c r="P5850" s="178" t="str">
        <f ca="1">IF(Proc[[#This Row],[DaysAgeing]]&gt;5,"yep","on track")</f>
        <v>on track</v>
      </c>
      <c r="Q5850" s="3">
        <f ca="1">IF(Proc[[#This Row],[DateClosed]]="",ABS(NETWORKDAYS(Proc[[#This Row],[DateOpened]],TODAY()))-1,ABS(NETWORKDAYS(Proc[[#This Row],[DateOpened]],Proc[[#This Row],[DateClosed]]))-1)</f>
        <v>1</v>
      </c>
      <c r="R5850" s="178" t="s">
        <v>422</v>
      </c>
      <c r="S5850" s="181"/>
    </row>
    <row r="5851" spans="1:19">
      <c r="A5851" s="180" t="s">
        <v>8481</v>
      </c>
      <c r="B5851" s="181" t="str">
        <f>IFERROR(VLOOKUP(Proc[[#This Row],[App]],Table2[],3,0),"open")</f>
        <v>open</v>
      </c>
      <c r="C5851" s="182" t="s">
        <v>375</v>
      </c>
      <c r="D5851" t="s">
        <v>8226</v>
      </c>
      <c r="E5851" t="s">
        <v>8480</v>
      </c>
      <c r="F5851" s="183" t="str">
        <f>VLOOKUP(Proc[[#This Row],[Obj]],Sheet5!A:B,2,0)</f>
        <v>O000000005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0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1" t="s">
        <v>6434</v>
      </c>
      <c r="M5851" s="178">
        <v>46057</v>
      </c>
      <c r="N5851" s="178"/>
      <c r="O5851" s="178"/>
      <c r="P5851" s="178" t="str">
        <f ca="1">IF(Proc[[#This Row],[DaysAgeing]]&gt;5,"yep","on track")</f>
        <v>on track</v>
      </c>
      <c r="Q5851" s="3">
        <f ca="1">IF(Proc[[#This Row],[DateClosed]]="",ABS(NETWORKDAYS(Proc[[#This Row],[DateOpened]],TODAY()))-1,ABS(NETWORKDAYS(Proc[[#This Row],[DateOpened]],Proc[[#This Row],[DateClosed]]))-1)</f>
        <v>1</v>
      </c>
      <c r="R5851" s="178" t="s">
        <v>422</v>
      </c>
      <c r="S5851" s="181"/>
    </row>
    <row r="5852" spans="1:19">
      <c r="A5852" s="180" t="s">
        <v>8481</v>
      </c>
      <c r="B5852" s="181" t="str">
        <f>IFERROR(VLOOKUP(Proc[[#This Row],[App]],Table2[],3,0),"open")</f>
        <v>open</v>
      </c>
      <c r="C5852" s="182" t="s">
        <v>375</v>
      </c>
      <c r="D5852" t="s">
        <v>8227</v>
      </c>
      <c r="E5852" t="s">
        <v>8480</v>
      </c>
      <c r="F5852" s="183" t="str">
        <f>VLOOKUP(Proc[[#This Row],[Obj]],Sheet5!A:B,2,0)</f>
        <v>O000000005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0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1" t="s">
        <v>6434</v>
      </c>
      <c r="M5852" s="178">
        <v>46057</v>
      </c>
      <c r="N5852" s="178"/>
      <c r="O5852" s="178"/>
      <c r="P5852" s="178" t="str">
        <f ca="1">IF(Proc[[#This Row],[DaysAgeing]]&gt;5,"yep","on track")</f>
        <v>on track</v>
      </c>
      <c r="Q5852" s="3">
        <f ca="1">IF(Proc[[#This Row],[DateClosed]]="",ABS(NETWORKDAYS(Proc[[#This Row],[DateOpened]],TODAY()))-1,ABS(NETWORKDAYS(Proc[[#This Row],[DateOpened]],Proc[[#This Row],[DateClosed]]))-1)</f>
        <v>1</v>
      </c>
      <c r="R5852" s="178" t="s">
        <v>422</v>
      </c>
      <c r="S5852" s="181"/>
    </row>
    <row r="5853" spans="1:19">
      <c r="A5853" s="180" t="s">
        <v>8481</v>
      </c>
      <c r="B5853" s="181" t="str">
        <f>IFERROR(VLOOKUP(Proc[[#This Row],[App]],Table2[],3,0),"open")</f>
        <v>open</v>
      </c>
      <c r="C5853" s="182" t="s">
        <v>375</v>
      </c>
      <c r="D5853" t="s">
        <v>8228</v>
      </c>
      <c r="E5853" t="s">
        <v>8480</v>
      </c>
      <c r="F5853" s="183" t="str">
        <f>VLOOKUP(Proc[[#This Row],[Obj]],Sheet5!A:B,2,0)</f>
        <v>O000000005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0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1" t="s">
        <v>6434</v>
      </c>
      <c r="M5853" s="178">
        <v>46057</v>
      </c>
      <c r="N5853" s="178"/>
      <c r="O5853" s="178"/>
      <c r="P5853" s="178" t="str">
        <f ca="1">IF(Proc[[#This Row],[DaysAgeing]]&gt;5,"yep","on track")</f>
        <v>on track</v>
      </c>
      <c r="Q5853" s="3">
        <f ca="1">IF(Proc[[#This Row],[DateClosed]]="",ABS(NETWORKDAYS(Proc[[#This Row],[DateOpened]],TODAY()))-1,ABS(NETWORKDAYS(Proc[[#This Row],[DateOpened]],Proc[[#This Row],[DateClosed]]))-1)</f>
        <v>1</v>
      </c>
      <c r="R5853" s="178" t="s">
        <v>422</v>
      </c>
      <c r="S5853" s="181"/>
    </row>
    <row r="5854" spans="1:19">
      <c r="A5854" s="180" t="s">
        <v>8481</v>
      </c>
      <c r="B5854" s="181" t="str">
        <f>IFERROR(VLOOKUP(Proc[[#This Row],[App]],Table2[],3,0),"open")</f>
        <v>open</v>
      </c>
      <c r="C5854" s="182" t="s">
        <v>375</v>
      </c>
      <c r="D5854" t="s">
        <v>8229</v>
      </c>
      <c r="E5854" t="s">
        <v>8480</v>
      </c>
      <c r="F5854" s="183" t="str">
        <f>VLOOKUP(Proc[[#This Row],[Obj]],Sheet5!A:B,2,0)</f>
        <v>O000000005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0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1" t="s">
        <v>6434</v>
      </c>
      <c r="M5854" s="178">
        <v>46057</v>
      </c>
      <c r="N5854" s="178"/>
      <c r="O5854" s="178"/>
      <c r="P5854" s="178" t="str">
        <f ca="1">IF(Proc[[#This Row],[DaysAgeing]]&gt;5,"yep","on track")</f>
        <v>on track</v>
      </c>
      <c r="Q5854" s="3">
        <f ca="1">IF(Proc[[#This Row],[DateClosed]]="",ABS(NETWORKDAYS(Proc[[#This Row],[DateOpened]],TODAY()))-1,ABS(NETWORKDAYS(Proc[[#This Row],[DateOpened]],Proc[[#This Row],[DateClosed]]))-1)</f>
        <v>1</v>
      </c>
      <c r="R5854" s="178" t="s">
        <v>422</v>
      </c>
      <c r="S5854" s="181"/>
    </row>
    <row r="5855" spans="1:19">
      <c r="A5855" s="180" t="s">
        <v>8481</v>
      </c>
      <c r="B5855" s="181" t="str">
        <f>IFERROR(VLOOKUP(Proc[[#This Row],[App]],Table2[],3,0),"open")</f>
        <v>open</v>
      </c>
      <c r="C5855" s="182" t="s">
        <v>375</v>
      </c>
      <c r="D5855" t="s">
        <v>8230</v>
      </c>
      <c r="E5855" t="s">
        <v>8480</v>
      </c>
      <c r="F5855" s="183" t="str">
        <f>VLOOKUP(Proc[[#This Row],[Obj]],Sheet5!A:B,2,0)</f>
        <v>O000000005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0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1" t="s">
        <v>6434</v>
      </c>
      <c r="M5855" s="178">
        <v>46057</v>
      </c>
      <c r="N5855" s="178"/>
      <c r="O5855" s="178"/>
      <c r="P5855" s="178" t="str">
        <f ca="1">IF(Proc[[#This Row],[DaysAgeing]]&gt;5,"yep","on track")</f>
        <v>on track</v>
      </c>
      <c r="Q5855" s="3">
        <f ca="1">IF(Proc[[#This Row],[DateClosed]]="",ABS(NETWORKDAYS(Proc[[#This Row],[DateOpened]],TODAY()))-1,ABS(NETWORKDAYS(Proc[[#This Row],[DateOpened]],Proc[[#This Row],[DateClosed]]))-1)</f>
        <v>1</v>
      </c>
      <c r="R5855" s="178" t="s">
        <v>422</v>
      </c>
      <c r="S5855" s="181"/>
    </row>
    <row r="5856" spans="1:19">
      <c r="A5856" s="180" t="s">
        <v>8481</v>
      </c>
      <c r="B5856" s="181" t="str">
        <f>IFERROR(VLOOKUP(Proc[[#This Row],[App]],Table2[],3,0),"open")</f>
        <v>open</v>
      </c>
      <c r="C5856" s="182" t="s">
        <v>375</v>
      </c>
      <c r="D5856" t="s">
        <v>8231</v>
      </c>
      <c r="E5856" t="s">
        <v>8480</v>
      </c>
      <c r="F5856" s="183" t="str">
        <f>VLOOKUP(Proc[[#This Row],[Obj]],Sheet5!A:B,2,0)</f>
        <v>O000000005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0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1" t="s">
        <v>6434</v>
      </c>
      <c r="M5856" s="178">
        <v>46057</v>
      </c>
      <c r="N5856" s="178"/>
      <c r="O5856" s="178"/>
      <c r="P5856" s="178" t="str">
        <f ca="1">IF(Proc[[#This Row],[DaysAgeing]]&gt;5,"yep","on track")</f>
        <v>on track</v>
      </c>
      <c r="Q5856" s="3">
        <f ca="1">IF(Proc[[#This Row],[DateClosed]]="",ABS(NETWORKDAYS(Proc[[#This Row],[DateOpened]],TODAY()))-1,ABS(NETWORKDAYS(Proc[[#This Row],[DateOpened]],Proc[[#This Row],[DateClosed]]))-1)</f>
        <v>1</v>
      </c>
      <c r="R5856" s="178" t="s">
        <v>422</v>
      </c>
      <c r="S5856" s="181"/>
    </row>
    <row r="5857" spans="1:19">
      <c r="A5857" s="180" t="s">
        <v>8481</v>
      </c>
      <c r="B5857" s="181" t="str">
        <f>IFERROR(VLOOKUP(Proc[[#This Row],[App]],Table2[],3,0),"open")</f>
        <v>open</v>
      </c>
      <c r="C5857" s="182" t="s">
        <v>375</v>
      </c>
      <c r="D5857" t="s">
        <v>8232</v>
      </c>
      <c r="E5857" t="s">
        <v>8480</v>
      </c>
      <c r="F5857" s="183" t="str">
        <f>VLOOKUP(Proc[[#This Row],[Obj]],Sheet5!A:B,2,0)</f>
        <v>O000000005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0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1" t="s">
        <v>6434</v>
      </c>
      <c r="M5857" s="178">
        <v>46057</v>
      </c>
      <c r="N5857" s="178"/>
      <c r="O5857" s="178"/>
      <c r="P5857" s="178" t="str">
        <f ca="1">IF(Proc[[#This Row],[DaysAgeing]]&gt;5,"yep","on track")</f>
        <v>on track</v>
      </c>
      <c r="Q5857" s="3">
        <f ca="1">IF(Proc[[#This Row],[DateClosed]]="",ABS(NETWORKDAYS(Proc[[#This Row],[DateOpened]],TODAY()))-1,ABS(NETWORKDAYS(Proc[[#This Row],[DateOpened]],Proc[[#This Row],[DateClosed]]))-1)</f>
        <v>1</v>
      </c>
      <c r="R5857" s="178" t="s">
        <v>422</v>
      </c>
      <c r="S5857" s="181"/>
    </row>
    <row r="5858" spans="1:19">
      <c r="A5858" s="180" t="s">
        <v>8481</v>
      </c>
      <c r="B5858" s="181" t="str">
        <f>IFERROR(VLOOKUP(Proc[[#This Row],[App]],Table2[],3,0),"open")</f>
        <v>open</v>
      </c>
      <c r="C5858" s="182" t="s">
        <v>375</v>
      </c>
      <c r="D5858" t="s">
        <v>8233</v>
      </c>
      <c r="E5858" t="s">
        <v>8480</v>
      </c>
      <c r="F5858" s="183" t="str">
        <f>VLOOKUP(Proc[[#This Row],[Obj]],Sheet5!A:B,2,0)</f>
        <v>O000000005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0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1" t="s">
        <v>6434</v>
      </c>
      <c r="M5858" s="178">
        <v>46057</v>
      </c>
      <c r="N5858" s="178"/>
      <c r="O5858" s="178"/>
      <c r="P5858" s="178" t="str">
        <f ca="1">IF(Proc[[#This Row],[DaysAgeing]]&gt;5,"yep","on track")</f>
        <v>on track</v>
      </c>
      <c r="Q5858" s="3">
        <f ca="1">IF(Proc[[#This Row],[DateClosed]]="",ABS(NETWORKDAYS(Proc[[#This Row],[DateOpened]],TODAY()))-1,ABS(NETWORKDAYS(Proc[[#This Row],[DateOpened]],Proc[[#This Row],[DateClosed]]))-1)</f>
        <v>1</v>
      </c>
      <c r="R5858" s="178" t="s">
        <v>422</v>
      </c>
      <c r="S5858" s="181"/>
    </row>
    <row r="5859" spans="1:19">
      <c r="A5859" s="180" t="s">
        <v>8481</v>
      </c>
      <c r="B5859" s="181" t="str">
        <f>IFERROR(VLOOKUP(Proc[[#This Row],[App]],Table2[],3,0),"open")</f>
        <v>open</v>
      </c>
      <c r="C5859" s="182" t="s">
        <v>375</v>
      </c>
      <c r="D5859" t="s">
        <v>8234</v>
      </c>
      <c r="E5859" t="s">
        <v>8480</v>
      </c>
      <c r="F5859" s="183" t="str">
        <f>VLOOKUP(Proc[[#This Row],[Obj]],Sheet5!A:B,2,0)</f>
        <v>O000000005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0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1" t="s">
        <v>6434</v>
      </c>
      <c r="M5859" s="178">
        <v>46057</v>
      </c>
      <c r="N5859" s="178"/>
      <c r="O5859" s="178"/>
      <c r="P5859" s="178" t="str">
        <f ca="1">IF(Proc[[#This Row],[DaysAgeing]]&gt;5,"yep","on track")</f>
        <v>on track</v>
      </c>
      <c r="Q5859" s="3">
        <f ca="1">IF(Proc[[#This Row],[DateClosed]]="",ABS(NETWORKDAYS(Proc[[#This Row],[DateOpened]],TODAY()))-1,ABS(NETWORKDAYS(Proc[[#This Row],[DateOpened]],Proc[[#This Row],[DateClosed]]))-1)</f>
        <v>1</v>
      </c>
      <c r="R5859" s="178" t="s">
        <v>422</v>
      </c>
      <c r="S5859" s="181"/>
    </row>
    <row r="5860" spans="1:19">
      <c r="A5860" s="180" t="s">
        <v>8481</v>
      </c>
      <c r="B5860" s="181" t="str">
        <f>IFERROR(VLOOKUP(Proc[[#This Row],[App]],Table2[],3,0),"open")</f>
        <v>open</v>
      </c>
      <c r="C5860" s="182" t="s">
        <v>375</v>
      </c>
      <c r="D5860" t="s">
        <v>8235</v>
      </c>
      <c r="E5860" t="s">
        <v>8480</v>
      </c>
      <c r="F5860" s="183" t="str">
        <f>VLOOKUP(Proc[[#This Row],[Obj]],Sheet5!A:B,2,0)</f>
        <v>O000000005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0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1" t="s">
        <v>6434</v>
      </c>
      <c r="M5860" s="178">
        <v>46057</v>
      </c>
      <c r="N5860" s="178"/>
      <c r="O5860" s="178"/>
      <c r="P5860" s="178" t="str">
        <f ca="1">IF(Proc[[#This Row],[DaysAgeing]]&gt;5,"yep","on track")</f>
        <v>on track</v>
      </c>
      <c r="Q5860" s="3">
        <f ca="1">IF(Proc[[#This Row],[DateClosed]]="",ABS(NETWORKDAYS(Proc[[#This Row],[DateOpened]],TODAY()))-1,ABS(NETWORKDAYS(Proc[[#This Row],[DateOpened]],Proc[[#This Row],[DateClosed]]))-1)</f>
        <v>1</v>
      </c>
      <c r="R5860" s="178" t="s">
        <v>422</v>
      </c>
      <c r="S5860" s="181"/>
    </row>
    <row r="5861" spans="1:19">
      <c r="A5861" s="180" t="s">
        <v>8481</v>
      </c>
      <c r="B5861" s="181" t="str">
        <f>IFERROR(VLOOKUP(Proc[[#This Row],[App]],Table2[],3,0),"open")</f>
        <v>open</v>
      </c>
      <c r="C5861" s="182" t="s">
        <v>375</v>
      </c>
      <c r="D5861" t="s">
        <v>8236</v>
      </c>
      <c r="E5861" t="s">
        <v>8480</v>
      </c>
      <c r="F5861" s="183" t="str">
        <f>VLOOKUP(Proc[[#This Row],[Obj]],Sheet5!A:B,2,0)</f>
        <v>O000000005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0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1" t="s">
        <v>6434</v>
      </c>
      <c r="M5861" s="178">
        <v>46057</v>
      </c>
      <c r="N5861" s="178"/>
      <c r="O5861" s="178"/>
      <c r="P5861" s="178" t="str">
        <f ca="1">IF(Proc[[#This Row],[DaysAgeing]]&gt;5,"yep","on track")</f>
        <v>on track</v>
      </c>
      <c r="Q5861" s="3">
        <f ca="1">IF(Proc[[#This Row],[DateClosed]]="",ABS(NETWORKDAYS(Proc[[#This Row],[DateOpened]],TODAY()))-1,ABS(NETWORKDAYS(Proc[[#This Row],[DateOpened]],Proc[[#This Row],[DateClosed]]))-1)</f>
        <v>1</v>
      </c>
      <c r="R5861" s="178" t="s">
        <v>422</v>
      </c>
      <c r="S5861" s="181"/>
    </row>
    <row r="5862" spans="1:19">
      <c r="A5862" s="180" t="s">
        <v>8481</v>
      </c>
      <c r="B5862" s="181" t="str">
        <f>IFERROR(VLOOKUP(Proc[[#This Row],[App]],Table2[],3,0),"open")</f>
        <v>open</v>
      </c>
      <c r="C5862" s="182" t="s">
        <v>375</v>
      </c>
      <c r="D5862" t="s">
        <v>8237</v>
      </c>
      <c r="E5862" t="s">
        <v>8480</v>
      </c>
      <c r="F5862" s="183" t="str">
        <f>VLOOKUP(Proc[[#This Row],[Obj]],Sheet5!A:B,2,0)</f>
        <v>O000000005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0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1" t="s">
        <v>6434</v>
      </c>
      <c r="M5862" s="178">
        <v>46057</v>
      </c>
      <c r="N5862" s="178"/>
      <c r="O5862" s="178"/>
      <c r="P5862" s="178" t="str">
        <f ca="1">IF(Proc[[#This Row],[DaysAgeing]]&gt;5,"yep","on track")</f>
        <v>on track</v>
      </c>
      <c r="Q5862" s="3">
        <f ca="1">IF(Proc[[#This Row],[DateClosed]]="",ABS(NETWORKDAYS(Proc[[#This Row],[DateOpened]],TODAY()))-1,ABS(NETWORKDAYS(Proc[[#This Row],[DateOpened]],Proc[[#This Row],[DateClosed]]))-1)</f>
        <v>1</v>
      </c>
      <c r="R5862" s="178" t="s">
        <v>422</v>
      </c>
      <c r="S5862" s="181"/>
    </row>
    <row r="5863" spans="1:19">
      <c r="A5863" s="180" t="s">
        <v>8481</v>
      </c>
      <c r="B5863" s="181" t="str">
        <f>IFERROR(VLOOKUP(Proc[[#This Row],[App]],Table2[],3,0),"open")</f>
        <v>open</v>
      </c>
      <c r="C5863" s="182" t="s">
        <v>375</v>
      </c>
      <c r="D5863" t="s">
        <v>8238</v>
      </c>
      <c r="E5863" t="s">
        <v>8480</v>
      </c>
      <c r="F5863" s="183" t="str">
        <f>VLOOKUP(Proc[[#This Row],[Obj]],Sheet5!A:B,2,0)</f>
        <v>O000000005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0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1" t="s">
        <v>6434</v>
      </c>
      <c r="M5863" s="178">
        <v>46057</v>
      </c>
      <c r="N5863" s="178"/>
      <c r="O5863" s="178"/>
      <c r="P5863" s="178" t="str">
        <f ca="1">IF(Proc[[#This Row],[DaysAgeing]]&gt;5,"yep","on track")</f>
        <v>on track</v>
      </c>
      <c r="Q5863" s="3">
        <f ca="1">IF(Proc[[#This Row],[DateClosed]]="",ABS(NETWORKDAYS(Proc[[#This Row],[DateOpened]],TODAY()))-1,ABS(NETWORKDAYS(Proc[[#This Row],[DateOpened]],Proc[[#This Row],[DateClosed]]))-1)</f>
        <v>1</v>
      </c>
      <c r="R5863" s="178" t="s">
        <v>422</v>
      </c>
      <c r="S5863" s="181"/>
    </row>
    <row r="5864" spans="1:19">
      <c r="A5864" s="180" t="s">
        <v>8481</v>
      </c>
      <c r="B5864" s="181" t="str">
        <f>IFERROR(VLOOKUP(Proc[[#This Row],[App]],Table2[],3,0),"open")</f>
        <v>open</v>
      </c>
      <c r="C5864" s="182" t="s">
        <v>375</v>
      </c>
      <c r="D5864" t="s">
        <v>8239</v>
      </c>
      <c r="E5864" t="s">
        <v>8480</v>
      </c>
      <c r="F5864" s="183" t="str">
        <f>VLOOKUP(Proc[[#This Row],[Obj]],Sheet5!A:B,2,0)</f>
        <v>O000000005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0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1" t="s">
        <v>6434</v>
      </c>
      <c r="M5864" s="178">
        <v>46057</v>
      </c>
      <c r="N5864" s="178"/>
      <c r="O5864" s="178"/>
      <c r="P5864" s="178" t="str">
        <f ca="1">IF(Proc[[#This Row],[DaysAgeing]]&gt;5,"yep","on track")</f>
        <v>on track</v>
      </c>
      <c r="Q5864" s="3">
        <f ca="1">IF(Proc[[#This Row],[DateClosed]]="",ABS(NETWORKDAYS(Proc[[#This Row],[DateOpened]],TODAY()))-1,ABS(NETWORKDAYS(Proc[[#This Row],[DateOpened]],Proc[[#This Row],[DateClosed]]))-1)</f>
        <v>1</v>
      </c>
      <c r="R5864" s="178" t="s">
        <v>422</v>
      </c>
      <c r="S5864" s="181"/>
    </row>
    <row r="5865" spans="1:19">
      <c r="A5865" s="180" t="s">
        <v>8481</v>
      </c>
      <c r="B5865" s="181" t="str">
        <f>IFERROR(VLOOKUP(Proc[[#This Row],[App]],Table2[],3,0),"open")</f>
        <v>open</v>
      </c>
      <c r="C5865" s="182" t="s">
        <v>375</v>
      </c>
      <c r="D5865" t="s">
        <v>8240</v>
      </c>
      <c r="E5865" t="s">
        <v>8480</v>
      </c>
      <c r="F5865" s="183" t="str">
        <f>VLOOKUP(Proc[[#This Row],[Obj]],Sheet5!A:B,2,0)</f>
        <v>O000000005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0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1" t="s">
        <v>6434</v>
      </c>
      <c r="M5865" s="178">
        <v>46057</v>
      </c>
      <c r="N5865" s="178"/>
      <c r="O5865" s="178"/>
      <c r="P5865" s="178" t="str">
        <f ca="1">IF(Proc[[#This Row],[DaysAgeing]]&gt;5,"yep","on track")</f>
        <v>on track</v>
      </c>
      <c r="Q5865" s="3">
        <f ca="1">IF(Proc[[#This Row],[DateClosed]]="",ABS(NETWORKDAYS(Proc[[#This Row],[DateOpened]],TODAY()))-1,ABS(NETWORKDAYS(Proc[[#This Row],[DateOpened]],Proc[[#This Row],[DateClosed]]))-1)</f>
        <v>1</v>
      </c>
      <c r="R5865" s="178" t="s">
        <v>422</v>
      </c>
      <c r="S5865" s="181"/>
    </row>
    <row r="5866" spans="1:19">
      <c r="A5866" s="180" t="s">
        <v>8481</v>
      </c>
      <c r="B5866" s="181" t="str">
        <f>IFERROR(VLOOKUP(Proc[[#This Row],[App]],Table2[],3,0),"open")</f>
        <v>open</v>
      </c>
      <c r="C5866" s="182" t="s">
        <v>375</v>
      </c>
      <c r="D5866" t="s">
        <v>8241</v>
      </c>
      <c r="E5866" t="s">
        <v>8480</v>
      </c>
      <c r="F5866" s="183" t="str">
        <f>VLOOKUP(Proc[[#This Row],[Obj]],Sheet5!A:B,2,0)</f>
        <v>O000000005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0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1" t="s">
        <v>6434</v>
      </c>
      <c r="M5866" s="178">
        <v>46057</v>
      </c>
      <c r="N5866" s="178"/>
      <c r="O5866" s="178"/>
      <c r="P5866" s="178" t="str">
        <f ca="1">IF(Proc[[#This Row],[DaysAgeing]]&gt;5,"yep","on track")</f>
        <v>on track</v>
      </c>
      <c r="Q5866" s="3">
        <f ca="1">IF(Proc[[#This Row],[DateClosed]]="",ABS(NETWORKDAYS(Proc[[#This Row],[DateOpened]],TODAY()))-1,ABS(NETWORKDAYS(Proc[[#This Row],[DateOpened]],Proc[[#This Row],[DateClosed]]))-1)</f>
        <v>1</v>
      </c>
      <c r="R5866" s="178" t="s">
        <v>422</v>
      </c>
      <c r="S5866" s="181"/>
    </row>
    <row r="5867" spans="1:19">
      <c r="A5867" s="180" t="s">
        <v>8481</v>
      </c>
      <c r="B5867" s="181" t="str">
        <f>IFERROR(VLOOKUP(Proc[[#This Row],[App]],Table2[],3,0),"open")</f>
        <v>open</v>
      </c>
      <c r="C5867" s="182" t="s">
        <v>375</v>
      </c>
      <c r="D5867" t="s">
        <v>8242</v>
      </c>
      <c r="E5867" t="s">
        <v>8480</v>
      </c>
      <c r="F5867" s="183" t="str">
        <f>VLOOKUP(Proc[[#This Row],[Obj]],Sheet5!A:B,2,0)</f>
        <v>O000000005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0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1" t="s">
        <v>6434</v>
      </c>
      <c r="M5867" s="178">
        <v>46057</v>
      </c>
      <c r="N5867" s="178"/>
      <c r="O5867" s="178"/>
      <c r="P5867" s="178" t="str">
        <f ca="1">IF(Proc[[#This Row],[DaysAgeing]]&gt;5,"yep","on track")</f>
        <v>on track</v>
      </c>
      <c r="Q5867" s="3">
        <f ca="1">IF(Proc[[#This Row],[DateClosed]]="",ABS(NETWORKDAYS(Proc[[#This Row],[DateOpened]],TODAY()))-1,ABS(NETWORKDAYS(Proc[[#This Row],[DateOpened]],Proc[[#This Row],[DateClosed]]))-1)</f>
        <v>1</v>
      </c>
      <c r="R5867" s="178" t="s">
        <v>422</v>
      </c>
      <c r="S5867" s="181"/>
    </row>
    <row r="5868" spans="1:19">
      <c r="A5868" s="180" t="s">
        <v>8481</v>
      </c>
      <c r="B5868" s="181" t="str">
        <f>IFERROR(VLOOKUP(Proc[[#This Row],[App]],Table2[],3,0),"open")</f>
        <v>open</v>
      </c>
      <c r="C5868" s="182" t="s">
        <v>375</v>
      </c>
      <c r="D5868" t="s">
        <v>8243</v>
      </c>
      <c r="E5868" t="s">
        <v>8480</v>
      </c>
      <c r="F5868" s="183" t="str">
        <f>VLOOKUP(Proc[[#This Row],[Obj]],Sheet5!A:B,2,0)</f>
        <v>O000000005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0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1" t="s">
        <v>6434</v>
      </c>
      <c r="M5868" s="178">
        <v>46057</v>
      </c>
      <c r="N5868" s="178"/>
      <c r="O5868" s="178"/>
      <c r="P5868" s="178" t="str">
        <f ca="1">IF(Proc[[#This Row],[DaysAgeing]]&gt;5,"yep","on track")</f>
        <v>on track</v>
      </c>
      <c r="Q5868" s="3">
        <f ca="1">IF(Proc[[#This Row],[DateClosed]]="",ABS(NETWORKDAYS(Proc[[#This Row],[DateOpened]],TODAY()))-1,ABS(NETWORKDAYS(Proc[[#This Row],[DateOpened]],Proc[[#This Row],[DateClosed]]))-1)</f>
        <v>1</v>
      </c>
      <c r="R5868" s="178" t="s">
        <v>422</v>
      </c>
      <c r="S5868" s="181"/>
    </row>
    <row r="5869" spans="1:19">
      <c r="A5869" s="180" t="s">
        <v>8481</v>
      </c>
      <c r="B5869" s="181" t="str">
        <f>IFERROR(VLOOKUP(Proc[[#This Row],[App]],Table2[],3,0),"open")</f>
        <v>open</v>
      </c>
      <c r="C5869" s="182" t="s">
        <v>375</v>
      </c>
      <c r="D5869" t="s">
        <v>8244</v>
      </c>
      <c r="E5869" t="s">
        <v>8480</v>
      </c>
      <c r="F5869" s="183" t="str">
        <f>VLOOKUP(Proc[[#This Row],[Obj]],Sheet5!A:B,2,0)</f>
        <v>O000000005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0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1" t="s">
        <v>6434</v>
      </c>
      <c r="M5869" s="178">
        <v>46057</v>
      </c>
      <c r="N5869" s="178"/>
      <c r="O5869" s="178"/>
      <c r="P5869" s="178" t="str">
        <f ca="1">IF(Proc[[#This Row],[DaysAgeing]]&gt;5,"yep","on track")</f>
        <v>on track</v>
      </c>
      <c r="Q5869" s="3">
        <f ca="1">IF(Proc[[#This Row],[DateClosed]]="",ABS(NETWORKDAYS(Proc[[#This Row],[DateOpened]],TODAY()))-1,ABS(NETWORKDAYS(Proc[[#This Row],[DateOpened]],Proc[[#This Row],[DateClosed]]))-1)</f>
        <v>1</v>
      </c>
      <c r="R5869" s="178" t="s">
        <v>422</v>
      </c>
      <c r="S5869" s="181"/>
    </row>
    <row r="5870" spans="1:19">
      <c r="A5870" s="180" t="s">
        <v>8481</v>
      </c>
      <c r="B5870" s="181" t="str">
        <f>IFERROR(VLOOKUP(Proc[[#This Row],[App]],Table2[],3,0),"open")</f>
        <v>open</v>
      </c>
      <c r="C5870" s="182" t="s">
        <v>375</v>
      </c>
      <c r="D5870" t="s">
        <v>8245</v>
      </c>
      <c r="E5870" t="s">
        <v>8480</v>
      </c>
      <c r="F5870" s="183" t="str">
        <f>VLOOKUP(Proc[[#This Row],[Obj]],Sheet5!A:B,2,0)</f>
        <v>O000000005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0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1" t="s">
        <v>6434</v>
      </c>
      <c r="M5870" s="178">
        <v>46057</v>
      </c>
      <c r="N5870" s="178"/>
      <c r="O5870" s="178"/>
      <c r="P5870" s="178" t="str">
        <f ca="1">IF(Proc[[#This Row],[DaysAgeing]]&gt;5,"yep","on track")</f>
        <v>on track</v>
      </c>
      <c r="Q5870" s="3">
        <f ca="1">IF(Proc[[#This Row],[DateClosed]]="",ABS(NETWORKDAYS(Proc[[#This Row],[DateOpened]],TODAY()))-1,ABS(NETWORKDAYS(Proc[[#This Row],[DateOpened]],Proc[[#This Row],[DateClosed]]))-1)</f>
        <v>1</v>
      </c>
      <c r="R5870" s="178" t="s">
        <v>422</v>
      </c>
      <c r="S5870" s="181"/>
    </row>
    <row r="5871" spans="1:19">
      <c r="A5871" s="180" t="s">
        <v>8481</v>
      </c>
      <c r="B5871" s="181" t="str">
        <f>IFERROR(VLOOKUP(Proc[[#This Row],[App]],Table2[],3,0),"open")</f>
        <v>open</v>
      </c>
      <c r="C5871" s="182" t="s">
        <v>375</v>
      </c>
      <c r="D5871" t="s">
        <v>8246</v>
      </c>
      <c r="E5871" t="s">
        <v>8480</v>
      </c>
      <c r="F5871" s="183" t="str">
        <f>VLOOKUP(Proc[[#This Row],[Obj]],Sheet5!A:B,2,0)</f>
        <v>O000000005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0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1" t="s">
        <v>6434</v>
      </c>
      <c r="M5871" s="178">
        <v>46057</v>
      </c>
      <c r="N5871" s="178"/>
      <c r="O5871" s="178"/>
      <c r="P5871" s="178" t="str">
        <f ca="1">IF(Proc[[#This Row],[DaysAgeing]]&gt;5,"yep","on track")</f>
        <v>on track</v>
      </c>
      <c r="Q5871" s="3">
        <f ca="1">IF(Proc[[#This Row],[DateClosed]]="",ABS(NETWORKDAYS(Proc[[#This Row],[DateOpened]],TODAY()))-1,ABS(NETWORKDAYS(Proc[[#This Row],[DateOpened]],Proc[[#This Row],[DateClosed]]))-1)</f>
        <v>1</v>
      </c>
      <c r="R5871" s="178" t="s">
        <v>422</v>
      </c>
      <c r="S5871" s="181"/>
    </row>
    <row r="5872" spans="1:19">
      <c r="A5872" s="180" t="s">
        <v>8481</v>
      </c>
      <c r="B5872" s="181" t="str">
        <f>IFERROR(VLOOKUP(Proc[[#This Row],[App]],Table2[],3,0),"open")</f>
        <v>open</v>
      </c>
      <c r="C5872" s="182" t="s">
        <v>375</v>
      </c>
      <c r="D5872" t="s">
        <v>8247</v>
      </c>
      <c r="E5872" t="s">
        <v>8480</v>
      </c>
      <c r="F5872" s="183" t="str">
        <f>VLOOKUP(Proc[[#This Row],[Obj]],Sheet5!A:B,2,0)</f>
        <v>O000000005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0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1" t="s">
        <v>6434</v>
      </c>
      <c r="M5872" s="178">
        <v>46057</v>
      </c>
      <c r="N5872" s="178"/>
      <c r="O5872" s="178"/>
      <c r="P5872" s="178" t="str">
        <f ca="1">IF(Proc[[#This Row],[DaysAgeing]]&gt;5,"yep","on track")</f>
        <v>on track</v>
      </c>
      <c r="Q5872" s="3">
        <f ca="1">IF(Proc[[#This Row],[DateClosed]]="",ABS(NETWORKDAYS(Proc[[#This Row],[DateOpened]],TODAY()))-1,ABS(NETWORKDAYS(Proc[[#This Row],[DateOpened]],Proc[[#This Row],[DateClosed]]))-1)</f>
        <v>1</v>
      </c>
      <c r="R5872" s="178" t="s">
        <v>422</v>
      </c>
      <c r="S5872" s="181"/>
    </row>
    <row r="5873" spans="1:19">
      <c r="A5873" s="180" t="s">
        <v>8481</v>
      </c>
      <c r="B5873" s="181" t="str">
        <f>IFERROR(VLOOKUP(Proc[[#This Row],[App]],Table2[],3,0),"open")</f>
        <v>open</v>
      </c>
      <c r="C5873" s="182" t="s">
        <v>375</v>
      </c>
      <c r="D5873" t="s">
        <v>8248</v>
      </c>
      <c r="E5873" t="s">
        <v>8480</v>
      </c>
      <c r="F5873" s="183" t="str">
        <f>VLOOKUP(Proc[[#This Row],[Obj]],Sheet5!A:B,2,0)</f>
        <v>O000000005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0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1" t="s">
        <v>6434</v>
      </c>
      <c r="M5873" s="178">
        <v>46057</v>
      </c>
      <c r="N5873" s="178"/>
      <c r="O5873" s="178"/>
      <c r="P5873" s="178" t="str">
        <f ca="1">IF(Proc[[#This Row],[DaysAgeing]]&gt;5,"yep","on track")</f>
        <v>on track</v>
      </c>
      <c r="Q5873" s="3">
        <f ca="1">IF(Proc[[#This Row],[DateClosed]]="",ABS(NETWORKDAYS(Proc[[#This Row],[DateOpened]],TODAY()))-1,ABS(NETWORKDAYS(Proc[[#This Row],[DateOpened]],Proc[[#This Row],[DateClosed]]))-1)</f>
        <v>1</v>
      </c>
      <c r="R5873" s="178" t="s">
        <v>422</v>
      </c>
      <c r="S5873" s="181"/>
    </row>
    <row r="5874" spans="1:19">
      <c r="A5874" s="180" t="s">
        <v>8481</v>
      </c>
      <c r="B5874" s="181" t="str">
        <f>IFERROR(VLOOKUP(Proc[[#This Row],[App]],Table2[],3,0),"open")</f>
        <v>open</v>
      </c>
      <c r="C5874" s="182" t="s">
        <v>375</v>
      </c>
      <c r="D5874" t="s">
        <v>8249</v>
      </c>
      <c r="E5874" t="s">
        <v>8480</v>
      </c>
      <c r="F5874" s="183" t="str">
        <f>VLOOKUP(Proc[[#This Row],[Obj]],Sheet5!A:B,2,0)</f>
        <v>O000000005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0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1" t="s">
        <v>6434</v>
      </c>
      <c r="M5874" s="178">
        <v>46057</v>
      </c>
      <c r="N5874" s="178"/>
      <c r="O5874" s="178"/>
      <c r="P5874" s="178" t="str">
        <f ca="1">IF(Proc[[#This Row],[DaysAgeing]]&gt;5,"yep","on track")</f>
        <v>on track</v>
      </c>
      <c r="Q5874" s="3">
        <f ca="1">IF(Proc[[#This Row],[DateClosed]]="",ABS(NETWORKDAYS(Proc[[#This Row],[DateOpened]],TODAY()))-1,ABS(NETWORKDAYS(Proc[[#This Row],[DateOpened]],Proc[[#This Row],[DateClosed]]))-1)</f>
        <v>1</v>
      </c>
      <c r="R5874" s="178" t="s">
        <v>422</v>
      </c>
      <c r="S5874" s="181"/>
    </row>
    <row r="5875" spans="1:19">
      <c r="A5875" s="180" t="s">
        <v>8481</v>
      </c>
      <c r="B5875" s="181" t="str">
        <f>IFERROR(VLOOKUP(Proc[[#This Row],[App]],Table2[],3,0),"open")</f>
        <v>open</v>
      </c>
      <c r="C5875" s="182" t="s">
        <v>375</v>
      </c>
      <c r="D5875" t="s">
        <v>8250</v>
      </c>
      <c r="E5875" t="s">
        <v>8480</v>
      </c>
      <c r="F5875" s="183" t="str">
        <f>VLOOKUP(Proc[[#This Row],[Obj]],Sheet5!A:B,2,0)</f>
        <v>O000000005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0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1" t="s">
        <v>6434</v>
      </c>
      <c r="M5875" s="178">
        <v>46057</v>
      </c>
      <c r="N5875" s="178"/>
      <c r="O5875" s="178"/>
      <c r="P5875" s="178" t="str">
        <f ca="1">IF(Proc[[#This Row],[DaysAgeing]]&gt;5,"yep","on track")</f>
        <v>on track</v>
      </c>
      <c r="Q5875" s="3">
        <f ca="1">IF(Proc[[#This Row],[DateClosed]]="",ABS(NETWORKDAYS(Proc[[#This Row],[DateOpened]],TODAY()))-1,ABS(NETWORKDAYS(Proc[[#This Row],[DateOpened]],Proc[[#This Row],[DateClosed]]))-1)</f>
        <v>1</v>
      </c>
      <c r="R5875" s="178" t="s">
        <v>422</v>
      </c>
      <c r="S5875" s="181"/>
    </row>
    <row r="5876" spans="1:19">
      <c r="A5876" s="180" t="s">
        <v>8481</v>
      </c>
      <c r="B5876" s="181" t="str">
        <f>IFERROR(VLOOKUP(Proc[[#This Row],[App]],Table2[],3,0),"open")</f>
        <v>open</v>
      </c>
      <c r="C5876" s="182" t="s">
        <v>375</v>
      </c>
      <c r="D5876" t="s">
        <v>8251</v>
      </c>
      <c r="E5876" t="s">
        <v>8480</v>
      </c>
      <c r="F5876" s="183" t="str">
        <f>VLOOKUP(Proc[[#This Row],[Obj]],Sheet5!A:B,2,0)</f>
        <v>O000000005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0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1" t="s">
        <v>6434</v>
      </c>
      <c r="M5876" s="178">
        <v>46057</v>
      </c>
      <c r="N5876" s="178"/>
      <c r="O5876" s="178"/>
      <c r="P5876" s="178" t="str">
        <f ca="1">IF(Proc[[#This Row],[DaysAgeing]]&gt;5,"yep","on track")</f>
        <v>on track</v>
      </c>
      <c r="Q5876" s="3">
        <f ca="1">IF(Proc[[#This Row],[DateClosed]]="",ABS(NETWORKDAYS(Proc[[#This Row],[DateOpened]],TODAY()))-1,ABS(NETWORKDAYS(Proc[[#This Row],[DateOpened]],Proc[[#This Row],[DateClosed]]))-1)</f>
        <v>1</v>
      </c>
      <c r="R5876" s="178" t="s">
        <v>422</v>
      </c>
      <c r="S5876" s="181"/>
    </row>
    <row r="5877" spans="1:19">
      <c r="A5877" s="180" t="s">
        <v>8481</v>
      </c>
      <c r="B5877" s="181" t="str">
        <f>IFERROR(VLOOKUP(Proc[[#This Row],[App]],Table2[],3,0),"open")</f>
        <v>open</v>
      </c>
      <c r="C5877" s="182" t="s">
        <v>375</v>
      </c>
      <c r="D5877" t="s">
        <v>8252</v>
      </c>
      <c r="E5877" t="s">
        <v>8480</v>
      </c>
      <c r="F5877" s="183" t="str">
        <f>VLOOKUP(Proc[[#This Row],[Obj]],Sheet5!A:B,2,0)</f>
        <v>O000000005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0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1" t="s">
        <v>6434</v>
      </c>
      <c r="M5877" s="178">
        <v>46057</v>
      </c>
      <c r="N5877" s="178"/>
      <c r="O5877" s="178"/>
      <c r="P5877" s="178" t="str">
        <f ca="1">IF(Proc[[#This Row],[DaysAgeing]]&gt;5,"yep","on track")</f>
        <v>on track</v>
      </c>
      <c r="Q5877" s="3">
        <f ca="1">IF(Proc[[#This Row],[DateClosed]]="",ABS(NETWORKDAYS(Proc[[#This Row],[DateOpened]],TODAY()))-1,ABS(NETWORKDAYS(Proc[[#This Row],[DateOpened]],Proc[[#This Row],[DateClosed]]))-1)</f>
        <v>1</v>
      </c>
      <c r="R5877" s="178" t="s">
        <v>422</v>
      </c>
      <c r="S5877" s="181"/>
    </row>
    <row r="5878" spans="1:19">
      <c r="A5878" s="180" t="s">
        <v>8481</v>
      </c>
      <c r="B5878" s="181" t="str">
        <f>IFERROR(VLOOKUP(Proc[[#This Row],[App]],Table2[],3,0),"open")</f>
        <v>open</v>
      </c>
      <c r="C5878" s="182" t="s">
        <v>375</v>
      </c>
      <c r="D5878" t="s">
        <v>8253</v>
      </c>
      <c r="E5878" t="s">
        <v>8480</v>
      </c>
      <c r="F5878" s="183" t="str">
        <f>VLOOKUP(Proc[[#This Row],[Obj]],Sheet5!A:B,2,0)</f>
        <v>O000000005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0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1" t="s">
        <v>6434</v>
      </c>
      <c r="M5878" s="178">
        <v>46057</v>
      </c>
      <c r="N5878" s="178"/>
      <c r="O5878" s="178"/>
      <c r="P5878" s="178" t="str">
        <f ca="1">IF(Proc[[#This Row],[DaysAgeing]]&gt;5,"yep","on track")</f>
        <v>on track</v>
      </c>
      <c r="Q5878" s="3">
        <f ca="1">IF(Proc[[#This Row],[DateClosed]]="",ABS(NETWORKDAYS(Proc[[#This Row],[DateOpened]],TODAY()))-1,ABS(NETWORKDAYS(Proc[[#This Row],[DateOpened]],Proc[[#This Row],[DateClosed]]))-1)</f>
        <v>1</v>
      </c>
      <c r="R5878" s="178" t="s">
        <v>422</v>
      </c>
      <c r="S5878" s="181"/>
    </row>
    <row r="5879" spans="1:19">
      <c r="A5879" s="180" t="s">
        <v>8481</v>
      </c>
      <c r="B5879" s="181" t="str">
        <f>IFERROR(VLOOKUP(Proc[[#This Row],[App]],Table2[],3,0),"open")</f>
        <v>open</v>
      </c>
      <c r="C5879" s="182" t="s">
        <v>375</v>
      </c>
      <c r="D5879" t="s">
        <v>8254</v>
      </c>
      <c r="E5879" t="s">
        <v>8480</v>
      </c>
      <c r="F5879" s="183" t="str">
        <f>VLOOKUP(Proc[[#This Row],[Obj]],Sheet5!A:B,2,0)</f>
        <v>O000000005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0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1" t="s">
        <v>6434</v>
      </c>
      <c r="M5879" s="178">
        <v>46057</v>
      </c>
      <c r="N5879" s="178"/>
      <c r="O5879" s="178"/>
      <c r="P5879" s="178" t="str">
        <f ca="1">IF(Proc[[#This Row],[DaysAgeing]]&gt;5,"yep","on track")</f>
        <v>on track</v>
      </c>
      <c r="Q5879" s="3">
        <f ca="1">IF(Proc[[#This Row],[DateClosed]]="",ABS(NETWORKDAYS(Proc[[#This Row],[DateOpened]],TODAY()))-1,ABS(NETWORKDAYS(Proc[[#This Row],[DateOpened]],Proc[[#This Row],[DateClosed]]))-1)</f>
        <v>1</v>
      </c>
      <c r="R5879" s="178" t="s">
        <v>422</v>
      </c>
      <c r="S5879" s="181"/>
    </row>
    <row r="5880" spans="1:19">
      <c r="A5880" s="180" t="s">
        <v>8481</v>
      </c>
      <c r="B5880" s="181" t="str">
        <f>IFERROR(VLOOKUP(Proc[[#This Row],[App]],Table2[],3,0),"open")</f>
        <v>open</v>
      </c>
      <c r="C5880" s="182" t="s">
        <v>375</v>
      </c>
      <c r="D5880" t="s">
        <v>8255</v>
      </c>
      <c r="E5880" t="s">
        <v>8480</v>
      </c>
      <c r="F5880" s="183" t="str">
        <f>VLOOKUP(Proc[[#This Row],[Obj]],Sheet5!A:B,2,0)</f>
        <v>O000000005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0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1" t="s">
        <v>6434</v>
      </c>
      <c r="M5880" s="178">
        <v>46057</v>
      </c>
      <c r="N5880" s="178"/>
      <c r="O5880" s="178"/>
      <c r="P5880" s="178" t="str">
        <f ca="1">IF(Proc[[#This Row],[DaysAgeing]]&gt;5,"yep","on track")</f>
        <v>on track</v>
      </c>
      <c r="Q5880" s="3">
        <f ca="1">IF(Proc[[#This Row],[DateClosed]]="",ABS(NETWORKDAYS(Proc[[#This Row],[DateOpened]],TODAY()))-1,ABS(NETWORKDAYS(Proc[[#This Row],[DateOpened]],Proc[[#This Row],[DateClosed]]))-1)</f>
        <v>1</v>
      </c>
      <c r="R5880" s="178" t="s">
        <v>422</v>
      </c>
      <c r="S5880" s="181"/>
    </row>
    <row r="5881" spans="1:19">
      <c r="A5881" s="180" t="s">
        <v>8481</v>
      </c>
      <c r="B5881" s="181" t="str">
        <f>IFERROR(VLOOKUP(Proc[[#This Row],[App]],Table2[],3,0),"open")</f>
        <v>open</v>
      </c>
      <c r="C5881" s="182" t="s">
        <v>375</v>
      </c>
      <c r="D5881" t="s">
        <v>8256</v>
      </c>
      <c r="E5881" t="s">
        <v>8480</v>
      </c>
      <c r="F5881" s="183" t="str">
        <f>VLOOKUP(Proc[[#This Row],[Obj]],Sheet5!A:B,2,0)</f>
        <v>O000000005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0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1" t="s">
        <v>6434</v>
      </c>
      <c r="M5881" s="178">
        <v>46057</v>
      </c>
      <c r="N5881" s="178"/>
      <c r="O5881" s="178"/>
      <c r="P5881" s="178" t="str">
        <f ca="1">IF(Proc[[#This Row],[DaysAgeing]]&gt;5,"yep","on track")</f>
        <v>on track</v>
      </c>
      <c r="Q5881" s="3">
        <f ca="1">IF(Proc[[#This Row],[DateClosed]]="",ABS(NETWORKDAYS(Proc[[#This Row],[DateOpened]],TODAY()))-1,ABS(NETWORKDAYS(Proc[[#This Row],[DateOpened]],Proc[[#This Row],[DateClosed]]))-1)</f>
        <v>1</v>
      </c>
      <c r="R5881" s="178" t="s">
        <v>422</v>
      </c>
      <c r="S5881" s="181"/>
    </row>
    <row r="5882" spans="1:19">
      <c r="A5882" s="180" t="s">
        <v>8481</v>
      </c>
      <c r="B5882" s="181" t="str">
        <f>IFERROR(VLOOKUP(Proc[[#This Row],[App]],Table2[],3,0),"open")</f>
        <v>open</v>
      </c>
      <c r="C5882" s="182" t="s">
        <v>375</v>
      </c>
      <c r="D5882" t="s">
        <v>8257</v>
      </c>
      <c r="E5882" t="s">
        <v>8480</v>
      </c>
      <c r="F5882" s="183" t="str">
        <f>VLOOKUP(Proc[[#This Row],[Obj]],Sheet5!A:B,2,0)</f>
        <v>O000000005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0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1" t="s">
        <v>6434</v>
      </c>
      <c r="M5882" s="178">
        <v>46057</v>
      </c>
      <c r="N5882" s="178"/>
      <c r="O5882" s="178"/>
      <c r="P5882" s="178" t="str">
        <f ca="1">IF(Proc[[#This Row],[DaysAgeing]]&gt;5,"yep","on track")</f>
        <v>on track</v>
      </c>
      <c r="Q5882" s="3">
        <f ca="1">IF(Proc[[#This Row],[DateClosed]]="",ABS(NETWORKDAYS(Proc[[#This Row],[DateOpened]],TODAY()))-1,ABS(NETWORKDAYS(Proc[[#This Row],[DateOpened]],Proc[[#This Row],[DateClosed]]))-1)</f>
        <v>1</v>
      </c>
      <c r="R5882" s="178" t="s">
        <v>422</v>
      </c>
      <c r="S5882" s="181"/>
    </row>
    <row r="5883" spans="1:19">
      <c r="A5883" s="180" t="s">
        <v>8481</v>
      </c>
      <c r="B5883" s="181" t="str">
        <f>IFERROR(VLOOKUP(Proc[[#This Row],[App]],Table2[],3,0),"open")</f>
        <v>open</v>
      </c>
      <c r="C5883" s="182" t="s">
        <v>375</v>
      </c>
      <c r="D5883" t="s">
        <v>8258</v>
      </c>
      <c r="E5883" t="s">
        <v>8480</v>
      </c>
      <c r="F5883" s="183" t="str">
        <f>VLOOKUP(Proc[[#This Row],[Obj]],Sheet5!A:B,2,0)</f>
        <v>O000000005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0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1" t="s">
        <v>6434</v>
      </c>
      <c r="M5883" s="178">
        <v>46057</v>
      </c>
      <c r="N5883" s="178"/>
      <c r="O5883" s="178"/>
      <c r="P5883" s="178" t="str">
        <f ca="1">IF(Proc[[#This Row],[DaysAgeing]]&gt;5,"yep","on track")</f>
        <v>on track</v>
      </c>
      <c r="Q5883" s="3">
        <f ca="1">IF(Proc[[#This Row],[DateClosed]]="",ABS(NETWORKDAYS(Proc[[#This Row],[DateOpened]],TODAY()))-1,ABS(NETWORKDAYS(Proc[[#This Row],[DateOpened]],Proc[[#This Row],[DateClosed]]))-1)</f>
        <v>1</v>
      </c>
      <c r="R5883" s="178" t="s">
        <v>422</v>
      </c>
      <c r="S5883" s="181"/>
    </row>
    <row r="5884" spans="1:19">
      <c r="A5884" s="180" t="s">
        <v>8481</v>
      </c>
      <c r="B5884" s="181" t="str">
        <f>IFERROR(VLOOKUP(Proc[[#This Row],[App]],Table2[],3,0),"open")</f>
        <v>open</v>
      </c>
      <c r="C5884" s="182" t="s">
        <v>375</v>
      </c>
      <c r="D5884" t="s">
        <v>8259</v>
      </c>
      <c r="E5884" t="s">
        <v>8480</v>
      </c>
      <c r="F5884" s="183" t="str">
        <f>VLOOKUP(Proc[[#This Row],[Obj]],Sheet5!A:B,2,0)</f>
        <v>O000000005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0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1" t="s">
        <v>6434</v>
      </c>
      <c r="M5884" s="178">
        <v>46057</v>
      </c>
      <c r="N5884" s="178"/>
      <c r="O5884" s="178"/>
      <c r="P5884" s="178" t="str">
        <f ca="1">IF(Proc[[#This Row],[DaysAgeing]]&gt;5,"yep","on track")</f>
        <v>on track</v>
      </c>
      <c r="Q5884" s="3">
        <f ca="1">IF(Proc[[#This Row],[DateClosed]]="",ABS(NETWORKDAYS(Proc[[#This Row],[DateOpened]],TODAY()))-1,ABS(NETWORKDAYS(Proc[[#This Row],[DateOpened]],Proc[[#This Row],[DateClosed]]))-1)</f>
        <v>1</v>
      </c>
      <c r="R5884" s="178" t="s">
        <v>422</v>
      </c>
      <c r="S5884" s="181"/>
    </row>
    <row r="5885" spans="1:19">
      <c r="A5885" s="180" t="s">
        <v>8481</v>
      </c>
      <c r="B5885" s="181" t="str">
        <f>IFERROR(VLOOKUP(Proc[[#This Row],[App]],Table2[],3,0),"open")</f>
        <v>open</v>
      </c>
      <c r="C5885" s="182" t="s">
        <v>375</v>
      </c>
      <c r="D5885" t="s">
        <v>8260</v>
      </c>
      <c r="E5885" t="s">
        <v>8480</v>
      </c>
      <c r="F5885" s="183" t="str">
        <f>VLOOKUP(Proc[[#This Row],[Obj]],Sheet5!A:B,2,0)</f>
        <v>O000000005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0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1" t="s">
        <v>6434</v>
      </c>
      <c r="M5885" s="178">
        <v>46057</v>
      </c>
      <c r="N5885" s="178"/>
      <c r="O5885" s="178"/>
      <c r="P5885" s="178" t="str">
        <f ca="1">IF(Proc[[#This Row],[DaysAgeing]]&gt;5,"yep","on track")</f>
        <v>on track</v>
      </c>
      <c r="Q5885" s="3">
        <f ca="1">IF(Proc[[#This Row],[DateClosed]]="",ABS(NETWORKDAYS(Proc[[#This Row],[DateOpened]],TODAY()))-1,ABS(NETWORKDAYS(Proc[[#This Row],[DateOpened]],Proc[[#This Row],[DateClosed]]))-1)</f>
        <v>1</v>
      </c>
      <c r="R5885" s="178" t="s">
        <v>422</v>
      </c>
      <c r="S5885" s="181"/>
    </row>
    <row r="5886" spans="1:19">
      <c r="A5886" s="180" t="s">
        <v>8481</v>
      </c>
      <c r="B5886" s="181" t="str">
        <f>IFERROR(VLOOKUP(Proc[[#This Row],[App]],Table2[],3,0),"open")</f>
        <v>open</v>
      </c>
      <c r="C5886" s="182" t="s">
        <v>375</v>
      </c>
      <c r="D5886" t="s">
        <v>8261</v>
      </c>
      <c r="E5886" t="s">
        <v>8480</v>
      </c>
      <c r="F5886" s="183" t="str">
        <f>VLOOKUP(Proc[[#This Row],[Obj]],Sheet5!A:B,2,0)</f>
        <v>O000000005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0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1" t="s">
        <v>6434</v>
      </c>
      <c r="M5886" s="178">
        <v>46057</v>
      </c>
      <c r="N5886" s="178"/>
      <c r="O5886" s="178"/>
      <c r="P5886" s="178" t="str">
        <f ca="1">IF(Proc[[#This Row],[DaysAgeing]]&gt;5,"yep","on track")</f>
        <v>on track</v>
      </c>
      <c r="Q5886" s="3">
        <f ca="1">IF(Proc[[#This Row],[DateClosed]]="",ABS(NETWORKDAYS(Proc[[#This Row],[DateOpened]],TODAY()))-1,ABS(NETWORKDAYS(Proc[[#This Row],[DateOpened]],Proc[[#This Row],[DateClosed]]))-1)</f>
        <v>1</v>
      </c>
      <c r="R5886" s="178" t="s">
        <v>422</v>
      </c>
      <c r="S5886" s="181"/>
    </row>
    <row r="5887" spans="1:19">
      <c r="A5887" s="180" t="s">
        <v>8481</v>
      </c>
      <c r="B5887" s="181" t="str">
        <f>IFERROR(VLOOKUP(Proc[[#This Row],[App]],Table2[],3,0),"open")</f>
        <v>open</v>
      </c>
      <c r="C5887" s="182" t="s">
        <v>375</v>
      </c>
      <c r="D5887" t="s">
        <v>8262</v>
      </c>
      <c r="E5887" t="s">
        <v>8480</v>
      </c>
      <c r="F5887" s="183" t="str">
        <f>VLOOKUP(Proc[[#This Row],[Obj]],Sheet5!A:B,2,0)</f>
        <v>O000000005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0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1" t="s">
        <v>6434</v>
      </c>
      <c r="M5887" s="178">
        <v>46057</v>
      </c>
      <c r="N5887" s="178"/>
      <c r="O5887" s="178"/>
      <c r="P5887" s="178" t="str">
        <f ca="1">IF(Proc[[#This Row],[DaysAgeing]]&gt;5,"yep","on track")</f>
        <v>on track</v>
      </c>
      <c r="Q5887" s="3">
        <f ca="1">IF(Proc[[#This Row],[DateClosed]]="",ABS(NETWORKDAYS(Proc[[#This Row],[DateOpened]],TODAY()))-1,ABS(NETWORKDAYS(Proc[[#This Row],[DateOpened]],Proc[[#This Row],[DateClosed]]))-1)</f>
        <v>1</v>
      </c>
      <c r="R5887" s="178" t="s">
        <v>422</v>
      </c>
      <c r="S5887" s="181"/>
    </row>
    <row r="5888" spans="1:19">
      <c r="A5888" s="180" t="s">
        <v>8481</v>
      </c>
      <c r="B5888" s="181" t="str">
        <f>IFERROR(VLOOKUP(Proc[[#This Row],[App]],Table2[],3,0),"open")</f>
        <v>open</v>
      </c>
      <c r="C5888" s="182" t="s">
        <v>375</v>
      </c>
      <c r="D5888" t="s">
        <v>8263</v>
      </c>
      <c r="E5888" t="s">
        <v>8480</v>
      </c>
      <c r="F5888" s="183" t="str">
        <f>VLOOKUP(Proc[[#This Row],[Obj]],Sheet5!A:B,2,0)</f>
        <v>O000000005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0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1" t="s">
        <v>6434</v>
      </c>
      <c r="M5888" s="178">
        <v>46057</v>
      </c>
      <c r="N5888" s="178"/>
      <c r="O5888" s="178"/>
      <c r="P5888" s="178" t="str">
        <f ca="1">IF(Proc[[#This Row],[DaysAgeing]]&gt;5,"yep","on track")</f>
        <v>on track</v>
      </c>
      <c r="Q5888" s="3">
        <f ca="1">IF(Proc[[#This Row],[DateClosed]]="",ABS(NETWORKDAYS(Proc[[#This Row],[DateOpened]],TODAY()))-1,ABS(NETWORKDAYS(Proc[[#This Row],[DateOpened]],Proc[[#This Row],[DateClosed]]))-1)</f>
        <v>1</v>
      </c>
      <c r="R5888" s="178" t="s">
        <v>422</v>
      </c>
      <c r="S5888" s="181"/>
    </row>
    <row r="5889" spans="1:19">
      <c r="A5889" s="180" t="s">
        <v>8481</v>
      </c>
      <c r="B5889" s="181" t="str">
        <f>IFERROR(VLOOKUP(Proc[[#This Row],[App]],Table2[],3,0),"open")</f>
        <v>open</v>
      </c>
      <c r="C5889" s="182" t="s">
        <v>375</v>
      </c>
      <c r="D5889" t="s">
        <v>8264</v>
      </c>
      <c r="E5889" t="s">
        <v>8480</v>
      </c>
      <c r="F5889" s="183" t="str">
        <f>VLOOKUP(Proc[[#This Row],[Obj]],Sheet5!A:B,2,0)</f>
        <v>O000000005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0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1" t="s">
        <v>6434</v>
      </c>
      <c r="M5889" s="178">
        <v>46057</v>
      </c>
      <c r="N5889" s="178"/>
      <c r="O5889" s="178"/>
      <c r="P5889" s="178" t="str">
        <f ca="1">IF(Proc[[#This Row],[DaysAgeing]]&gt;5,"yep","on track")</f>
        <v>on track</v>
      </c>
      <c r="Q5889" s="3">
        <f ca="1">IF(Proc[[#This Row],[DateClosed]]="",ABS(NETWORKDAYS(Proc[[#This Row],[DateOpened]],TODAY()))-1,ABS(NETWORKDAYS(Proc[[#This Row],[DateOpened]],Proc[[#This Row],[DateClosed]]))-1)</f>
        <v>1</v>
      </c>
      <c r="R5889" s="178" t="s">
        <v>422</v>
      </c>
      <c r="S5889" s="181"/>
    </row>
    <row r="5890" spans="1:19">
      <c r="A5890" s="180" t="s">
        <v>8481</v>
      </c>
      <c r="B5890" s="181" t="str">
        <f>IFERROR(VLOOKUP(Proc[[#This Row],[App]],Table2[],3,0),"open")</f>
        <v>open</v>
      </c>
      <c r="C5890" s="182" t="s">
        <v>375</v>
      </c>
      <c r="D5890" t="s">
        <v>8265</v>
      </c>
      <c r="E5890" t="s">
        <v>8480</v>
      </c>
      <c r="F5890" s="183" t="str">
        <f>VLOOKUP(Proc[[#This Row],[Obj]],Sheet5!A:B,2,0)</f>
        <v>O000000005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0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1" t="s">
        <v>6434</v>
      </c>
      <c r="M5890" s="178">
        <v>46057</v>
      </c>
      <c r="N5890" s="178"/>
      <c r="O5890" s="178"/>
      <c r="P5890" s="178" t="str">
        <f ca="1">IF(Proc[[#This Row],[DaysAgeing]]&gt;5,"yep","on track")</f>
        <v>on track</v>
      </c>
      <c r="Q5890" s="3">
        <f ca="1">IF(Proc[[#This Row],[DateClosed]]="",ABS(NETWORKDAYS(Proc[[#This Row],[DateOpened]],TODAY()))-1,ABS(NETWORKDAYS(Proc[[#This Row],[DateOpened]],Proc[[#This Row],[DateClosed]]))-1)</f>
        <v>1</v>
      </c>
      <c r="R5890" s="178" t="s">
        <v>422</v>
      </c>
      <c r="S5890" s="181"/>
    </row>
    <row r="5891" spans="1:19">
      <c r="A5891" s="180" t="s">
        <v>8481</v>
      </c>
      <c r="B5891" s="181" t="str">
        <f>IFERROR(VLOOKUP(Proc[[#This Row],[App]],Table2[],3,0),"open")</f>
        <v>open</v>
      </c>
      <c r="C5891" s="182" t="s">
        <v>375</v>
      </c>
      <c r="D5891" t="s">
        <v>8266</v>
      </c>
      <c r="E5891" t="s">
        <v>8480</v>
      </c>
      <c r="F5891" s="183" t="str">
        <f>VLOOKUP(Proc[[#This Row],[Obj]],Sheet5!A:B,2,0)</f>
        <v>O000000005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0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1" t="s">
        <v>6434</v>
      </c>
      <c r="M5891" s="178">
        <v>46057</v>
      </c>
      <c r="N5891" s="178"/>
      <c r="O5891" s="178"/>
      <c r="P5891" s="178" t="str">
        <f ca="1">IF(Proc[[#This Row],[DaysAgeing]]&gt;5,"yep","on track")</f>
        <v>on track</v>
      </c>
      <c r="Q5891" s="3">
        <f ca="1">IF(Proc[[#This Row],[DateClosed]]="",ABS(NETWORKDAYS(Proc[[#This Row],[DateOpened]],TODAY()))-1,ABS(NETWORKDAYS(Proc[[#This Row],[DateOpened]],Proc[[#This Row],[DateClosed]]))-1)</f>
        <v>1</v>
      </c>
      <c r="R5891" s="178" t="s">
        <v>422</v>
      </c>
      <c r="S5891" s="181"/>
    </row>
    <row r="5892" spans="1:19">
      <c r="A5892" s="180" t="s">
        <v>8481</v>
      </c>
      <c r="B5892" s="181" t="str">
        <f>IFERROR(VLOOKUP(Proc[[#This Row],[App]],Table2[],3,0),"open")</f>
        <v>open</v>
      </c>
      <c r="C5892" s="182" t="s">
        <v>375</v>
      </c>
      <c r="D5892" t="s">
        <v>8267</v>
      </c>
      <c r="E5892" t="s">
        <v>8480</v>
      </c>
      <c r="F5892" s="183" t="str">
        <f>VLOOKUP(Proc[[#This Row],[Obj]],Sheet5!A:B,2,0)</f>
        <v>O000000005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0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1" t="s">
        <v>6434</v>
      </c>
      <c r="M5892" s="178">
        <v>46057</v>
      </c>
      <c r="N5892" s="178"/>
      <c r="O5892" s="178"/>
      <c r="P5892" s="178" t="str">
        <f ca="1">IF(Proc[[#This Row],[DaysAgeing]]&gt;5,"yep","on track")</f>
        <v>on track</v>
      </c>
      <c r="Q5892" s="3">
        <f ca="1">IF(Proc[[#This Row],[DateClosed]]="",ABS(NETWORKDAYS(Proc[[#This Row],[DateOpened]],TODAY()))-1,ABS(NETWORKDAYS(Proc[[#This Row],[DateOpened]],Proc[[#This Row],[DateClosed]]))-1)</f>
        <v>1</v>
      </c>
      <c r="R5892" s="178" t="s">
        <v>422</v>
      </c>
      <c r="S5892" s="181"/>
    </row>
    <row r="5893" spans="1:19">
      <c r="A5893" s="180" t="s">
        <v>8481</v>
      </c>
      <c r="B5893" s="181" t="str">
        <f>IFERROR(VLOOKUP(Proc[[#This Row],[App]],Table2[],3,0),"open")</f>
        <v>open</v>
      </c>
      <c r="C5893" s="182" t="s">
        <v>375</v>
      </c>
      <c r="D5893" t="s">
        <v>8268</v>
      </c>
      <c r="E5893" t="s">
        <v>8480</v>
      </c>
      <c r="F5893" s="183" t="str">
        <f>VLOOKUP(Proc[[#This Row],[Obj]],Sheet5!A:B,2,0)</f>
        <v>O000000005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0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1" t="s">
        <v>6434</v>
      </c>
      <c r="M5893" s="178">
        <v>46057</v>
      </c>
      <c r="N5893" s="178"/>
      <c r="O5893" s="178"/>
      <c r="P5893" s="178" t="str">
        <f ca="1">IF(Proc[[#This Row],[DaysAgeing]]&gt;5,"yep","on track")</f>
        <v>on track</v>
      </c>
      <c r="Q5893" s="3">
        <f ca="1">IF(Proc[[#This Row],[DateClosed]]="",ABS(NETWORKDAYS(Proc[[#This Row],[DateOpened]],TODAY()))-1,ABS(NETWORKDAYS(Proc[[#This Row],[DateOpened]],Proc[[#This Row],[DateClosed]]))-1)</f>
        <v>1</v>
      </c>
      <c r="R5893" s="178" t="s">
        <v>422</v>
      </c>
      <c r="S5893" s="181"/>
    </row>
    <row r="5894" spans="1:19">
      <c r="A5894" s="180" t="s">
        <v>8481</v>
      </c>
      <c r="B5894" s="181" t="str">
        <f>IFERROR(VLOOKUP(Proc[[#This Row],[App]],Table2[],3,0),"open")</f>
        <v>open</v>
      </c>
      <c r="C5894" s="182" t="s">
        <v>375</v>
      </c>
      <c r="D5894" t="s">
        <v>8269</v>
      </c>
      <c r="E5894" t="s">
        <v>8480</v>
      </c>
      <c r="F5894" s="183" t="str">
        <f>VLOOKUP(Proc[[#This Row],[Obj]],Sheet5!A:B,2,0)</f>
        <v>O000000005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0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1" t="s">
        <v>6434</v>
      </c>
      <c r="M5894" s="178">
        <v>46057</v>
      </c>
      <c r="N5894" s="178"/>
      <c r="O5894" s="178"/>
      <c r="P5894" s="178" t="str">
        <f ca="1">IF(Proc[[#This Row],[DaysAgeing]]&gt;5,"yep","on track")</f>
        <v>on track</v>
      </c>
      <c r="Q5894" s="3">
        <f ca="1">IF(Proc[[#This Row],[DateClosed]]="",ABS(NETWORKDAYS(Proc[[#This Row],[DateOpened]],TODAY()))-1,ABS(NETWORKDAYS(Proc[[#This Row],[DateOpened]],Proc[[#This Row],[DateClosed]]))-1)</f>
        <v>1</v>
      </c>
      <c r="R5894" s="178" t="s">
        <v>422</v>
      </c>
      <c r="S5894" s="181"/>
    </row>
    <row r="5895" spans="1:19">
      <c r="A5895" s="180" t="s">
        <v>8481</v>
      </c>
      <c r="B5895" s="181" t="str">
        <f>IFERROR(VLOOKUP(Proc[[#This Row],[App]],Table2[],3,0),"open")</f>
        <v>open</v>
      </c>
      <c r="C5895" s="182" t="s">
        <v>375</v>
      </c>
      <c r="D5895" t="s">
        <v>8270</v>
      </c>
      <c r="E5895" t="s">
        <v>8480</v>
      </c>
      <c r="F5895" s="183" t="str">
        <f>VLOOKUP(Proc[[#This Row],[Obj]],Sheet5!A:B,2,0)</f>
        <v>O000000005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0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1" t="s">
        <v>6434</v>
      </c>
      <c r="M5895" s="178">
        <v>46057</v>
      </c>
      <c r="N5895" s="178"/>
      <c r="O5895" s="178"/>
      <c r="P5895" s="178" t="str">
        <f ca="1">IF(Proc[[#This Row],[DaysAgeing]]&gt;5,"yep","on track")</f>
        <v>on track</v>
      </c>
      <c r="Q5895" s="3">
        <f ca="1">IF(Proc[[#This Row],[DateClosed]]="",ABS(NETWORKDAYS(Proc[[#This Row],[DateOpened]],TODAY()))-1,ABS(NETWORKDAYS(Proc[[#This Row],[DateOpened]],Proc[[#This Row],[DateClosed]]))-1)</f>
        <v>1</v>
      </c>
      <c r="R5895" s="178" t="s">
        <v>422</v>
      </c>
      <c r="S5895" s="181"/>
    </row>
    <row r="5896" spans="1:19">
      <c r="A5896" s="180" t="s">
        <v>8481</v>
      </c>
      <c r="B5896" s="181" t="str">
        <f>IFERROR(VLOOKUP(Proc[[#This Row],[App]],Table2[],3,0),"open")</f>
        <v>open</v>
      </c>
      <c r="C5896" s="182" t="s">
        <v>375</v>
      </c>
      <c r="D5896" t="s">
        <v>8271</v>
      </c>
      <c r="E5896" t="s">
        <v>8480</v>
      </c>
      <c r="F5896" s="183" t="str">
        <f>VLOOKUP(Proc[[#This Row],[Obj]],Sheet5!A:B,2,0)</f>
        <v>O000000005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0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1" t="s">
        <v>6434</v>
      </c>
      <c r="M5896" s="178">
        <v>46057</v>
      </c>
      <c r="N5896" s="178"/>
      <c r="O5896" s="178"/>
      <c r="P5896" s="178" t="str">
        <f ca="1">IF(Proc[[#This Row],[DaysAgeing]]&gt;5,"yep","on track")</f>
        <v>on track</v>
      </c>
      <c r="Q5896" s="3">
        <f ca="1">IF(Proc[[#This Row],[DateClosed]]="",ABS(NETWORKDAYS(Proc[[#This Row],[DateOpened]],TODAY()))-1,ABS(NETWORKDAYS(Proc[[#This Row],[DateOpened]],Proc[[#This Row],[DateClosed]]))-1)</f>
        <v>1</v>
      </c>
      <c r="R5896" s="178" t="s">
        <v>422</v>
      </c>
      <c r="S5896" s="181"/>
    </row>
    <row r="5897" spans="1:19">
      <c r="A5897" s="180" t="s">
        <v>8481</v>
      </c>
      <c r="B5897" s="181" t="str">
        <f>IFERROR(VLOOKUP(Proc[[#This Row],[App]],Table2[],3,0),"open")</f>
        <v>open</v>
      </c>
      <c r="C5897" s="182" t="s">
        <v>375</v>
      </c>
      <c r="D5897" t="s">
        <v>8272</v>
      </c>
      <c r="E5897" t="s">
        <v>8480</v>
      </c>
      <c r="F5897" s="183" t="str">
        <f>VLOOKUP(Proc[[#This Row],[Obj]],Sheet5!A:B,2,0)</f>
        <v>O000000005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0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1" t="s">
        <v>6434</v>
      </c>
      <c r="M5897" s="178">
        <v>46057</v>
      </c>
      <c r="N5897" s="178"/>
      <c r="O5897" s="178"/>
      <c r="P5897" s="178" t="str">
        <f ca="1">IF(Proc[[#This Row],[DaysAgeing]]&gt;5,"yep","on track")</f>
        <v>on track</v>
      </c>
      <c r="Q5897" s="3">
        <f ca="1">IF(Proc[[#This Row],[DateClosed]]="",ABS(NETWORKDAYS(Proc[[#This Row],[DateOpened]],TODAY()))-1,ABS(NETWORKDAYS(Proc[[#This Row],[DateOpened]],Proc[[#This Row],[DateClosed]]))-1)</f>
        <v>1</v>
      </c>
      <c r="R5897" s="178" t="s">
        <v>422</v>
      </c>
      <c r="S5897" s="181"/>
    </row>
    <row r="5898" spans="1:19">
      <c r="A5898" s="180" t="s">
        <v>8481</v>
      </c>
      <c r="B5898" s="181" t="str">
        <f>IFERROR(VLOOKUP(Proc[[#This Row],[App]],Table2[],3,0),"open")</f>
        <v>open</v>
      </c>
      <c r="C5898" s="182" t="s">
        <v>375</v>
      </c>
      <c r="D5898" t="s">
        <v>8273</v>
      </c>
      <c r="E5898" t="s">
        <v>8480</v>
      </c>
      <c r="F5898" s="183" t="str">
        <f>VLOOKUP(Proc[[#This Row],[Obj]],Sheet5!A:B,2,0)</f>
        <v>O000000005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0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1" t="s">
        <v>6434</v>
      </c>
      <c r="M5898" s="178">
        <v>46057</v>
      </c>
      <c r="N5898" s="178"/>
      <c r="O5898" s="178"/>
      <c r="P5898" s="178" t="str">
        <f ca="1">IF(Proc[[#This Row],[DaysAgeing]]&gt;5,"yep","on track")</f>
        <v>on track</v>
      </c>
      <c r="Q5898" s="3">
        <f ca="1">IF(Proc[[#This Row],[DateClosed]]="",ABS(NETWORKDAYS(Proc[[#This Row],[DateOpened]],TODAY()))-1,ABS(NETWORKDAYS(Proc[[#This Row],[DateOpened]],Proc[[#This Row],[DateClosed]]))-1)</f>
        <v>1</v>
      </c>
      <c r="R5898" s="178" t="s">
        <v>422</v>
      </c>
      <c r="S5898" s="181"/>
    </row>
    <row r="5899" spans="1:19">
      <c r="A5899" s="180" t="s">
        <v>8481</v>
      </c>
      <c r="B5899" s="181" t="str">
        <f>IFERROR(VLOOKUP(Proc[[#This Row],[App]],Table2[],3,0),"open")</f>
        <v>open</v>
      </c>
      <c r="C5899" s="182" t="s">
        <v>375</v>
      </c>
      <c r="D5899" t="s">
        <v>8274</v>
      </c>
      <c r="E5899" t="s">
        <v>8480</v>
      </c>
      <c r="F5899" s="183" t="str">
        <f>VLOOKUP(Proc[[#This Row],[Obj]],Sheet5!A:B,2,0)</f>
        <v>O000000005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0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1" t="s">
        <v>6434</v>
      </c>
      <c r="M5899" s="178">
        <v>46057</v>
      </c>
      <c r="N5899" s="178"/>
      <c r="O5899" s="178"/>
      <c r="P5899" s="178" t="str">
        <f ca="1">IF(Proc[[#This Row],[DaysAgeing]]&gt;5,"yep","on track")</f>
        <v>on track</v>
      </c>
      <c r="Q5899" s="3">
        <f ca="1">IF(Proc[[#This Row],[DateClosed]]="",ABS(NETWORKDAYS(Proc[[#This Row],[DateOpened]],TODAY()))-1,ABS(NETWORKDAYS(Proc[[#This Row],[DateOpened]],Proc[[#This Row],[DateClosed]]))-1)</f>
        <v>1</v>
      </c>
      <c r="R5899" s="178" t="s">
        <v>422</v>
      </c>
      <c r="S5899" s="181"/>
    </row>
    <row r="5900" spans="1:19">
      <c r="A5900" s="180" t="s">
        <v>8481</v>
      </c>
      <c r="B5900" s="181" t="str">
        <f>IFERROR(VLOOKUP(Proc[[#This Row],[App]],Table2[],3,0),"open")</f>
        <v>open</v>
      </c>
      <c r="C5900" s="182" t="s">
        <v>375</v>
      </c>
      <c r="D5900" t="s">
        <v>8275</v>
      </c>
      <c r="E5900" t="s">
        <v>8480</v>
      </c>
      <c r="F5900" s="183" t="str">
        <f>VLOOKUP(Proc[[#This Row],[Obj]],Sheet5!A:B,2,0)</f>
        <v>O000000005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0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1" t="s">
        <v>6434</v>
      </c>
      <c r="M5900" s="178">
        <v>46057</v>
      </c>
      <c r="N5900" s="178"/>
      <c r="O5900" s="178"/>
      <c r="P5900" s="178" t="str">
        <f ca="1">IF(Proc[[#This Row],[DaysAgeing]]&gt;5,"yep","on track")</f>
        <v>on track</v>
      </c>
      <c r="Q5900" s="3">
        <f ca="1">IF(Proc[[#This Row],[DateClosed]]="",ABS(NETWORKDAYS(Proc[[#This Row],[DateOpened]],TODAY()))-1,ABS(NETWORKDAYS(Proc[[#This Row],[DateOpened]],Proc[[#This Row],[DateClosed]]))-1)</f>
        <v>1</v>
      </c>
      <c r="R5900" s="178" t="s">
        <v>422</v>
      </c>
      <c r="S5900" s="181"/>
    </row>
    <row r="5901" spans="1:19">
      <c r="A5901" s="180" t="s">
        <v>8481</v>
      </c>
      <c r="B5901" s="181" t="str">
        <f>IFERROR(VLOOKUP(Proc[[#This Row],[App]],Table2[],3,0),"open")</f>
        <v>open</v>
      </c>
      <c r="C5901" s="182" t="s">
        <v>375</v>
      </c>
      <c r="D5901" t="s">
        <v>8276</v>
      </c>
      <c r="E5901" t="s">
        <v>8480</v>
      </c>
      <c r="F5901" s="183" t="str">
        <f>VLOOKUP(Proc[[#This Row],[Obj]],Sheet5!A:B,2,0)</f>
        <v>O000000005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0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1" t="s">
        <v>6434</v>
      </c>
      <c r="M5901" s="178">
        <v>46057</v>
      </c>
      <c r="N5901" s="178"/>
      <c r="O5901" s="178"/>
      <c r="P5901" s="178" t="str">
        <f ca="1">IF(Proc[[#This Row],[DaysAgeing]]&gt;5,"yep","on track")</f>
        <v>on track</v>
      </c>
      <c r="Q5901" s="3">
        <f ca="1">IF(Proc[[#This Row],[DateClosed]]="",ABS(NETWORKDAYS(Proc[[#This Row],[DateOpened]],TODAY()))-1,ABS(NETWORKDAYS(Proc[[#This Row],[DateOpened]],Proc[[#This Row],[DateClosed]]))-1)</f>
        <v>1</v>
      </c>
      <c r="R5901" s="178" t="s">
        <v>422</v>
      </c>
      <c r="S5901" s="181"/>
    </row>
    <row r="5902" spans="1:19">
      <c r="A5902" s="180" t="s">
        <v>8481</v>
      </c>
      <c r="B5902" s="181" t="str">
        <f>IFERROR(VLOOKUP(Proc[[#This Row],[App]],Table2[],3,0),"open")</f>
        <v>open</v>
      </c>
      <c r="C5902" s="182" t="s">
        <v>375</v>
      </c>
      <c r="D5902" t="s">
        <v>8277</v>
      </c>
      <c r="E5902" t="s">
        <v>8480</v>
      </c>
      <c r="F5902" s="183" t="str">
        <f>VLOOKUP(Proc[[#This Row],[Obj]],Sheet5!A:B,2,0)</f>
        <v>O000000005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0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1" t="s">
        <v>6434</v>
      </c>
      <c r="M5902" s="178">
        <v>46057</v>
      </c>
      <c r="N5902" s="178"/>
      <c r="O5902" s="178"/>
      <c r="P5902" s="178" t="str">
        <f ca="1">IF(Proc[[#This Row],[DaysAgeing]]&gt;5,"yep","on track")</f>
        <v>on track</v>
      </c>
      <c r="Q5902" s="3">
        <f ca="1">IF(Proc[[#This Row],[DateClosed]]="",ABS(NETWORKDAYS(Proc[[#This Row],[DateOpened]],TODAY()))-1,ABS(NETWORKDAYS(Proc[[#This Row],[DateOpened]],Proc[[#This Row],[DateClosed]]))-1)</f>
        <v>1</v>
      </c>
      <c r="R5902" s="178" t="s">
        <v>422</v>
      </c>
      <c r="S5902" s="181"/>
    </row>
    <row r="5903" spans="1:19">
      <c r="A5903" s="180" t="s">
        <v>8481</v>
      </c>
      <c r="B5903" s="181" t="str">
        <f>IFERROR(VLOOKUP(Proc[[#This Row],[App]],Table2[],3,0),"open")</f>
        <v>open</v>
      </c>
      <c r="C5903" s="182" t="s">
        <v>375</v>
      </c>
      <c r="D5903" t="s">
        <v>8278</v>
      </c>
      <c r="E5903" t="s">
        <v>8480</v>
      </c>
      <c r="F5903" s="183" t="str">
        <f>VLOOKUP(Proc[[#This Row],[Obj]],Sheet5!A:B,2,0)</f>
        <v>O000000005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0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1" t="s">
        <v>6434</v>
      </c>
      <c r="M5903" s="178">
        <v>46057</v>
      </c>
      <c r="N5903" s="178"/>
      <c r="O5903" s="178"/>
      <c r="P5903" s="178" t="str">
        <f ca="1">IF(Proc[[#This Row],[DaysAgeing]]&gt;5,"yep","on track")</f>
        <v>on track</v>
      </c>
      <c r="Q5903" s="3">
        <f ca="1">IF(Proc[[#This Row],[DateClosed]]="",ABS(NETWORKDAYS(Proc[[#This Row],[DateOpened]],TODAY()))-1,ABS(NETWORKDAYS(Proc[[#This Row],[DateOpened]],Proc[[#This Row],[DateClosed]]))-1)</f>
        <v>1</v>
      </c>
      <c r="R5903" s="178" t="s">
        <v>422</v>
      </c>
      <c r="S5903" s="181"/>
    </row>
    <row r="5904" spans="1:19">
      <c r="A5904" s="180" t="s">
        <v>8481</v>
      </c>
      <c r="B5904" s="181" t="str">
        <f>IFERROR(VLOOKUP(Proc[[#This Row],[App]],Table2[],3,0),"open")</f>
        <v>open</v>
      </c>
      <c r="C5904" s="182" t="s">
        <v>375</v>
      </c>
      <c r="D5904" t="s">
        <v>8279</v>
      </c>
      <c r="E5904" t="s">
        <v>8480</v>
      </c>
      <c r="F5904" s="183" t="str">
        <f>VLOOKUP(Proc[[#This Row],[Obj]],Sheet5!A:B,2,0)</f>
        <v>O000000005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0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1" t="s">
        <v>6434</v>
      </c>
      <c r="M5904" s="178">
        <v>46057</v>
      </c>
      <c r="N5904" s="178"/>
      <c r="O5904" s="178"/>
      <c r="P5904" s="178" t="str">
        <f ca="1">IF(Proc[[#This Row],[DaysAgeing]]&gt;5,"yep","on track")</f>
        <v>on track</v>
      </c>
      <c r="Q5904" s="3">
        <f ca="1">IF(Proc[[#This Row],[DateClosed]]="",ABS(NETWORKDAYS(Proc[[#This Row],[DateOpened]],TODAY()))-1,ABS(NETWORKDAYS(Proc[[#This Row],[DateOpened]],Proc[[#This Row],[DateClosed]]))-1)</f>
        <v>1</v>
      </c>
      <c r="R5904" s="178" t="s">
        <v>422</v>
      </c>
      <c r="S5904" s="181"/>
    </row>
    <row r="5905" spans="1:19">
      <c r="A5905" s="180" t="s">
        <v>8481</v>
      </c>
      <c r="B5905" s="181" t="str">
        <f>IFERROR(VLOOKUP(Proc[[#This Row],[App]],Table2[],3,0),"open")</f>
        <v>open</v>
      </c>
      <c r="C5905" s="182" t="s">
        <v>375</v>
      </c>
      <c r="D5905" t="s">
        <v>8280</v>
      </c>
      <c r="E5905" t="s">
        <v>8480</v>
      </c>
      <c r="F5905" s="183" t="str">
        <f>VLOOKUP(Proc[[#This Row],[Obj]],Sheet5!A:B,2,0)</f>
        <v>O000000005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0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1" t="s">
        <v>6434</v>
      </c>
      <c r="M5905" s="178">
        <v>46057</v>
      </c>
      <c r="N5905" s="178"/>
      <c r="O5905" s="178"/>
      <c r="P5905" s="178" t="str">
        <f ca="1">IF(Proc[[#This Row],[DaysAgeing]]&gt;5,"yep","on track")</f>
        <v>on track</v>
      </c>
      <c r="Q5905" s="3">
        <f ca="1">IF(Proc[[#This Row],[DateClosed]]="",ABS(NETWORKDAYS(Proc[[#This Row],[DateOpened]],TODAY()))-1,ABS(NETWORKDAYS(Proc[[#This Row],[DateOpened]],Proc[[#This Row],[DateClosed]]))-1)</f>
        <v>1</v>
      </c>
      <c r="R5905" s="178" t="s">
        <v>422</v>
      </c>
      <c r="S5905" s="181"/>
    </row>
    <row r="5906" spans="1:19">
      <c r="A5906" s="180" t="s">
        <v>8481</v>
      </c>
      <c r="B5906" s="181" t="str">
        <f>IFERROR(VLOOKUP(Proc[[#This Row],[App]],Table2[],3,0),"open")</f>
        <v>open</v>
      </c>
      <c r="C5906" s="182" t="s">
        <v>375</v>
      </c>
      <c r="D5906" t="s">
        <v>8281</v>
      </c>
      <c r="E5906" t="s">
        <v>8480</v>
      </c>
      <c r="F5906" s="183" t="str">
        <f>VLOOKUP(Proc[[#This Row],[Obj]],Sheet5!A:B,2,0)</f>
        <v>O000000005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0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1" t="s">
        <v>6434</v>
      </c>
      <c r="M5906" s="178">
        <v>46057</v>
      </c>
      <c r="N5906" s="178"/>
      <c r="O5906" s="178"/>
      <c r="P5906" s="178" t="str">
        <f ca="1">IF(Proc[[#This Row],[DaysAgeing]]&gt;5,"yep","on track")</f>
        <v>on track</v>
      </c>
      <c r="Q5906" s="3">
        <f ca="1">IF(Proc[[#This Row],[DateClosed]]="",ABS(NETWORKDAYS(Proc[[#This Row],[DateOpened]],TODAY()))-1,ABS(NETWORKDAYS(Proc[[#This Row],[DateOpened]],Proc[[#This Row],[DateClosed]]))-1)</f>
        <v>1</v>
      </c>
      <c r="R5906" s="178" t="s">
        <v>422</v>
      </c>
      <c r="S5906" s="181"/>
    </row>
    <row r="5907" spans="1:19">
      <c r="A5907" s="180" t="s">
        <v>8481</v>
      </c>
      <c r="B5907" s="181" t="str">
        <f>IFERROR(VLOOKUP(Proc[[#This Row],[App]],Table2[],3,0),"open")</f>
        <v>open</v>
      </c>
      <c r="C5907" s="182" t="s">
        <v>375</v>
      </c>
      <c r="D5907" t="s">
        <v>8282</v>
      </c>
      <c r="E5907" t="s">
        <v>8480</v>
      </c>
      <c r="F5907" s="183" t="str">
        <f>VLOOKUP(Proc[[#This Row],[Obj]],Sheet5!A:B,2,0)</f>
        <v>O000000005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0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1" t="s">
        <v>6434</v>
      </c>
      <c r="M5907" s="178">
        <v>46057</v>
      </c>
      <c r="N5907" s="178"/>
      <c r="O5907" s="178"/>
      <c r="P5907" s="178" t="str">
        <f ca="1">IF(Proc[[#This Row],[DaysAgeing]]&gt;5,"yep","on track")</f>
        <v>on track</v>
      </c>
      <c r="Q5907" s="3">
        <f ca="1">IF(Proc[[#This Row],[DateClosed]]="",ABS(NETWORKDAYS(Proc[[#This Row],[DateOpened]],TODAY()))-1,ABS(NETWORKDAYS(Proc[[#This Row],[DateOpened]],Proc[[#This Row],[DateClosed]]))-1)</f>
        <v>1</v>
      </c>
      <c r="R5907" s="178" t="s">
        <v>422</v>
      </c>
      <c r="S5907" s="181"/>
    </row>
    <row r="5908" spans="1:19">
      <c r="A5908" s="180" t="s">
        <v>8481</v>
      </c>
      <c r="B5908" s="181" t="str">
        <f>IFERROR(VLOOKUP(Proc[[#This Row],[App]],Table2[],3,0),"open")</f>
        <v>open</v>
      </c>
      <c r="C5908" s="182" t="s">
        <v>375</v>
      </c>
      <c r="D5908" t="s">
        <v>8283</v>
      </c>
      <c r="E5908" t="s">
        <v>8480</v>
      </c>
      <c r="F5908" s="183" t="str">
        <f>VLOOKUP(Proc[[#This Row],[Obj]],Sheet5!A:B,2,0)</f>
        <v>O000000005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0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1" t="s">
        <v>6434</v>
      </c>
      <c r="M5908" s="178">
        <v>46057</v>
      </c>
      <c r="N5908" s="178"/>
      <c r="O5908" s="178"/>
      <c r="P5908" s="178" t="str">
        <f ca="1">IF(Proc[[#This Row],[DaysAgeing]]&gt;5,"yep","on track")</f>
        <v>on track</v>
      </c>
      <c r="Q5908" s="3">
        <f ca="1">IF(Proc[[#This Row],[DateClosed]]="",ABS(NETWORKDAYS(Proc[[#This Row],[DateOpened]],TODAY()))-1,ABS(NETWORKDAYS(Proc[[#This Row],[DateOpened]],Proc[[#This Row],[DateClosed]]))-1)</f>
        <v>1</v>
      </c>
      <c r="R5908" s="178" t="s">
        <v>422</v>
      </c>
      <c r="S5908" s="181"/>
    </row>
    <row r="5909" spans="1:19">
      <c r="A5909" s="180" t="s">
        <v>8481</v>
      </c>
      <c r="B5909" s="181" t="str">
        <f>IFERROR(VLOOKUP(Proc[[#This Row],[App]],Table2[],3,0),"open")</f>
        <v>open</v>
      </c>
      <c r="C5909" s="182" t="s">
        <v>375</v>
      </c>
      <c r="D5909" t="s">
        <v>8284</v>
      </c>
      <c r="E5909" t="s">
        <v>8480</v>
      </c>
      <c r="F5909" s="183" t="str">
        <f>VLOOKUP(Proc[[#This Row],[Obj]],Sheet5!A:B,2,0)</f>
        <v>O000000005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0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1" t="s">
        <v>6434</v>
      </c>
      <c r="M5909" s="178">
        <v>46057</v>
      </c>
      <c r="N5909" s="178"/>
      <c r="O5909" s="178"/>
      <c r="P5909" s="178" t="str">
        <f ca="1">IF(Proc[[#This Row],[DaysAgeing]]&gt;5,"yep","on track")</f>
        <v>on track</v>
      </c>
      <c r="Q5909" s="3">
        <f ca="1">IF(Proc[[#This Row],[DateClosed]]="",ABS(NETWORKDAYS(Proc[[#This Row],[DateOpened]],TODAY()))-1,ABS(NETWORKDAYS(Proc[[#This Row],[DateOpened]],Proc[[#This Row],[DateClosed]]))-1)</f>
        <v>1</v>
      </c>
      <c r="R5909" s="178" t="s">
        <v>422</v>
      </c>
      <c r="S5909" s="181"/>
    </row>
    <row r="5910" spans="1:19">
      <c r="A5910" s="180" t="s">
        <v>8481</v>
      </c>
      <c r="B5910" s="181" t="str">
        <f>IFERROR(VLOOKUP(Proc[[#This Row],[App]],Table2[],3,0),"open")</f>
        <v>open</v>
      </c>
      <c r="C5910" s="182" t="s">
        <v>375</v>
      </c>
      <c r="D5910" t="s">
        <v>8285</v>
      </c>
      <c r="E5910" t="s">
        <v>8480</v>
      </c>
      <c r="F5910" s="183" t="str">
        <f>VLOOKUP(Proc[[#This Row],[Obj]],Sheet5!A:B,2,0)</f>
        <v>O000000005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0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1" t="s">
        <v>6434</v>
      </c>
      <c r="M5910" s="178">
        <v>46057</v>
      </c>
      <c r="N5910" s="178"/>
      <c r="O5910" s="178"/>
      <c r="P5910" s="178" t="str">
        <f ca="1">IF(Proc[[#This Row],[DaysAgeing]]&gt;5,"yep","on track")</f>
        <v>on track</v>
      </c>
      <c r="Q5910" s="3">
        <f ca="1">IF(Proc[[#This Row],[DateClosed]]="",ABS(NETWORKDAYS(Proc[[#This Row],[DateOpened]],TODAY()))-1,ABS(NETWORKDAYS(Proc[[#This Row],[DateOpened]],Proc[[#This Row],[DateClosed]]))-1)</f>
        <v>1</v>
      </c>
      <c r="R5910" s="178" t="s">
        <v>422</v>
      </c>
      <c r="S5910" s="181"/>
    </row>
    <row r="5911" spans="1:19">
      <c r="A5911" s="180" t="s">
        <v>8481</v>
      </c>
      <c r="B5911" s="181" t="str">
        <f>IFERROR(VLOOKUP(Proc[[#This Row],[App]],Table2[],3,0),"open")</f>
        <v>open</v>
      </c>
      <c r="C5911" s="182" t="s">
        <v>375</v>
      </c>
      <c r="D5911" t="s">
        <v>8286</v>
      </c>
      <c r="E5911" t="s">
        <v>8480</v>
      </c>
      <c r="F5911" s="183" t="str">
        <f>VLOOKUP(Proc[[#This Row],[Obj]],Sheet5!A:B,2,0)</f>
        <v>O000000005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0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1" t="s">
        <v>6434</v>
      </c>
      <c r="M5911" s="178">
        <v>46057</v>
      </c>
      <c r="N5911" s="178"/>
      <c r="O5911" s="178"/>
      <c r="P5911" s="178" t="str">
        <f ca="1">IF(Proc[[#This Row],[DaysAgeing]]&gt;5,"yep","on track")</f>
        <v>on track</v>
      </c>
      <c r="Q5911" s="3">
        <f ca="1">IF(Proc[[#This Row],[DateClosed]]="",ABS(NETWORKDAYS(Proc[[#This Row],[DateOpened]],TODAY()))-1,ABS(NETWORKDAYS(Proc[[#This Row],[DateOpened]],Proc[[#This Row],[DateClosed]]))-1)</f>
        <v>1</v>
      </c>
      <c r="R5911" s="178" t="s">
        <v>422</v>
      </c>
      <c r="S5911" s="181"/>
    </row>
    <row r="5912" spans="1:19">
      <c r="A5912" s="180" t="s">
        <v>8481</v>
      </c>
      <c r="B5912" s="181" t="str">
        <f>IFERROR(VLOOKUP(Proc[[#This Row],[App]],Table2[],3,0),"open")</f>
        <v>open</v>
      </c>
      <c r="C5912" s="182" t="s">
        <v>375</v>
      </c>
      <c r="D5912" t="s">
        <v>8287</v>
      </c>
      <c r="E5912" t="s">
        <v>8480</v>
      </c>
      <c r="F5912" s="183" t="str">
        <f>VLOOKUP(Proc[[#This Row],[Obj]],Sheet5!A:B,2,0)</f>
        <v>O000000005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0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1" t="s">
        <v>6434</v>
      </c>
      <c r="M5912" s="178">
        <v>46057</v>
      </c>
      <c r="N5912" s="178"/>
      <c r="O5912" s="178"/>
      <c r="P5912" s="178" t="str">
        <f ca="1">IF(Proc[[#This Row],[DaysAgeing]]&gt;5,"yep","on track")</f>
        <v>on track</v>
      </c>
      <c r="Q5912" s="3">
        <f ca="1">IF(Proc[[#This Row],[DateClosed]]="",ABS(NETWORKDAYS(Proc[[#This Row],[DateOpened]],TODAY()))-1,ABS(NETWORKDAYS(Proc[[#This Row],[DateOpened]],Proc[[#This Row],[DateClosed]]))-1)</f>
        <v>1</v>
      </c>
      <c r="R5912" s="178" t="s">
        <v>422</v>
      </c>
      <c r="S5912" s="181"/>
    </row>
    <row r="5913" spans="1:19">
      <c r="A5913" s="180" t="s">
        <v>8481</v>
      </c>
      <c r="B5913" s="181" t="str">
        <f>IFERROR(VLOOKUP(Proc[[#This Row],[App]],Table2[],3,0),"open")</f>
        <v>open</v>
      </c>
      <c r="C5913" s="182" t="s">
        <v>375</v>
      </c>
      <c r="D5913" t="s">
        <v>8288</v>
      </c>
      <c r="E5913" t="s">
        <v>8480</v>
      </c>
      <c r="F5913" s="183" t="str">
        <f>VLOOKUP(Proc[[#This Row],[Obj]],Sheet5!A:B,2,0)</f>
        <v>O000000005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0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1" t="s">
        <v>6434</v>
      </c>
      <c r="M5913" s="178">
        <v>46057</v>
      </c>
      <c r="N5913" s="178"/>
      <c r="O5913" s="178"/>
      <c r="P5913" s="178" t="str">
        <f ca="1">IF(Proc[[#This Row],[DaysAgeing]]&gt;5,"yep","on track")</f>
        <v>on track</v>
      </c>
      <c r="Q5913" s="3">
        <f ca="1">IF(Proc[[#This Row],[DateClosed]]="",ABS(NETWORKDAYS(Proc[[#This Row],[DateOpened]],TODAY()))-1,ABS(NETWORKDAYS(Proc[[#This Row],[DateOpened]],Proc[[#This Row],[DateClosed]]))-1)</f>
        <v>1</v>
      </c>
      <c r="R5913" s="178" t="s">
        <v>422</v>
      </c>
      <c r="S5913" s="181"/>
    </row>
    <row r="5914" spans="1:19">
      <c r="A5914" s="180" t="s">
        <v>8481</v>
      </c>
      <c r="B5914" s="181" t="str">
        <f>IFERROR(VLOOKUP(Proc[[#This Row],[App]],Table2[],3,0),"open")</f>
        <v>open</v>
      </c>
      <c r="C5914" s="182" t="s">
        <v>375</v>
      </c>
      <c r="D5914" t="s">
        <v>8289</v>
      </c>
      <c r="E5914" t="s">
        <v>8480</v>
      </c>
      <c r="F5914" s="183" t="str">
        <f>VLOOKUP(Proc[[#This Row],[Obj]],Sheet5!A:B,2,0)</f>
        <v>O000000005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0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1" t="s">
        <v>6434</v>
      </c>
      <c r="M5914" s="178">
        <v>46057</v>
      </c>
      <c r="N5914" s="178"/>
      <c r="O5914" s="178"/>
      <c r="P5914" s="178" t="str">
        <f ca="1">IF(Proc[[#This Row],[DaysAgeing]]&gt;5,"yep","on track")</f>
        <v>on track</v>
      </c>
      <c r="Q5914" s="3">
        <f ca="1">IF(Proc[[#This Row],[DateClosed]]="",ABS(NETWORKDAYS(Proc[[#This Row],[DateOpened]],TODAY()))-1,ABS(NETWORKDAYS(Proc[[#This Row],[DateOpened]],Proc[[#This Row],[DateClosed]]))-1)</f>
        <v>1</v>
      </c>
      <c r="R5914" s="178" t="s">
        <v>422</v>
      </c>
      <c r="S5914" s="181"/>
    </row>
    <row r="5915" spans="1:19">
      <c r="A5915" s="180" t="s">
        <v>8481</v>
      </c>
      <c r="B5915" s="181" t="str">
        <f>IFERROR(VLOOKUP(Proc[[#This Row],[App]],Table2[],3,0),"open")</f>
        <v>open</v>
      </c>
      <c r="C5915" s="182" t="s">
        <v>375</v>
      </c>
      <c r="D5915" t="s">
        <v>8290</v>
      </c>
      <c r="E5915" t="s">
        <v>8480</v>
      </c>
      <c r="F5915" s="183" t="str">
        <f>VLOOKUP(Proc[[#This Row],[Obj]],Sheet5!A:B,2,0)</f>
        <v>O000000005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0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1" t="s">
        <v>6434</v>
      </c>
      <c r="M5915" s="178">
        <v>46057</v>
      </c>
      <c r="N5915" s="178"/>
      <c r="O5915" s="178"/>
      <c r="P5915" s="178" t="str">
        <f ca="1">IF(Proc[[#This Row],[DaysAgeing]]&gt;5,"yep","on track")</f>
        <v>on track</v>
      </c>
      <c r="Q5915" s="3">
        <f ca="1">IF(Proc[[#This Row],[DateClosed]]="",ABS(NETWORKDAYS(Proc[[#This Row],[DateOpened]],TODAY()))-1,ABS(NETWORKDAYS(Proc[[#This Row],[DateOpened]],Proc[[#This Row],[DateClosed]]))-1)</f>
        <v>1</v>
      </c>
      <c r="R5915" s="178" t="s">
        <v>422</v>
      </c>
      <c r="S5915" s="181"/>
    </row>
    <row r="5916" spans="1:19">
      <c r="A5916" s="180" t="s">
        <v>8481</v>
      </c>
      <c r="B5916" s="181" t="str">
        <f>IFERROR(VLOOKUP(Proc[[#This Row],[App]],Table2[],3,0),"open")</f>
        <v>open</v>
      </c>
      <c r="C5916" s="182" t="s">
        <v>375</v>
      </c>
      <c r="D5916" t="s">
        <v>8291</v>
      </c>
      <c r="E5916" t="s">
        <v>8480</v>
      </c>
      <c r="F5916" s="183" t="str">
        <f>VLOOKUP(Proc[[#This Row],[Obj]],Sheet5!A:B,2,0)</f>
        <v>O000000005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0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1" t="s">
        <v>6434</v>
      </c>
      <c r="M5916" s="178">
        <v>46057</v>
      </c>
      <c r="N5916" s="178"/>
      <c r="O5916" s="178"/>
      <c r="P5916" s="178" t="str">
        <f ca="1">IF(Proc[[#This Row],[DaysAgeing]]&gt;5,"yep","on track")</f>
        <v>on track</v>
      </c>
      <c r="Q5916" s="3">
        <f ca="1">IF(Proc[[#This Row],[DateClosed]]="",ABS(NETWORKDAYS(Proc[[#This Row],[DateOpened]],TODAY()))-1,ABS(NETWORKDAYS(Proc[[#This Row],[DateOpened]],Proc[[#This Row],[DateClosed]]))-1)</f>
        <v>1</v>
      </c>
      <c r="R5916" s="178" t="s">
        <v>422</v>
      </c>
      <c r="S5916" s="181"/>
    </row>
    <row r="5917" spans="1:19">
      <c r="A5917" s="180" t="s">
        <v>8481</v>
      </c>
      <c r="B5917" s="181" t="str">
        <f>IFERROR(VLOOKUP(Proc[[#This Row],[App]],Table2[],3,0),"open")</f>
        <v>open</v>
      </c>
      <c r="C5917" s="182" t="s">
        <v>375</v>
      </c>
      <c r="D5917" t="s">
        <v>8292</v>
      </c>
      <c r="E5917" t="s">
        <v>8480</v>
      </c>
      <c r="F5917" s="183" t="str">
        <f>VLOOKUP(Proc[[#This Row],[Obj]],Sheet5!A:B,2,0)</f>
        <v>O000000005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0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1" t="s">
        <v>6434</v>
      </c>
      <c r="M5917" s="178">
        <v>46057</v>
      </c>
      <c r="N5917" s="178"/>
      <c r="O5917" s="178"/>
      <c r="P5917" s="178" t="str">
        <f ca="1">IF(Proc[[#This Row],[DaysAgeing]]&gt;5,"yep","on track")</f>
        <v>on track</v>
      </c>
      <c r="Q5917" s="3">
        <f ca="1">IF(Proc[[#This Row],[DateClosed]]="",ABS(NETWORKDAYS(Proc[[#This Row],[DateOpened]],TODAY()))-1,ABS(NETWORKDAYS(Proc[[#This Row],[DateOpened]],Proc[[#This Row],[DateClosed]]))-1)</f>
        <v>1</v>
      </c>
      <c r="R5917" s="178" t="s">
        <v>422</v>
      </c>
      <c r="S5917" s="181"/>
    </row>
    <row r="5918" spans="1:19">
      <c r="A5918" s="180" t="s">
        <v>8481</v>
      </c>
      <c r="B5918" s="181" t="str">
        <f>IFERROR(VLOOKUP(Proc[[#This Row],[App]],Table2[],3,0),"open")</f>
        <v>open</v>
      </c>
      <c r="C5918" s="182" t="s">
        <v>375</v>
      </c>
      <c r="D5918" t="s">
        <v>8293</v>
      </c>
      <c r="E5918" t="s">
        <v>8480</v>
      </c>
      <c r="F5918" s="183" t="str">
        <f>VLOOKUP(Proc[[#This Row],[Obj]],Sheet5!A:B,2,0)</f>
        <v>O000000005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0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1" t="s">
        <v>6434</v>
      </c>
      <c r="M5918" s="178">
        <v>46057</v>
      </c>
      <c r="N5918" s="178"/>
      <c r="O5918" s="178"/>
      <c r="P5918" s="178" t="str">
        <f ca="1">IF(Proc[[#This Row],[DaysAgeing]]&gt;5,"yep","on track")</f>
        <v>on track</v>
      </c>
      <c r="Q5918" s="3">
        <f ca="1">IF(Proc[[#This Row],[DateClosed]]="",ABS(NETWORKDAYS(Proc[[#This Row],[DateOpened]],TODAY()))-1,ABS(NETWORKDAYS(Proc[[#This Row],[DateOpened]],Proc[[#This Row],[DateClosed]]))-1)</f>
        <v>1</v>
      </c>
      <c r="R5918" s="178" t="s">
        <v>422</v>
      </c>
      <c r="S5918" s="181"/>
    </row>
    <row r="5919" spans="1:19">
      <c r="A5919" s="180" t="s">
        <v>8481</v>
      </c>
      <c r="B5919" s="181" t="str">
        <f>IFERROR(VLOOKUP(Proc[[#This Row],[App]],Table2[],3,0),"open")</f>
        <v>open</v>
      </c>
      <c r="C5919" s="182" t="s">
        <v>375</v>
      </c>
      <c r="D5919" t="s">
        <v>8294</v>
      </c>
      <c r="E5919" t="s">
        <v>8480</v>
      </c>
      <c r="F5919" s="183" t="str">
        <f>VLOOKUP(Proc[[#This Row],[Obj]],Sheet5!A:B,2,0)</f>
        <v>O000000005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0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1" t="s">
        <v>6434</v>
      </c>
      <c r="M5919" s="178">
        <v>46057</v>
      </c>
      <c r="N5919" s="178"/>
      <c r="O5919" s="178"/>
      <c r="P5919" s="178" t="str">
        <f ca="1">IF(Proc[[#This Row],[DaysAgeing]]&gt;5,"yep","on track")</f>
        <v>on track</v>
      </c>
      <c r="Q5919" s="3">
        <f ca="1">IF(Proc[[#This Row],[DateClosed]]="",ABS(NETWORKDAYS(Proc[[#This Row],[DateOpened]],TODAY()))-1,ABS(NETWORKDAYS(Proc[[#This Row],[DateOpened]],Proc[[#This Row],[DateClosed]]))-1)</f>
        <v>1</v>
      </c>
      <c r="R5919" s="178" t="s">
        <v>422</v>
      </c>
      <c r="S5919" s="181"/>
    </row>
    <row r="5920" spans="1:19">
      <c r="A5920" s="180" t="s">
        <v>8481</v>
      </c>
      <c r="B5920" s="181" t="str">
        <f>IFERROR(VLOOKUP(Proc[[#This Row],[App]],Table2[],3,0),"open")</f>
        <v>open</v>
      </c>
      <c r="C5920" s="182" t="s">
        <v>375</v>
      </c>
      <c r="D5920" t="s">
        <v>8295</v>
      </c>
      <c r="E5920" t="s">
        <v>8480</v>
      </c>
      <c r="F5920" s="183" t="str">
        <f>VLOOKUP(Proc[[#This Row],[Obj]],Sheet5!A:B,2,0)</f>
        <v>O000000005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0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1" t="s">
        <v>6434</v>
      </c>
      <c r="M5920" s="178">
        <v>46057</v>
      </c>
      <c r="N5920" s="178"/>
      <c r="O5920" s="178"/>
      <c r="P5920" s="178" t="str">
        <f ca="1">IF(Proc[[#This Row],[DaysAgeing]]&gt;5,"yep","on track")</f>
        <v>on track</v>
      </c>
      <c r="Q5920" s="3">
        <f ca="1">IF(Proc[[#This Row],[DateClosed]]="",ABS(NETWORKDAYS(Proc[[#This Row],[DateOpened]],TODAY()))-1,ABS(NETWORKDAYS(Proc[[#This Row],[DateOpened]],Proc[[#This Row],[DateClosed]]))-1)</f>
        <v>1</v>
      </c>
      <c r="R5920" s="178" t="s">
        <v>422</v>
      </c>
      <c r="S5920" s="181"/>
    </row>
    <row r="5921" spans="1:19">
      <c r="A5921" s="180" t="s">
        <v>8481</v>
      </c>
      <c r="B5921" s="181" t="str">
        <f>IFERROR(VLOOKUP(Proc[[#This Row],[App]],Table2[],3,0),"open")</f>
        <v>open</v>
      </c>
      <c r="C5921" s="182" t="s">
        <v>375</v>
      </c>
      <c r="D5921" t="s">
        <v>8296</v>
      </c>
      <c r="E5921" t="s">
        <v>8480</v>
      </c>
      <c r="F5921" s="183" t="str">
        <f>VLOOKUP(Proc[[#This Row],[Obj]],Sheet5!A:B,2,0)</f>
        <v>O000000005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0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1" t="s">
        <v>6434</v>
      </c>
      <c r="M5921" s="178">
        <v>46057</v>
      </c>
      <c r="N5921" s="178"/>
      <c r="O5921" s="178"/>
      <c r="P5921" s="178" t="str">
        <f ca="1">IF(Proc[[#This Row],[DaysAgeing]]&gt;5,"yep","on track")</f>
        <v>on track</v>
      </c>
      <c r="Q5921" s="3">
        <f ca="1">IF(Proc[[#This Row],[DateClosed]]="",ABS(NETWORKDAYS(Proc[[#This Row],[DateOpened]],TODAY()))-1,ABS(NETWORKDAYS(Proc[[#This Row],[DateOpened]],Proc[[#This Row],[DateClosed]]))-1)</f>
        <v>1</v>
      </c>
      <c r="R5921" s="178" t="s">
        <v>422</v>
      </c>
      <c r="S5921" s="181"/>
    </row>
    <row r="5922" spans="1:19">
      <c r="A5922" s="180" t="s">
        <v>8481</v>
      </c>
      <c r="B5922" s="181" t="str">
        <f>IFERROR(VLOOKUP(Proc[[#This Row],[App]],Table2[],3,0),"open")</f>
        <v>open</v>
      </c>
      <c r="C5922" s="182" t="s">
        <v>375</v>
      </c>
      <c r="D5922" t="s">
        <v>8297</v>
      </c>
      <c r="E5922" t="s">
        <v>8480</v>
      </c>
      <c r="F5922" s="183" t="str">
        <f>VLOOKUP(Proc[[#This Row],[Obj]],Sheet5!A:B,2,0)</f>
        <v>O000000005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0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1" t="s">
        <v>6434</v>
      </c>
      <c r="M5922" s="178">
        <v>46057</v>
      </c>
      <c r="N5922" s="178"/>
      <c r="O5922" s="178"/>
      <c r="P5922" s="178" t="str">
        <f ca="1">IF(Proc[[#This Row],[DaysAgeing]]&gt;5,"yep","on track")</f>
        <v>on track</v>
      </c>
      <c r="Q5922" s="3">
        <f ca="1">IF(Proc[[#This Row],[DateClosed]]="",ABS(NETWORKDAYS(Proc[[#This Row],[DateOpened]],TODAY()))-1,ABS(NETWORKDAYS(Proc[[#This Row],[DateOpened]],Proc[[#This Row],[DateClosed]]))-1)</f>
        <v>1</v>
      </c>
      <c r="R5922" s="178" t="s">
        <v>422</v>
      </c>
      <c r="S5922" s="181"/>
    </row>
    <row r="5923" spans="1:19">
      <c r="A5923" s="180" t="s">
        <v>8481</v>
      </c>
      <c r="B5923" s="181" t="str">
        <f>IFERROR(VLOOKUP(Proc[[#This Row],[App]],Table2[],3,0),"open")</f>
        <v>open</v>
      </c>
      <c r="C5923" s="182" t="s">
        <v>375</v>
      </c>
      <c r="D5923" t="s">
        <v>8298</v>
      </c>
      <c r="E5923" t="s">
        <v>8480</v>
      </c>
      <c r="F5923" s="183" t="str">
        <f>VLOOKUP(Proc[[#This Row],[Obj]],Sheet5!A:B,2,0)</f>
        <v>O000000005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0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1" t="s">
        <v>6434</v>
      </c>
      <c r="M5923" s="178">
        <v>46057</v>
      </c>
      <c r="N5923" s="178"/>
      <c r="O5923" s="178"/>
      <c r="P5923" s="178" t="str">
        <f ca="1">IF(Proc[[#This Row],[DaysAgeing]]&gt;5,"yep","on track")</f>
        <v>on track</v>
      </c>
      <c r="Q5923" s="3">
        <f ca="1">IF(Proc[[#This Row],[DateClosed]]="",ABS(NETWORKDAYS(Proc[[#This Row],[DateOpened]],TODAY()))-1,ABS(NETWORKDAYS(Proc[[#This Row],[DateOpened]],Proc[[#This Row],[DateClosed]]))-1)</f>
        <v>1</v>
      </c>
      <c r="R5923" s="178" t="s">
        <v>422</v>
      </c>
      <c r="S5923" s="181"/>
    </row>
    <row r="5924" spans="1:19">
      <c r="A5924" s="180" t="s">
        <v>8481</v>
      </c>
      <c r="B5924" s="181" t="str">
        <f>IFERROR(VLOOKUP(Proc[[#This Row],[App]],Table2[],3,0),"open")</f>
        <v>open</v>
      </c>
      <c r="C5924" s="182" t="s">
        <v>375</v>
      </c>
      <c r="D5924" t="s">
        <v>8299</v>
      </c>
      <c r="E5924" t="s">
        <v>8480</v>
      </c>
      <c r="F5924" s="183" t="str">
        <f>VLOOKUP(Proc[[#This Row],[Obj]],Sheet5!A:B,2,0)</f>
        <v>O000000005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0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1" t="s">
        <v>6434</v>
      </c>
      <c r="M5924" s="178">
        <v>46057</v>
      </c>
      <c r="N5924" s="178"/>
      <c r="O5924" s="178"/>
      <c r="P5924" s="178" t="str">
        <f ca="1">IF(Proc[[#This Row],[DaysAgeing]]&gt;5,"yep","on track")</f>
        <v>on track</v>
      </c>
      <c r="Q5924" s="3">
        <f ca="1">IF(Proc[[#This Row],[DateClosed]]="",ABS(NETWORKDAYS(Proc[[#This Row],[DateOpened]],TODAY()))-1,ABS(NETWORKDAYS(Proc[[#This Row],[DateOpened]],Proc[[#This Row],[DateClosed]]))-1)</f>
        <v>1</v>
      </c>
      <c r="R5924" s="178" t="s">
        <v>422</v>
      </c>
      <c r="S5924" s="181"/>
    </row>
    <row r="5925" spans="1:19">
      <c r="A5925" s="180" t="s">
        <v>8481</v>
      </c>
      <c r="B5925" s="181" t="str">
        <f>IFERROR(VLOOKUP(Proc[[#This Row],[App]],Table2[],3,0),"open")</f>
        <v>open</v>
      </c>
      <c r="C5925" s="182" t="s">
        <v>375</v>
      </c>
      <c r="D5925" t="s">
        <v>8300</v>
      </c>
      <c r="E5925" t="s">
        <v>8480</v>
      </c>
      <c r="F5925" s="183" t="str">
        <f>VLOOKUP(Proc[[#This Row],[Obj]],Sheet5!A:B,2,0)</f>
        <v>O000000005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0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1" t="s">
        <v>6434</v>
      </c>
      <c r="M5925" s="178">
        <v>46057</v>
      </c>
      <c r="N5925" s="178"/>
      <c r="O5925" s="178"/>
      <c r="P5925" s="178" t="str">
        <f ca="1">IF(Proc[[#This Row],[DaysAgeing]]&gt;5,"yep","on track")</f>
        <v>on track</v>
      </c>
      <c r="Q5925" s="3">
        <f ca="1">IF(Proc[[#This Row],[DateClosed]]="",ABS(NETWORKDAYS(Proc[[#This Row],[DateOpened]],TODAY()))-1,ABS(NETWORKDAYS(Proc[[#This Row],[DateOpened]],Proc[[#This Row],[DateClosed]]))-1)</f>
        <v>1</v>
      </c>
      <c r="R5925" s="178" t="s">
        <v>422</v>
      </c>
      <c r="S5925" s="181"/>
    </row>
    <row r="5926" spans="1:19">
      <c r="A5926" s="180" t="s">
        <v>8481</v>
      </c>
      <c r="B5926" s="181" t="str">
        <f>IFERROR(VLOOKUP(Proc[[#This Row],[App]],Table2[],3,0),"open")</f>
        <v>open</v>
      </c>
      <c r="C5926" s="182" t="s">
        <v>375</v>
      </c>
      <c r="D5926" t="s">
        <v>8301</v>
      </c>
      <c r="E5926" t="s">
        <v>8480</v>
      </c>
      <c r="F5926" s="183" t="str">
        <f>VLOOKUP(Proc[[#This Row],[Obj]],Sheet5!A:B,2,0)</f>
        <v>O000000005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0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1" t="s">
        <v>6434</v>
      </c>
      <c r="M5926" s="178">
        <v>46057</v>
      </c>
      <c r="N5926" s="178"/>
      <c r="O5926" s="178"/>
      <c r="P5926" s="178" t="str">
        <f ca="1">IF(Proc[[#This Row],[DaysAgeing]]&gt;5,"yep","on track")</f>
        <v>on track</v>
      </c>
      <c r="Q5926" s="3">
        <f ca="1">IF(Proc[[#This Row],[DateClosed]]="",ABS(NETWORKDAYS(Proc[[#This Row],[DateOpened]],TODAY()))-1,ABS(NETWORKDAYS(Proc[[#This Row],[DateOpened]],Proc[[#This Row],[DateClosed]]))-1)</f>
        <v>1</v>
      </c>
      <c r="R5926" s="178" t="s">
        <v>422</v>
      </c>
      <c r="S5926" s="181"/>
    </row>
    <row r="5927" spans="1:19">
      <c r="A5927" s="180" t="s">
        <v>8481</v>
      </c>
      <c r="B5927" s="181" t="str">
        <f>IFERROR(VLOOKUP(Proc[[#This Row],[App]],Table2[],3,0),"open")</f>
        <v>open</v>
      </c>
      <c r="C5927" s="182" t="s">
        <v>375</v>
      </c>
      <c r="D5927" t="s">
        <v>8302</v>
      </c>
      <c r="E5927" t="s">
        <v>8480</v>
      </c>
      <c r="F5927" s="183" t="str">
        <f>VLOOKUP(Proc[[#This Row],[Obj]],Sheet5!A:B,2,0)</f>
        <v>O000000005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0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1" t="s">
        <v>6434</v>
      </c>
      <c r="M5927" s="178">
        <v>46057</v>
      </c>
      <c r="N5927" s="178"/>
      <c r="O5927" s="178"/>
      <c r="P5927" s="178" t="str">
        <f ca="1">IF(Proc[[#This Row],[DaysAgeing]]&gt;5,"yep","on track")</f>
        <v>on track</v>
      </c>
      <c r="Q5927" s="3">
        <f ca="1">IF(Proc[[#This Row],[DateClosed]]="",ABS(NETWORKDAYS(Proc[[#This Row],[DateOpened]],TODAY()))-1,ABS(NETWORKDAYS(Proc[[#This Row],[DateOpened]],Proc[[#This Row],[DateClosed]]))-1)</f>
        <v>1</v>
      </c>
      <c r="R5927" s="178" t="s">
        <v>422</v>
      </c>
      <c r="S5927" s="181"/>
    </row>
    <row r="5928" spans="1:19">
      <c r="A5928" s="180" t="s">
        <v>8481</v>
      </c>
      <c r="B5928" s="181" t="str">
        <f>IFERROR(VLOOKUP(Proc[[#This Row],[App]],Table2[],3,0),"open")</f>
        <v>open</v>
      </c>
      <c r="C5928" s="182" t="s">
        <v>375</v>
      </c>
      <c r="D5928" t="s">
        <v>8303</v>
      </c>
      <c r="E5928" t="s">
        <v>8480</v>
      </c>
      <c r="F5928" s="183" t="str">
        <f>VLOOKUP(Proc[[#This Row],[Obj]],Sheet5!A:B,2,0)</f>
        <v>O000000005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0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1" t="s">
        <v>6434</v>
      </c>
      <c r="M5928" s="178">
        <v>46057</v>
      </c>
      <c r="N5928" s="178"/>
      <c r="O5928" s="178"/>
      <c r="P5928" s="178" t="str">
        <f ca="1">IF(Proc[[#This Row],[DaysAgeing]]&gt;5,"yep","on track")</f>
        <v>on track</v>
      </c>
      <c r="Q5928" s="3">
        <f ca="1">IF(Proc[[#This Row],[DateClosed]]="",ABS(NETWORKDAYS(Proc[[#This Row],[DateOpened]],TODAY()))-1,ABS(NETWORKDAYS(Proc[[#This Row],[DateOpened]],Proc[[#This Row],[DateClosed]]))-1)</f>
        <v>1</v>
      </c>
      <c r="R5928" s="178" t="s">
        <v>422</v>
      </c>
      <c r="S5928" s="181"/>
    </row>
    <row r="5929" spans="1:19">
      <c r="A5929" s="180" t="s">
        <v>8481</v>
      </c>
      <c r="B5929" s="181" t="str">
        <f>IFERROR(VLOOKUP(Proc[[#This Row],[App]],Table2[],3,0),"open")</f>
        <v>open</v>
      </c>
      <c r="C5929" s="182" t="s">
        <v>375</v>
      </c>
      <c r="D5929" t="s">
        <v>8304</v>
      </c>
      <c r="E5929" t="s">
        <v>8480</v>
      </c>
      <c r="F5929" s="183" t="str">
        <f>VLOOKUP(Proc[[#This Row],[Obj]],Sheet5!A:B,2,0)</f>
        <v>O000000005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0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1" t="s">
        <v>6434</v>
      </c>
      <c r="M5929" s="178">
        <v>46057</v>
      </c>
      <c r="N5929" s="178"/>
      <c r="O5929" s="178"/>
      <c r="P5929" s="178" t="str">
        <f ca="1">IF(Proc[[#This Row],[DaysAgeing]]&gt;5,"yep","on track")</f>
        <v>on track</v>
      </c>
      <c r="Q5929" s="3">
        <f ca="1">IF(Proc[[#This Row],[DateClosed]]="",ABS(NETWORKDAYS(Proc[[#This Row],[DateOpened]],TODAY()))-1,ABS(NETWORKDAYS(Proc[[#This Row],[DateOpened]],Proc[[#This Row],[DateClosed]]))-1)</f>
        <v>1</v>
      </c>
      <c r="R5929" s="178" t="s">
        <v>422</v>
      </c>
      <c r="S5929" s="181"/>
    </row>
    <row r="5930" spans="1:19">
      <c r="A5930" s="180" t="s">
        <v>8481</v>
      </c>
      <c r="B5930" s="181" t="str">
        <f>IFERROR(VLOOKUP(Proc[[#This Row],[App]],Table2[],3,0),"open")</f>
        <v>open</v>
      </c>
      <c r="C5930" s="182" t="s">
        <v>375</v>
      </c>
      <c r="D5930" t="s">
        <v>8305</v>
      </c>
      <c r="E5930" t="s">
        <v>8480</v>
      </c>
      <c r="F5930" s="183" t="str">
        <f>VLOOKUP(Proc[[#This Row],[Obj]],Sheet5!A:B,2,0)</f>
        <v>O000000005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0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1" t="s">
        <v>6434</v>
      </c>
      <c r="M5930" s="178">
        <v>46057</v>
      </c>
      <c r="N5930" s="178"/>
      <c r="O5930" s="178"/>
      <c r="P5930" s="178" t="str">
        <f ca="1">IF(Proc[[#This Row],[DaysAgeing]]&gt;5,"yep","on track")</f>
        <v>on track</v>
      </c>
      <c r="Q5930" s="3">
        <f ca="1">IF(Proc[[#This Row],[DateClosed]]="",ABS(NETWORKDAYS(Proc[[#This Row],[DateOpened]],TODAY()))-1,ABS(NETWORKDAYS(Proc[[#This Row],[DateOpened]],Proc[[#This Row],[DateClosed]]))-1)</f>
        <v>1</v>
      </c>
      <c r="R5930" s="178" t="s">
        <v>422</v>
      </c>
      <c r="S5930" s="181"/>
    </row>
    <row r="5931" spans="1:19">
      <c r="A5931" s="180" t="s">
        <v>8481</v>
      </c>
      <c r="B5931" s="181" t="str">
        <f>IFERROR(VLOOKUP(Proc[[#This Row],[App]],Table2[],3,0),"open")</f>
        <v>open</v>
      </c>
      <c r="C5931" s="182" t="s">
        <v>375</v>
      </c>
      <c r="D5931" t="s">
        <v>8306</v>
      </c>
      <c r="E5931" t="s">
        <v>8480</v>
      </c>
      <c r="F5931" s="183" t="str">
        <f>VLOOKUP(Proc[[#This Row],[Obj]],Sheet5!A:B,2,0)</f>
        <v>O000000005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0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1" t="s">
        <v>6434</v>
      </c>
      <c r="M5931" s="178">
        <v>46057</v>
      </c>
      <c r="N5931" s="178"/>
      <c r="O5931" s="178"/>
      <c r="P5931" s="178" t="str">
        <f ca="1">IF(Proc[[#This Row],[DaysAgeing]]&gt;5,"yep","on track")</f>
        <v>on track</v>
      </c>
      <c r="Q5931" s="3">
        <f ca="1">IF(Proc[[#This Row],[DateClosed]]="",ABS(NETWORKDAYS(Proc[[#This Row],[DateOpened]],TODAY()))-1,ABS(NETWORKDAYS(Proc[[#This Row],[DateOpened]],Proc[[#This Row],[DateClosed]]))-1)</f>
        <v>1</v>
      </c>
      <c r="R5931" s="178" t="s">
        <v>422</v>
      </c>
      <c r="S5931" s="181"/>
    </row>
    <row r="5932" spans="1:19">
      <c r="A5932" s="180" t="s">
        <v>8481</v>
      </c>
      <c r="B5932" s="181" t="str">
        <f>IFERROR(VLOOKUP(Proc[[#This Row],[App]],Table2[],3,0),"open")</f>
        <v>open</v>
      </c>
      <c r="C5932" s="182" t="s">
        <v>375</v>
      </c>
      <c r="D5932" t="s">
        <v>8307</v>
      </c>
      <c r="E5932" t="s">
        <v>8480</v>
      </c>
      <c r="F5932" s="183" t="str">
        <f>VLOOKUP(Proc[[#This Row],[Obj]],Sheet5!A:B,2,0)</f>
        <v>O000000005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0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1" t="s">
        <v>6434</v>
      </c>
      <c r="M5932" s="178">
        <v>46057</v>
      </c>
      <c r="N5932" s="178"/>
      <c r="O5932" s="178"/>
      <c r="P5932" s="178" t="str">
        <f ca="1">IF(Proc[[#This Row],[DaysAgeing]]&gt;5,"yep","on track")</f>
        <v>on track</v>
      </c>
      <c r="Q5932" s="3">
        <f ca="1">IF(Proc[[#This Row],[DateClosed]]="",ABS(NETWORKDAYS(Proc[[#This Row],[DateOpened]],TODAY()))-1,ABS(NETWORKDAYS(Proc[[#This Row],[DateOpened]],Proc[[#This Row],[DateClosed]]))-1)</f>
        <v>1</v>
      </c>
      <c r="R5932" s="178" t="s">
        <v>422</v>
      </c>
      <c r="S5932" s="181"/>
    </row>
    <row r="5933" spans="1:19">
      <c r="A5933" s="180" t="s">
        <v>8481</v>
      </c>
      <c r="B5933" s="181" t="str">
        <f>IFERROR(VLOOKUP(Proc[[#This Row],[App]],Table2[],3,0),"open")</f>
        <v>open</v>
      </c>
      <c r="C5933" s="182" t="s">
        <v>375</v>
      </c>
      <c r="D5933" t="s">
        <v>8308</v>
      </c>
      <c r="E5933" t="s">
        <v>8480</v>
      </c>
      <c r="F5933" s="183" t="str">
        <f>VLOOKUP(Proc[[#This Row],[Obj]],Sheet5!A:B,2,0)</f>
        <v>O000000005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0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1" t="s">
        <v>6434</v>
      </c>
      <c r="M5933" s="178">
        <v>46057</v>
      </c>
      <c r="N5933" s="178"/>
      <c r="O5933" s="178"/>
      <c r="P5933" s="178" t="str">
        <f ca="1">IF(Proc[[#This Row],[DaysAgeing]]&gt;5,"yep","on track")</f>
        <v>on track</v>
      </c>
      <c r="Q5933" s="3">
        <f ca="1">IF(Proc[[#This Row],[DateClosed]]="",ABS(NETWORKDAYS(Proc[[#This Row],[DateOpened]],TODAY()))-1,ABS(NETWORKDAYS(Proc[[#This Row],[DateOpened]],Proc[[#This Row],[DateClosed]]))-1)</f>
        <v>1</v>
      </c>
      <c r="R5933" s="178" t="s">
        <v>422</v>
      </c>
      <c r="S5933" s="181"/>
    </row>
    <row r="5934" spans="1:19">
      <c r="A5934" s="180" t="s">
        <v>8481</v>
      </c>
      <c r="B5934" s="181" t="str">
        <f>IFERROR(VLOOKUP(Proc[[#This Row],[App]],Table2[],3,0),"open")</f>
        <v>open</v>
      </c>
      <c r="C5934" s="182" t="s">
        <v>375</v>
      </c>
      <c r="D5934" t="s">
        <v>5994</v>
      </c>
      <c r="E5934" t="s">
        <v>8480</v>
      </c>
      <c r="F5934" s="183" t="str">
        <f>VLOOKUP(Proc[[#This Row],[Obj]],Sheet5!A:B,2,0)</f>
        <v>O000000005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0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1" t="s">
        <v>6434</v>
      </c>
      <c r="M5934" s="178">
        <v>46057</v>
      </c>
      <c r="N5934" s="178"/>
      <c r="O5934" s="178"/>
      <c r="P5934" s="178" t="str">
        <f ca="1">IF(Proc[[#This Row],[DaysAgeing]]&gt;5,"yep","on track")</f>
        <v>on track</v>
      </c>
      <c r="Q5934" s="3">
        <f ca="1">IF(Proc[[#This Row],[DateClosed]]="",ABS(NETWORKDAYS(Proc[[#This Row],[DateOpened]],TODAY()))-1,ABS(NETWORKDAYS(Proc[[#This Row],[DateOpened]],Proc[[#This Row],[DateClosed]]))-1)</f>
        <v>1</v>
      </c>
      <c r="R5934" s="178" t="s">
        <v>422</v>
      </c>
      <c r="S5934" s="181"/>
    </row>
    <row r="5935" spans="1:19">
      <c r="A5935" s="180" t="s">
        <v>8481</v>
      </c>
      <c r="B5935" s="181" t="str">
        <f>IFERROR(VLOOKUP(Proc[[#This Row],[App]],Table2[],3,0),"open")</f>
        <v>open</v>
      </c>
      <c r="C5935" s="182" t="s">
        <v>375</v>
      </c>
      <c r="D5935" t="s">
        <v>5993</v>
      </c>
      <c r="E5935" t="s">
        <v>8480</v>
      </c>
      <c r="F5935" s="183" t="str">
        <f>VLOOKUP(Proc[[#This Row],[Obj]],Sheet5!A:B,2,0)</f>
        <v>O000000005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0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1" t="s">
        <v>6434</v>
      </c>
      <c r="M5935" s="178">
        <v>46057</v>
      </c>
      <c r="N5935" s="178"/>
      <c r="O5935" s="178"/>
      <c r="P5935" s="178" t="str">
        <f ca="1">IF(Proc[[#This Row],[DaysAgeing]]&gt;5,"yep","on track")</f>
        <v>on track</v>
      </c>
      <c r="Q5935" s="3">
        <f ca="1">IF(Proc[[#This Row],[DateClosed]]="",ABS(NETWORKDAYS(Proc[[#This Row],[DateOpened]],TODAY()))-1,ABS(NETWORKDAYS(Proc[[#This Row],[DateOpened]],Proc[[#This Row],[DateClosed]]))-1)</f>
        <v>1</v>
      </c>
      <c r="R5935" s="178" t="s">
        <v>422</v>
      </c>
      <c r="S5935" s="181"/>
    </row>
    <row r="5936" spans="1:19">
      <c r="A5936" s="180" t="s">
        <v>8481</v>
      </c>
      <c r="B5936" s="181" t="str">
        <f>IFERROR(VLOOKUP(Proc[[#This Row],[App]],Table2[],3,0),"open")</f>
        <v>open</v>
      </c>
      <c r="C5936" s="182" t="s">
        <v>375</v>
      </c>
      <c r="D5936" t="s">
        <v>5995</v>
      </c>
      <c r="E5936" t="s">
        <v>8480</v>
      </c>
      <c r="F5936" s="183" t="str">
        <f>VLOOKUP(Proc[[#This Row],[Obj]],Sheet5!A:B,2,0)</f>
        <v>O000000005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0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1" t="s">
        <v>6434</v>
      </c>
      <c r="M5936" s="178">
        <v>46057</v>
      </c>
      <c r="N5936" s="178"/>
      <c r="O5936" s="178"/>
      <c r="P5936" s="178" t="str">
        <f ca="1">IF(Proc[[#This Row],[DaysAgeing]]&gt;5,"yep","on track")</f>
        <v>on track</v>
      </c>
      <c r="Q5936" s="3">
        <f ca="1">IF(Proc[[#This Row],[DateClosed]]="",ABS(NETWORKDAYS(Proc[[#This Row],[DateOpened]],TODAY()))-1,ABS(NETWORKDAYS(Proc[[#This Row],[DateOpened]],Proc[[#This Row],[DateClosed]]))-1)</f>
        <v>1</v>
      </c>
      <c r="R5936" s="178" t="s">
        <v>422</v>
      </c>
      <c r="S5936" s="181"/>
    </row>
    <row r="5937" spans="1:19">
      <c r="A5937" s="180" t="s">
        <v>8481</v>
      </c>
      <c r="B5937" s="181" t="str">
        <f>IFERROR(VLOOKUP(Proc[[#This Row],[App]],Table2[],3,0),"open")</f>
        <v>open</v>
      </c>
      <c r="C5937" s="182" t="s">
        <v>375</v>
      </c>
      <c r="D5937" t="s">
        <v>5996</v>
      </c>
      <c r="E5937" t="s">
        <v>8480</v>
      </c>
      <c r="F5937" s="183" t="str">
        <f>VLOOKUP(Proc[[#This Row],[Obj]],Sheet5!A:B,2,0)</f>
        <v>O000000005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0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1" t="s">
        <v>6434</v>
      </c>
      <c r="M5937" s="178">
        <v>46057</v>
      </c>
      <c r="N5937" s="178"/>
      <c r="O5937" s="178"/>
      <c r="P5937" s="178" t="str">
        <f ca="1">IF(Proc[[#This Row],[DaysAgeing]]&gt;5,"yep","on track")</f>
        <v>on track</v>
      </c>
      <c r="Q5937" s="3">
        <f ca="1">IF(Proc[[#This Row],[DateClosed]]="",ABS(NETWORKDAYS(Proc[[#This Row],[DateOpened]],TODAY()))-1,ABS(NETWORKDAYS(Proc[[#This Row],[DateOpened]],Proc[[#This Row],[DateClosed]]))-1)</f>
        <v>1</v>
      </c>
      <c r="R5937" s="178" t="s">
        <v>422</v>
      </c>
      <c r="S5937" s="181"/>
    </row>
    <row r="5938" spans="1:19">
      <c r="A5938" s="180" t="s">
        <v>8481</v>
      </c>
      <c r="B5938" s="181" t="str">
        <f>IFERROR(VLOOKUP(Proc[[#This Row],[App]],Table2[],3,0),"open")</f>
        <v>open</v>
      </c>
      <c r="C5938" s="182" t="s">
        <v>375</v>
      </c>
      <c r="D5938" t="s">
        <v>5997</v>
      </c>
      <c r="E5938" t="s">
        <v>8480</v>
      </c>
      <c r="F5938" s="183" t="str">
        <f>VLOOKUP(Proc[[#This Row],[Obj]],Sheet5!A:B,2,0)</f>
        <v>O000000005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0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1" t="s">
        <v>6434</v>
      </c>
      <c r="M5938" s="178">
        <v>46057</v>
      </c>
      <c r="N5938" s="178"/>
      <c r="O5938" s="178"/>
      <c r="P5938" s="178" t="str">
        <f ca="1">IF(Proc[[#This Row],[DaysAgeing]]&gt;5,"yep","on track")</f>
        <v>on track</v>
      </c>
      <c r="Q5938" s="3">
        <f ca="1">IF(Proc[[#This Row],[DateClosed]]="",ABS(NETWORKDAYS(Proc[[#This Row],[DateOpened]],TODAY()))-1,ABS(NETWORKDAYS(Proc[[#This Row],[DateOpened]],Proc[[#This Row],[DateClosed]]))-1)</f>
        <v>1</v>
      </c>
      <c r="R5938" s="178" t="s">
        <v>422</v>
      </c>
      <c r="S5938" s="181"/>
    </row>
    <row r="5939" spans="1:19">
      <c r="A5939" s="180" t="s">
        <v>8481</v>
      </c>
      <c r="B5939" s="181" t="str">
        <f>IFERROR(VLOOKUP(Proc[[#This Row],[App]],Table2[],3,0),"open")</f>
        <v>open</v>
      </c>
      <c r="C5939" s="182" t="s">
        <v>375</v>
      </c>
      <c r="D5939" t="s">
        <v>8309</v>
      </c>
      <c r="E5939" t="s">
        <v>8480</v>
      </c>
      <c r="F5939" s="183" t="str">
        <f>VLOOKUP(Proc[[#This Row],[Obj]],Sheet5!A:B,2,0)</f>
        <v>O000000005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0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1" t="s">
        <v>6434</v>
      </c>
      <c r="M5939" s="178">
        <v>46057</v>
      </c>
      <c r="N5939" s="178"/>
      <c r="O5939" s="178"/>
      <c r="P5939" s="178" t="str">
        <f ca="1">IF(Proc[[#This Row],[DaysAgeing]]&gt;5,"yep","on track")</f>
        <v>on track</v>
      </c>
      <c r="Q5939" s="3">
        <f ca="1">IF(Proc[[#This Row],[DateClosed]]="",ABS(NETWORKDAYS(Proc[[#This Row],[DateOpened]],TODAY()))-1,ABS(NETWORKDAYS(Proc[[#This Row],[DateOpened]],Proc[[#This Row],[DateClosed]]))-1)</f>
        <v>1</v>
      </c>
      <c r="R5939" s="178" t="s">
        <v>422</v>
      </c>
      <c r="S5939" s="181"/>
    </row>
    <row r="5940" spans="1:19">
      <c r="A5940" s="180" t="s">
        <v>8481</v>
      </c>
      <c r="B5940" s="181" t="str">
        <f>IFERROR(VLOOKUP(Proc[[#This Row],[App]],Table2[],3,0),"open")</f>
        <v>open</v>
      </c>
      <c r="C5940" s="182" t="s">
        <v>375</v>
      </c>
      <c r="D5940" t="s">
        <v>8310</v>
      </c>
      <c r="E5940" t="s">
        <v>8480</v>
      </c>
      <c r="F5940" s="183" t="str">
        <f>VLOOKUP(Proc[[#This Row],[Obj]],Sheet5!A:B,2,0)</f>
        <v>O000000005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0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1" t="s">
        <v>6434</v>
      </c>
      <c r="M5940" s="178">
        <v>46057</v>
      </c>
      <c r="N5940" s="178"/>
      <c r="O5940" s="178"/>
      <c r="P5940" s="178" t="str">
        <f ca="1">IF(Proc[[#This Row],[DaysAgeing]]&gt;5,"yep","on track")</f>
        <v>on track</v>
      </c>
      <c r="Q5940" s="3">
        <f ca="1">IF(Proc[[#This Row],[DateClosed]]="",ABS(NETWORKDAYS(Proc[[#This Row],[DateOpened]],TODAY()))-1,ABS(NETWORKDAYS(Proc[[#This Row],[DateOpened]],Proc[[#This Row],[DateClosed]]))-1)</f>
        <v>1</v>
      </c>
      <c r="R5940" s="178" t="s">
        <v>422</v>
      </c>
      <c r="S5940" s="181"/>
    </row>
    <row r="5941" spans="1:19">
      <c r="A5941" s="180" t="s">
        <v>8481</v>
      </c>
      <c r="B5941" s="181" t="str">
        <f>IFERROR(VLOOKUP(Proc[[#This Row],[App]],Table2[],3,0),"open")</f>
        <v>open</v>
      </c>
      <c r="C5941" s="182" t="s">
        <v>375</v>
      </c>
      <c r="D5941" t="s">
        <v>8311</v>
      </c>
      <c r="E5941" t="s">
        <v>8480</v>
      </c>
      <c r="F5941" s="183" t="str">
        <f>VLOOKUP(Proc[[#This Row],[Obj]],Sheet5!A:B,2,0)</f>
        <v>O000000005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0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1" t="s">
        <v>6434</v>
      </c>
      <c r="M5941" s="178">
        <v>46057</v>
      </c>
      <c r="N5941" s="178"/>
      <c r="O5941" s="178"/>
      <c r="P5941" s="178" t="str">
        <f ca="1">IF(Proc[[#This Row],[DaysAgeing]]&gt;5,"yep","on track")</f>
        <v>on track</v>
      </c>
      <c r="Q5941" s="3">
        <f ca="1">IF(Proc[[#This Row],[DateClosed]]="",ABS(NETWORKDAYS(Proc[[#This Row],[DateOpened]],TODAY()))-1,ABS(NETWORKDAYS(Proc[[#This Row],[DateOpened]],Proc[[#This Row],[DateClosed]]))-1)</f>
        <v>1</v>
      </c>
      <c r="R5941" s="178" t="s">
        <v>422</v>
      </c>
      <c r="S5941" s="181"/>
    </row>
    <row r="5942" spans="1:19">
      <c r="A5942" s="180" t="s">
        <v>8481</v>
      </c>
      <c r="B5942" s="181" t="str">
        <f>IFERROR(VLOOKUP(Proc[[#This Row],[App]],Table2[],3,0),"open")</f>
        <v>open</v>
      </c>
      <c r="C5942" s="182" t="s">
        <v>375</v>
      </c>
      <c r="D5942" t="s">
        <v>8312</v>
      </c>
      <c r="E5942" t="s">
        <v>8480</v>
      </c>
      <c r="F5942" s="183" t="str">
        <f>VLOOKUP(Proc[[#This Row],[Obj]],Sheet5!A:B,2,0)</f>
        <v>O000000005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0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1" t="s">
        <v>6434</v>
      </c>
      <c r="M5942" s="178">
        <v>46057</v>
      </c>
      <c r="N5942" s="178"/>
      <c r="O5942" s="178"/>
      <c r="P5942" s="178" t="str">
        <f ca="1">IF(Proc[[#This Row],[DaysAgeing]]&gt;5,"yep","on track")</f>
        <v>on track</v>
      </c>
      <c r="Q5942" s="3">
        <f ca="1">IF(Proc[[#This Row],[DateClosed]]="",ABS(NETWORKDAYS(Proc[[#This Row],[DateOpened]],TODAY()))-1,ABS(NETWORKDAYS(Proc[[#This Row],[DateOpened]],Proc[[#This Row],[DateClosed]]))-1)</f>
        <v>1</v>
      </c>
      <c r="R5942" s="178" t="s">
        <v>422</v>
      </c>
      <c r="S5942" s="181"/>
    </row>
    <row r="5943" spans="1:19">
      <c r="A5943" s="180" t="s">
        <v>8481</v>
      </c>
      <c r="B5943" s="181" t="str">
        <f>IFERROR(VLOOKUP(Proc[[#This Row],[App]],Table2[],3,0),"open")</f>
        <v>open</v>
      </c>
      <c r="C5943" s="182" t="s">
        <v>375</v>
      </c>
      <c r="D5943" t="s">
        <v>8313</v>
      </c>
      <c r="E5943" t="s">
        <v>8480</v>
      </c>
      <c r="F5943" s="183" t="str">
        <f>VLOOKUP(Proc[[#This Row],[Obj]],Sheet5!A:B,2,0)</f>
        <v>O000000005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0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1" t="s">
        <v>6434</v>
      </c>
      <c r="M5943" s="178">
        <v>46057</v>
      </c>
      <c r="N5943" s="178"/>
      <c r="O5943" s="178"/>
      <c r="P5943" s="178" t="str">
        <f ca="1">IF(Proc[[#This Row],[DaysAgeing]]&gt;5,"yep","on track")</f>
        <v>on track</v>
      </c>
      <c r="Q5943" s="3">
        <f ca="1">IF(Proc[[#This Row],[DateClosed]]="",ABS(NETWORKDAYS(Proc[[#This Row],[DateOpened]],TODAY()))-1,ABS(NETWORKDAYS(Proc[[#This Row],[DateOpened]],Proc[[#This Row],[DateClosed]]))-1)</f>
        <v>1</v>
      </c>
      <c r="R5943" s="178" t="s">
        <v>422</v>
      </c>
      <c r="S5943" s="181"/>
    </row>
    <row r="5944" spans="1:19">
      <c r="A5944" s="180" t="s">
        <v>8481</v>
      </c>
      <c r="B5944" s="181" t="str">
        <f>IFERROR(VLOOKUP(Proc[[#This Row],[App]],Table2[],3,0),"open")</f>
        <v>open</v>
      </c>
      <c r="C5944" s="182" t="s">
        <v>375</v>
      </c>
      <c r="D5944" t="s">
        <v>8314</v>
      </c>
      <c r="E5944" t="s">
        <v>8480</v>
      </c>
      <c r="F5944" s="183" t="str">
        <f>VLOOKUP(Proc[[#This Row],[Obj]],Sheet5!A:B,2,0)</f>
        <v>O000000005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0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1" t="s">
        <v>6434</v>
      </c>
      <c r="M5944" s="178">
        <v>46057</v>
      </c>
      <c r="N5944" s="178"/>
      <c r="O5944" s="178"/>
      <c r="P5944" s="178" t="str">
        <f ca="1">IF(Proc[[#This Row],[DaysAgeing]]&gt;5,"yep","on track")</f>
        <v>on track</v>
      </c>
      <c r="Q5944" s="3">
        <f ca="1">IF(Proc[[#This Row],[DateClosed]]="",ABS(NETWORKDAYS(Proc[[#This Row],[DateOpened]],TODAY()))-1,ABS(NETWORKDAYS(Proc[[#This Row],[DateOpened]],Proc[[#This Row],[DateClosed]]))-1)</f>
        <v>1</v>
      </c>
      <c r="R5944" s="178" t="s">
        <v>422</v>
      </c>
      <c r="S5944" s="181"/>
    </row>
    <row r="5945" spans="1:19">
      <c r="A5945" s="180" t="s">
        <v>8481</v>
      </c>
      <c r="B5945" s="181" t="str">
        <f>IFERROR(VLOOKUP(Proc[[#This Row],[App]],Table2[],3,0),"open")</f>
        <v>open</v>
      </c>
      <c r="C5945" s="182" t="s">
        <v>375</v>
      </c>
      <c r="D5945" t="s">
        <v>8315</v>
      </c>
      <c r="E5945" t="s">
        <v>8480</v>
      </c>
      <c r="F5945" s="183" t="str">
        <f>VLOOKUP(Proc[[#This Row],[Obj]],Sheet5!A:B,2,0)</f>
        <v>O000000005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0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1" t="s">
        <v>6434</v>
      </c>
      <c r="M5945" s="178">
        <v>46057</v>
      </c>
      <c r="N5945" s="178"/>
      <c r="O5945" s="178"/>
      <c r="P5945" s="178" t="str">
        <f ca="1">IF(Proc[[#This Row],[DaysAgeing]]&gt;5,"yep","on track")</f>
        <v>on track</v>
      </c>
      <c r="Q5945" s="3">
        <f ca="1">IF(Proc[[#This Row],[DateClosed]]="",ABS(NETWORKDAYS(Proc[[#This Row],[DateOpened]],TODAY()))-1,ABS(NETWORKDAYS(Proc[[#This Row],[DateOpened]],Proc[[#This Row],[DateClosed]]))-1)</f>
        <v>1</v>
      </c>
      <c r="R5945" s="178" t="s">
        <v>422</v>
      </c>
      <c r="S5945" s="181"/>
    </row>
    <row r="5946" spans="1:19">
      <c r="A5946" s="180" t="s">
        <v>8481</v>
      </c>
      <c r="B5946" s="181" t="str">
        <f>IFERROR(VLOOKUP(Proc[[#This Row],[App]],Table2[],3,0),"open")</f>
        <v>open</v>
      </c>
      <c r="C5946" s="182" t="s">
        <v>375</v>
      </c>
      <c r="D5946" t="s">
        <v>8316</v>
      </c>
      <c r="E5946" t="s">
        <v>8480</v>
      </c>
      <c r="F5946" s="183" t="str">
        <f>VLOOKUP(Proc[[#This Row],[Obj]],Sheet5!A:B,2,0)</f>
        <v>O000000005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0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1" t="s">
        <v>6434</v>
      </c>
      <c r="M5946" s="178">
        <v>46057</v>
      </c>
      <c r="N5946" s="178"/>
      <c r="O5946" s="178"/>
      <c r="P5946" s="178" t="str">
        <f ca="1">IF(Proc[[#This Row],[DaysAgeing]]&gt;5,"yep","on track")</f>
        <v>on track</v>
      </c>
      <c r="Q5946" s="3">
        <f ca="1">IF(Proc[[#This Row],[DateClosed]]="",ABS(NETWORKDAYS(Proc[[#This Row],[DateOpened]],TODAY()))-1,ABS(NETWORKDAYS(Proc[[#This Row],[DateOpened]],Proc[[#This Row],[DateClosed]]))-1)</f>
        <v>1</v>
      </c>
      <c r="R5946" s="178" t="s">
        <v>422</v>
      </c>
      <c r="S5946" s="181"/>
    </row>
    <row r="5947" spans="1:19">
      <c r="A5947" s="180" t="s">
        <v>8481</v>
      </c>
      <c r="B5947" s="181" t="str">
        <f>IFERROR(VLOOKUP(Proc[[#This Row],[App]],Table2[],3,0),"open")</f>
        <v>open</v>
      </c>
      <c r="C5947" s="182" t="s">
        <v>375</v>
      </c>
      <c r="D5947" t="s">
        <v>8317</v>
      </c>
      <c r="E5947" t="s">
        <v>8480</v>
      </c>
      <c r="F5947" s="183" t="str">
        <f>VLOOKUP(Proc[[#This Row],[Obj]],Sheet5!A:B,2,0)</f>
        <v>O000000005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0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1" t="s">
        <v>6434</v>
      </c>
      <c r="M5947" s="178">
        <v>46057</v>
      </c>
      <c r="N5947" s="178"/>
      <c r="O5947" s="178"/>
      <c r="P5947" s="178" t="str">
        <f ca="1">IF(Proc[[#This Row],[DaysAgeing]]&gt;5,"yep","on track")</f>
        <v>on track</v>
      </c>
      <c r="Q5947" s="3">
        <f ca="1">IF(Proc[[#This Row],[DateClosed]]="",ABS(NETWORKDAYS(Proc[[#This Row],[DateOpened]],TODAY()))-1,ABS(NETWORKDAYS(Proc[[#This Row],[DateOpened]],Proc[[#This Row],[DateClosed]]))-1)</f>
        <v>1</v>
      </c>
      <c r="R5947" s="178" t="s">
        <v>422</v>
      </c>
      <c r="S5947" s="181"/>
    </row>
    <row r="5948" spans="1:19">
      <c r="A5948" s="180" t="s">
        <v>8481</v>
      </c>
      <c r="B5948" s="181" t="str">
        <f>IFERROR(VLOOKUP(Proc[[#This Row],[App]],Table2[],3,0),"open")</f>
        <v>open</v>
      </c>
      <c r="C5948" s="182" t="s">
        <v>375</v>
      </c>
      <c r="D5948" t="s">
        <v>8318</v>
      </c>
      <c r="E5948" t="s">
        <v>8480</v>
      </c>
      <c r="F5948" s="183" t="str">
        <f>VLOOKUP(Proc[[#This Row],[Obj]],Sheet5!A:B,2,0)</f>
        <v>O000000005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0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1" t="s">
        <v>6434</v>
      </c>
      <c r="M5948" s="178">
        <v>46057</v>
      </c>
      <c r="N5948" s="178"/>
      <c r="O5948" s="178"/>
      <c r="P5948" s="178" t="str">
        <f ca="1">IF(Proc[[#This Row],[DaysAgeing]]&gt;5,"yep","on track")</f>
        <v>on track</v>
      </c>
      <c r="Q5948" s="3">
        <f ca="1">IF(Proc[[#This Row],[DateClosed]]="",ABS(NETWORKDAYS(Proc[[#This Row],[DateOpened]],TODAY()))-1,ABS(NETWORKDAYS(Proc[[#This Row],[DateOpened]],Proc[[#This Row],[DateClosed]]))-1)</f>
        <v>1</v>
      </c>
      <c r="R5948" s="178" t="s">
        <v>422</v>
      </c>
      <c r="S5948" s="181"/>
    </row>
    <row r="5949" spans="1:19">
      <c r="A5949" s="180" t="s">
        <v>8481</v>
      </c>
      <c r="B5949" s="181" t="str">
        <f>IFERROR(VLOOKUP(Proc[[#This Row],[App]],Table2[],3,0),"open")</f>
        <v>open</v>
      </c>
      <c r="C5949" s="182" t="s">
        <v>375</v>
      </c>
      <c r="D5949" t="s">
        <v>8319</v>
      </c>
      <c r="E5949" t="s">
        <v>8480</v>
      </c>
      <c r="F5949" s="183" t="str">
        <f>VLOOKUP(Proc[[#This Row],[Obj]],Sheet5!A:B,2,0)</f>
        <v>O000000005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0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1" t="s">
        <v>6434</v>
      </c>
      <c r="M5949" s="178">
        <v>46057</v>
      </c>
      <c r="N5949" s="178"/>
      <c r="O5949" s="178"/>
      <c r="P5949" s="178" t="str">
        <f ca="1">IF(Proc[[#This Row],[DaysAgeing]]&gt;5,"yep","on track")</f>
        <v>on track</v>
      </c>
      <c r="Q5949" s="3">
        <f ca="1">IF(Proc[[#This Row],[DateClosed]]="",ABS(NETWORKDAYS(Proc[[#This Row],[DateOpened]],TODAY()))-1,ABS(NETWORKDAYS(Proc[[#This Row],[DateOpened]],Proc[[#This Row],[DateClosed]]))-1)</f>
        <v>1</v>
      </c>
      <c r="R5949" s="178" t="s">
        <v>422</v>
      </c>
      <c r="S5949" s="181"/>
    </row>
    <row r="5950" spans="1:19">
      <c r="A5950" s="180" t="s">
        <v>8481</v>
      </c>
      <c r="B5950" s="181" t="str">
        <f>IFERROR(VLOOKUP(Proc[[#This Row],[App]],Table2[],3,0),"open")</f>
        <v>open</v>
      </c>
      <c r="C5950" s="182" t="s">
        <v>375</v>
      </c>
      <c r="D5950" t="s">
        <v>8320</v>
      </c>
      <c r="E5950" t="s">
        <v>8480</v>
      </c>
      <c r="F5950" s="183" t="str">
        <f>VLOOKUP(Proc[[#This Row],[Obj]],Sheet5!A:B,2,0)</f>
        <v>O000000005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0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1" t="s">
        <v>6434</v>
      </c>
      <c r="M5950" s="178">
        <v>46057</v>
      </c>
      <c r="N5950" s="178"/>
      <c r="O5950" s="178"/>
      <c r="P5950" s="178" t="str">
        <f ca="1">IF(Proc[[#This Row],[DaysAgeing]]&gt;5,"yep","on track")</f>
        <v>on track</v>
      </c>
      <c r="Q5950" s="3">
        <f ca="1">IF(Proc[[#This Row],[DateClosed]]="",ABS(NETWORKDAYS(Proc[[#This Row],[DateOpened]],TODAY()))-1,ABS(NETWORKDAYS(Proc[[#This Row],[DateOpened]],Proc[[#This Row],[DateClosed]]))-1)</f>
        <v>1</v>
      </c>
      <c r="R5950" s="178" t="s">
        <v>422</v>
      </c>
      <c r="S5950" s="181"/>
    </row>
    <row r="5951" spans="1:19">
      <c r="A5951" s="180" t="s">
        <v>8481</v>
      </c>
      <c r="B5951" s="181" t="str">
        <f>IFERROR(VLOOKUP(Proc[[#This Row],[App]],Table2[],3,0),"open")</f>
        <v>open</v>
      </c>
      <c r="C5951" s="182" t="s">
        <v>375</v>
      </c>
      <c r="D5951" t="s">
        <v>2686</v>
      </c>
      <c r="E5951" t="s">
        <v>8480</v>
      </c>
      <c r="F5951" s="183" t="str">
        <f>VLOOKUP(Proc[[#This Row],[Obj]],Sheet5!A:B,2,0)</f>
        <v>O000000005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0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1" t="s">
        <v>6434</v>
      </c>
      <c r="M5951" s="178">
        <v>46057</v>
      </c>
      <c r="N5951" s="178"/>
      <c r="O5951" s="178"/>
      <c r="P5951" s="178" t="str">
        <f ca="1">IF(Proc[[#This Row],[DaysAgeing]]&gt;5,"yep","on track")</f>
        <v>on track</v>
      </c>
      <c r="Q5951" s="3">
        <f ca="1">IF(Proc[[#This Row],[DateClosed]]="",ABS(NETWORKDAYS(Proc[[#This Row],[DateOpened]],TODAY()))-1,ABS(NETWORKDAYS(Proc[[#This Row],[DateOpened]],Proc[[#This Row],[DateClosed]]))-1)</f>
        <v>1</v>
      </c>
      <c r="R5951" s="178" t="s">
        <v>422</v>
      </c>
      <c r="S5951" s="181"/>
    </row>
    <row r="5952" spans="1:19">
      <c r="A5952" s="180" t="s">
        <v>8481</v>
      </c>
      <c r="B5952" s="181" t="str">
        <f>IFERROR(VLOOKUP(Proc[[#This Row],[App]],Table2[],3,0),"open")</f>
        <v>open</v>
      </c>
      <c r="C5952" s="182" t="s">
        <v>375</v>
      </c>
      <c r="D5952" t="s">
        <v>8321</v>
      </c>
      <c r="E5952" t="s">
        <v>8480</v>
      </c>
      <c r="F5952" s="183" t="str">
        <f>VLOOKUP(Proc[[#This Row],[Obj]],Sheet5!A:B,2,0)</f>
        <v>O000000005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0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1" t="s">
        <v>6434</v>
      </c>
      <c r="M5952" s="178">
        <v>46057</v>
      </c>
      <c r="N5952" s="178"/>
      <c r="O5952" s="178"/>
      <c r="P5952" s="178" t="str">
        <f ca="1">IF(Proc[[#This Row],[DaysAgeing]]&gt;5,"yep","on track")</f>
        <v>on track</v>
      </c>
      <c r="Q5952" s="3">
        <f ca="1">IF(Proc[[#This Row],[DateClosed]]="",ABS(NETWORKDAYS(Proc[[#This Row],[DateOpened]],TODAY()))-1,ABS(NETWORKDAYS(Proc[[#This Row],[DateOpened]],Proc[[#This Row],[DateClosed]]))-1)</f>
        <v>1</v>
      </c>
      <c r="R5952" s="178" t="s">
        <v>422</v>
      </c>
      <c r="S5952" s="181"/>
    </row>
    <row r="5953" spans="1:19">
      <c r="A5953" s="180" t="s">
        <v>8481</v>
      </c>
      <c r="B5953" s="181" t="str">
        <f>IFERROR(VLOOKUP(Proc[[#This Row],[App]],Table2[],3,0),"open")</f>
        <v>open</v>
      </c>
      <c r="C5953" s="182" t="s">
        <v>375</v>
      </c>
      <c r="D5953" t="s">
        <v>8322</v>
      </c>
      <c r="E5953" t="s">
        <v>8480</v>
      </c>
      <c r="F5953" s="183" t="str">
        <f>VLOOKUP(Proc[[#This Row],[Obj]],Sheet5!A:B,2,0)</f>
        <v>O000000005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0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1" t="s">
        <v>6434</v>
      </c>
      <c r="M5953" s="178">
        <v>46057</v>
      </c>
      <c r="N5953" s="178"/>
      <c r="O5953" s="178"/>
      <c r="P5953" s="178" t="str">
        <f ca="1">IF(Proc[[#This Row],[DaysAgeing]]&gt;5,"yep","on track")</f>
        <v>on track</v>
      </c>
      <c r="Q5953" s="3">
        <f ca="1">IF(Proc[[#This Row],[DateClosed]]="",ABS(NETWORKDAYS(Proc[[#This Row],[DateOpened]],TODAY()))-1,ABS(NETWORKDAYS(Proc[[#This Row],[DateOpened]],Proc[[#This Row],[DateClosed]]))-1)</f>
        <v>1</v>
      </c>
      <c r="R5953" s="178" t="s">
        <v>422</v>
      </c>
      <c r="S5953" s="181"/>
    </row>
    <row r="5954" spans="1:19">
      <c r="A5954" s="180" t="s">
        <v>8481</v>
      </c>
      <c r="B5954" s="181" t="str">
        <f>IFERROR(VLOOKUP(Proc[[#This Row],[App]],Table2[],3,0),"open")</f>
        <v>open</v>
      </c>
      <c r="C5954" s="182" t="s">
        <v>375</v>
      </c>
      <c r="D5954" t="s">
        <v>8323</v>
      </c>
      <c r="E5954" t="s">
        <v>8480</v>
      </c>
      <c r="F5954" s="183" t="str">
        <f>VLOOKUP(Proc[[#This Row],[Obj]],Sheet5!A:B,2,0)</f>
        <v>O000000005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0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1" t="s">
        <v>6434</v>
      </c>
      <c r="M5954" s="178">
        <v>46057</v>
      </c>
      <c r="N5954" s="178"/>
      <c r="O5954" s="178"/>
      <c r="P5954" s="178" t="str">
        <f ca="1">IF(Proc[[#This Row],[DaysAgeing]]&gt;5,"yep","on track")</f>
        <v>on track</v>
      </c>
      <c r="Q5954" s="3">
        <f ca="1">IF(Proc[[#This Row],[DateClosed]]="",ABS(NETWORKDAYS(Proc[[#This Row],[DateOpened]],TODAY()))-1,ABS(NETWORKDAYS(Proc[[#This Row],[DateOpened]],Proc[[#This Row],[DateClosed]]))-1)</f>
        <v>1</v>
      </c>
      <c r="R5954" s="178" t="s">
        <v>422</v>
      </c>
      <c r="S5954" s="181"/>
    </row>
    <row r="5955" spans="1:19">
      <c r="A5955" s="180" t="s">
        <v>8481</v>
      </c>
      <c r="B5955" s="181" t="str">
        <f>IFERROR(VLOOKUP(Proc[[#This Row],[App]],Table2[],3,0),"open")</f>
        <v>open</v>
      </c>
      <c r="C5955" s="182" t="s">
        <v>375</v>
      </c>
      <c r="D5955" t="s">
        <v>8324</v>
      </c>
      <c r="E5955" t="s">
        <v>8480</v>
      </c>
      <c r="F5955" s="183" t="str">
        <f>VLOOKUP(Proc[[#This Row],[Obj]],Sheet5!A:B,2,0)</f>
        <v>O000000005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0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1" t="s">
        <v>6434</v>
      </c>
      <c r="M5955" s="178">
        <v>46057</v>
      </c>
      <c r="N5955" s="178"/>
      <c r="O5955" s="178"/>
      <c r="P5955" s="178" t="str">
        <f ca="1">IF(Proc[[#This Row],[DaysAgeing]]&gt;5,"yep","on track")</f>
        <v>on track</v>
      </c>
      <c r="Q5955" s="3">
        <f ca="1">IF(Proc[[#This Row],[DateClosed]]="",ABS(NETWORKDAYS(Proc[[#This Row],[DateOpened]],TODAY()))-1,ABS(NETWORKDAYS(Proc[[#This Row],[DateOpened]],Proc[[#This Row],[DateClosed]]))-1)</f>
        <v>1</v>
      </c>
      <c r="R5955" s="178" t="s">
        <v>422</v>
      </c>
      <c r="S5955" s="181"/>
    </row>
    <row r="5956" spans="1:19">
      <c r="A5956" s="180" t="s">
        <v>8481</v>
      </c>
      <c r="B5956" s="181" t="str">
        <f>IFERROR(VLOOKUP(Proc[[#This Row],[App]],Table2[],3,0),"open")</f>
        <v>open</v>
      </c>
      <c r="C5956" s="182" t="s">
        <v>375</v>
      </c>
      <c r="D5956" t="s">
        <v>8325</v>
      </c>
      <c r="E5956" t="s">
        <v>8480</v>
      </c>
      <c r="F5956" s="183" t="str">
        <f>VLOOKUP(Proc[[#This Row],[Obj]],Sheet5!A:B,2,0)</f>
        <v>O000000005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0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1" t="s">
        <v>6434</v>
      </c>
      <c r="M5956" s="178">
        <v>46057</v>
      </c>
      <c r="N5956" s="178"/>
      <c r="O5956" s="178"/>
      <c r="P5956" s="178" t="str">
        <f ca="1">IF(Proc[[#This Row],[DaysAgeing]]&gt;5,"yep","on track")</f>
        <v>on track</v>
      </c>
      <c r="Q5956" s="3">
        <f ca="1">IF(Proc[[#This Row],[DateClosed]]="",ABS(NETWORKDAYS(Proc[[#This Row],[DateOpened]],TODAY()))-1,ABS(NETWORKDAYS(Proc[[#This Row],[DateOpened]],Proc[[#This Row],[DateClosed]]))-1)</f>
        <v>1</v>
      </c>
      <c r="R5956" s="178" t="s">
        <v>422</v>
      </c>
      <c r="S5956" s="181"/>
    </row>
    <row r="5957" spans="1:19">
      <c r="A5957" s="180" t="s">
        <v>8481</v>
      </c>
      <c r="B5957" s="181" t="str">
        <f>IFERROR(VLOOKUP(Proc[[#This Row],[App]],Table2[],3,0),"open")</f>
        <v>open</v>
      </c>
      <c r="C5957" s="182" t="s">
        <v>375</v>
      </c>
      <c r="D5957" t="s">
        <v>8326</v>
      </c>
      <c r="E5957" t="s">
        <v>8480</v>
      </c>
      <c r="F5957" s="183" t="str">
        <f>VLOOKUP(Proc[[#This Row],[Obj]],Sheet5!A:B,2,0)</f>
        <v>O000000005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0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1" t="s">
        <v>6434</v>
      </c>
      <c r="M5957" s="178">
        <v>46057</v>
      </c>
      <c r="N5957" s="178"/>
      <c r="O5957" s="178"/>
      <c r="P5957" s="178" t="str">
        <f ca="1">IF(Proc[[#This Row],[DaysAgeing]]&gt;5,"yep","on track")</f>
        <v>on track</v>
      </c>
      <c r="Q5957" s="3">
        <f ca="1">IF(Proc[[#This Row],[DateClosed]]="",ABS(NETWORKDAYS(Proc[[#This Row],[DateOpened]],TODAY()))-1,ABS(NETWORKDAYS(Proc[[#This Row],[DateOpened]],Proc[[#This Row],[DateClosed]]))-1)</f>
        <v>1</v>
      </c>
      <c r="R5957" s="178" t="s">
        <v>422</v>
      </c>
      <c r="S5957" s="181"/>
    </row>
    <row r="5958" spans="1:19">
      <c r="A5958" s="180" t="s">
        <v>8481</v>
      </c>
      <c r="B5958" s="181" t="str">
        <f>IFERROR(VLOOKUP(Proc[[#This Row],[App]],Table2[],3,0),"open")</f>
        <v>open</v>
      </c>
      <c r="C5958" s="182" t="s">
        <v>375</v>
      </c>
      <c r="D5958" t="s">
        <v>8327</v>
      </c>
      <c r="E5958" t="s">
        <v>8480</v>
      </c>
      <c r="F5958" s="183" t="str">
        <f>VLOOKUP(Proc[[#This Row],[Obj]],Sheet5!A:B,2,0)</f>
        <v>O000000005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0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1" t="s">
        <v>6434</v>
      </c>
      <c r="M5958" s="178">
        <v>46057</v>
      </c>
      <c r="N5958" s="178"/>
      <c r="O5958" s="178"/>
      <c r="P5958" s="178" t="str">
        <f ca="1">IF(Proc[[#This Row],[DaysAgeing]]&gt;5,"yep","on track")</f>
        <v>on track</v>
      </c>
      <c r="Q5958" s="3">
        <f ca="1">IF(Proc[[#This Row],[DateClosed]]="",ABS(NETWORKDAYS(Proc[[#This Row],[DateOpened]],TODAY()))-1,ABS(NETWORKDAYS(Proc[[#This Row],[DateOpened]],Proc[[#This Row],[DateClosed]]))-1)</f>
        <v>1</v>
      </c>
      <c r="R5958" s="178" t="s">
        <v>422</v>
      </c>
      <c r="S5958" s="181"/>
    </row>
    <row r="5959" spans="1:19">
      <c r="A5959" s="180" t="s">
        <v>8481</v>
      </c>
      <c r="B5959" s="181" t="str">
        <f>IFERROR(VLOOKUP(Proc[[#This Row],[App]],Table2[],3,0),"open")</f>
        <v>open</v>
      </c>
      <c r="C5959" s="182" t="s">
        <v>375</v>
      </c>
      <c r="D5959" t="s">
        <v>8328</v>
      </c>
      <c r="E5959" t="s">
        <v>8480</v>
      </c>
      <c r="F5959" s="183" t="str">
        <f>VLOOKUP(Proc[[#This Row],[Obj]],Sheet5!A:B,2,0)</f>
        <v>O000000005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0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1" t="s">
        <v>6434</v>
      </c>
      <c r="M5959" s="178">
        <v>46057</v>
      </c>
      <c r="N5959" s="178"/>
      <c r="O5959" s="178"/>
      <c r="P5959" s="178" t="str">
        <f ca="1">IF(Proc[[#This Row],[DaysAgeing]]&gt;5,"yep","on track")</f>
        <v>on track</v>
      </c>
      <c r="Q5959" s="3">
        <f ca="1">IF(Proc[[#This Row],[DateClosed]]="",ABS(NETWORKDAYS(Proc[[#This Row],[DateOpened]],TODAY()))-1,ABS(NETWORKDAYS(Proc[[#This Row],[DateOpened]],Proc[[#This Row],[DateClosed]]))-1)</f>
        <v>1</v>
      </c>
      <c r="R5959" s="178" t="s">
        <v>422</v>
      </c>
      <c r="S5959" s="181"/>
    </row>
    <row r="5960" spans="1:19">
      <c r="A5960" s="180" t="s">
        <v>8481</v>
      </c>
      <c r="B5960" s="181" t="str">
        <f>IFERROR(VLOOKUP(Proc[[#This Row],[App]],Table2[],3,0),"open")</f>
        <v>open</v>
      </c>
      <c r="C5960" s="182" t="s">
        <v>375</v>
      </c>
      <c r="D5960" t="s">
        <v>8329</v>
      </c>
      <c r="E5960" t="s">
        <v>8480</v>
      </c>
      <c r="F5960" s="183" t="str">
        <f>VLOOKUP(Proc[[#This Row],[Obj]],Sheet5!A:B,2,0)</f>
        <v>O000000005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0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1" t="s">
        <v>6434</v>
      </c>
      <c r="M5960" s="178">
        <v>46057</v>
      </c>
      <c r="N5960" s="178"/>
      <c r="O5960" s="178"/>
      <c r="P5960" s="178" t="str">
        <f ca="1">IF(Proc[[#This Row],[DaysAgeing]]&gt;5,"yep","on track")</f>
        <v>on track</v>
      </c>
      <c r="Q5960" s="3">
        <f ca="1">IF(Proc[[#This Row],[DateClosed]]="",ABS(NETWORKDAYS(Proc[[#This Row],[DateOpened]],TODAY()))-1,ABS(NETWORKDAYS(Proc[[#This Row],[DateOpened]],Proc[[#This Row],[DateClosed]]))-1)</f>
        <v>1</v>
      </c>
      <c r="R5960" s="178" t="s">
        <v>422</v>
      </c>
      <c r="S5960" s="181"/>
    </row>
    <row r="5961" spans="1:19">
      <c r="A5961" s="180" t="s">
        <v>8481</v>
      </c>
      <c r="B5961" s="181" t="str">
        <f>IFERROR(VLOOKUP(Proc[[#This Row],[App]],Table2[],3,0),"open")</f>
        <v>open</v>
      </c>
      <c r="C5961" s="182" t="s">
        <v>375</v>
      </c>
      <c r="D5961" t="s">
        <v>8330</v>
      </c>
      <c r="E5961" t="s">
        <v>8480</v>
      </c>
      <c r="F5961" s="183" t="str">
        <f>VLOOKUP(Proc[[#This Row],[Obj]],Sheet5!A:B,2,0)</f>
        <v>O000000005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0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1" t="s">
        <v>6434</v>
      </c>
      <c r="M5961" s="178">
        <v>46057</v>
      </c>
      <c r="N5961" s="178"/>
      <c r="O5961" s="178"/>
      <c r="P5961" s="178" t="str">
        <f ca="1">IF(Proc[[#This Row],[DaysAgeing]]&gt;5,"yep","on track")</f>
        <v>on track</v>
      </c>
      <c r="Q5961" s="3">
        <f ca="1">IF(Proc[[#This Row],[DateClosed]]="",ABS(NETWORKDAYS(Proc[[#This Row],[DateOpened]],TODAY()))-1,ABS(NETWORKDAYS(Proc[[#This Row],[DateOpened]],Proc[[#This Row],[DateClosed]]))-1)</f>
        <v>1</v>
      </c>
      <c r="R5961" s="178" t="s">
        <v>422</v>
      </c>
      <c r="S5961" s="181"/>
    </row>
    <row r="5962" spans="1:19">
      <c r="A5962" s="180" t="s">
        <v>8481</v>
      </c>
      <c r="B5962" s="181" t="str">
        <f>IFERROR(VLOOKUP(Proc[[#This Row],[App]],Table2[],3,0),"open")</f>
        <v>open</v>
      </c>
      <c r="C5962" s="182" t="s">
        <v>375</v>
      </c>
      <c r="D5962" t="s">
        <v>8331</v>
      </c>
      <c r="E5962" t="s">
        <v>8480</v>
      </c>
      <c r="F5962" s="183" t="str">
        <f>VLOOKUP(Proc[[#This Row],[Obj]],Sheet5!A:B,2,0)</f>
        <v>O000000005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0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1" t="s">
        <v>6434</v>
      </c>
      <c r="M5962" s="178">
        <v>46057</v>
      </c>
      <c r="N5962" s="178"/>
      <c r="O5962" s="178"/>
      <c r="P5962" s="178" t="str">
        <f ca="1">IF(Proc[[#This Row],[DaysAgeing]]&gt;5,"yep","on track")</f>
        <v>on track</v>
      </c>
      <c r="Q5962" s="3">
        <f ca="1">IF(Proc[[#This Row],[DateClosed]]="",ABS(NETWORKDAYS(Proc[[#This Row],[DateOpened]],TODAY()))-1,ABS(NETWORKDAYS(Proc[[#This Row],[DateOpened]],Proc[[#This Row],[DateClosed]]))-1)</f>
        <v>1</v>
      </c>
      <c r="R5962" s="178" t="s">
        <v>422</v>
      </c>
      <c r="S5962" s="181"/>
    </row>
    <row r="5963" spans="1:19">
      <c r="A5963" s="180" t="s">
        <v>8481</v>
      </c>
      <c r="B5963" s="181" t="str">
        <f>IFERROR(VLOOKUP(Proc[[#This Row],[App]],Table2[],3,0),"open")</f>
        <v>open</v>
      </c>
      <c r="C5963" s="182" t="s">
        <v>375</v>
      </c>
      <c r="D5963" t="s">
        <v>8332</v>
      </c>
      <c r="E5963" t="s">
        <v>8480</v>
      </c>
      <c r="F5963" s="183" t="str">
        <f>VLOOKUP(Proc[[#This Row],[Obj]],Sheet5!A:B,2,0)</f>
        <v>O000000005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0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1" t="s">
        <v>6434</v>
      </c>
      <c r="M5963" s="178">
        <v>46057</v>
      </c>
      <c r="N5963" s="178"/>
      <c r="O5963" s="178"/>
      <c r="P5963" s="178" t="str">
        <f ca="1">IF(Proc[[#This Row],[DaysAgeing]]&gt;5,"yep","on track")</f>
        <v>on track</v>
      </c>
      <c r="Q5963" s="3">
        <f ca="1">IF(Proc[[#This Row],[DateClosed]]="",ABS(NETWORKDAYS(Proc[[#This Row],[DateOpened]],TODAY()))-1,ABS(NETWORKDAYS(Proc[[#This Row],[DateOpened]],Proc[[#This Row],[DateClosed]]))-1)</f>
        <v>1</v>
      </c>
      <c r="R5963" s="178" t="s">
        <v>422</v>
      </c>
      <c r="S5963" s="181"/>
    </row>
    <row r="5964" spans="1:19">
      <c r="A5964" s="180" t="s">
        <v>8481</v>
      </c>
      <c r="B5964" s="181" t="str">
        <f>IFERROR(VLOOKUP(Proc[[#This Row],[App]],Table2[],3,0),"open")</f>
        <v>open</v>
      </c>
      <c r="C5964" s="182" t="s">
        <v>375</v>
      </c>
      <c r="D5964" t="s">
        <v>8333</v>
      </c>
      <c r="E5964" t="s">
        <v>8480</v>
      </c>
      <c r="F5964" s="183" t="str">
        <f>VLOOKUP(Proc[[#This Row],[Obj]],Sheet5!A:B,2,0)</f>
        <v>O000000005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0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1" t="s">
        <v>6434</v>
      </c>
      <c r="M5964" s="178">
        <v>46057</v>
      </c>
      <c r="N5964" s="178"/>
      <c r="O5964" s="178"/>
      <c r="P5964" s="178" t="str">
        <f ca="1">IF(Proc[[#This Row],[DaysAgeing]]&gt;5,"yep","on track")</f>
        <v>on track</v>
      </c>
      <c r="Q5964" s="3">
        <f ca="1">IF(Proc[[#This Row],[DateClosed]]="",ABS(NETWORKDAYS(Proc[[#This Row],[DateOpened]],TODAY()))-1,ABS(NETWORKDAYS(Proc[[#This Row],[DateOpened]],Proc[[#This Row],[DateClosed]]))-1)</f>
        <v>1</v>
      </c>
      <c r="R5964" s="178" t="s">
        <v>422</v>
      </c>
      <c r="S5964" s="181"/>
    </row>
    <row r="5965" spans="1:19">
      <c r="A5965" s="180" t="s">
        <v>8481</v>
      </c>
      <c r="B5965" s="181" t="str">
        <f>IFERROR(VLOOKUP(Proc[[#This Row],[App]],Table2[],3,0),"open")</f>
        <v>open</v>
      </c>
      <c r="C5965" s="182" t="s">
        <v>375</v>
      </c>
      <c r="D5965" t="s">
        <v>8334</v>
      </c>
      <c r="E5965" t="s">
        <v>8480</v>
      </c>
      <c r="F5965" s="183" t="str">
        <f>VLOOKUP(Proc[[#This Row],[Obj]],Sheet5!A:B,2,0)</f>
        <v>O000000005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0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1" t="s">
        <v>6434</v>
      </c>
      <c r="M5965" s="178">
        <v>46057</v>
      </c>
      <c r="N5965" s="178"/>
      <c r="O5965" s="178"/>
      <c r="P5965" s="178" t="str">
        <f ca="1">IF(Proc[[#This Row],[DaysAgeing]]&gt;5,"yep","on track")</f>
        <v>on track</v>
      </c>
      <c r="Q5965" s="3">
        <f ca="1">IF(Proc[[#This Row],[DateClosed]]="",ABS(NETWORKDAYS(Proc[[#This Row],[DateOpened]],TODAY()))-1,ABS(NETWORKDAYS(Proc[[#This Row],[DateOpened]],Proc[[#This Row],[DateClosed]]))-1)</f>
        <v>1</v>
      </c>
      <c r="R5965" s="178" t="s">
        <v>422</v>
      </c>
      <c r="S5965" s="181"/>
    </row>
    <row r="5966" spans="1:19">
      <c r="A5966" s="180" t="s">
        <v>8481</v>
      </c>
      <c r="B5966" s="181" t="str">
        <f>IFERROR(VLOOKUP(Proc[[#This Row],[App]],Table2[],3,0),"open")</f>
        <v>open</v>
      </c>
      <c r="C5966" s="182" t="s">
        <v>375</v>
      </c>
      <c r="D5966" t="s">
        <v>8335</v>
      </c>
      <c r="E5966" t="s">
        <v>8480</v>
      </c>
      <c r="F5966" s="183" t="str">
        <f>VLOOKUP(Proc[[#This Row],[Obj]],Sheet5!A:B,2,0)</f>
        <v>O000000005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0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1" t="s">
        <v>6434</v>
      </c>
      <c r="M5966" s="178">
        <v>46057</v>
      </c>
      <c r="N5966" s="178"/>
      <c r="O5966" s="178"/>
      <c r="P5966" s="178" t="str">
        <f ca="1">IF(Proc[[#This Row],[DaysAgeing]]&gt;5,"yep","on track")</f>
        <v>on track</v>
      </c>
      <c r="Q5966" s="3">
        <f ca="1">IF(Proc[[#This Row],[DateClosed]]="",ABS(NETWORKDAYS(Proc[[#This Row],[DateOpened]],TODAY()))-1,ABS(NETWORKDAYS(Proc[[#This Row],[DateOpened]],Proc[[#This Row],[DateClosed]]))-1)</f>
        <v>1</v>
      </c>
      <c r="R5966" s="178" t="s">
        <v>422</v>
      </c>
      <c r="S5966" s="181"/>
    </row>
    <row r="5967" spans="1:19">
      <c r="A5967" s="180" t="s">
        <v>8481</v>
      </c>
      <c r="B5967" s="181" t="str">
        <f>IFERROR(VLOOKUP(Proc[[#This Row],[App]],Table2[],3,0),"open")</f>
        <v>open</v>
      </c>
      <c r="C5967" s="182" t="s">
        <v>375</v>
      </c>
      <c r="D5967" t="s">
        <v>8336</v>
      </c>
      <c r="E5967" t="s">
        <v>8480</v>
      </c>
      <c r="F5967" s="183" t="str">
        <f>VLOOKUP(Proc[[#This Row],[Obj]],Sheet5!A:B,2,0)</f>
        <v>O000000005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0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1" t="s">
        <v>6434</v>
      </c>
      <c r="M5967" s="178">
        <v>46057</v>
      </c>
      <c r="N5967" s="178"/>
      <c r="O5967" s="178"/>
      <c r="P5967" s="178" t="str">
        <f ca="1">IF(Proc[[#This Row],[DaysAgeing]]&gt;5,"yep","on track")</f>
        <v>on track</v>
      </c>
      <c r="Q5967" s="3">
        <f ca="1">IF(Proc[[#This Row],[DateClosed]]="",ABS(NETWORKDAYS(Proc[[#This Row],[DateOpened]],TODAY()))-1,ABS(NETWORKDAYS(Proc[[#This Row],[DateOpened]],Proc[[#This Row],[DateClosed]]))-1)</f>
        <v>1</v>
      </c>
      <c r="R5967" s="178" t="s">
        <v>422</v>
      </c>
      <c r="S5967" s="181"/>
    </row>
    <row r="5968" spans="1:19">
      <c r="A5968" s="180" t="s">
        <v>8481</v>
      </c>
      <c r="B5968" s="181" t="str">
        <f>IFERROR(VLOOKUP(Proc[[#This Row],[App]],Table2[],3,0),"open")</f>
        <v>open</v>
      </c>
      <c r="C5968" s="182" t="s">
        <v>375</v>
      </c>
      <c r="D5968" t="s">
        <v>8337</v>
      </c>
      <c r="E5968" t="s">
        <v>8480</v>
      </c>
      <c r="F5968" s="183" t="str">
        <f>VLOOKUP(Proc[[#This Row],[Obj]],Sheet5!A:B,2,0)</f>
        <v>O000000005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0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1" t="s">
        <v>6434</v>
      </c>
      <c r="M5968" s="178">
        <v>46057</v>
      </c>
      <c r="N5968" s="178"/>
      <c r="O5968" s="178"/>
      <c r="P5968" s="178" t="str">
        <f ca="1">IF(Proc[[#This Row],[DaysAgeing]]&gt;5,"yep","on track")</f>
        <v>on track</v>
      </c>
      <c r="Q5968" s="3">
        <f ca="1">IF(Proc[[#This Row],[DateClosed]]="",ABS(NETWORKDAYS(Proc[[#This Row],[DateOpened]],TODAY()))-1,ABS(NETWORKDAYS(Proc[[#This Row],[DateOpened]],Proc[[#This Row],[DateClosed]]))-1)</f>
        <v>1</v>
      </c>
      <c r="R5968" s="178" t="s">
        <v>422</v>
      </c>
      <c r="S5968" s="181"/>
    </row>
    <row r="5969" spans="1:19">
      <c r="A5969" s="180" t="s">
        <v>8481</v>
      </c>
      <c r="B5969" s="181" t="str">
        <f>IFERROR(VLOOKUP(Proc[[#This Row],[App]],Table2[],3,0),"open")</f>
        <v>open</v>
      </c>
      <c r="C5969" s="182" t="s">
        <v>375</v>
      </c>
      <c r="D5969" t="s">
        <v>8338</v>
      </c>
      <c r="E5969" t="s">
        <v>8480</v>
      </c>
      <c r="F5969" s="183" t="str">
        <f>VLOOKUP(Proc[[#This Row],[Obj]],Sheet5!A:B,2,0)</f>
        <v>O000000005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0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1" t="s">
        <v>6434</v>
      </c>
      <c r="M5969" s="178">
        <v>46057</v>
      </c>
      <c r="N5969" s="178"/>
      <c r="O5969" s="178"/>
      <c r="P5969" s="178" t="str">
        <f ca="1">IF(Proc[[#This Row],[DaysAgeing]]&gt;5,"yep","on track")</f>
        <v>on track</v>
      </c>
      <c r="Q5969" s="3">
        <f ca="1">IF(Proc[[#This Row],[DateClosed]]="",ABS(NETWORKDAYS(Proc[[#This Row],[DateOpened]],TODAY()))-1,ABS(NETWORKDAYS(Proc[[#This Row],[DateOpened]],Proc[[#This Row],[DateClosed]]))-1)</f>
        <v>1</v>
      </c>
      <c r="R5969" s="178" t="s">
        <v>422</v>
      </c>
      <c r="S5969" s="181"/>
    </row>
    <row r="5970" spans="1:19">
      <c r="A5970" s="180" t="s">
        <v>8481</v>
      </c>
      <c r="B5970" s="181" t="str">
        <f>IFERROR(VLOOKUP(Proc[[#This Row],[App]],Table2[],3,0),"open")</f>
        <v>open</v>
      </c>
      <c r="C5970" s="182" t="s">
        <v>375</v>
      </c>
      <c r="D5970" t="s">
        <v>8339</v>
      </c>
      <c r="E5970" t="s">
        <v>8480</v>
      </c>
      <c r="F5970" s="183" t="str">
        <f>VLOOKUP(Proc[[#This Row],[Obj]],Sheet5!A:B,2,0)</f>
        <v>O000000005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0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1" t="s">
        <v>6434</v>
      </c>
      <c r="M5970" s="178">
        <v>46057</v>
      </c>
      <c r="N5970" s="178"/>
      <c r="O5970" s="178"/>
      <c r="P5970" s="178" t="str">
        <f ca="1">IF(Proc[[#This Row],[DaysAgeing]]&gt;5,"yep","on track")</f>
        <v>on track</v>
      </c>
      <c r="Q5970" s="3">
        <f ca="1">IF(Proc[[#This Row],[DateClosed]]="",ABS(NETWORKDAYS(Proc[[#This Row],[DateOpened]],TODAY()))-1,ABS(NETWORKDAYS(Proc[[#This Row],[DateOpened]],Proc[[#This Row],[DateClosed]]))-1)</f>
        <v>1</v>
      </c>
      <c r="R5970" s="178" t="s">
        <v>422</v>
      </c>
      <c r="S5970" s="181"/>
    </row>
    <row r="5971" spans="1:19">
      <c r="A5971" s="180" t="s">
        <v>8481</v>
      </c>
      <c r="B5971" s="181" t="str">
        <f>IFERROR(VLOOKUP(Proc[[#This Row],[App]],Table2[],3,0),"open")</f>
        <v>open</v>
      </c>
      <c r="C5971" s="182" t="s">
        <v>375</v>
      </c>
      <c r="D5971" t="s">
        <v>8340</v>
      </c>
      <c r="E5971" t="s">
        <v>8480</v>
      </c>
      <c r="F5971" s="183" t="str">
        <f>VLOOKUP(Proc[[#This Row],[Obj]],Sheet5!A:B,2,0)</f>
        <v>O000000005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0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1" t="s">
        <v>6434</v>
      </c>
      <c r="M5971" s="178">
        <v>46057</v>
      </c>
      <c r="N5971" s="178"/>
      <c r="O5971" s="178"/>
      <c r="P5971" s="178" t="str">
        <f ca="1">IF(Proc[[#This Row],[DaysAgeing]]&gt;5,"yep","on track")</f>
        <v>on track</v>
      </c>
      <c r="Q5971" s="3">
        <f ca="1">IF(Proc[[#This Row],[DateClosed]]="",ABS(NETWORKDAYS(Proc[[#This Row],[DateOpened]],TODAY()))-1,ABS(NETWORKDAYS(Proc[[#This Row],[DateOpened]],Proc[[#This Row],[DateClosed]]))-1)</f>
        <v>1</v>
      </c>
      <c r="R5971" s="178" t="s">
        <v>422</v>
      </c>
      <c r="S5971" s="181"/>
    </row>
    <row r="5972" spans="1:19">
      <c r="A5972" s="180" t="s">
        <v>8481</v>
      </c>
      <c r="B5972" s="181" t="str">
        <f>IFERROR(VLOOKUP(Proc[[#This Row],[App]],Table2[],3,0),"open")</f>
        <v>open</v>
      </c>
      <c r="C5972" s="182" t="s">
        <v>375</v>
      </c>
      <c r="D5972" t="s">
        <v>8341</v>
      </c>
      <c r="E5972" t="s">
        <v>8480</v>
      </c>
      <c r="F5972" s="183" t="str">
        <f>VLOOKUP(Proc[[#This Row],[Obj]],Sheet5!A:B,2,0)</f>
        <v>O000000005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0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1" t="s">
        <v>6434</v>
      </c>
      <c r="M5972" s="178">
        <v>46057</v>
      </c>
      <c r="N5972" s="178"/>
      <c r="O5972" s="178"/>
      <c r="P5972" s="178" t="str">
        <f ca="1">IF(Proc[[#This Row],[DaysAgeing]]&gt;5,"yep","on track")</f>
        <v>on track</v>
      </c>
      <c r="Q5972" s="3">
        <f ca="1">IF(Proc[[#This Row],[DateClosed]]="",ABS(NETWORKDAYS(Proc[[#This Row],[DateOpened]],TODAY()))-1,ABS(NETWORKDAYS(Proc[[#This Row],[DateOpened]],Proc[[#This Row],[DateClosed]]))-1)</f>
        <v>1</v>
      </c>
      <c r="R5972" s="178" t="s">
        <v>422</v>
      </c>
      <c r="S5972" s="181"/>
    </row>
    <row r="5973" spans="1:19">
      <c r="A5973" s="180" t="s">
        <v>8481</v>
      </c>
      <c r="B5973" s="181" t="str">
        <f>IFERROR(VLOOKUP(Proc[[#This Row],[App]],Table2[],3,0),"open")</f>
        <v>open</v>
      </c>
      <c r="C5973" s="182" t="s">
        <v>375</v>
      </c>
      <c r="D5973" t="s">
        <v>8342</v>
      </c>
      <c r="E5973" t="s">
        <v>8480</v>
      </c>
      <c r="F5973" s="183" t="str">
        <f>VLOOKUP(Proc[[#This Row],[Obj]],Sheet5!A:B,2,0)</f>
        <v>O000000005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0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1" t="s">
        <v>6434</v>
      </c>
      <c r="M5973" s="178">
        <v>46057</v>
      </c>
      <c r="N5973" s="178"/>
      <c r="O5973" s="178"/>
      <c r="P5973" s="178" t="str">
        <f ca="1">IF(Proc[[#This Row],[DaysAgeing]]&gt;5,"yep","on track")</f>
        <v>on track</v>
      </c>
      <c r="Q5973" s="3">
        <f ca="1">IF(Proc[[#This Row],[DateClosed]]="",ABS(NETWORKDAYS(Proc[[#This Row],[DateOpened]],TODAY()))-1,ABS(NETWORKDAYS(Proc[[#This Row],[DateOpened]],Proc[[#This Row],[DateClosed]]))-1)</f>
        <v>1</v>
      </c>
      <c r="R5973" s="178" t="s">
        <v>422</v>
      </c>
      <c r="S5973" s="181"/>
    </row>
    <row r="5974" spans="1:19">
      <c r="A5974" s="180" t="s">
        <v>8481</v>
      </c>
      <c r="B5974" s="181" t="str">
        <f>IFERROR(VLOOKUP(Proc[[#This Row],[App]],Table2[],3,0),"open")</f>
        <v>open</v>
      </c>
      <c r="C5974" s="182" t="s">
        <v>375</v>
      </c>
      <c r="D5974" t="s">
        <v>8343</v>
      </c>
      <c r="E5974" t="s">
        <v>8480</v>
      </c>
      <c r="F5974" s="183" t="str">
        <f>VLOOKUP(Proc[[#This Row],[Obj]],Sheet5!A:B,2,0)</f>
        <v>O000000005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0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1" t="s">
        <v>6434</v>
      </c>
      <c r="M5974" s="178">
        <v>46057</v>
      </c>
      <c r="N5974" s="178"/>
      <c r="O5974" s="178"/>
      <c r="P5974" s="178" t="str">
        <f ca="1">IF(Proc[[#This Row],[DaysAgeing]]&gt;5,"yep","on track")</f>
        <v>on track</v>
      </c>
      <c r="Q5974" s="3">
        <f ca="1">IF(Proc[[#This Row],[DateClosed]]="",ABS(NETWORKDAYS(Proc[[#This Row],[DateOpened]],TODAY()))-1,ABS(NETWORKDAYS(Proc[[#This Row],[DateOpened]],Proc[[#This Row],[DateClosed]]))-1)</f>
        <v>1</v>
      </c>
      <c r="R5974" s="178" t="s">
        <v>422</v>
      </c>
      <c r="S5974" s="181"/>
    </row>
    <row r="5975" spans="1:19">
      <c r="A5975" s="180" t="s">
        <v>8481</v>
      </c>
      <c r="B5975" s="181" t="str">
        <f>IFERROR(VLOOKUP(Proc[[#This Row],[App]],Table2[],3,0),"open")</f>
        <v>open</v>
      </c>
      <c r="C5975" s="182" t="s">
        <v>375</v>
      </c>
      <c r="D5975" t="s">
        <v>8344</v>
      </c>
      <c r="E5975" t="s">
        <v>8480</v>
      </c>
      <c r="F5975" s="183" t="str">
        <f>VLOOKUP(Proc[[#This Row],[Obj]],Sheet5!A:B,2,0)</f>
        <v>O000000005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0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1" t="s">
        <v>6434</v>
      </c>
      <c r="M5975" s="178">
        <v>46057</v>
      </c>
      <c r="N5975" s="178"/>
      <c r="O5975" s="178"/>
      <c r="P5975" s="178" t="str">
        <f ca="1">IF(Proc[[#This Row],[DaysAgeing]]&gt;5,"yep","on track")</f>
        <v>on track</v>
      </c>
      <c r="Q5975" s="3">
        <f ca="1">IF(Proc[[#This Row],[DateClosed]]="",ABS(NETWORKDAYS(Proc[[#This Row],[DateOpened]],TODAY()))-1,ABS(NETWORKDAYS(Proc[[#This Row],[DateOpened]],Proc[[#This Row],[DateClosed]]))-1)</f>
        <v>1</v>
      </c>
      <c r="R5975" s="178" t="s">
        <v>422</v>
      </c>
      <c r="S5975" s="181"/>
    </row>
    <row r="5976" spans="1:19">
      <c r="A5976" s="180" t="s">
        <v>8481</v>
      </c>
      <c r="B5976" s="181" t="str">
        <f>IFERROR(VLOOKUP(Proc[[#This Row],[App]],Table2[],3,0),"open")</f>
        <v>open</v>
      </c>
      <c r="C5976" s="180" t="s">
        <v>375</v>
      </c>
      <c r="D5976" t="s">
        <v>8345</v>
      </c>
      <c r="E5976" t="s">
        <v>8480</v>
      </c>
      <c r="F5976" s="183" t="str">
        <f>VLOOKUP(Proc[[#This Row],[Obj]],Sheet5!A:B,2,0)</f>
        <v>O000000005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0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1" t="s">
        <v>6434</v>
      </c>
      <c r="M5976" s="178">
        <v>46057</v>
      </c>
      <c r="N5976" s="178"/>
      <c r="O5976" s="178"/>
      <c r="P5976" s="178" t="str">
        <f ca="1">IF(Proc[[#This Row],[DaysAgeing]]&gt;5,"yep","on track")</f>
        <v>on track</v>
      </c>
      <c r="Q5976" s="3">
        <f ca="1">IF(Proc[[#This Row],[DateClosed]]="",ABS(NETWORKDAYS(Proc[[#This Row],[DateOpened]],TODAY()))-1,ABS(NETWORKDAYS(Proc[[#This Row],[DateOpened]],Proc[[#This Row],[DateClosed]]))-1)</f>
        <v>1</v>
      </c>
      <c r="R5976" s="178" t="s">
        <v>422</v>
      </c>
      <c r="S5976" s="181"/>
    </row>
    <row r="5977" spans="1:19">
      <c r="A5977" s="180" t="s">
        <v>8481</v>
      </c>
      <c r="B5977" s="181" t="str">
        <f>IFERROR(VLOOKUP(Proc[[#This Row],[App]],Table2[],3,0),"open")</f>
        <v>open</v>
      </c>
      <c r="C5977" s="180" t="s">
        <v>404</v>
      </c>
      <c r="D5977" t="s">
        <v>8346</v>
      </c>
      <c r="E5977" t="s">
        <v>8480</v>
      </c>
      <c r="F5977" s="183" t="str">
        <f>VLOOKUP(Proc[[#This Row],[Obj]],Sheet5!A:B,2,0)</f>
        <v>O000000005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0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1" t="s">
        <v>6434</v>
      </c>
      <c r="M5977" s="178">
        <v>46057</v>
      </c>
      <c r="N5977" s="178"/>
      <c r="O5977" s="178"/>
      <c r="P5977" s="178" t="str">
        <f ca="1">IF(Proc[[#This Row],[DaysAgeing]]&gt;5,"yep","on track")</f>
        <v>on track</v>
      </c>
      <c r="Q5977" s="3">
        <f ca="1">IF(Proc[[#This Row],[DateClosed]]="",ABS(NETWORKDAYS(Proc[[#This Row],[DateOpened]],TODAY()))-1,ABS(NETWORKDAYS(Proc[[#This Row],[DateOpened]],Proc[[#This Row],[DateClosed]]))-1)</f>
        <v>1</v>
      </c>
      <c r="R5977" s="178" t="s">
        <v>422</v>
      </c>
      <c r="S5977" s="181"/>
    </row>
    <row r="5978" spans="1:19">
      <c r="A5978" s="180" t="s">
        <v>8481</v>
      </c>
      <c r="B5978" s="181" t="str">
        <f>IFERROR(VLOOKUP(Proc[[#This Row],[App]],Table2[],3,0),"open")</f>
        <v>open</v>
      </c>
      <c r="C5978" s="182" t="s">
        <v>375</v>
      </c>
      <c r="D5978" t="s">
        <v>8347</v>
      </c>
      <c r="E5978" t="s">
        <v>8480</v>
      </c>
      <c r="F5978" s="183" t="str">
        <f>VLOOKUP(Proc[[#This Row],[Obj]],Sheet5!A:B,2,0)</f>
        <v>O000000005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0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1" t="s">
        <v>6434</v>
      </c>
      <c r="M5978" s="178">
        <v>46057</v>
      </c>
      <c r="N5978" s="178"/>
      <c r="O5978" s="178"/>
      <c r="P5978" s="178" t="str">
        <f ca="1">IF(Proc[[#This Row],[DaysAgeing]]&gt;5,"yep","on track")</f>
        <v>on track</v>
      </c>
      <c r="Q5978" s="3">
        <f ca="1">IF(Proc[[#This Row],[DateClosed]]="",ABS(NETWORKDAYS(Proc[[#This Row],[DateOpened]],TODAY()))-1,ABS(NETWORKDAYS(Proc[[#This Row],[DateOpened]],Proc[[#This Row],[DateClosed]]))-1)</f>
        <v>1</v>
      </c>
      <c r="R5978" s="178" t="s">
        <v>422</v>
      </c>
      <c r="S5978" s="181"/>
    </row>
    <row r="5979" spans="1:19">
      <c r="A5979" s="180" t="s">
        <v>8481</v>
      </c>
      <c r="B5979" s="181" t="str">
        <f>IFERROR(VLOOKUP(Proc[[#This Row],[App]],Table2[],3,0),"open")</f>
        <v>open</v>
      </c>
      <c r="C5979" s="182" t="s">
        <v>375</v>
      </c>
      <c r="D5979" t="s">
        <v>8348</v>
      </c>
      <c r="E5979" t="s">
        <v>8480</v>
      </c>
      <c r="F5979" s="183" t="str">
        <f>VLOOKUP(Proc[[#This Row],[Obj]],Sheet5!A:B,2,0)</f>
        <v>O000000005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0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1" t="s">
        <v>6434</v>
      </c>
      <c r="M5979" s="178">
        <v>46057</v>
      </c>
      <c r="N5979" s="178"/>
      <c r="O5979" s="178"/>
      <c r="P5979" s="178" t="str">
        <f ca="1">IF(Proc[[#This Row],[DaysAgeing]]&gt;5,"yep","on track")</f>
        <v>on track</v>
      </c>
      <c r="Q5979" s="3">
        <f ca="1">IF(Proc[[#This Row],[DateClosed]]="",ABS(NETWORKDAYS(Proc[[#This Row],[DateOpened]],TODAY()))-1,ABS(NETWORKDAYS(Proc[[#This Row],[DateOpened]],Proc[[#This Row],[DateClosed]]))-1)</f>
        <v>1</v>
      </c>
      <c r="R5979" s="178" t="s">
        <v>422</v>
      </c>
      <c r="S5979" s="181"/>
    </row>
    <row r="5980" spans="1:19">
      <c r="A5980" s="180" t="s">
        <v>8481</v>
      </c>
      <c r="B5980" s="181" t="str">
        <f>IFERROR(VLOOKUP(Proc[[#This Row],[App]],Table2[],3,0),"open")</f>
        <v>open</v>
      </c>
      <c r="C5980" s="182" t="s">
        <v>375</v>
      </c>
      <c r="D5980" t="s">
        <v>8349</v>
      </c>
      <c r="E5980" t="s">
        <v>8480</v>
      </c>
      <c r="F5980" s="183" t="str">
        <f>VLOOKUP(Proc[[#This Row],[Obj]],Sheet5!A:B,2,0)</f>
        <v>O000000005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0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1" t="s">
        <v>6434</v>
      </c>
      <c r="M5980" s="178">
        <v>46057</v>
      </c>
      <c r="N5980" s="178"/>
      <c r="O5980" s="178"/>
      <c r="P5980" s="178" t="str">
        <f ca="1">IF(Proc[[#This Row],[DaysAgeing]]&gt;5,"yep","on track")</f>
        <v>on track</v>
      </c>
      <c r="Q5980" s="3">
        <f ca="1">IF(Proc[[#This Row],[DateClosed]]="",ABS(NETWORKDAYS(Proc[[#This Row],[DateOpened]],TODAY()))-1,ABS(NETWORKDAYS(Proc[[#This Row],[DateOpened]],Proc[[#This Row],[DateClosed]]))-1)</f>
        <v>1</v>
      </c>
      <c r="R5980" s="178" t="s">
        <v>422</v>
      </c>
      <c r="S5980" s="181"/>
    </row>
    <row r="5981" spans="1:19">
      <c r="A5981" s="180" t="s">
        <v>8481</v>
      </c>
      <c r="B5981" s="181" t="str">
        <f>IFERROR(VLOOKUP(Proc[[#This Row],[App]],Table2[],3,0),"open")</f>
        <v>open</v>
      </c>
      <c r="C5981" s="182" t="s">
        <v>375</v>
      </c>
      <c r="D5981" t="s">
        <v>8350</v>
      </c>
      <c r="E5981" t="s">
        <v>8480</v>
      </c>
      <c r="F5981" s="183" t="str">
        <f>VLOOKUP(Proc[[#This Row],[Obj]],Sheet5!A:B,2,0)</f>
        <v>O000000005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0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1" t="s">
        <v>6434</v>
      </c>
      <c r="M5981" s="178">
        <v>46057</v>
      </c>
      <c r="N5981" s="178"/>
      <c r="O5981" s="178"/>
      <c r="P5981" s="178" t="str">
        <f ca="1">IF(Proc[[#This Row],[DaysAgeing]]&gt;5,"yep","on track")</f>
        <v>on track</v>
      </c>
      <c r="Q5981" s="3">
        <f ca="1">IF(Proc[[#This Row],[DateClosed]]="",ABS(NETWORKDAYS(Proc[[#This Row],[DateOpened]],TODAY()))-1,ABS(NETWORKDAYS(Proc[[#This Row],[DateOpened]],Proc[[#This Row],[DateClosed]]))-1)</f>
        <v>1</v>
      </c>
      <c r="R5981" s="178" t="s">
        <v>422</v>
      </c>
      <c r="S5981" s="181"/>
    </row>
    <row r="5982" spans="1:19">
      <c r="A5982" s="180" t="s">
        <v>8481</v>
      </c>
      <c r="B5982" s="181" t="str">
        <f>IFERROR(VLOOKUP(Proc[[#This Row],[App]],Table2[],3,0),"open")</f>
        <v>open</v>
      </c>
      <c r="C5982" s="182" t="s">
        <v>375</v>
      </c>
      <c r="D5982" t="s">
        <v>8351</v>
      </c>
      <c r="E5982" t="s">
        <v>8480</v>
      </c>
      <c r="F5982" s="183" t="str">
        <f>VLOOKUP(Proc[[#This Row],[Obj]],Sheet5!A:B,2,0)</f>
        <v>O000000005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0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1" t="s">
        <v>6434</v>
      </c>
      <c r="M5982" s="178">
        <v>46057</v>
      </c>
      <c r="N5982" s="178"/>
      <c r="O5982" s="178"/>
      <c r="P5982" s="178" t="str">
        <f ca="1">IF(Proc[[#This Row],[DaysAgeing]]&gt;5,"yep","on track")</f>
        <v>on track</v>
      </c>
      <c r="Q5982" s="3">
        <f ca="1">IF(Proc[[#This Row],[DateClosed]]="",ABS(NETWORKDAYS(Proc[[#This Row],[DateOpened]],TODAY()))-1,ABS(NETWORKDAYS(Proc[[#This Row],[DateOpened]],Proc[[#This Row],[DateClosed]]))-1)</f>
        <v>1</v>
      </c>
      <c r="R5982" s="178" t="s">
        <v>422</v>
      </c>
      <c r="S5982" s="181"/>
    </row>
    <row r="5983" spans="1:19">
      <c r="A5983" s="180" t="s">
        <v>8481</v>
      </c>
      <c r="B5983" s="181" t="str">
        <f>IFERROR(VLOOKUP(Proc[[#This Row],[App]],Table2[],3,0),"open")</f>
        <v>open</v>
      </c>
      <c r="C5983" s="182" t="s">
        <v>375</v>
      </c>
      <c r="D5983" t="s">
        <v>8352</v>
      </c>
      <c r="E5983" t="s">
        <v>8480</v>
      </c>
      <c r="F5983" s="183" t="str">
        <f>VLOOKUP(Proc[[#This Row],[Obj]],Sheet5!A:B,2,0)</f>
        <v>O000000005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0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1" t="s">
        <v>6434</v>
      </c>
      <c r="M5983" s="178">
        <v>46057</v>
      </c>
      <c r="N5983" s="178"/>
      <c r="O5983" s="178"/>
      <c r="P5983" s="178" t="str">
        <f ca="1">IF(Proc[[#This Row],[DaysAgeing]]&gt;5,"yep","on track")</f>
        <v>on track</v>
      </c>
      <c r="Q5983" s="3">
        <f ca="1">IF(Proc[[#This Row],[DateClosed]]="",ABS(NETWORKDAYS(Proc[[#This Row],[DateOpened]],TODAY()))-1,ABS(NETWORKDAYS(Proc[[#This Row],[DateOpened]],Proc[[#This Row],[DateClosed]]))-1)</f>
        <v>1</v>
      </c>
      <c r="R5983" s="178" t="s">
        <v>422</v>
      </c>
      <c r="S5983" s="181"/>
    </row>
    <row r="5984" spans="1:19">
      <c r="A5984" s="180" t="s">
        <v>8481</v>
      </c>
      <c r="B5984" s="181" t="str">
        <f>IFERROR(VLOOKUP(Proc[[#This Row],[App]],Table2[],3,0),"open")</f>
        <v>open</v>
      </c>
      <c r="C5984" s="182" t="s">
        <v>375</v>
      </c>
      <c r="D5984" t="s">
        <v>8353</v>
      </c>
      <c r="E5984" t="s">
        <v>8480</v>
      </c>
      <c r="F5984" s="183" t="str">
        <f>VLOOKUP(Proc[[#This Row],[Obj]],Sheet5!A:B,2,0)</f>
        <v>O000000005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0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1" t="s">
        <v>6434</v>
      </c>
      <c r="M5984" s="178">
        <v>46057</v>
      </c>
      <c r="N5984" s="178"/>
      <c r="O5984" s="178"/>
      <c r="P5984" s="178" t="str">
        <f ca="1">IF(Proc[[#This Row],[DaysAgeing]]&gt;5,"yep","on track")</f>
        <v>on track</v>
      </c>
      <c r="Q5984" s="3">
        <f ca="1">IF(Proc[[#This Row],[DateClosed]]="",ABS(NETWORKDAYS(Proc[[#This Row],[DateOpened]],TODAY()))-1,ABS(NETWORKDAYS(Proc[[#This Row],[DateOpened]],Proc[[#This Row],[DateClosed]]))-1)</f>
        <v>1</v>
      </c>
      <c r="R5984" s="178" t="s">
        <v>422</v>
      </c>
      <c r="S5984" s="181"/>
    </row>
    <row r="5985" spans="1:19">
      <c r="A5985" s="180" t="s">
        <v>8481</v>
      </c>
      <c r="B5985" s="181" t="str">
        <f>IFERROR(VLOOKUP(Proc[[#This Row],[App]],Table2[],3,0),"open")</f>
        <v>open</v>
      </c>
      <c r="C5985" s="182" t="s">
        <v>375</v>
      </c>
      <c r="D5985" t="s">
        <v>8354</v>
      </c>
      <c r="E5985" t="s">
        <v>8480</v>
      </c>
      <c r="F5985" s="183" t="str">
        <f>VLOOKUP(Proc[[#This Row],[Obj]],Sheet5!A:B,2,0)</f>
        <v>O000000005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0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1" t="s">
        <v>6434</v>
      </c>
      <c r="M5985" s="178">
        <v>46057</v>
      </c>
      <c r="N5985" s="178"/>
      <c r="O5985" s="178"/>
      <c r="P5985" s="178" t="str">
        <f ca="1">IF(Proc[[#This Row],[DaysAgeing]]&gt;5,"yep","on track")</f>
        <v>on track</v>
      </c>
      <c r="Q5985" s="3">
        <f ca="1">IF(Proc[[#This Row],[DateClosed]]="",ABS(NETWORKDAYS(Proc[[#This Row],[DateOpened]],TODAY()))-1,ABS(NETWORKDAYS(Proc[[#This Row],[DateOpened]],Proc[[#This Row],[DateClosed]]))-1)</f>
        <v>1</v>
      </c>
      <c r="R5985" s="178" t="s">
        <v>422</v>
      </c>
      <c r="S5985" s="181"/>
    </row>
    <row r="5986" spans="1:19">
      <c r="A5986" s="180" t="s">
        <v>8481</v>
      </c>
      <c r="B5986" s="181" t="str">
        <f>IFERROR(VLOOKUP(Proc[[#This Row],[App]],Table2[],3,0),"open")</f>
        <v>open</v>
      </c>
      <c r="C5986" s="182" t="s">
        <v>375</v>
      </c>
      <c r="D5986" t="s">
        <v>8355</v>
      </c>
      <c r="E5986" t="s">
        <v>8480</v>
      </c>
      <c r="F5986" s="183" t="str">
        <f>VLOOKUP(Proc[[#This Row],[Obj]],Sheet5!A:B,2,0)</f>
        <v>O000000005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0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1" t="s">
        <v>6434</v>
      </c>
      <c r="M5986" s="178">
        <v>46057</v>
      </c>
      <c r="N5986" s="178"/>
      <c r="O5986" s="178"/>
      <c r="P5986" s="178" t="str">
        <f ca="1">IF(Proc[[#This Row],[DaysAgeing]]&gt;5,"yep","on track")</f>
        <v>on track</v>
      </c>
      <c r="Q5986" s="3">
        <f ca="1">IF(Proc[[#This Row],[DateClosed]]="",ABS(NETWORKDAYS(Proc[[#This Row],[DateOpened]],TODAY()))-1,ABS(NETWORKDAYS(Proc[[#This Row],[DateOpened]],Proc[[#This Row],[DateClosed]]))-1)</f>
        <v>1</v>
      </c>
      <c r="R5986" s="178" t="s">
        <v>422</v>
      </c>
      <c r="S5986" s="181"/>
    </row>
    <row r="5987" spans="1:19">
      <c r="A5987" s="180" t="s">
        <v>8481</v>
      </c>
      <c r="B5987" s="181" t="str">
        <f>IFERROR(VLOOKUP(Proc[[#This Row],[App]],Table2[],3,0),"open")</f>
        <v>open</v>
      </c>
      <c r="C5987" s="182" t="s">
        <v>375</v>
      </c>
      <c r="D5987" t="s">
        <v>8356</v>
      </c>
      <c r="E5987" t="s">
        <v>8480</v>
      </c>
      <c r="F5987" s="183" t="str">
        <f>VLOOKUP(Proc[[#This Row],[Obj]],Sheet5!A:B,2,0)</f>
        <v>O000000005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0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1" t="s">
        <v>6434</v>
      </c>
      <c r="M5987" s="178">
        <v>46057</v>
      </c>
      <c r="N5987" s="178"/>
      <c r="O5987" s="178"/>
      <c r="P5987" s="178" t="str">
        <f ca="1">IF(Proc[[#This Row],[DaysAgeing]]&gt;5,"yep","on track")</f>
        <v>on track</v>
      </c>
      <c r="Q5987" s="3">
        <f ca="1">IF(Proc[[#This Row],[DateClosed]]="",ABS(NETWORKDAYS(Proc[[#This Row],[DateOpened]],TODAY()))-1,ABS(NETWORKDAYS(Proc[[#This Row],[DateOpened]],Proc[[#This Row],[DateClosed]]))-1)</f>
        <v>1</v>
      </c>
      <c r="R5987" s="178" t="s">
        <v>422</v>
      </c>
      <c r="S5987" s="181"/>
    </row>
    <row r="5988" spans="1:19">
      <c r="A5988" s="180" t="s">
        <v>8481</v>
      </c>
      <c r="B5988" s="181" t="str">
        <f>IFERROR(VLOOKUP(Proc[[#This Row],[App]],Table2[],3,0),"open")</f>
        <v>open</v>
      </c>
      <c r="C5988" s="182" t="s">
        <v>375</v>
      </c>
      <c r="D5988" t="s">
        <v>8357</v>
      </c>
      <c r="E5988" t="s">
        <v>8480</v>
      </c>
      <c r="F5988" s="183" t="str">
        <f>VLOOKUP(Proc[[#This Row],[Obj]],Sheet5!A:B,2,0)</f>
        <v>O000000005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0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1" t="s">
        <v>6434</v>
      </c>
      <c r="M5988" s="178">
        <v>46057</v>
      </c>
      <c r="N5988" s="178"/>
      <c r="O5988" s="178"/>
      <c r="P5988" s="178" t="str">
        <f ca="1">IF(Proc[[#This Row],[DaysAgeing]]&gt;5,"yep","on track")</f>
        <v>on track</v>
      </c>
      <c r="Q5988" s="3">
        <f ca="1">IF(Proc[[#This Row],[DateClosed]]="",ABS(NETWORKDAYS(Proc[[#This Row],[DateOpened]],TODAY()))-1,ABS(NETWORKDAYS(Proc[[#This Row],[DateOpened]],Proc[[#This Row],[DateClosed]]))-1)</f>
        <v>1</v>
      </c>
      <c r="R5988" s="178" t="s">
        <v>422</v>
      </c>
      <c r="S5988" s="181"/>
    </row>
    <row r="5989" spans="1:19">
      <c r="A5989" s="180" t="s">
        <v>8481</v>
      </c>
      <c r="B5989" s="181" t="str">
        <f>IFERROR(VLOOKUP(Proc[[#This Row],[App]],Table2[],3,0),"open")</f>
        <v>open</v>
      </c>
      <c r="C5989" s="182" t="s">
        <v>375</v>
      </c>
      <c r="D5989" t="s">
        <v>8358</v>
      </c>
      <c r="E5989" t="s">
        <v>8480</v>
      </c>
      <c r="F5989" s="183" t="str">
        <f>VLOOKUP(Proc[[#This Row],[Obj]],Sheet5!A:B,2,0)</f>
        <v>O000000005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0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1" t="s">
        <v>6434</v>
      </c>
      <c r="M5989" s="178">
        <v>46057</v>
      </c>
      <c r="N5989" s="178"/>
      <c r="O5989" s="178"/>
      <c r="P5989" s="178" t="str">
        <f ca="1">IF(Proc[[#This Row],[DaysAgeing]]&gt;5,"yep","on track")</f>
        <v>on track</v>
      </c>
      <c r="Q5989" s="3">
        <f ca="1">IF(Proc[[#This Row],[DateClosed]]="",ABS(NETWORKDAYS(Proc[[#This Row],[DateOpened]],TODAY()))-1,ABS(NETWORKDAYS(Proc[[#This Row],[DateOpened]],Proc[[#This Row],[DateClosed]]))-1)</f>
        <v>1</v>
      </c>
      <c r="R5989" s="178" t="s">
        <v>422</v>
      </c>
      <c r="S5989" s="181"/>
    </row>
    <row r="5990" spans="1:19">
      <c r="A5990" s="180" t="s">
        <v>8481</v>
      </c>
      <c r="B5990" s="181" t="str">
        <f>IFERROR(VLOOKUP(Proc[[#This Row],[App]],Table2[],3,0),"open")</f>
        <v>open</v>
      </c>
      <c r="C5990" s="182" t="s">
        <v>375</v>
      </c>
      <c r="D5990" t="s">
        <v>8359</v>
      </c>
      <c r="E5990" t="s">
        <v>8480</v>
      </c>
      <c r="F5990" s="183" t="str">
        <f>VLOOKUP(Proc[[#This Row],[Obj]],Sheet5!A:B,2,0)</f>
        <v>O000000005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0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1" t="s">
        <v>6434</v>
      </c>
      <c r="M5990" s="178">
        <v>46057</v>
      </c>
      <c r="N5990" s="178"/>
      <c r="O5990" s="178"/>
      <c r="P5990" s="178" t="str">
        <f ca="1">IF(Proc[[#This Row],[DaysAgeing]]&gt;5,"yep","on track")</f>
        <v>on track</v>
      </c>
      <c r="Q5990" s="3">
        <f ca="1">IF(Proc[[#This Row],[DateClosed]]="",ABS(NETWORKDAYS(Proc[[#This Row],[DateOpened]],TODAY()))-1,ABS(NETWORKDAYS(Proc[[#This Row],[DateOpened]],Proc[[#This Row],[DateClosed]]))-1)</f>
        <v>1</v>
      </c>
      <c r="R5990" s="178" t="s">
        <v>422</v>
      </c>
      <c r="S5990" s="181"/>
    </row>
    <row r="5991" spans="1:19">
      <c r="A5991" s="180" t="s">
        <v>8481</v>
      </c>
      <c r="B5991" s="181" t="str">
        <f>IFERROR(VLOOKUP(Proc[[#This Row],[App]],Table2[],3,0),"open")</f>
        <v>open</v>
      </c>
      <c r="C5991" s="182" t="s">
        <v>375</v>
      </c>
      <c r="D5991" t="s">
        <v>8360</v>
      </c>
      <c r="E5991" t="s">
        <v>8480</v>
      </c>
      <c r="F5991" s="183" t="str">
        <f>VLOOKUP(Proc[[#This Row],[Obj]],Sheet5!A:B,2,0)</f>
        <v>O000000005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0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1" t="s">
        <v>6434</v>
      </c>
      <c r="M5991" s="178">
        <v>46057</v>
      </c>
      <c r="N5991" s="178"/>
      <c r="O5991" s="178"/>
      <c r="P5991" s="178" t="str">
        <f ca="1">IF(Proc[[#This Row],[DaysAgeing]]&gt;5,"yep","on track")</f>
        <v>on track</v>
      </c>
      <c r="Q5991" s="3">
        <f ca="1">IF(Proc[[#This Row],[DateClosed]]="",ABS(NETWORKDAYS(Proc[[#This Row],[DateOpened]],TODAY()))-1,ABS(NETWORKDAYS(Proc[[#This Row],[DateOpened]],Proc[[#This Row],[DateClosed]]))-1)</f>
        <v>1</v>
      </c>
      <c r="R5991" s="178" t="s">
        <v>422</v>
      </c>
      <c r="S5991" s="181"/>
    </row>
    <row r="5992" spans="1:19">
      <c r="A5992" s="180" t="s">
        <v>8481</v>
      </c>
      <c r="B5992" s="181" t="str">
        <f>IFERROR(VLOOKUP(Proc[[#This Row],[App]],Table2[],3,0),"open")</f>
        <v>open</v>
      </c>
      <c r="C5992" s="182" t="s">
        <v>375</v>
      </c>
      <c r="D5992" t="s">
        <v>8361</v>
      </c>
      <c r="E5992" t="s">
        <v>8480</v>
      </c>
      <c r="F5992" s="183" t="str">
        <f>VLOOKUP(Proc[[#This Row],[Obj]],Sheet5!A:B,2,0)</f>
        <v>O000000005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0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1" t="s">
        <v>6434</v>
      </c>
      <c r="M5992" s="178">
        <v>46057</v>
      </c>
      <c r="N5992" s="178"/>
      <c r="O5992" s="178"/>
      <c r="P5992" s="178" t="str">
        <f ca="1">IF(Proc[[#This Row],[DaysAgeing]]&gt;5,"yep","on track")</f>
        <v>on track</v>
      </c>
      <c r="Q5992" s="3">
        <f ca="1">IF(Proc[[#This Row],[DateClosed]]="",ABS(NETWORKDAYS(Proc[[#This Row],[DateOpened]],TODAY()))-1,ABS(NETWORKDAYS(Proc[[#This Row],[DateOpened]],Proc[[#This Row],[DateClosed]]))-1)</f>
        <v>1</v>
      </c>
      <c r="R5992" s="178" t="s">
        <v>422</v>
      </c>
      <c r="S5992" s="181"/>
    </row>
    <row r="5993" spans="1:19">
      <c r="A5993" s="180" t="s">
        <v>8481</v>
      </c>
      <c r="B5993" s="181" t="str">
        <f>IFERROR(VLOOKUP(Proc[[#This Row],[App]],Table2[],3,0),"open")</f>
        <v>open</v>
      </c>
      <c r="C5993" s="182" t="s">
        <v>375</v>
      </c>
      <c r="D5993" t="s">
        <v>8362</v>
      </c>
      <c r="E5993" t="s">
        <v>8480</v>
      </c>
      <c r="F5993" s="183" t="str">
        <f>VLOOKUP(Proc[[#This Row],[Obj]],Sheet5!A:B,2,0)</f>
        <v>O000000005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0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1" t="s">
        <v>6434</v>
      </c>
      <c r="M5993" s="178">
        <v>46057</v>
      </c>
      <c r="N5993" s="178"/>
      <c r="O5993" s="178"/>
      <c r="P5993" s="178" t="str">
        <f ca="1">IF(Proc[[#This Row],[DaysAgeing]]&gt;5,"yep","on track")</f>
        <v>on track</v>
      </c>
      <c r="Q5993" s="3">
        <f ca="1">IF(Proc[[#This Row],[DateClosed]]="",ABS(NETWORKDAYS(Proc[[#This Row],[DateOpened]],TODAY()))-1,ABS(NETWORKDAYS(Proc[[#This Row],[DateOpened]],Proc[[#This Row],[DateClosed]]))-1)</f>
        <v>1</v>
      </c>
      <c r="R5993" s="178" t="s">
        <v>422</v>
      </c>
      <c r="S5993" s="181"/>
    </row>
    <row r="5994" spans="1:19">
      <c r="A5994" s="180" t="s">
        <v>8481</v>
      </c>
      <c r="B5994" s="181" t="str">
        <f>IFERROR(VLOOKUP(Proc[[#This Row],[App]],Table2[],3,0),"open")</f>
        <v>open</v>
      </c>
      <c r="C5994" s="182" t="s">
        <v>375</v>
      </c>
      <c r="D5994" t="s">
        <v>8363</v>
      </c>
      <c r="E5994" t="s">
        <v>8480</v>
      </c>
      <c r="F5994" s="183" t="str">
        <f>VLOOKUP(Proc[[#This Row],[Obj]],Sheet5!A:B,2,0)</f>
        <v>O000000005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0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1" t="s">
        <v>6434</v>
      </c>
      <c r="M5994" s="178">
        <v>46057</v>
      </c>
      <c r="N5994" s="178"/>
      <c r="O5994" s="178"/>
      <c r="P5994" s="178" t="str">
        <f ca="1">IF(Proc[[#This Row],[DaysAgeing]]&gt;5,"yep","on track")</f>
        <v>on track</v>
      </c>
      <c r="Q5994" s="3">
        <f ca="1">IF(Proc[[#This Row],[DateClosed]]="",ABS(NETWORKDAYS(Proc[[#This Row],[DateOpened]],TODAY()))-1,ABS(NETWORKDAYS(Proc[[#This Row],[DateOpened]],Proc[[#This Row],[DateClosed]]))-1)</f>
        <v>1</v>
      </c>
      <c r="R5994" s="178" t="s">
        <v>422</v>
      </c>
      <c r="S5994" s="181"/>
    </row>
    <row r="5995" spans="1:19">
      <c r="A5995" s="180" t="s">
        <v>8481</v>
      </c>
      <c r="B5995" s="181" t="str">
        <f>IFERROR(VLOOKUP(Proc[[#This Row],[App]],Table2[],3,0),"open")</f>
        <v>open</v>
      </c>
      <c r="C5995" s="182" t="s">
        <v>375</v>
      </c>
      <c r="D5995" t="s">
        <v>8364</v>
      </c>
      <c r="E5995" t="s">
        <v>8480</v>
      </c>
      <c r="F5995" s="183" t="str">
        <f>VLOOKUP(Proc[[#This Row],[Obj]],Sheet5!A:B,2,0)</f>
        <v>O000000005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0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1" t="s">
        <v>6434</v>
      </c>
      <c r="M5995" s="178">
        <v>46057</v>
      </c>
      <c r="N5995" s="178"/>
      <c r="O5995" s="178"/>
      <c r="P5995" s="178" t="str">
        <f ca="1">IF(Proc[[#This Row],[DaysAgeing]]&gt;5,"yep","on track")</f>
        <v>on track</v>
      </c>
      <c r="Q5995" s="3">
        <f ca="1">IF(Proc[[#This Row],[DateClosed]]="",ABS(NETWORKDAYS(Proc[[#This Row],[DateOpened]],TODAY()))-1,ABS(NETWORKDAYS(Proc[[#This Row],[DateOpened]],Proc[[#This Row],[DateClosed]]))-1)</f>
        <v>1</v>
      </c>
      <c r="R5995" s="178" t="s">
        <v>422</v>
      </c>
      <c r="S5995" s="181"/>
    </row>
    <row r="5996" spans="1:19">
      <c r="A5996" s="180" t="s">
        <v>8481</v>
      </c>
      <c r="B5996" s="181" t="str">
        <f>IFERROR(VLOOKUP(Proc[[#This Row],[App]],Table2[],3,0),"open")</f>
        <v>open</v>
      </c>
      <c r="C5996" s="182" t="s">
        <v>375</v>
      </c>
      <c r="D5996" t="s">
        <v>8365</v>
      </c>
      <c r="E5996" t="s">
        <v>8480</v>
      </c>
      <c r="F5996" s="183" t="str">
        <f>VLOOKUP(Proc[[#This Row],[Obj]],Sheet5!A:B,2,0)</f>
        <v>O000000005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0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1" t="s">
        <v>6434</v>
      </c>
      <c r="M5996" s="178">
        <v>46057</v>
      </c>
      <c r="N5996" s="178"/>
      <c r="O5996" s="178"/>
      <c r="P5996" s="178" t="str">
        <f ca="1">IF(Proc[[#This Row],[DaysAgeing]]&gt;5,"yep","on track")</f>
        <v>on track</v>
      </c>
      <c r="Q5996" s="3">
        <f ca="1">IF(Proc[[#This Row],[DateClosed]]="",ABS(NETWORKDAYS(Proc[[#This Row],[DateOpened]],TODAY()))-1,ABS(NETWORKDAYS(Proc[[#This Row],[DateOpened]],Proc[[#This Row],[DateClosed]]))-1)</f>
        <v>1</v>
      </c>
      <c r="R5996" s="178" t="s">
        <v>422</v>
      </c>
      <c r="S5996" s="181"/>
    </row>
    <row r="5997" spans="1:19">
      <c r="A5997" s="180" t="s">
        <v>8481</v>
      </c>
      <c r="B5997" s="181" t="str">
        <f>IFERROR(VLOOKUP(Proc[[#This Row],[App]],Table2[],3,0),"open")</f>
        <v>open</v>
      </c>
      <c r="C5997" s="182" t="s">
        <v>375</v>
      </c>
      <c r="D5997" t="s">
        <v>8366</v>
      </c>
      <c r="E5997" t="s">
        <v>8480</v>
      </c>
      <c r="F5997" s="183" t="str">
        <f>VLOOKUP(Proc[[#This Row],[Obj]],Sheet5!A:B,2,0)</f>
        <v>O000000005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0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1" t="s">
        <v>6434</v>
      </c>
      <c r="M5997" s="178">
        <v>46057</v>
      </c>
      <c r="N5997" s="178"/>
      <c r="O5997" s="178"/>
      <c r="P5997" s="178" t="str">
        <f ca="1">IF(Proc[[#This Row],[DaysAgeing]]&gt;5,"yep","on track")</f>
        <v>on track</v>
      </c>
      <c r="Q5997" s="3">
        <f ca="1">IF(Proc[[#This Row],[DateClosed]]="",ABS(NETWORKDAYS(Proc[[#This Row],[DateOpened]],TODAY()))-1,ABS(NETWORKDAYS(Proc[[#This Row],[DateOpened]],Proc[[#This Row],[DateClosed]]))-1)</f>
        <v>1</v>
      </c>
      <c r="R5997" s="178" t="s">
        <v>422</v>
      </c>
      <c r="S5997" s="181"/>
    </row>
    <row r="5998" spans="1:19">
      <c r="A5998" s="180" t="s">
        <v>8481</v>
      </c>
      <c r="B5998" s="181" t="str">
        <f>IFERROR(VLOOKUP(Proc[[#This Row],[App]],Table2[],3,0),"open")</f>
        <v>open</v>
      </c>
      <c r="C5998" s="182" t="s">
        <v>375</v>
      </c>
      <c r="D5998" t="s">
        <v>8367</v>
      </c>
      <c r="E5998" t="s">
        <v>8480</v>
      </c>
      <c r="F5998" s="183" t="str">
        <f>VLOOKUP(Proc[[#This Row],[Obj]],Sheet5!A:B,2,0)</f>
        <v>O000000005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0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1" t="s">
        <v>6434</v>
      </c>
      <c r="M5998" s="178">
        <v>46057</v>
      </c>
      <c r="N5998" s="178"/>
      <c r="O5998" s="178"/>
      <c r="P5998" s="178" t="str">
        <f ca="1">IF(Proc[[#This Row],[DaysAgeing]]&gt;5,"yep","on track")</f>
        <v>on track</v>
      </c>
      <c r="Q5998" s="3">
        <f ca="1">IF(Proc[[#This Row],[DateClosed]]="",ABS(NETWORKDAYS(Proc[[#This Row],[DateOpened]],TODAY()))-1,ABS(NETWORKDAYS(Proc[[#This Row],[DateOpened]],Proc[[#This Row],[DateClosed]]))-1)</f>
        <v>1</v>
      </c>
      <c r="R5998" s="178" t="s">
        <v>422</v>
      </c>
      <c r="S5998" s="181"/>
    </row>
    <row r="5999" spans="1:19">
      <c r="A5999" s="180" t="s">
        <v>8481</v>
      </c>
      <c r="B5999" s="181" t="str">
        <f>IFERROR(VLOOKUP(Proc[[#This Row],[App]],Table2[],3,0),"open")</f>
        <v>open</v>
      </c>
      <c r="C5999" s="182" t="s">
        <v>375</v>
      </c>
      <c r="D5999" t="s">
        <v>8368</v>
      </c>
      <c r="E5999" t="s">
        <v>8480</v>
      </c>
      <c r="F5999" s="183" t="str">
        <f>VLOOKUP(Proc[[#This Row],[Obj]],Sheet5!A:B,2,0)</f>
        <v>O000000005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0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1" t="s">
        <v>6434</v>
      </c>
      <c r="M5999" s="178">
        <v>46057</v>
      </c>
      <c r="N5999" s="178"/>
      <c r="O5999" s="178"/>
      <c r="P5999" s="178" t="str">
        <f ca="1">IF(Proc[[#This Row],[DaysAgeing]]&gt;5,"yep","on track")</f>
        <v>on track</v>
      </c>
      <c r="Q5999" s="3">
        <f ca="1">IF(Proc[[#This Row],[DateClosed]]="",ABS(NETWORKDAYS(Proc[[#This Row],[DateOpened]],TODAY()))-1,ABS(NETWORKDAYS(Proc[[#This Row],[DateOpened]],Proc[[#This Row],[DateClosed]]))-1)</f>
        <v>1</v>
      </c>
      <c r="R5999" s="178" t="s">
        <v>422</v>
      </c>
      <c r="S5999" s="181"/>
    </row>
    <row r="6000" spans="1:19">
      <c r="A6000" s="180" t="s">
        <v>8481</v>
      </c>
      <c r="B6000" s="181" t="str">
        <f>IFERROR(VLOOKUP(Proc[[#This Row],[App]],Table2[],3,0),"open")</f>
        <v>open</v>
      </c>
      <c r="C6000" s="182" t="s">
        <v>375</v>
      </c>
      <c r="D6000" t="s">
        <v>8369</v>
      </c>
      <c r="E6000" t="s">
        <v>8480</v>
      </c>
      <c r="F6000" s="183" t="str">
        <f>VLOOKUP(Proc[[#This Row],[Obj]],Sheet5!A:B,2,0)</f>
        <v>O000000005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0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1" t="s">
        <v>6434</v>
      </c>
      <c r="M6000" s="178">
        <v>46057</v>
      </c>
      <c r="N6000" s="178"/>
      <c r="O6000" s="178"/>
      <c r="P6000" s="178" t="str">
        <f ca="1">IF(Proc[[#This Row],[DaysAgeing]]&gt;5,"yep","on track")</f>
        <v>on track</v>
      </c>
      <c r="Q6000" s="3">
        <f ca="1">IF(Proc[[#This Row],[DateClosed]]="",ABS(NETWORKDAYS(Proc[[#This Row],[DateOpened]],TODAY()))-1,ABS(NETWORKDAYS(Proc[[#This Row],[DateOpened]],Proc[[#This Row],[DateClosed]]))-1)</f>
        <v>1</v>
      </c>
      <c r="R6000" s="178" t="s">
        <v>422</v>
      </c>
      <c r="S6000" s="181"/>
    </row>
    <row r="6001" spans="1:19">
      <c r="A6001" s="180" t="s">
        <v>8481</v>
      </c>
      <c r="B6001" s="181" t="str">
        <f>IFERROR(VLOOKUP(Proc[[#This Row],[App]],Table2[],3,0),"open")</f>
        <v>open</v>
      </c>
      <c r="C6001" s="182" t="s">
        <v>375</v>
      </c>
      <c r="D6001" t="s">
        <v>8370</v>
      </c>
      <c r="E6001" t="s">
        <v>8480</v>
      </c>
      <c r="F6001" s="183" t="str">
        <f>VLOOKUP(Proc[[#This Row],[Obj]],Sheet5!A:B,2,0)</f>
        <v>O000000005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0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1" t="s">
        <v>6434</v>
      </c>
      <c r="M6001" s="178">
        <v>46057</v>
      </c>
      <c r="N6001" s="178"/>
      <c r="O6001" s="178"/>
      <c r="P6001" s="178" t="str">
        <f ca="1">IF(Proc[[#This Row],[DaysAgeing]]&gt;5,"yep","on track")</f>
        <v>on track</v>
      </c>
      <c r="Q6001" s="3">
        <f ca="1">IF(Proc[[#This Row],[DateClosed]]="",ABS(NETWORKDAYS(Proc[[#This Row],[DateOpened]],TODAY()))-1,ABS(NETWORKDAYS(Proc[[#This Row],[DateOpened]],Proc[[#This Row],[DateClosed]]))-1)</f>
        <v>1</v>
      </c>
      <c r="R6001" s="178" t="s">
        <v>422</v>
      </c>
      <c r="S6001" s="181"/>
    </row>
    <row r="6002" spans="1:19">
      <c r="A6002" s="180" t="s">
        <v>8481</v>
      </c>
      <c r="B6002" s="181" t="str">
        <f>IFERROR(VLOOKUP(Proc[[#This Row],[App]],Table2[],3,0),"open")</f>
        <v>open</v>
      </c>
      <c r="C6002" s="182" t="s">
        <v>375</v>
      </c>
      <c r="D6002" t="s">
        <v>8371</v>
      </c>
      <c r="E6002" t="s">
        <v>8480</v>
      </c>
      <c r="F6002" s="183" t="str">
        <f>VLOOKUP(Proc[[#This Row],[Obj]],Sheet5!A:B,2,0)</f>
        <v>O000000005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0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1" t="s">
        <v>6434</v>
      </c>
      <c r="M6002" s="178">
        <v>46057</v>
      </c>
      <c r="N6002" s="178"/>
      <c r="O6002" s="178"/>
      <c r="P6002" s="178" t="str">
        <f ca="1">IF(Proc[[#This Row],[DaysAgeing]]&gt;5,"yep","on track")</f>
        <v>on track</v>
      </c>
      <c r="Q6002" s="3">
        <f ca="1">IF(Proc[[#This Row],[DateClosed]]="",ABS(NETWORKDAYS(Proc[[#This Row],[DateOpened]],TODAY()))-1,ABS(NETWORKDAYS(Proc[[#This Row],[DateOpened]],Proc[[#This Row],[DateClosed]]))-1)</f>
        <v>1</v>
      </c>
      <c r="R6002" s="178" t="s">
        <v>422</v>
      </c>
      <c r="S6002" s="181"/>
    </row>
    <row r="6003" spans="1:19">
      <c r="A6003" s="180" t="s">
        <v>8481</v>
      </c>
      <c r="B6003" s="181" t="str">
        <f>IFERROR(VLOOKUP(Proc[[#This Row],[App]],Table2[],3,0),"open")</f>
        <v>open</v>
      </c>
      <c r="C6003" s="182" t="s">
        <v>375</v>
      </c>
      <c r="D6003" t="s">
        <v>8372</v>
      </c>
      <c r="E6003" t="s">
        <v>8480</v>
      </c>
      <c r="F6003" s="183" t="str">
        <f>VLOOKUP(Proc[[#This Row],[Obj]],Sheet5!A:B,2,0)</f>
        <v>O000000005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0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1" t="s">
        <v>6434</v>
      </c>
      <c r="M6003" s="178">
        <v>46057</v>
      </c>
      <c r="N6003" s="178"/>
      <c r="O6003" s="178"/>
      <c r="P6003" s="178" t="str">
        <f ca="1">IF(Proc[[#This Row],[DaysAgeing]]&gt;5,"yep","on track")</f>
        <v>on track</v>
      </c>
      <c r="Q6003" s="3">
        <f ca="1">IF(Proc[[#This Row],[DateClosed]]="",ABS(NETWORKDAYS(Proc[[#This Row],[DateOpened]],TODAY()))-1,ABS(NETWORKDAYS(Proc[[#This Row],[DateOpened]],Proc[[#This Row],[DateClosed]]))-1)</f>
        <v>1</v>
      </c>
      <c r="R6003" s="178" t="s">
        <v>422</v>
      </c>
      <c r="S6003" s="181"/>
    </row>
    <row r="6004" spans="1:19">
      <c r="A6004" s="180" t="s">
        <v>8481</v>
      </c>
      <c r="B6004" s="181" t="str">
        <f>IFERROR(VLOOKUP(Proc[[#This Row],[App]],Table2[],3,0),"open")</f>
        <v>open</v>
      </c>
      <c r="C6004" s="182" t="s">
        <v>375</v>
      </c>
      <c r="D6004" t="s">
        <v>8373</v>
      </c>
      <c r="E6004" t="s">
        <v>8480</v>
      </c>
      <c r="F6004" s="183" t="str">
        <f>VLOOKUP(Proc[[#This Row],[Obj]],Sheet5!A:B,2,0)</f>
        <v>O000000005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0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1" t="s">
        <v>6434</v>
      </c>
      <c r="M6004" s="178">
        <v>46057</v>
      </c>
      <c r="N6004" s="178"/>
      <c r="O6004" s="178"/>
      <c r="P6004" s="178" t="str">
        <f ca="1">IF(Proc[[#This Row],[DaysAgeing]]&gt;5,"yep","on track")</f>
        <v>on track</v>
      </c>
      <c r="Q6004" s="3">
        <f ca="1">IF(Proc[[#This Row],[DateClosed]]="",ABS(NETWORKDAYS(Proc[[#This Row],[DateOpened]],TODAY()))-1,ABS(NETWORKDAYS(Proc[[#This Row],[DateOpened]],Proc[[#This Row],[DateClosed]]))-1)</f>
        <v>1</v>
      </c>
      <c r="R6004" s="178" t="s">
        <v>422</v>
      </c>
      <c r="S6004" s="181"/>
    </row>
    <row r="6005" spans="1:19">
      <c r="A6005" s="180" t="s">
        <v>8481</v>
      </c>
      <c r="B6005" s="181" t="str">
        <f>IFERROR(VLOOKUP(Proc[[#This Row],[App]],Table2[],3,0),"open")</f>
        <v>open</v>
      </c>
      <c r="C6005" s="182" t="s">
        <v>375</v>
      </c>
      <c r="D6005" t="s">
        <v>8374</v>
      </c>
      <c r="E6005" t="s">
        <v>8480</v>
      </c>
      <c r="F6005" s="183" t="str">
        <f>VLOOKUP(Proc[[#This Row],[Obj]],Sheet5!A:B,2,0)</f>
        <v>O000000005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0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1" t="s">
        <v>6434</v>
      </c>
      <c r="M6005" s="178">
        <v>46057</v>
      </c>
      <c r="N6005" s="178"/>
      <c r="O6005" s="178"/>
      <c r="P6005" s="178" t="str">
        <f ca="1">IF(Proc[[#This Row],[DaysAgeing]]&gt;5,"yep","on track")</f>
        <v>on track</v>
      </c>
      <c r="Q6005" s="3">
        <f ca="1">IF(Proc[[#This Row],[DateClosed]]="",ABS(NETWORKDAYS(Proc[[#This Row],[DateOpened]],TODAY()))-1,ABS(NETWORKDAYS(Proc[[#This Row],[DateOpened]],Proc[[#This Row],[DateClosed]]))-1)</f>
        <v>1</v>
      </c>
      <c r="R6005" s="178" t="s">
        <v>422</v>
      </c>
      <c r="S6005" s="181"/>
    </row>
    <row r="6006" spans="1:19">
      <c r="A6006" s="180" t="s">
        <v>8481</v>
      </c>
      <c r="B6006" s="181" t="str">
        <f>IFERROR(VLOOKUP(Proc[[#This Row],[App]],Table2[],3,0),"open")</f>
        <v>open</v>
      </c>
      <c r="C6006" s="182" t="s">
        <v>375</v>
      </c>
      <c r="D6006" t="s">
        <v>8375</v>
      </c>
      <c r="E6006" t="s">
        <v>8480</v>
      </c>
      <c r="F6006" s="183" t="str">
        <f>VLOOKUP(Proc[[#This Row],[Obj]],Sheet5!A:B,2,0)</f>
        <v>O000000005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0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1" t="s">
        <v>6434</v>
      </c>
      <c r="M6006" s="178">
        <v>46057</v>
      </c>
      <c r="N6006" s="178"/>
      <c r="O6006" s="178"/>
      <c r="P6006" s="178" t="str">
        <f ca="1">IF(Proc[[#This Row],[DaysAgeing]]&gt;5,"yep","on track")</f>
        <v>on track</v>
      </c>
      <c r="Q6006" s="3">
        <f ca="1">IF(Proc[[#This Row],[DateClosed]]="",ABS(NETWORKDAYS(Proc[[#This Row],[DateOpened]],TODAY()))-1,ABS(NETWORKDAYS(Proc[[#This Row],[DateOpened]],Proc[[#This Row],[DateClosed]]))-1)</f>
        <v>1</v>
      </c>
      <c r="R6006" s="178" t="s">
        <v>422</v>
      </c>
      <c r="S6006" s="181"/>
    </row>
    <row r="6007" spans="1:19">
      <c r="A6007" s="180" t="s">
        <v>8481</v>
      </c>
      <c r="B6007" s="181" t="str">
        <f>IFERROR(VLOOKUP(Proc[[#This Row],[App]],Table2[],3,0),"open")</f>
        <v>open</v>
      </c>
      <c r="C6007" s="182" t="s">
        <v>375</v>
      </c>
      <c r="D6007" t="s">
        <v>8376</v>
      </c>
      <c r="E6007" t="s">
        <v>8480</v>
      </c>
      <c r="F6007" s="183" t="str">
        <f>VLOOKUP(Proc[[#This Row],[Obj]],Sheet5!A:B,2,0)</f>
        <v>O000000005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0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1" t="s">
        <v>6434</v>
      </c>
      <c r="M6007" s="178">
        <v>46057</v>
      </c>
      <c r="N6007" s="178"/>
      <c r="O6007" s="178"/>
      <c r="P6007" s="178" t="str">
        <f ca="1">IF(Proc[[#This Row],[DaysAgeing]]&gt;5,"yep","on track")</f>
        <v>on track</v>
      </c>
      <c r="Q6007" s="3">
        <f ca="1">IF(Proc[[#This Row],[DateClosed]]="",ABS(NETWORKDAYS(Proc[[#This Row],[DateOpened]],TODAY()))-1,ABS(NETWORKDAYS(Proc[[#This Row],[DateOpened]],Proc[[#This Row],[DateClosed]]))-1)</f>
        <v>1</v>
      </c>
      <c r="R6007" s="178" t="s">
        <v>422</v>
      </c>
      <c r="S6007" s="181"/>
    </row>
    <row r="6008" spans="1:19">
      <c r="A6008" s="180" t="s">
        <v>8481</v>
      </c>
      <c r="B6008" s="181" t="str">
        <f>IFERROR(VLOOKUP(Proc[[#This Row],[App]],Table2[],3,0),"open")</f>
        <v>open</v>
      </c>
      <c r="C6008" s="182" t="s">
        <v>375</v>
      </c>
      <c r="D6008" t="s">
        <v>8377</v>
      </c>
      <c r="E6008" t="s">
        <v>8480</v>
      </c>
      <c r="F6008" s="183" t="str">
        <f>VLOOKUP(Proc[[#This Row],[Obj]],Sheet5!A:B,2,0)</f>
        <v>O000000005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0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1" t="s">
        <v>6434</v>
      </c>
      <c r="M6008" s="178">
        <v>46057</v>
      </c>
      <c r="N6008" s="178"/>
      <c r="O6008" s="178"/>
      <c r="P6008" s="178" t="str">
        <f ca="1">IF(Proc[[#This Row],[DaysAgeing]]&gt;5,"yep","on track")</f>
        <v>on track</v>
      </c>
      <c r="Q6008" s="3">
        <f ca="1">IF(Proc[[#This Row],[DateClosed]]="",ABS(NETWORKDAYS(Proc[[#This Row],[DateOpened]],TODAY()))-1,ABS(NETWORKDAYS(Proc[[#This Row],[DateOpened]],Proc[[#This Row],[DateClosed]]))-1)</f>
        <v>1</v>
      </c>
      <c r="R6008" s="178" t="s">
        <v>422</v>
      </c>
      <c r="S6008" s="181"/>
    </row>
    <row r="6009" spans="1:19">
      <c r="A6009" s="180" t="s">
        <v>8481</v>
      </c>
      <c r="B6009" s="181" t="str">
        <f>IFERROR(VLOOKUP(Proc[[#This Row],[App]],Table2[],3,0),"open")</f>
        <v>open</v>
      </c>
      <c r="C6009" s="182" t="s">
        <v>375</v>
      </c>
      <c r="D6009" t="s">
        <v>8378</v>
      </c>
      <c r="E6009" t="s">
        <v>8480</v>
      </c>
      <c r="F6009" s="183" t="str">
        <f>VLOOKUP(Proc[[#This Row],[Obj]],Sheet5!A:B,2,0)</f>
        <v>O000000005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0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1" t="s">
        <v>6434</v>
      </c>
      <c r="M6009" s="178">
        <v>46057</v>
      </c>
      <c r="N6009" s="178"/>
      <c r="O6009" s="178"/>
      <c r="P6009" s="178" t="str">
        <f ca="1">IF(Proc[[#This Row],[DaysAgeing]]&gt;5,"yep","on track")</f>
        <v>on track</v>
      </c>
      <c r="Q6009" s="3">
        <f ca="1">IF(Proc[[#This Row],[DateClosed]]="",ABS(NETWORKDAYS(Proc[[#This Row],[DateOpened]],TODAY()))-1,ABS(NETWORKDAYS(Proc[[#This Row],[DateOpened]],Proc[[#This Row],[DateClosed]]))-1)</f>
        <v>1</v>
      </c>
      <c r="R6009" s="178" t="s">
        <v>422</v>
      </c>
      <c r="S6009" s="181"/>
    </row>
    <row r="6010" spans="1:19">
      <c r="A6010" s="180" t="s">
        <v>8481</v>
      </c>
      <c r="B6010" s="181" t="str">
        <f>IFERROR(VLOOKUP(Proc[[#This Row],[App]],Table2[],3,0),"open")</f>
        <v>open</v>
      </c>
      <c r="C6010" s="182" t="s">
        <v>375</v>
      </c>
      <c r="D6010" t="s">
        <v>8379</v>
      </c>
      <c r="E6010" t="s">
        <v>8480</v>
      </c>
      <c r="F6010" s="183" t="str">
        <f>VLOOKUP(Proc[[#This Row],[Obj]],Sheet5!A:B,2,0)</f>
        <v>O000000005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0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1" t="s">
        <v>6434</v>
      </c>
      <c r="M6010" s="178">
        <v>46057</v>
      </c>
      <c r="N6010" s="178"/>
      <c r="O6010" s="178"/>
      <c r="P6010" s="178" t="str">
        <f ca="1">IF(Proc[[#This Row],[DaysAgeing]]&gt;5,"yep","on track")</f>
        <v>on track</v>
      </c>
      <c r="Q6010" s="3">
        <f ca="1">IF(Proc[[#This Row],[DateClosed]]="",ABS(NETWORKDAYS(Proc[[#This Row],[DateOpened]],TODAY()))-1,ABS(NETWORKDAYS(Proc[[#This Row],[DateOpened]],Proc[[#This Row],[DateClosed]]))-1)</f>
        <v>1</v>
      </c>
      <c r="R6010" s="178" t="s">
        <v>422</v>
      </c>
      <c r="S6010" s="181"/>
    </row>
    <row r="6011" spans="1:19">
      <c r="A6011" s="180" t="s">
        <v>8481</v>
      </c>
      <c r="B6011" s="181" t="str">
        <f>IFERROR(VLOOKUP(Proc[[#This Row],[App]],Table2[],3,0),"open")</f>
        <v>open</v>
      </c>
      <c r="C6011" s="182" t="s">
        <v>375</v>
      </c>
      <c r="D6011" t="s">
        <v>8380</v>
      </c>
      <c r="E6011" t="s">
        <v>8480</v>
      </c>
      <c r="F6011" s="183" t="str">
        <f>VLOOKUP(Proc[[#This Row],[Obj]],Sheet5!A:B,2,0)</f>
        <v>O000000005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0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1" t="s">
        <v>6434</v>
      </c>
      <c r="M6011" s="178">
        <v>46057</v>
      </c>
      <c r="N6011" s="178"/>
      <c r="O6011" s="178"/>
      <c r="P6011" s="178" t="str">
        <f ca="1">IF(Proc[[#This Row],[DaysAgeing]]&gt;5,"yep","on track")</f>
        <v>on track</v>
      </c>
      <c r="Q6011" s="3">
        <f ca="1">IF(Proc[[#This Row],[DateClosed]]="",ABS(NETWORKDAYS(Proc[[#This Row],[DateOpened]],TODAY()))-1,ABS(NETWORKDAYS(Proc[[#This Row],[DateOpened]],Proc[[#This Row],[DateClosed]]))-1)</f>
        <v>1</v>
      </c>
      <c r="R6011" s="178" t="s">
        <v>422</v>
      </c>
      <c r="S6011" s="181"/>
    </row>
    <row r="6012" spans="1:19">
      <c r="A6012" s="180" t="s">
        <v>8481</v>
      </c>
      <c r="B6012" s="181" t="str">
        <f>IFERROR(VLOOKUP(Proc[[#This Row],[App]],Table2[],3,0),"open")</f>
        <v>open</v>
      </c>
      <c r="C6012" s="182" t="s">
        <v>375</v>
      </c>
      <c r="D6012" t="s">
        <v>8381</v>
      </c>
      <c r="E6012" t="s">
        <v>8480</v>
      </c>
      <c r="F6012" s="183" t="str">
        <f>VLOOKUP(Proc[[#This Row],[Obj]],Sheet5!A:B,2,0)</f>
        <v>O000000005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0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1" t="s">
        <v>6434</v>
      </c>
      <c r="M6012" s="178">
        <v>46057</v>
      </c>
      <c r="N6012" s="178"/>
      <c r="O6012" s="178"/>
      <c r="P6012" s="178" t="str">
        <f ca="1">IF(Proc[[#This Row],[DaysAgeing]]&gt;5,"yep","on track")</f>
        <v>on track</v>
      </c>
      <c r="Q6012" s="3">
        <f ca="1">IF(Proc[[#This Row],[DateClosed]]="",ABS(NETWORKDAYS(Proc[[#This Row],[DateOpened]],TODAY()))-1,ABS(NETWORKDAYS(Proc[[#This Row],[DateOpened]],Proc[[#This Row],[DateClosed]]))-1)</f>
        <v>1</v>
      </c>
      <c r="R6012" s="178" t="s">
        <v>422</v>
      </c>
      <c r="S6012" s="181"/>
    </row>
    <row r="6013" spans="1:19">
      <c r="A6013" s="180" t="s">
        <v>8481</v>
      </c>
      <c r="B6013" s="181" t="str">
        <f>IFERROR(VLOOKUP(Proc[[#This Row],[App]],Table2[],3,0),"open")</f>
        <v>open</v>
      </c>
      <c r="C6013" s="182" t="s">
        <v>375</v>
      </c>
      <c r="D6013" t="s">
        <v>8382</v>
      </c>
      <c r="E6013" t="s">
        <v>8480</v>
      </c>
      <c r="F6013" s="183" t="str">
        <f>VLOOKUP(Proc[[#This Row],[Obj]],Sheet5!A:B,2,0)</f>
        <v>O000000005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0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1" t="s">
        <v>6434</v>
      </c>
      <c r="M6013" s="178">
        <v>46057</v>
      </c>
      <c r="N6013" s="178"/>
      <c r="O6013" s="178"/>
      <c r="P6013" s="178" t="str">
        <f ca="1">IF(Proc[[#This Row],[DaysAgeing]]&gt;5,"yep","on track")</f>
        <v>on track</v>
      </c>
      <c r="Q6013" s="3">
        <f ca="1">IF(Proc[[#This Row],[DateClosed]]="",ABS(NETWORKDAYS(Proc[[#This Row],[DateOpened]],TODAY()))-1,ABS(NETWORKDAYS(Proc[[#This Row],[DateOpened]],Proc[[#This Row],[DateClosed]]))-1)</f>
        <v>1</v>
      </c>
      <c r="R6013" s="178" t="s">
        <v>422</v>
      </c>
      <c r="S6013" s="181"/>
    </row>
    <row r="6014" spans="1:19">
      <c r="A6014" s="180" t="s">
        <v>8481</v>
      </c>
      <c r="B6014" s="181" t="str">
        <f>IFERROR(VLOOKUP(Proc[[#This Row],[App]],Table2[],3,0),"open")</f>
        <v>open</v>
      </c>
      <c r="C6014" s="182" t="s">
        <v>375</v>
      </c>
      <c r="D6014" t="s">
        <v>8383</v>
      </c>
      <c r="E6014" t="s">
        <v>8480</v>
      </c>
      <c r="F6014" s="183" t="str">
        <f>VLOOKUP(Proc[[#This Row],[Obj]],Sheet5!A:B,2,0)</f>
        <v>O000000005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0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1" t="s">
        <v>6434</v>
      </c>
      <c r="M6014" s="178">
        <v>46057</v>
      </c>
      <c r="N6014" s="178"/>
      <c r="O6014" s="178"/>
      <c r="P6014" s="178" t="str">
        <f ca="1">IF(Proc[[#This Row],[DaysAgeing]]&gt;5,"yep","on track")</f>
        <v>on track</v>
      </c>
      <c r="Q6014" s="3">
        <f ca="1">IF(Proc[[#This Row],[DateClosed]]="",ABS(NETWORKDAYS(Proc[[#This Row],[DateOpened]],TODAY()))-1,ABS(NETWORKDAYS(Proc[[#This Row],[DateOpened]],Proc[[#This Row],[DateClosed]]))-1)</f>
        <v>1</v>
      </c>
      <c r="R6014" s="178" t="s">
        <v>422</v>
      </c>
      <c r="S6014" s="181"/>
    </row>
    <row r="6015" spans="1:19">
      <c r="A6015" s="180" t="s">
        <v>8481</v>
      </c>
      <c r="B6015" s="181" t="str">
        <f>IFERROR(VLOOKUP(Proc[[#This Row],[App]],Table2[],3,0),"open")</f>
        <v>open</v>
      </c>
      <c r="C6015" s="182" t="s">
        <v>375</v>
      </c>
      <c r="D6015" t="s">
        <v>8384</v>
      </c>
      <c r="E6015" t="s">
        <v>8480</v>
      </c>
      <c r="F6015" s="183" t="str">
        <f>VLOOKUP(Proc[[#This Row],[Obj]],Sheet5!A:B,2,0)</f>
        <v>O000000005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0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1" t="s">
        <v>6434</v>
      </c>
      <c r="M6015" s="178">
        <v>46057</v>
      </c>
      <c r="N6015" s="178"/>
      <c r="O6015" s="178"/>
      <c r="P6015" s="178" t="str">
        <f ca="1">IF(Proc[[#This Row],[DaysAgeing]]&gt;5,"yep","on track")</f>
        <v>on track</v>
      </c>
      <c r="Q6015" s="3">
        <f ca="1">IF(Proc[[#This Row],[DateClosed]]="",ABS(NETWORKDAYS(Proc[[#This Row],[DateOpened]],TODAY()))-1,ABS(NETWORKDAYS(Proc[[#This Row],[DateOpened]],Proc[[#This Row],[DateClosed]]))-1)</f>
        <v>1</v>
      </c>
      <c r="R6015" s="178" t="s">
        <v>422</v>
      </c>
      <c r="S6015" s="181"/>
    </row>
    <row r="6016" spans="1:19">
      <c r="A6016" s="180" t="s">
        <v>8481</v>
      </c>
      <c r="B6016" s="181" t="str">
        <f>IFERROR(VLOOKUP(Proc[[#This Row],[App]],Table2[],3,0),"open")</f>
        <v>open</v>
      </c>
      <c r="C6016" s="182" t="s">
        <v>375</v>
      </c>
      <c r="D6016" t="s">
        <v>8385</v>
      </c>
      <c r="E6016" t="s">
        <v>8480</v>
      </c>
      <c r="F6016" s="183" t="str">
        <f>VLOOKUP(Proc[[#This Row],[Obj]],Sheet5!A:B,2,0)</f>
        <v>O000000005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0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1" t="s">
        <v>6434</v>
      </c>
      <c r="M6016" s="178">
        <v>46057</v>
      </c>
      <c r="N6016" s="178"/>
      <c r="O6016" s="178"/>
      <c r="P6016" s="178" t="str">
        <f ca="1">IF(Proc[[#This Row],[DaysAgeing]]&gt;5,"yep","on track")</f>
        <v>on track</v>
      </c>
      <c r="Q6016" s="3">
        <f ca="1">IF(Proc[[#This Row],[DateClosed]]="",ABS(NETWORKDAYS(Proc[[#This Row],[DateOpened]],TODAY()))-1,ABS(NETWORKDAYS(Proc[[#This Row],[DateOpened]],Proc[[#This Row],[DateClosed]]))-1)</f>
        <v>1</v>
      </c>
      <c r="R6016" s="178" t="s">
        <v>422</v>
      </c>
      <c r="S6016" s="181"/>
    </row>
    <row r="6017" spans="1:19">
      <c r="A6017" s="180" t="s">
        <v>8481</v>
      </c>
      <c r="B6017" s="181" t="str">
        <f>IFERROR(VLOOKUP(Proc[[#This Row],[App]],Table2[],3,0),"open")</f>
        <v>open</v>
      </c>
      <c r="C6017" s="182" t="s">
        <v>375</v>
      </c>
      <c r="D6017" t="s">
        <v>8386</v>
      </c>
      <c r="E6017" t="s">
        <v>8480</v>
      </c>
      <c r="F6017" s="183" t="str">
        <f>VLOOKUP(Proc[[#This Row],[Obj]],Sheet5!A:B,2,0)</f>
        <v>O000000005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0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1" t="s">
        <v>6434</v>
      </c>
      <c r="M6017" s="178">
        <v>46057</v>
      </c>
      <c r="N6017" s="178"/>
      <c r="O6017" s="178"/>
      <c r="P6017" s="178" t="str">
        <f ca="1">IF(Proc[[#This Row],[DaysAgeing]]&gt;5,"yep","on track")</f>
        <v>on track</v>
      </c>
      <c r="Q6017" s="3">
        <f ca="1">IF(Proc[[#This Row],[DateClosed]]="",ABS(NETWORKDAYS(Proc[[#This Row],[DateOpened]],TODAY()))-1,ABS(NETWORKDAYS(Proc[[#This Row],[DateOpened]],Proc[[#This Row],[DateClosed]]))-1)</f>
        <v>1</v>
      </c>
      <c r="R6017" s="178" t="s">
        <v>422</v>
      </c>
      <c r="S6017" s="181"/>
    </row>
    <row r="6018" spans="1:19">
      <c r="A6018" s="180" t="s">
        <v>8481</v>
      </c>
      <c r="B6018" s="181" t="str">
        <f>IFERROR(VLOOKUP(Proc[[#This Row],[App]],Table2[],3,0),"open")</f>
        <v>open</v>
      </c>
      <c r="C6018" s="182" t="s">
        <v>375</v>
      </c>
      <c r="D6018" t="s">
        <v>8387</v>
      </c>
      <c r="E6018" t="s">
        <v>8480</v>
      </c>
      <c r="F6018" s="183" t="str">
        <f>VLOOKUP(Proc[[#This Row],[Obj]],Sheet5!A:B,2,0)</f>
        <v>O000000005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0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1" t="s">
        <v>6434</v>
      </c>
      <c r="M6018" s="178">
        <v>46057</v>
      </c>
      <c r="N6018" s="178"/>
      <c r="O6018" s="178"/>
      <c r="P6018" s="178" t="str">
        <f ca="1">IF(Proc[[#This Row],[DaysAgeing]]&gt;5,"yep","on track")</f>
        <v>on track</v>
      </c>
      <c r="Q6018" s="3">
        <f ca="1">IF(Proc[[#This Row],[DateClosed]]="",ABS(NETWORKDAYS(Proc[[#This Row],[DateOpened]],TODAY()))-1,ABS(NETWORKDAYS(Proc[[#This Row],[DateOpened]],Proc[[#This Row],[DateClosed]]))-1)</f>
        <v>1</v>
      </c>
      <c r="R6018" s="178" t="s">
        <v>422</v>
      </c>
      <c r="S6018" s="181"/>
    </row>
    <row r="6019" spans="1:19">
      <c r="A6019" s="180" t="s">
        <v>8481</v>
      </c>
      <c r="B6019" s="181" t="str">
        <f>IFERROR(VLOOKUP(Proc[[#This Row],[App]],Table2[],3,0),"open")</f>
        <v>open</v>
      </c>
      <c r="C6019" s="182" t="s">
        <v>375</v>
      </c>
      <c r="D6019" t="s">
        <v>8388</v>
      </c>
      <c r="E6019" t="s">
        <v>8480</v>
      </c>
      <c r="F6019" s="183" t="str">
        <f>VLOOKUP(Proc[[#This Row],[Obj]],Sheet5!A:B,2,0)</f>
        <v>O000000005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0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1" t="s">
        <v>6434</v>
      </c>
      <c r="M6019" s="178">
        <v>46057</v>
      </c>
      <c r="N6019" s="178"/>
      <c r="O6019" s="178"/>
      <c r="P6019" s="178" t="str">
        <f ca="1">IF(Proc[[#This Row],[DaysAgeing]]&gt;5,"yep","on track")</f>
        <v>on track</v>
      </c>
      <c r="Q6019" s="3">
        <f ca="1">IF(Proc[[#This Row],[DateClosed]]="",ABS(NETWORKDAYS(Proc[[#This Row],[DateOpened]],TODAY()))-1,ABS(NETWORKDAYS(Proc[[#This Row],[DateOpened]],Proc[[#This Row],[DateClosed]]))-1)</f>
        <v>1</v>
      </c>
      <c r="R6019" s="178" t="s">
        <v>422</v>
      </c>
      <c r="S6019" s="181"/>
    </row>
    <row r="6020" spans="1:19">
      <c r="A6020" s="180" t="s">
        <v>8481</v>
      </c>
      <c r="B6020" s="181" t="str">
        <f>IFERROR(VLOOKUP(Proc[[#This Row],[App]],Table2[],3,0),"open")</f>
        <v>open</v>
      </c>
      <c r="C6020" s="182" t="s">
        <v>375</v>
      </c>
      <c r="D6020" t="s">
        <v>8389</v>
      </c>
      <c r="E6020" t="s">
        <v>8480</v>
      </c>
      <c r="F6020" s="183" t="str">
        <f>VLOOKUP(Proc[[#This Row],[Obj]],Sheet5!A:B,2,0)</f>
        <v>O000000005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0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1" t="s">
        <v>6434</v>
      </c>
      <c r="M6020" s="178">
        <v>46057</v>
      </c>
      <c r="N6020" s="178"/>
      <c r="O6020" s="178"/>
      <c r="P6020" s="178" t="str">
        <f ca="1">IF(Proc[[#This Row],[DaysAgeing]]&gt;5,"yep","on track")</f>
        <v>on track</v>
      </c>
      <c r="Q6020" s="3">
        <f ca="1">IF(Proc[[#This Row],[DateClosed]]="",ABS(NETWORKDAYS(Proc[[#This Row],[DateOpened]],TODAY()))-1,ABS(NETWORKDAYS(Proc[[#This Row],[DateOpened]],Proc[[#This Row],[DateClosed]]))-1)</f>
        <v>1</v>
      </c>
      <c r="R6020" s="178" t="s">
        <v>422</v>
      </c>
      <c r="S6020" s="181"/>
    </row>
    <row r="6021" spans="1:19">
      <c r="A6021" s="180" t="s">
        <v>8481</v>
      </c>
      <c r="B6021" s="181" t="str">
        <f>IFERROR(VLOOKUP(Proc[[#This Row],[App]],Table2[],3,0),"open")</f>
        <v>open</v>
      </c>
      <c r="C6021" s="182" t="s">
        <v>375</v>
      </c>
      <c r="D6021" t="s">
        <v>8390</v>
      </c>
      <c r="E6021" t="s">
        <v>8480</v>
      </c>
      <c r="F6021" s="183" t="str">
        <f>VLOOKUP(Proc[[#This Row],[Obj]],Sheet5!A:B,2,0)</f>
        <v>O000000005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0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1" t="s">
        <v>6434</v>
      </c>
      <c r="M6021" s="178">
        <v>46057</v>
      </c>
      <c r="N6021" s="178"/>
      <c r="O6021" s="178"/>
      <c r="P6021" s="178" t="str">
        <f ca="1">IF(Proc[[#This Row],[DaysAgeing]]&gt;5,"yep","on track")</f>
        <v>on track</v>
      </c>
      <c r="Q6021" s="3">
        <f ca="1">IF(Proc[[#This Row],[DateClosed]]="",ABS(NETWORKDAYS(Proc[[#This Row],[DateOpened]],TODAY()))-1,ABS(NETWORKDAYS(Proc[[#This Row],[DateOpened]],Proc[[#This Row],[DateClosed]]))-1)</f>
        <v>1</v>
      </c>
      <c r="R6021" s="178" t="s">
        <v>422</v>
      </c>
      <c r="S6021" s="181"/>
    </row>
    <row r="6022" spans="1:19">
      <c r="A6022" s="180" t="s">
        <v>8481</v>
      </c>
      <c r="B6022" s="181" t="str">
        <f>IFERROR(VLOOKUP(Proc[[#This Row],[App]],Table2[],3,0),"open")</f>
        <v>open</v>
      </c>
      <c r="C6022" s="182" t="s">
        <v>370</v>
      </c>
      <c r="D6022" t="s">
        <v>8391</v>
      </c>
      <c r="E6022" t="s">
        <v>8480</v>
      </c>
      <c r="F6022" s="183" t="s">
        <v>2681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0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1" t="s">
        <v>6434</v>
      </c>
      <c r="M6022" s="178">
        <v>46057</v>
      </c>
      <c r="N6022" s="178"/>
      <c r="O6022" s="178"/>
      <c r="P6022" s="178" t="str">
        <f ca="1">IF(Proc[[#This Row],[DaysAgeing]]&gt;5,"yep","on track")</f>
        <v>on track</v>
      </c>
      <c r="Q6022" s="3">
        <f ca="1">IF(Proc[[#This Row],[DateClosed]]="",ABS(NETWORKDAYS(Proc[[#This Row],[DateOpened]],TODAY()))-1,ABS(NETWORKDAYS(Proc[[#This Row],[DateOpened]],Proc[[#This Row],[DateClosed]]))-1)</f>
        <v>1</v>
      </c>
      <c r="R6022" s="178" t="s">
        <v>422</v>
      </c>
      <c r="S6022" s="181"/>
    </row>
    <row r="6023" spans="1:19">
      <c r="A6023" s="180" t="s">
        <v>8481</v>
      </c>
      <c r="B6023" s="181" t="str">
        <f>IFERROR(VLOOKUP(Proc[[#This Row],[App]],Table2[],3,0),"open")</f>
        <v>open</v>
      </c>
      <c r="C6023" s="182" t="s">
        <v>370</v>
      </c>
      <c r="D6023" t="s">
        <v>8392</v>
      </c>
      <c r="E6023" t="s">
        <v>8480</v>
      </c>
      <c r="F6023" s="183" t="s">
        <v>2681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0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1" t="s">
        <v>6434</v>
      </c>
      <c r="M6023" s="178">
        <v>46057</v>
      </c>
      <c r="N6023" s="178"/>
      <c r="O6023" s="178"/>
      <c r="P6023" s="178" t="str">
        <f ca="1">IF(Proc[[#This Row],[DaysAgeing]]&gt;5,"yep","on track")</f>
        <v>on track</v>
      </c>
      <c r="Q6023" s="3">
        <f ca="1">IF(Proc[[#This Row],[DateClosed]]="",ABS(NETWORKDAYS(Proc[[#This Row],[DateOpened]],TODAY()))-1,ABS(NETWORKDAYS(Proc[[#This Row],[DateOpened]],Proc[[#This Row],[DateClosed]]))-1)</f>
        <v>1</v>
      </c>
      <c r="R6023" s="178" t="s">
        <v>422</v>
      </c>
      <c r="S6023" s="181"/>
    </row>
    <row r="6024" spans="1:19">
      <c r="A6024" s="180" t="s">
        <v>8481</v>
      </c>
      <c r="B6024" s="181" t="str">
        <f>IFERROR(VLOOKUP(Proc[[#This Row],[App]],Table2[],3,0),"open")</f>
        <v>open</v>
      </c>
      <c r="C6024" s="182" t="s">
        <v>370</v>
      </c>
      <c r="D6024" t="s">
        <v>8393</v>
      </c>
      <c r="E6024" t="s">
        <v>8480</v>
      </c>
      <c r="F6024" s="183" t="s">
        <v>2681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0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1" t="s">
        <v>6434</v>
      </c>
      <c r="M6024" s="178">
        <v>46057</v>
      </c>
      <c r="N6024" s="178"/>
      <c r="O6024" s="178"/>
      <c r="P6024" s="178" t="str">
        <f ca="1">IF(Proc[[#This Row],[DaysAgeing]]&gt;5,"yep","on track")</f>
        <v>on track</v>
      </c>
      <c r="Q6024" s="3">
        <f ca="1">IF(Proc[[#This Row],[DateClosed]]="",ABS(NETWORKDAYS(Proc[[#This Row],[DateOpened]],TODAY()))-1,ABS(NETWORKDAYS(Proc[[#This Row],[DateOpened]],Proc[[#This Row],[DateClosed]]))-1)</f>
        <v>1</v>
      </c>
      <c r="R6024" s="178" t="s">
        <v>422</v>
      </c>
      <c r="S6024" s="181"/>
    </row>
    <row r="6025" spans="1:19">
      <c r="A6025" s="180" t="s">
        <v>8481</v>
      </c>
      <c r="B6025" s="181" t="str">
        <f>IFERROR(VLOOKUP(Proc[[#This Row],[App]],Table2[],3,0),"open")</f>
        <v>open</v>
      </c>
      <c r="C6025" s="182" t="s">
        <v>370</v>
      </c>
      <c r="D6025" t="s">
        <v>8394</v>
      </c>
      <c r="E6025" t="s">
        <v>8480</v>
      </c>
      <c r="F6025" s="183" t="s">
        <v>2681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0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1" t="s">
        <v>6434</v>
      </c>
      <c r="M6025" s="178">
        <v>46057</v>
      </c>
      <c r="N6025" s="178"/>
      <c r="O6025" s="178"/>
      <c r="P6025" s="178" t="str">
        <f ca="1">IF(Proc[[#This Row],[DaysAgeing]]&gt;5,"yep","on track")</f>
        <v>on track</v>
      </c>
      <c r="Q6025" s="3">
        <f ca="1">IF(Proc[[#This Row],[DateClosed]]="",ABS(NETWORKDAYS(Proc[[#This Row],[DateOpened]],TODAY()))-1,ABS(NETWORKDAYS(Proc[[#This Row],[DateOpened]],Proc[[#This Row],[DateClosed]]))-1)</f>
        <v>1</v>
      </c>
      <c r="R6025" s="178" t="s">
        <v>422</v>
      </c>
      <c r="S6025" s="181"/>
    </row>
    <row r="6026" spans="1:19">
      <c r="A6026" s="180" t="s">
        <v>8481</v>
      </c>
      <c r="B6026" s="181" t="str">
        <f>IFERROR(VLOOKUP(Proc[[#This Row],[App]],Table2[],3,0),"open")</f>
        <v>open</v>
      </c>
      <c r="C6026" s="182" t="s">
        <v>370</v>
      </c>
      <c r="D6026" t="s">
        <v>8395</v>
      </c>
      <c r="E6026" t="s">
        <v>8480</v>
      </c>
      <c r="F6026" s="183" t="s">
        <v>2681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0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1" t="s">
        <v>6434</v>
      </c>
      <c r="M6026" s="178">
        <v>46057</v>
      </c>
      <c r="N6026" s="178"/>
      <c r="O6026" s="178"/>
      <c r="P6026" s="178" t="str">
        <f ca="1">IF(Proc[[#This Row],[DaysAgeing]]&gt;5,"yep","on track")</f>
        <v>on track</v>
      </c>
      <c r="Q6026" s="3">
        <f ca="1">IF(Proc[[#This Row],[DateClosed]]="",ABS(NETWORKDAYS(Proc[[#This Row],[DateOpened]],TODAY()))-1,ABS(NETWORKDAYS(Proc[[#This Row],[DateOpened]],Proc[[#This Row],[DateClosed]]))-1)</f>
        <v>1</v>
      </c>
      <c r="R6026" s="178" t="s">
        <v>422</v>
      </c>
      <c r="S6026" s="181"/>
    </row>
    <row r="6027" spans="1:19">
      <c r="A6027" s="180" t="s">
        <v>8481</v>
      </c>
      <c r="B6027" s="181" t="str">
        <f>IFERROR(VLOOKUP(Proc[[#This Row],[App]],Table2[],3,0),"open")</f>
        <v>open</v>
      </c>
      <c r="C6027" s="182" t="s">
        <v>370</v>
      </c>
      <c r="D6027" t="s">
        <v>8396</v>
      </c>
      <c r="E6027" t="s">
        <v>8480</v>
      </c>
      <c r="F6027" s="183" t="s">
        <v>2681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0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1" t="s">
        <v>6434</v>
      </c>
      <c r="M6027" s="178">
        <v>46057</v>
      </c>
      <c r="N6027" s="178"/>
      <c r="O6027" s="178"/>
      <c r="P6027" s="178" t="str">
        <f ca="1">IF(Proc[[#This Row],[DaysAgeing]]&gt;5,"yep","on track")</f>
        <v>on track</v>
      </c>
      <c r="Q6027" s="3">
        <f ca="1">IF(Proc[[#This Row],[DateClosed]]="",ABS(NETWORKDAYS(Proc[[#This Row],[DateOpened]],TODAY()))-1,ABS(NETWORKDAYS(Proc[[#This Row],[DateOpened]],Proc[[#This Row],[DateClosed]]))-1)</f>
        <v>1</v>
      </c>
      <c r="R6027" s="178" t="s">
        <v>422</v>
      </c>
      <c r="S6027" s="181"/>
    </row>
    <row r="6028" spans="1:19">
      <c r="A6028" s="180" t="s">
        <v>8481</v>
      </c>
      <c r="B6028" s="181" t="str">
        <f>IFERROR(VLOOKUP(Proc[[#This Row],[App]],Table2[],3,0),"open")</f>
        <v>open</v>
      </c>
      <c r="C6028" s="182" t="s">
        <v>370</v>
      </c>
      <c r="D6028" t="s">
        <v>8397</v>
      </c>
      <c r="E6028" t="s">
        <v>8480</v>
      </c>
      <c r="F6028" s="183" t="s">
        <v>2681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0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1" t="s">
        <v>6434</v>
      </c>
      <c r="M6028" s="178">
        <v>46057</v>
      </c>
      <c r="N6028" s="178"/>
      <c r="O6028" s="178"/>
      <c r="P6028" s="178" t="str">
        <f ca="1">IF(Proc[[#This Row],[DaysAgeing]]&gt;5,"yep","on track")</f>
        <v>on track</v>
      </c>
      <c r="Q6028" s="3">
        <f ca="1">IF(Proc[[#This Row],[DateClosed]]="",ABS(NETWORKDAYS(Proc[[#This Row],[DateOpened]],TODAY()))-1,ABS(NETWORKDAYS(Proc[[#This Row],[DateOpened]],Proc[[#This Row],[DateClosed]]))-1)</f>
        <v>1</v>
      </c>
      <c r="R6028" s="178" t="s">
        <v>422</v>
      </c>
      <c r="S6028" s="181"/>
    </row>
    <row r="6029" spans="1:19">
      <c r="A6029" s="180" t="s">
        <v>8481</v>
      </c>
      <c r="B6029" s="181" t="str">
        <f>IFERROR(VLOOKUP(Proc[[#This Row],[App]],Table2[],3,0),"open")</f>
        <v>open</v>
      </c>
      <c r="C6029" s="182" t="s">
        <v>370</v>
      </c>
      <c r="D6029" t="s">
        <v>8398</v>
      </c>
      <c r="E6029" t="s">
        <v>8480</v>
      </c>
      <c r="F6029" s="183" t="s">
        <v>2681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0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1" t="s">
        <v>6434</v>
      </c>
      <c r="M6029" s="178">
        <v>46057</v>
      </c>
      <c r="N6029" s="178"/>
      <c r="O6029" s="178"/>
      <c r="P6029" s="178" t="str">
        <f ca="1">IF(Proc[[#This Row],[DaysAgeing]]&gt;5,"yep","on track")</f>
        <v>on track</v>
      </c>
      <c r="Q6029" s="3">
        <f ca="1">IF(Proc[[#This Row],[DateClosed]]="",ABS(NETWORKDAYS(Proc[[#This Row],[DateOpened]],TODAY()))-1,ABS(NETWORKDAYS(Proc[[#This Row],[DateOpened]],Proc[[#This Row],[DateClosed]]))-1)</f>
        <v>1</v>
      </c>
      <c r="R6029" s="178" t="s">
        <v>422</v>
      </c>
      <c r="S6029" s="181"/>
    </row>
    <row r="6030" spans="1:19">
      <c r="A6030" s="180" t="s">
        <v>8481</v>
      </c>
      <c r="B6030" s="181" t="str">
        <f>IFERROR(VLOOKUP(Proc[[#This Row],[App]],Table2[],3,0),"open")</f>
        <v>open</v>
      </c>
      <c r="C6030" s="182" t="s">
        <v>370</v>
      </c>
      <c r="D6030" t="s">
        <v>8399</v>
      </c>
      <c r="E6030" t="s">
        <v>8480</v>
      </c>
      <c r="F6030" s="183" t="s">
        <v>2681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0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1" t="s">
        <v>6434</v>
      </c>
      <c r="M6030" s="178">
        <v>46057</v>
      </c>
      <c r="N6030" s="178"/>
      <c r="O6030" s="178"/>
      <c r="P6030" s="178" t="str">
        <f ca="1">IF(Proc[[#This Row],[DaysAgeing]]&gt;5,"yep","on track")</f>
        <v>on track</v>
      </c>
      <c r="Q6030" s="3">
        <f ca="1">IF(Proc[[#This Row],[DateClosed]]="",ABS(NETWORKDAYS(Proc[[#This Row],[DateOpened]],TODAY()))-1,ABS(NETWORKDAYS(Proc[[#This Row],[DateOpened]],Proc[[#This Row],[DateClosed]]))-1)</f>
        <v>1</v>
      </c>
      <c r="R6030" s="178" t="s">
        <v>422</v>
      </c>
      <c r="S6030" s="181"/>
    </row>
    <row r="6031" spans="1:19">
      <c r="A6031" s="180" t="s">
        <v>8481</v>
      </c>
      <c r="B6031" s="181" t="str">
        <f>IFERROR(VLOOKUP(Proc[[#This Row],[App]],Table2[],3,0),"open")</f>
        <v>open</v>
      </c>
      <c r="C6031" s="182" t="s">
        <v>370</v>
      </c>
      <c r="D6031" t="s">
        <v>8400</v>
      </c>
      <c r="E6031" t="s">
        <v>8480</v>
      </c>
      <c r="F6031" s="183" t="s">
        <v>2681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0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1" t="s">
        <v>6434</v>
      </c>
      <c r="M6031" s="178">
        <v>46057</v>
      </c>
      <c r="N6031" s="178"/>
      <c r="O6031" s="178"/>
      <c r="P6031" s="178" t="str">
        <f ca="1">IF(Proc[[#This Row],[DaysAgeing]]&gt;5,"yep","on track")</f>
        <v>on track</v>
      </c>
      <c r="Q6031" s="3">
        <f ca="1">IF(Proc[[#This Row],[DateClosed]]="",ABS(NETWORKDAYS(Proc[[#This Row],[DateOpened]],TODAY()))-1,ABS(NETWORKDAYS(Proc[[#This Row],[DateOpened]],Proc[[#This Row],[DateClosed]]))-1)</f>
        <v>1</v>
      </c>
      <c r="R6031" s="178" t="s">
        <v>422</v>
      </c>
      <c r="S6031" s="181"/>
    </row>
    <row r="6032" spans="1:19">
      <c r="A6032" s="180" t="s">
        <v>8481</v>
      </c>
      <c r="B6032" s="181" t="str">
        <f>IFERROR(VLOOKUP(Proc[[#This Row],[App]],Table2[],3,0),"open")</f>
        <v>open</v>
      </c>
      <c r="C6032" s="182" t="s">
        <v>370</v>
      </c>
      <c r="D6032" t="s">
        <v>8401</v>
      </c>
      <c r="E6032" t="s">
        <v>8480</v>
      </c>
      <c r="F6032" s="183" t="s">
        <v>2681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0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1" t="s">
        <v>6434</v>
      </c>
      <c r="M6032" s="178">
        <v>46057</v>
      </c>
      <c r="N6032" s="178"/>
      <c r="O6032" s="178"/>
      <c r="P6032" s="178" t="str">
        <f ca="1">IF(Proc[[#This Row],[DaysAgeing]]&gt;5,"yep","on track")</f>
        <v>on track</v>
      </c>
      <c r="Q6032" s="3">
        <f ca="1">IF(Proc[[#This Row],[DateClosed]]="",ABS(NETWORKDAYS(Proc[[#This Row],[DateOpened]],TODAY()))-1,ABS(NETWORKDAYS(Proc[[#This Row],[DateOpened]],Proc[[#This Row],[DateClosed]]))-1)</f>
        <v>1</v>
      </c>
      <c r="R6032" s="178" t="s">
        <v>422</v>
      </c>
      <c r="S6032" s="181"/>
    </row>
    <row r="6033" spans="1:19">
      <c r="A6033" s="180" t="s">
        <v>8481</v>
      </c>
      <c r="B6033" s="181" t="str">
        <f>IFERROR(VLOOKUP(Proc[[#This Row],[App]],Table2[],3,0),"open")</f>
        <v>open</v>
      </c>
      <c r="C6033" s="182" t="s">
        <v>370</v>
      </c>
      <c r="D6033" t="s">
        <v>8402</v>
      </c>
      <c r="E6033" t="s">
        <v>8480</v>
      </c>
      <c r="F6033" s="183" t="s">
        <v>2681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0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1" t="s">
        <v>6434</v>
      </c>
      <c r="M6033" s="178">
        <v>46057</v>
      </c>
      <c r="N6033" s="178"/>
      <c r="O6033" s="178"/>
      <c r="P6033" s="178" t="str">
        <f ca="1">IF(Proc[[#This Row],[DaysAgeing]]&gt;5,"yep","on track")</f>
        <v>on track</v>
      </c>
      <c r="Q6033" s="3">
        <f ca="1">IF(Proc[[#This Row],[DateClosed]]="",ABS(NETWORKDAYS(Proc[[#This Row],[DateOpened]],TODAY()))-1,ABS(NETWORKDAYS(Proc[[#This Row],[DateOpened]],Proc[[#This Row],[DateClosed]]))-1)</f>
        <v>1</v>
      </c>
      <c r="R6033" s="178" t="s">
        <v>422</v>
      </c>
      <c r="S6033" s="181"/>
    </row>
    <row r="6034" spans="1:19">
      <c r="A6034" s="180" t="s">
        <v>8481</v>
      </c>
      <c r="B6034" s="181" t="str">
        <f>IFERROR(VLOOKUP(Proc[[#This Row],[App]],Table2[],3,0),"open")</f>
        <v>open</v>
      </c>
      <c r="C6034" s="182" t="s">
        <v>370</v>
      </c>
      <c r="D6034" t="s">
        <v>8403</v>
      </c>
      <c r="E6034" t="s">
        <v>8480</v>
      </c>
      <c r="F6034" s="183" t="s">
        <v>2681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0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1" t="s">
        <v>6434</v>
      </c>
      <c r="M6034" s="178">
        <v>46057</v>
      </c>
      <c r="N6034" s="178"/>
      <c r="O6034" s="178"/>
      <c r="P6034" s="178" t="str">
        <f ca="1">IF(Proc[[#This Row],[DaysAgeing]]&gt;5,"yep","on track")</f>
        <v>on track</v>
      </c>
      <c r="Q6034" s="3">
        <f ca="1">IF(Proc[[#This Row],[DateClosed]]="",ABS(NETWORKDAYS(Proc[[#This Row],[DateOpened]],TODAY()))-1,ABS(NETWORKDAYS(Proc[[#This Row],[DateOpened]],Proc[[#This Row],[DateClosed]]))-1)</f>
        <v>1</v>
      </c>
      <c r="R6034" s="178" t="s">
        <v>422</v>
      </c>
      <c r="S6034" s="181"/>
    </row>
    <row r="6035" spans="1:19">
      <c r="A6035" s="180" t="s">
        <v>8481</v>
      </c>
      <c r="B6035" s="181" t="str">
        <f>IFERROR(VLOOKUP(Proc[[#This Row],[App]],Table2[],3,0),"open")</f>
        <v>open</v>
      </c>
      <c r="C6035" s="182" t="s">
        <v>370</v>
      </c>
      <c r="D6035" t="s">
        <v>8404</v>
      </c>
      <c r="E6035" t="s">
        <v>8480</v>
      </c>
      <c r="F6035" s="183" t="s">
        <v>2681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0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1" t="s">
        <v>6434</v>
      </c>
      <c r="M6035" s="178">
        <v>46057</v>
      </c>
      <c r="N6035" s="178"/>
      <c r="O6035" s="178"/>
      <c r="P6035" s="178" t="str">
        <f ca="1">IF(Proc[[#This Row],[DaysAgeing]]&gt;5,"yep","on track")</f>
        <v>on track</v>
      </c>
      <c r="Q6035" s="3">
        <f ca="1">IF(Proc[[#This Row],[DateClosed]]="",ABS(NETWORKDAYS(Proc[[#This Row],[DateOpened]],TODAY()))-1,ABS(NETWORKDAYS(Proc[[#This Row],[DateOpened]],Proc[[#This Row],[DateClosed]]))-1)</f>
        <v>1</v>
      </c>
      <c r="R6035" s="178" t="s">
        <v>422</v>
      </c>
      <c r="S6035" s="181"/>
    </row>
    <row r="6036" spans="1:19">
      <c r="A6036" s="180" t="s">
        <v>8481</v>
      </c>
      <c r="B6036" s="181" t="str">
        <f>IFERROR(VLOOKUP(Proc[[#This Row],[App]],Table2[],3,0),"open")</f>
        <v>open</v>
      </c>
      <c r="C6036" s="182" t="s">
        <v>370</v>
      </c>
      <c r="D6036" t="s">
        <v>8405</v>
      </c>
      <c r="E6036" t="s">
        <v>8480</v>
      </c>
      <c r="F6036" s="183" t="s">
        <v>2681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0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1" t="s">
        <v>6434</v>
      </c>
      <c r="M6036" s="178">
        <v>46057</v>
      </c>
      <c r="N6036" s="178"/>
      <c r="O6036" s="178"/>
      <c r="P6036" s="178" t="str">
        <f ca="1">IF(Proc[[#This Row],[DaysAgeing]]&gt;5,"yep","on track")</f>
        <v>on track</v>
      </c>
      <c r="Q6036" s="3">
        <f ca="1">IF(Proc[[#This Row],[DateClosed]]="",ABS(NETWORKDAYS(Proc[[#This Row],[DateOpened]],TODAY()))-1,ABS(NETWORKDAYS(Proc[[#This Row],[DateOpened]],Proc[[#This Row],[DateClosed]]))-1)</f>
        <v>1</v>
      </c>
      <c r="R6036" s="178" t="s">
        <v>422</v>
      </c>
      <c r="S6036" s="181"/>
    </row>
    <row r="6037" spans="1:19">
      <c r="A6037" s="180" t="s">
        <v>8481</v>
      </c>
      <c r="B6037" s="181" t="str">
        <f>IFERROR(VLOOKUP(Proc[[#This Row],[App]],Table2[],3,0),"open")</f>
        <v>open</v>
      </c>
      <c r="C6037" s="182" t="s">
        <v>370</v>
      </c>
      <c r="D6037" t="s">
        <v>8406</v>
      </c>
      <c r="E6037" t="s">
        <v>8480</v>
      </c>
      <c r="F6037" s="183" t="s">
        <v>2681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0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1" t="s">
        <v>6434</v>
      </c>
      <c r="M6037" s="178">
        <v>46057</v>
      </c>
      <c r="N6037" s="178"/>
      <c r="O6037" s="178"/>
      <c r="P6037" s="178" t="str">
        <f ca="1">IF(Proc[[#This Row],[DaysAgeing]]&gt;5,"yep","on track")</f>
        <v>on track</v>
      </c>
      <c r="Q6037" s="3">
        <f ca="1">IF(Proc[[#This Row],[DateClosed]]="",ABS(NETWORKDAYS(Proc[[#This Row],[DateOpened]],TODAY()))-1,ABS(NETWORKDAYS(Proc[[#This Row],[DateOpened]],Proc[[#This Row],[DateClosed]]))-1)</f>
        <v>1</v>
      </c>
      <c r="R6037" s="178" t="s">
        <v>422</v>
      </c>
      <c r="S6037" s="181"/>
    </row>
    <row r="6038" spans="1:19">
      <c r="A6038" s="180" t="s">
        <v>8481</v>
      </c>
      <c r="B6038" s="181" t="str">
        <f>IFERROR(VLOOKUP(Proc[[#This Row],[App]],Table2[],3,0),"open")</f>
        <v>open</v>
      </c>
      <c r="C6038" s="182" t="s">
        <v>370</v>
      </c>
      <c r="D6038" t="s">
        <v>8407</v>
      </c>
      <c r="E6038" t="s">
        <v>8480</v>
      </c>
      <c r="F6038" s="183" t="s">
        <v>2681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0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1" t="s">
        <v>6434</v>
      </c>
      <c r="M6038" s="178">
        <v>46057</v>
      </c>
      <c r="N6038" s="178"/>
      <c r="O6038" s="178"/>
      <c r="P6038" s="178" t="str">
        <f ca="1">IF(Proc[[#This Row],[DaysAgeing]]&gt;5,"yep","on track")</f>
        <v>on track</v>
      </c>
      <c r="Q6038" s="3">
        <f ca="1">IF(Proc[[#This Row],[DateClosed]]="",ABS(NETWORKDAYS(Proc[[#This Row],[DateOpened]],TODAY()))-1,ABS(NETWORKDAYS(Proc[[#This Row],[DateOpened]],Proc[[#This Row],[DateClosed]]))-1)</f>
        <v>1</v>
      </c>
      <c r="R6038" s="178" t="s">
        <v>422</v>
      </c>
      <c r="S6038" s="181"/>
    </row>
    <row r="6039" spans="1:19">
      <c r="A6039" s="180" t="s">
        <v>8481</v>
      </c>
      <c r="B6039" s="181" t="str">
        <f>IFERROR(VLOOKUP(Proc[[#This Row],[App]],Table2[],3,0),"open")</f>
        <v>open</v>
      </c>
      <c r="C6039" s="182" t="s">
        <v>370</v>
      </c>
      <c r="D6039" t="s">
        <v>8408</v>
      </c>
      <c r="E6039" t="s">
        <v>8480</v>
      </c>
      <c r="F6039" s="183" t="s">
        <v>2681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0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1" t="s">
        <v>6434</v>
      </c>
      <c r="M6039" s="178">
        <v>46057</v>
      </c>
      <c r="N6039" s="178"/>
      <c r="O6039" s="178"/>
      <c r="P6039" s="178" t="str">
        <f ca="1">IF(Proc[[#This Row],[DaysAgeing]]&gt;5,"yep","on track")</f>
        <v>on track</v>
      </c>
      <c r="Q6039" s="3">
        <f ca="1">IF(Proc[[#This Row],[DateClosed]]="",ABS(NETWORKDAYS(Proc[[#This Row],[DateOpened]],TODAY()))-1,ABS(NETWORKDAYS(Proc[[#This Row],[DateOpened]],Proc[[#This Row],[DateClosed]]))-1)</f>
        <v>1</v>
      </c>
      <c r="R6039" s="178" t="s">
        <v>422</v>
      </c>
      <c r="S6039" s="181"/>
    </row>
    <row r="6040" spans="1:19">
      <c r="A6040" s="180" t="s">
        <v>8481</v>
      </c>
      <c r="B6040" s="181" t="str">
        <f>IFERROR(VLOOKUP(Proc[[#This Row],[App]],Table2[],3,0),"open")</f>
        <v>open</v>
      </c>
      <c r="C6040" s="182" t="s">
        <v>370</v>
      </c>
      <c r="D6040" t="s">
        <v>8409</v>
      </c>
      <c r="E6040" t="s">
        <v>8480</v>
      </c>
      <c r="F6040" s="183" t="s">
        <v>2681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0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1" t="s">
        <v>6434</v>
      </c>
      <c r="M6040" s="178">
        <v>46057</v>
      </c>
      <c r="N6040" s="178"/>
      <c r="O6040" s="178"/>
      <c r="P6040" s="178" t="str">
        <f ca="1">IF(Proc[[#This Row],[DaysAgeing]]&gt;5,"yep","on track")</f>
        <v>on track</v>
      </c>
      <c r="Q6040" s="3">
        <f ca="1">IF(Proc[[#This Row],[DateClosed]]="",ABS(NETWORKDAYS(Proc[[#This Row],[DateOpened]],TODAY()))-1,ABS(NETWORKDAYS(Proc[[#This Row],[DateOpened]],Proc[[#This Row],[DateClosed]]))-1)</f>
        <v>1</v>
      </c>
      <c r="R6040" s="178" t="s">
        <v>422</v>
      </c>
      <c r="S6040" s="181"/>
    </row>
    <row r="6041" spans="1:19">
      <c r="A6041" s="180" t="s">
        <v>8481</v>
      </c>
      <c r="B6041" s="181" t="str">
        <f>IFERROR(VLOOKUP(Proc[[#This Row],[App]],Table2[],3,0),"open")</f>
        <v>open</v>
      </c>
      <c r="C6041" s="182" t="s">
        <v>370</v>
      </c>
      <c r="D6041" t="s">
        <v>8410</v>
      </c>
      <c r="E6041" t="s">
        <v>8480</v>
      </c>
      <c r="F6041" s="183" t="s">
        <v>2681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0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1" t="s">
        <v>6434</v>
      </c>
      <c r="M6041" s="178">
        <v>46057</v>
      </c>
      <c r="N6041" s="178"/>
      <c r="O6041" s="178"/>
      <c r="P6041" s="178" t="str">
        <f ca="1">IF(Proc[[#This Row],[DaysAgeing]]&gt;5,"yep","on track")</f>
        <v>on track</v>
      </c>
      <c r="Q6041" s="3">
        <f ca="1">IF(Proc[[#This Row],[DateClosed]]="",ABS(NETWORKDAYS(Proc[[#This Row],[DateOpened]],TODAY()))-1,ABS(NETWORKDAYS(Proc[[#This Row],[DateOpened]],Proc[[#This Row],[DateClosed]]))-1)</f>
        <v>1</v>
      </c>
      <c r="R6041" s="178" t="s">
        <v>422</v>
      </c>
      <c r="S6041" s="181"/>
    </row>
    <row r="6042" spans="1:19">
      <c r="A6042" s="180" t="s">
        <v>8481</v>
      </c>
      <c r="B6042" s="181" t="str">
        <f>IFERROR(VLOOKUP(Proc[[#This Row],[App]],Table2[],3,0),"open")</f>
        <v>open</v>
      </c>
      <c r="C6042" s="182" t="s">
        <v>370</v>
      </c>
      <c r="D6042" t="s">
        <v>8411</v>
      </c>
      <c r="E6042" t="s">
        <v>8480</v>
      </c>
      <c r="F6042" s="183" t="s">
        <v>2681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0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1" t="s">
        <v>6434</v>
      </c>
      <c r="M6042" s="178">
        <v>46057</v>
      </c>
      <c r="N6042" s="178"/>
      <c r="O6042" s="178"/>
      <c r="P6042" s="178" t="str">
        <f ca="1">IF(Proc[[#This Row],[DaysAgeing]]&gt;5,"yep","on track")</f>
        <v>on track</v>
      </c>
      <c r="Q6042" s="3">
        <f ca="1">IF(Proc[[#This Row],[DateClosed]]="",ABS(NETWORKDAYS(Proc[[#This Row],[DateOpened]],TODAY()))-1,ABS(NETWORKDAYS(Proc[[#This Row],[DateOpened]],Proc[[#This Row],[DateClosed]]))-1)</f>
        <v>1</v>
      </c>
      <c r="R6042" s="178" t="s">
        <v>422</v>
      </c>
      <c r="S6042" s="181"/>
    </row>
    <row r="6043" spans="1:19">
      <c r="A6043" s="180" t="s">
        <v>8481</v>
      </c>
      <c r="B6043" s="181" t="str">
        <f>IFERROR(VLOOKUP(Proc[[#This Row],[App]],Table2[],3,0),"open")</f>
        <v>open</v>
      </c>
      <c r="C6043" s="182" t="s">
        <v>370</v>
      </c>
      <c r="D6043" t="s">
        <v>8412</v>
      </c>
      <c r="E6043" t="s">
        <v>8480</v>
      </c>
      <c r="F6043" s="183" t="s">
        <v>2681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0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1" t="s">
        <v>6434</v>
      </c>
      <c r="M6043" s="178">
        <v>46057</v>
      </c>
      <c r="N6043" s="178"/>
      <c r="O6043" s="178"/>
      <c r="P6043" s="178" t="str">
        <f ca="1">IF(Proc[[#This Row],[DaysAgeing]]&gt;5,"yep","on track")</f>
        <v>on track</v>
      </c>
      <c r="Q6043" s="3">
        <f ca="1">IF(Proc[[#This Row],[DateClosed]]="",ABS(NETWORKDAYS(Proc[[#This Row],[DateOpened]],TODAY()))-1,ABS(NETWORKDAYS(Proc[[#This Row],[DateOpened]],Proc[[#This Row],[DateClosed]]))-1)</f>
        <v>1</v>
      </c>
      <c r="R6043" s="178" t="s">
        <v>422</v>
      </c>
      <c r="S6043" s="181"/>
    </row>
    <row r="6044" spans="1:19">
      <c r="A6044" s="180" t="s">
        <v>8481</v>
      </c>
      <c r="B6044" s="181" t="str">
        <f>IFERROR(VLOOKUP(Proc[[#This Row],[App]],Table2[],3,0),"open")</f>
        <v>open</v>
      </c>
      <c r="C6044" s="182" t="s">
        <v>370</v>
      </c>
      <c r="D6044" t="s">
        <v>8413</v>
      </c>
      <c r="E6044" t="s">
        <v>8480</v>
      </c>
      <c r="F6044" s="183" t="s">
        <v>2681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0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1" t="s">
        <v>6434</v>
      </c>
      <c r="M6044" s="178">
        <v>46057</v>
      </c>
      <c r="N6044" s="178"/>
      <c r="O6044" s="178"/>
      <c r="P6044" s="178" t="str">
        <f ca="1">IF(Proc[[#This Row],[DaysAgeing]]&gt;5,"yep","on track")</f>
        <v>on track</v>
      </c>
      <c r="Q6044" s="3">
        <f ca="1">IF(Proc[[#This Row],[DateClosed]]="",ABS(NETWORKDAYS(Proc[[#This Row],[DateOpened]],TODAY()))-1,ABS(NETWORKDAYS(Proc[[#This Row],[DateOpened]],Proc[[#This Row],[DateClosed]]))-1)</f>
        <v>1</v>
      </c>
      <c r="R6044" s="178" t="s">
        <v>422</v>
      </c>
      <c r="S6044" s="181"/>
    </row>
    <row r="6045" spans="1:19">
      <c r="A6045" s="180" t="s">
        <v>8481</v>
      </c>
      <c r="B6045" s="181" t="str">
        <f>IFERROR(VLOOKUP(Proc[[#This Row],[App]],Table2[],3,0),"open")</f>
        <v>open</v>
      </c>
      <c r="C6045" s="182" t="s">
        <v>370</v>
      </c>
      <c r="D6045" t="s">
        <v>8414</v>
      </c>
      <c r="E6045" t="s">
        <v>8480</v>
      </c>
      <c r="F6045" s="183" t="s">
        <v>2681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0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1" t="s">
        <v>6434</v>
      </c>
      <c r="M6045" s="178">
        <v>46057</v>
      </c>
      <c r="N6045" s="178"/>
      <c r="O6045" s="178"/>
      <c r="P6045" s="178" t="str">
        <f ca="1">IF(Proc[[#This Row],[DaysAgeing]]&gt;5,"yep","on track")</f>
        <v>on track</v>
      </c>
      <c r="Q6045" s="3">
        <f ca="1">IF(Proc[[#This Row],[DateClosed]]="",ABS(NETWORKDAYS(Proc[[#This Row],[DateOpened]],TODAY()))-1,ABS(NETWORKDAYS(Proc[[#This Row],[DateOpened]],Proc[[#This Row],[DateClosed]]))-1)</f>
        <v>1</v>
      </c>
      <c r="R6045" s="178" t="s">
        <v>422</v>
      </c>
      <c r="S6045" s="181"/>
    </row>
    <row r="6046" spans="1:19">
      <c r="A6046" s="180" t="s">
        <v>8481</v>
      </c>
      <c r="B6046" s="181" t="str">
        <f>IFERROR(VLOOKUP(Proc[[#This Row],[App]],Table2[],3,0),"open")</f>
        <v>open</v>
      </c>
      <c r="C6046" s="182" t="s">
        <v>370</v>
      </c>
      <c r="D6046" t="s">
        <v>8415</v>
      </c>
      <c r="E6046" t="s">
        <v>8480</v>
      </c>
      <c r="F6046" s="183" t="s">
        <v>2681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0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1" t="s">
        <v>6434</v>
      </c>
      <c r="M6046" s="178">
        <v>46057</v>
      </c>
      <c r="N6046" s="178"/>
      <c r="O6046" s="178"/>
      <c r="P6046" s="178" t="str">
        <f ca="1">IF(Proc[[#This Row],[DaysAgeing]]&gt;5,"yep","on track")</f>
        <v>on track</v>
      </c>
      <c r="Q6046" s="3">
        <f ca="1">IF(Proc[[#This Row],[DateClosed]]="",ABS(NETWORKDAYS(Proc[[#This Row],[DateOpened]],TODAY()))-1,ABS(NETWORKDAYS(Proc[[#This Row],[DateOpened]],Proc[[#This Row],[DateClosed]]))-1)</f>
        <v>1</v>
      </c>
      <c r="R6046" s="178" t="s">
        <v>422</v>
      </c>
      <c r="S6046" s="181"/>
    </row>
    <row r="6047" spans="1:19">
      <c r="A6047" s="180" t="s">
        <v>8481</v>
      </c>
      <c r="B6047" s="181" t="str">
        <f>IFERROR(VLOOKUP(Proc[[#This Row],[App]],Table2[],3,0),"open")</f>
        <v>open</v>
      </c>
      <c r="C6047" s="182" t="s">
        <v>370</v>
      </c>
      <c r="D6047" t="s">
        <v>8416</v>
      </c>
      <c r="E6047" t="s">
        <v>8480</v>
      </c>
      <c r="F6047" s="183" t="s">
        <v>2681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0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1" t="s">
        <v>6434</v>
      </c>
      <c r="M6047" s="178">
        <v>46057</v>
      </c>
      <c r="N6047" s="178"/>
      <c r="O6047" s="178"/>
      <c r="P6047" s="178" t="str">
        <f ca="1">IF(Proc[[#This Row],[DaysAgeing]]&gt;5,"yep","on track")</f>
        <v>on track</v>
      </c>
      <c r="Q6047" s="3">
        <f ca="1">IF(Proc[[#This Row],[DateClosed]]="",ABS(NETWORKDAYS(Proc[[#This Row],[DateOpened]],TODAY()))-1,ABS(NETWORKDAYS(Proc[[#This Row],[DateOpened]],Proc[[#This Row],[DateClosed]]))-1)</f>
        <v>1</v>
      </c>
      <c r="R6047" s="178" t="s">
        <v>422</v>
      </c>
      <c r="S6047" s="181"/>
    </row>
    <row r="6048" spans="1:19">
      <c r="A6048" s="180" t="s">
        <v>8481</v>
      </c>
      <c r="B6048" s="181" t="str">
        <f>IFERROR(VLOOKUP(Proc[[#This Row],[App]],Table2[],3,0),"open")</f>
        <v>open</v>
      </c>
      <c r="C6048" s="182" t="s">
        <v>370</v>
      </c>
      <c r="D6048" t="s">
        <v>8417</v>
      </c>
      <c r="E6048" t="s">
        <v>8480</v>
      </c>
      <c r="F6048" s="183" t="s">
        <v>2681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0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1" t="s">
        <v>6434</v>
      </c>
      <c r="M6048" s="178">
        <v>46057</v>
      </c>
      <c r="N6048" s="178"/>
      <c r="O6048" s="178"/>
      <c r="P6048" s="178" t="str">
        <f ca="1">IF(Proc[[#This Row],[DaysAgeing]]&gt;5,"yep","on track")</f>
        <v>on track</v>
      </c>
      <c r="Q6048" s="3">
        <f ca="1">IF(Proc[[#This Row],[DateClosed]]="",ABS(NETWORKDAYS(Proc[[#This Row],[DateOpened]],TODAY()))-1,ABS(NETWORKDAYS(Proc[[#This Row],[DateOpened]],Proc[[#This Row],[DateClosed]]))-1)</f>
        <v>1</v>
      </c>
      <c r="R6048" s="178" t="s">
        <v>422</v>
      </c>
      <c r="S6048" s="181"/>
    </row>
    <row r="6049" spans="1:19">
      <c r="A6049" s="180" t="s">
        <v>8481</v>
      </c>
      <c r="B6049" s="181" t="str">
        <f>IFERROR(VLOOKUP(Proc[[#This Row],[App]],Table2[],3,0),"open")</f>
        <v>open</v>
      </c>
      <c r="C6049" s="182" t="s">
        <v>370</v>
      </c>
      <c r="D6049" t="s">
        <v>8418</v>
      </c>
      <c r="E6049" t="s">
        <v>8480</v>
      </c>
      <c r="F6049" s="183" t="s">
        <v>2681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0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1" t="s">
        <v>6434</v>
      </c>
      <c r="M6049" s="178">
        <v>46057</v>
      </c>
      <c r="N6049" s="178"/>
      <c r="O6049" s="178"/>
      <c r="P6049" s="178" t="str">
        <f ca="1">IF(Proc[[#This Row],[DaysAgeing]]&gt;5,"yep","on track")</f>
        <v>on track</v>
      </c>
      <c r="Q6049" s="3">
        <f ca="1">IF(Proc[[#This Row],[DateClosed]]="",ABS(NETWORKDAYS(Proc[[#This Row],[DateOpened]],TODAY()))-1,ABS(NETWORKDAYS(Proc[[#This Row],[DateOpened]],Proc[[#This Row],[DateClosed]]))-1)</f>
        <v>1</v>
      </c>
      <c r="R6049" s="178" t="s">
        <v>422</v>
      </c>
      <c r="S6049" s="181"/>
    </row>
    <row r="6050" spans="1:19">
      <c r="A6050" s="180" t="s">
        <v>8481</v>
      </c>
      <c r="B6050" s="181" t="str">
        <f>IFERROR(VLOOKUP(Proc[[#This Row],[App]],Table2[],3,0),"open")</f>
        <v>open</v>
      </c>
      <c r="C6050" s="182" t="s">
        <v>370</v>
      </c>
      <c r="D6050" t="s">
        <v>8419</v>
      </c>
      <c r="E6050" t="s">
        <v>8480</v>
      </c>
      <c r="F6050" s="183" t="s">
        <v>2681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0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1" t="s">
        <v>6434</v>
      </c>
      <c r="M6050" s="178">
        <v>46057</v>
      </c>
      <c r="N6050" s="178"/>
      <c r="O6050" s="178"/>
      <c r="P6050" s="178" t="str">
        <f ca="1">IF(Proc[[#This Row],[DaysAgeing]]&gt;5,"yep","on track")</f>
        <v>on track</v>
      </c>
      <c r="Q6050" s="3">
        <f ca="1">IF(Proc[[#This Row],[DateClosed]]="",ABS(NETWORKDAYS(Proc[[#This Row],[DateOpened]],TODAY()))-1,ABS(NETWORKDAYS(Proc[[#This Row],[DateOpened]],Proc[[#This Row],[DateClosed]]))-1)</f>
        <v>1</v>
      </c>
      <c r="R6050" s="178" t="s">
        <v>422</v>
      </c>
      <c r="S6050" s="181"/>
    </row>
    <row r="6051" spans="1:19">
      <c r="A6051" s="180" t="s">
        <v>8481</v>
      </c>
      <c r="B6051" s="181" t="str">
        <f>IFERROR(VLOOKUP(Proc[[#This Row],[App]],Table2[],3,0),"open")</f>
        <v>open</v>
      </c>
      <c r="C6051" s="182" t="s">
        <v>370</v>
      </c>
      <c r="D6051" t="s">
        <v>8420</v>
      </c>
      <c r="E6051" t="s">
        <v>8480</v>
      </c>
      <c r="F6051" s="183" t="s">
        <v>2681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0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1" t="s">
        <v>6434</v>
      </c>
      <c r="M6051" s="178">
        <v>46057</v>
      </c>
      <c r="N6051" s="178"/>
      <c r="O6051" s="178"/>
      <c r="P6051" s="178" t="str">
        <f ca="1">IF(Proc[[#This Row],[DaysAgeing]]&gt;5,"yep","on track")</f>
        <v>on track</v>
      </c>
      <c r="Q6051" s="3">
        <f ca="1">IF(Proc[[#This Row],[DateClosed]]="",ABS(NETWORKDAYS(Proc[[#This Row],[DateOpened]],TODAY()))-1,ABS(NETWORKDAYS(Proc[[#This Row],[DateOpened]],Proc[[#This Row],[DateClosed]]))-1)</f>
        <v>1</v>
      </c>
      <c r="R6051" s="178" t="s">
        <v>422</v>
      </c>
      <c r="S6051" s="181"/>
    </row>
    <row r="6052" spans="1:19">
      <c r="A6052" s="180" t="s">
        <v>8481</v>
      </c>
      <c r="B6052" s="181" t="str">
        <f>IFERROR(VLOOKUP(Proc[[#This Row],[App]],Table2[],3,0),"open")</f>
        <v>open</v>
      </c>
      <c r="C6052" s="182" t="s">
        <v>370</v>
      </c>
      <c r="D6052" t="s">
        <v>8421</v>
      </c>
      <c r="E6052" t="s">
        <v>8480</v>
      </c>
      <c r="F6052" s="183" t="s">
        <v>2681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0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1" t="s">
        <v>6434</v>
      </c>
      <c r="M6052" s="178">
        <v>46057</v>
      </c>
      <c r="N6052" s="178"/>
      <c r="O6052" s="178"/>
      <c r="P6052" s="178" t="str">
        <f ca="1">IF(Proc[[#This Row],[DaysAgeing]]&gt;5,"yep","on track")</f>
        <v>on track</v>
      </c>
      <c r="Q6052" s="3">
        <f ca="1">IF(Proc[[#This Row],[DateClosed]]="",ABS(NETWORKDAYS(Proc[[#This Row],[DateOpened]],TODAY()))-1,ABS(NETWORKDAYS(Proc[[#This Row],[DateOpened]],Proc[[#This Row],[DateClosed]]))-1)</f>
        <v>1</v>
      </c>
      <c r="R6052" s="178" t="s">
        <v>422</v>
      </c>
      <c r="S6052" s="181"/>
    </row>
    <row r="6053" spans="1:19">
      <c r="A6053" s="180" t="s">
        <v>8481</v>
      </c>
      <c r="B6053" s="181" t="str">
        <f>IFERROR(VLOOKUP(Proc[[#This Row],[App]],Table2[],3,0),"open")</f>
        <v>open</v>
      </c>
      <c r="C6053" s="182" t="s">
        <v>370</v>
      </c>
      <c r="D6053" t="s">
        <v>8422</v>
      </c>
      <c r="E6053" t="s">
        <v>8480</v>
      </c>
      <c r="F6053" s="183" t="s">
        <v>2681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0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1" t="s">
        <v>6434</v>
      </c>
      <c r="M6053" s="178">
        <v>46057</v>
      </c>
      <c r="N6053" s="178"/>
      <c r="O6053" s="178"/>
      <c r="P6053" s="178" t="str">
        <f ca="1">IF(Proc[[#This Row],[DaysAgeing]]&gt;5,"yep","on track")</f>
        <v>on track</v>
      </c>
      <c r="Q6053" s="3">
        <f ca="1">IF(Proc[[#This Row],[DateClosed]]="",ABS(NETWORKDAYS(Proc[[#This Row],[DateOpened]],TODAY()))-1,ABS(NETWORKDAYS(Proc[[#This Row],[DateOpened]],Proc[[#This Row],[DateClosed]]))-1)</f>
        <v>1</v>
      </c>
      <c r="R6053" s="178" t="s">
        <v>422</v>
      </c>
      <c r="S6053" s="181"/>
    </row>
    <row r="6054" spans="1:19">
      <c r="A6054" s="180" t="s">
        <v>8481</v>
      </c>
      <c r="B6054" s="181" t="str">
        <f>IFERROR(VLOOKUP(Proc[[#This Row],[App]],Table2[],3,0),"open")</f>
        <v>open</v>
      </c>
      <c r="C6054" s="182" t="s">
        <v>370</v>
      </c>
      <c r="D6054" t="s">
        <v>8423</v>
      </c>
      <c r="E6054" t="s">
        <v>8480</v>
      </c>
      <c r="F6054" s="183" t="s">
        <v>2681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0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1" t="s">
        <v>6434</v>
      </c>
      <c r="M6054" s="178">
        <v>46057</v>
      </c>
      <c r="N6054" s="178"/>
      <c r="O6054" s="178"/>
      <c r="P6054" s="178" t="str">
        <f ca="1">IF(Proc[[#This Row],[DaysAgeing]]&gt;5,"yep","on track")</f>
        <v>on track</v>
      </c>
      <c r="Q6054" s="3">
        <f ca="1">IF(Proc[[#This Row],[DateClosed]]="",ABS(NETWORKDAYS(Proc[[#This Row],[DateOpened]],TODAY()))-1,ABS(NETWORKDAYS(Proc[[#This Row],[DateOpened]],Proc[[#This Row],[DateClosed]]))-1)</f>
        <v>1</v>
      </c>
      <c r="R6054" s="178" t="s">
        <v>422</v>
      </c>
      <c r="S6054" s="181"/>
    </row>
    <row r="6055" spans="1:19">
      <c r="A6055" s="180" t="s">
        <v>8481</v>
      </c>
      <c r="B6055" s="181" t="str">
        <f>IFERROR(VLOOKUP(Proc[[#This Row],[App]],Table2[],3,0),"open")</f>
        <v>open</v>
      </c>
      <c r="C6055" s="182" t="s">
        <v>370</v>
      </c>
      <c r="D6055" t="s">
        <v>8424</v>
      </c>
      <c r="E6055" t="s">
        <v>8480</v>
      </c>
      <c r="F6055" s="183" t="s">
        <v>2681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0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1" t="s">
        <v>6434</v>
      </c>
      <c r="M6055" s="178">
        <v>46057</v>
      </c>
      <c r="N6055" s="178"/>
      <c r="O6055" s="178"/>
      <c r="P6055" s="178" t="str">
        <f ca="1">IF(Proc[[#This Row],[DaysAgeing]]&gt;5,"yep","on track")</f>
        <v>on track</v>
      </c>
      <c r="Q6055" s="3">
        <f ca="1">IF(Proc[[#This Row],[DateClosed]]="",ABS(NETWORKDAYS(Proc[[#This Row],[DateOpened]],TODAY()))-1,ABS(NETWORKDAYS(Proc[[#This Row],[DateOpened]],Proc[[#This Row],[DateClosed]]))-1)</f>
        <v>1</v>
      </c>
      <c r="R6055" s="178" t="s">
        <v>422</v>
      </c>
      <c r="S6055" s="181"/>
    </row>
    <row r="6056" spans="1:19">
      <c r="A6056" s="180" t="s">
        <v>8481</v>
      </c>
      <c r="B6056" s="181" t="str">
        <f>IFERROR(VLOOKUP(Proc[[#This Row],[App]],Table2[],3,0),"open")</f>
        <v>open</v>
      </c>
      <c r="C6056" s="182" t="s">
        <v>370</v>
      </c>
      <c r="D6056" t="s">
        <v>8425</v>
      </c>
      <c r="E6056" t="s">
        <v>8480</v>
      </c>
      <c r="F6056" s="183" t="s">
        <v>2681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0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1" t="s">
        <v>6434</v>
      </c>
      <c r="M6056" s="178">
        <v>46057</v>
      </c>
      <c r="N6056" s="178"/>
      <c r="O6056" s="178"/>
      <c r="P6056" s="178" t="str">
        <f ca="1">IF(Proc[[#This Row],[DaysAgeing]]&gt;5,"yep","on track")</f>
        <v>on track</v>
      </c>
      <c r="Q6056" s="3">
        <f ca="1">IF(Proc[[#This Row],[DateClosed]]="",ABS(NETWORKDAYS(Proc[[#This Row],[DateOpened]],TODAY()))-1,ABS(NETWORKDAYS(Proc[[#This Row],[DateOpened]],Proc[[#This Row],[DateClosed]]))-1)</f>
        <v>1</v>
      </c>
      <c r="R6056" s="178" t="s">
        <v>422</v>
      </c>
      <c r="S6056" s="181"/>
    </row>
    <row r="6057" spans="1:19">
      <c r="A6057" s="180" t="s">
        <v>8481</v>
      </c>
      <c r="B6057" s="181" t="str">
        <f>IFERROR(VLOOKUP(Proc[[#This Row],[App]],Table2[],3,0),"open")</f>
        <v>open</v>
      </c>
      <c r="C6057" s="182" t="s">
        <v>370</v>
      </c>
      <c r="D6057" t="s">
        <v>8426</v>
      </c>
      <c r="E6057" t="s">
        <v>8480</v>
      </c>
      <c r="F6057" s="183" t="s">
        <v>2681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0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1" t="s">
        <v>6434</v>
      </c>
      <c r="M6057" s="178">
        <v>46057</v>
      </c>
      <c r="N6057" s="178"/>
      <c r="O6057" s="178"/>
      <c r="P6057" s="178" t="str">
        <f ca="1">IF(Proc[[#This Row],[DaysAgeing]]&gt;5,"yep","on track")</f>
        <v>on track</v>
      </c>
      <c r="Q6057" s="3">
        <f ca="1">IF(Proc[[#This Row],[DateClosed]]="",ABS(NETWORKDAYS(Proc[[#This Row],[DateOpened]],TODAY()))-1,ABS(NETWORKDAYS(Proc[[#This Row],[DateOpened]],Proc[[#This Row],[DateClosed]]))-1)</f>
        <v>1</v>
      </c>
      <c r="R6057" s="178" t="s">
        <v>422</v>
      </c>
      <c r="S6057" s="181"/>
    </row>
    <row r="6058" spans="1:19">
      <c r="A6058" s="180" t="s">
        <v>8481</v>
      </c>
      <c r="B6058" s="181" t="str">
        <f>IFERROR(VLOOKUP(Proc[[#This Row],[App]],Table2[],3,0),"open")</f>
        <v>open</v>
      </c>
      <c r="C6058" s="182" t="s">
        <v>370</v>
      </c>
      <c r="D6058" t="s">
        <v>8427</v>
      </c>
      <c r="E6058" t="s">
        <v>8480</v>
      </c>
      <c r="F6058" s="183" t="s">
        <v>2681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0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1" t="s">
        <v>6434</v>
      </c>
      <c r="M6058" s="178">
        <v>46057</v>
      </c>
      <c r="N6058" s="178"/>
      <c r="O6058" s="178"/>
      <c r="P6058" s="178" t="str">
        <f ca="1">IF(Proc[[#This Row],[DaysAgeing]]&gt;5,"yep","on track")</f>
        <v>on track</v>
      </c>
      <c r="Q6058" s="3">
        <f ca="1">IF(Proc[[#This Row],[DateClosed]]="",ABS(NETWORKDAYS(Proc[[#This Row],[DateOpened]],TODAY()))-1,ABS(NETWORKDAYS(Proc[[#This Row],[DateOpened]],Proc[[#This Row],[DateClosed]]))-1)</f>
        <v>1</v>
      </c>
      <c r="R6058" s="178" t="s">
        <v>422</v>
      </c>
      <c r="S6058" s="181"/>
    </row>
    <row r="6059" spans="1:19">
      <c r="A6059" s="180" t="s">
        <v>8481</v>
      </c>
      <c r="B6059" s="181" t="str">
        <f>IFERROR(VLOOKUP(Proc[[#This Row],[App]],Table2[],3,0),"open")</f>
        <v>open</v>
      </c>
      <c r="C6059" s="182" t="s">
        <v>370</v>
      </c>
      <c r="D6059" t="s">
        <v>8428</v>
      </c>
      <c r="E6059" t="s">
        <v>8480</v>
      </c>
      <c r="F6059" s="183" t="s">
        <v>2681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0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1" t="s">
        <v>6434</v>
      </c>
      <c r="M6059" s="178">
        <v>46057</v>
      </c>
      <c r="N6059" s="178"/>
      <c r="O6059" s="178"/>
      <c r="P6059" s="178" t="str">
        <f ca="1">IF(Proc[[#This Row],[DaysAgeing]]&gt;5,"yep","on track")</f>
        <v>on track</v>
      </c>
      <c r="Q6059" s="3">
        <f ca="1">IF(Proc[[#This Row],[DateClosed]]="",ABS(NETWORKDAYS(Proc[[#This Row],[DateOpened]],TODAY()))-1,ABS(NETWORKDAYS(Proc[[#This Row],[DateOpened]],Proc[[#This Row],[DateClosed]]))-1)</f>
        <v>1</v>
      </c>
      <c r="R6059" s="178" t="s">
        <v>422</v>
      </c>
      <c r="S6059" s="181"/>
    </row>
    <row r="6060" spans="1:19">
      <c r="A6060" s="180" t="s">
        <v>8481</v>
      </c>
      <c r="B6060" s="181" t="str">
        <f>IFERROR(VLOOKUP(Proc[[#This Row],[App]],Table2[],3,0),"open")</f>
        <v>open</v>
      </c>
      <c r="C6060" s="182" t="s">
        <v>370</v>
      </c>
      <c r="D6060" t="s">
        <v>8429</v>
      </c>
      <c r="E6060" t="s">
        <v>8480</v>
      </c>
      <c r="F6060" s="183" t="s">
        <v>2681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0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1" t="s">
        <v>6434</v>
      </c>
      <c r="M6060" s="178">
        <v>46057</v>
      </c>
      <c r="N6060" s="178"/>
      <c r="O6060" s="178"/>
      <c r="P6060" s="178" t="str">
        <f ca="1">IF(Proc[[#This Row],[DaysAgeing]]&gt;5,"yep","on track")</f>
        <v>on track</v>
      </c>
      <c r="Q6060" s="3">
        <f ca="1">IF(Proc[[#This Row],[DateClosed]]="",ABS(NETWORKDAYS(Proc[[#This Row],[DateOpened]],TODAY()))-1,ABS(NETWORKDAYS(Proc[[#This Row],[DateOpened]],Proc[[#This Row],[DateClosed]]))-1)</f>
        <v>1</v>
      </c>
      <c r="R6060" s="178" t="s">
        <v>422</v>
      </c>
      <c r="S6060" s="181"/>
    </row>
    <row r="6061" spans="1:19">
      <c r="A6061" s="180" t="s">
        <v>8481</v>
      </c>
      <c r="B6061" s="181" t="str">
        <f>IFERROR(VLOOKUP(Proc[[#This Row],[App]],Table2[],3,0),"open")</f>
        <v>open</v>
      </c>
      <c r="C6061" s="182" t="s">
        <v>370</v>
      </c>
      <c r="D6061" t="s">
        <v>8430</v>
      </c>
      <c r="E6061" t="s">
        <v>8480</v>
      </c>
      <c r="F6061" s="183" t="s">
        <v>2681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0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1" t="s">
        <v>6434</v>
      </c>
      <c r="M6061" s="178">
        <v>46057</v>
      </c>
      <c r="N6061" s="178"/>
      <c r="O6061" s="178"/>
      <c r="P6061" s="178" t="str">
        <f ca="1">IF(Proc[[#This Row],[DaysAgeing]]&gt;5,"yep","on track")</f>
        <v>on track</v>
      </c>
      <c r="Q6061" s="3">
        <f ca="1">IF(Proc[[#This Row],[DateClosed]]="",ABS(NETWORKDAYS(Proc[[#This Row],[DateOpened]],TODAY()))-1,ABS(NETWORKDAYS(Proc[[#This Row],[DateOpened]],Proc[[#This Row],[DateClosed]]))-1)</f>
        <v>1</v>
      </c>
      <c r="R6061" s="178" t="s">
        <v>422</v>
      </c>
      <c r="S6061" s="181"/>
    </row>
    <row r="6062" spans="1:19">
      <c r="A6062" s="180" t="s">
        <v>8481</v>
      </c>
      <c r="B6062" s="181" t="str">
        <f>IFERROR(VLOOKUP(Proc[[#This Row],[App]],Table2[],3,0),"open")</f>
        <v>open</v>
      </c>
      <c r="C6062" s="182" t="s">
        <v>370</v>
      </c>
      <c r="D6062" t="s">
        <v>8431</v>
      </c>
      <c r="E6062" t="s">
        <v>8480</v>
      </c>
      <c r="F6062" s="183" t="s">
        <v>2681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0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1" t="s">
        <v>6434</v>
      </c>
      <c r="M6062" s="178">
        <v>46057</v>
      </c>
      <c r="N6062" s="178"/>
      <c r="O6062" s="178"/>
      <c r="P6062" s="178" t="str">
        <f ca="1">IF(Proc[[#This Row],[DaysAgeing]]&gt;5,"yep","on track")</f>
        <v>on track</v>
      </c>
      <c r="Q6062" s="3">
        <f ca="1">IF(Proc[[#This Row],[DateClosed]]="",ABS(NETWORKDAYS(Proc[[#This Row],[DateOpened]],TODAY()))-1,ABS(NETWORKDAYS(Proc[[#This Row],[DateOpened]],Proc[[#This Row],[DateClosed]]))-1)</f>
        <v>1</v>
      </c>
      <c r="R6062" s="178" t="s">
        <v>422</v>
      </c>
      <c r="S6062" s="181"/>
    </row>
    <row r="6063" spans="1:19">
      <c r="A6063" s="180" t="s">
        <v>8481</v>
      </c>
      <c r="B6063" s="181" t="str">
        <f>IFERROR(VLOOKUP(Proc[[#This Row],[App]],Table2[],3,0),"open")</f>
        <v>open</v>
      </c>
      <c r="C6063" s="182" t="s">
        <v>370</v>
      </c>
      <c r="D6063" t="s">
        <v>8432</v>
      </c>
      <c r="E6063" t="s">
        <v>8480</v>
      </c>
      <c r="F6063" s="183" t="s">
        <v>2681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0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1" t="s">
        <v>6434</v>
      </c>
      <c r="M6063" s="178">
        <v>46057</v>
      </c>
      <c r="N6063" s="178"/>
      <c r="O6063" s="178"/>
      <c r="P6063" s="178" t="str">
        <f ca="1">IF(Proc[[#This Row],[DaysAgeing]]&gt;5,"yep","on track")</f>
        <v>on track</v>
      </c>
      <c r="Q6063" s="3">
        <f ca="1">IF(Proc[[#This Row],[DateClosed]]="",ABS(NETWORKDAYS(Proc[[#This Row],[DateOpened]],TODAY()))-1,ABS(NETWORKDAYS(Proc[[#This Row],[DateOpened]],Proc[[#This Row],[DateClosed]]))-1)</f>
        <v>1</v>
      </c>
      <c r="R6063" s="178" t="s">
        <v>422</v>
      </c>
      <c r="S6063" s="181"/>
    </row>
    <row r="6064" spans="1:19">
      <c r="A6064" s="180" t="s">
        <v>8481</v>
      </c>
      <c r="B6064" s="181" t="str">
        <f>IFERROR(VLOOKUP(Proc[[#This Row],[App]],Table2[],3,0),"open")</f>
        <v>open</v>
      </c>
      <c r="C6064" s="182" t="s">
        <v>370</v>
      </c>
      <c r="D6064" t="s">
        <v>8433</v>
      </c>
      <c r="E6064" t="s">
        <v>8480</v>
      </c>
      <c r="F6064" s="183" t="s">
        <v>2681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0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1" t="s">
        <v>6434</v>
      </c>
      <c r="M6064" s="178">
        <v>46057</v>
      </c>
      <c r="N6064" s="178"/>
      <c r="O6064" s="178"/>
      <c r="P6064" s="178" t="str">
        <f ca="1">IF(Proc[[#This Row],[DaysAgeing]]&gt;5,"yep","on track")</f>
        <v>on track</v>
      </c>
      <c r="Q6064" s="3">
        <f ca="1">IF(Proc[[#This Row],[DateClosed]]="",ABS(NETWORKDAYS(Proc[[#This Row],[DateOpened]],TODAY()))-1,ABS(NETWORKDAYS(Proc[[#This Row],[DateOpened]],Proc[[#This Row],[DateClosed]]))-1)</f>
        <v>1</v>
      </c>
      <c r="R6064" s="178" t="s">
        <v>422</v>
      </c>
      <c r="S6064" s="181"/>
    </row>
    <row r="6065" spans="1:19">
      <c r="A6065" s="180" t="s">
        <v>8481</v>
      </c>
      <c r="B6065" s="181" t="str">
        <f>IFERROR(VLOOKUP(Proc[[#This Row],[App]],Table2[],3,0),"open")</f>
        <v>open</v>
      </c>
      <c r="C6065" s="182" t="s">
        <v>370</v>
      </c>
      <c r="D6065" t="s">
        <v>8434</v>
      </c>
      <c r="E6065" t="s">
        <v>8480</v>
      </c>
      <c r="F6065" s="183" t="s">
        <v>2681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0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1" t="s">
        <v>6434</v>
      </c>
      <c r="M6065" s="178">
        <v>46057</v>
      </c>
      <c r="N6065" s="178"/>
      <c r="O6065" s="178"/>
      <c r="P6065" s="178" t="str">
        <f ca="1">IF(Proc[[#This Row],[DaysAgeing]]&gt;5,"yep","on track")</f>
        <v>on track</v>
      </c>
      <c r="Q6065" s="3">
        <f ca="1">IF(Proc[[#This Row],[DateClosed]]="",ABS(NETWORKDAYS(Proc[[#This Row],[DateOpened]],TODAY()))-1,ABS(NETWORKDAYS(Proc[[#This Row],[DateOpened]],Proc[[#This Row],[DateClosed]]))-1)</f>
        <v>1</v>
      </c>
      <c r="R6065" s="178" t="s">
        <v>422</v>
      </c>
      <c r="S6065" s="181"/>
    </row>
    <row r="6066" spans="1:19">
      <c r="A6066" s="180" t="s">
        <v>8481</v>
      </c>
      <c r="B6066" s="181" t="str">
        <f>IFERROR(VLOOKUP(Proc[[#This Row],[App]],Table2[],3,0),"open")</f>
        <v>open</v>
      </c>
      <c r="C6066" s="182" t="s">
        <v>370</v>
      </c>
      <c r="D6066" t="s">
        <v>8435</v>
      </c>
      <c r="E6066" t="s">
        <v>8480</v>
      </c>
      <c r="F6066" s="183" t="s">
        <v>2681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0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1" t="s">
        <v>6434</v>
      </c>
      <c r="M6066" s="178">
        <v>46057</v>
      </c>
      <c r="N6066" s="178"/>
      <c r="O6066" s="178"/>
      <c r="P6066" s="178" t="str">
        <f ca="1">IF(Proc[[#This Row],[DaysAgeing]]&gt;5,"yep","on track")</f>
        <v>on track</v>
      </c>
      <c r="Q6066" s="3">
        <f ca="1">IF(Proc[[#This Row],[DateClosed]]="",ABS(NETWORKDAYS(Proc[[#This Row],[DateOpened]],TODAY()))-1,ABS(NETWORKDAYS(Proc[[#This Row],[DateOpened]],Proc[[#This Row],[DateClosed]]))-1)</f>
        <v>1</v>
      </c>
      <c r="R6066" s="178" t="s">
        <v>422</v>
      </c>
      <c r="S6066" s="181"/>
    </row>
    <row r="6067" spans="1:19">
      <c r="A6067" s="180" t="s">
        <v>8481</v>
      </c>
      <c r="B6067" s="181" t="str">
        <f>IFERROR(VLOOKUP(Proc[[#This Row],[App]],Table2[],3,0),"open")</f>
        <v>open</v>
      </c>
      <c r="C6067" s="182" t="s">
        <v>370</v>
      </c>
      <c r="D6067" t="s">
        <v>8436</v>
      </c>
      <c r="E6067" t="s">
        <v>8480</v>
      </c>
      <c r="F6067" s="183" t="s">
        <v>2681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0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1" t="s">
        <v>6434</v>
      </c>
      <c r="M6067" s="178">
        <v>46057</v>
      </c>
      <c r="N6067" s="178"/>
      <c r="O6067" s="178"/>
      <c r="P6067" s="178" t="str">
        <f ca="1">IF(Proc[[#This Row],[DaysAgeing]]&gt;5,"yep","on track")</f>
        <v>on track</v>
      </c>
      <c r="Q6067" s="3">
        <f ca="1">IF(Proc[[#This Row],[DateClosed]]="",ABS(NETWORKDAYS(Proc[[#This Row],[DateOpened]],TODAY()))-1,ABS(NETWORKDAYS(Proc[[#This Row],[DateOpened]],Proc[[#This Row],[DateClosed]]))-1)</f>
        <v>1</v>
      </c>
      <c r="R6067" s="178" t="s">
        <v>422</v>
      </c>
      <c r="S6067" s="181"/>
    </row>
    <row r="6068" spans="1:19">
      <c r="A6068" s="180" t="s">
        <v>8481</v>
      </c>
      <c r="B6068" s="181" t="str">
        <f>IFERROR(VLOOKUP(Proc[[#This Row],[App]],Table2[],3,0),"open")</f>
        <v>open</v>
      </c>
      <c r="C6068" s="182" t="s">
        <v>370</v>
      </c>
      <c r="D6068" t="s">
        <v>8437</v>
      </c>
      <c r="E6068" t="s">
        <v>8480</v>
      </c>
      <c r="F6068" s="183" t="s">
        <v>2681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0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1" t="s">
        <v>6434</v>
      </c>
      <c r="M6068" s="178">
        <v>46057</v>
      </c>
      <c r="N6068" s="178"/>
      <c r="O6068" s="178"/>
      <c r="P6068" s="178" t="str">
        <f ca="1">IF(Proc[[#This Row],[DaysAgeing]]&gt;5,"yep","on track")</f>
        <v>on track</v>
      </c>
      <c r="Q6068" s="3">
        <f ca="1">IF(Proc[[#This Row],[DateClosed]]="",ABS(NETWORKDAYS(Proc[[#This Row],[DateOpened]],TODAY()))-1,ABS(NETWORKDAYS(Proc[[#This Row],[DateOpened]],Proc[[#This Row],[DateClosed]]))-1)</f>
        <v>1</v>
      </c>
      <c r="R6068" s="178" t="s">
        <v>422</v>
      </c>
      <c r="S6068" s="181"/>
    </row>
    <row r="6069" spans="1:19">
      <c r="A6069" s="180" t="s">
        <v>8481</v>
      </c>
      <c r="B6069" s="181" t="str">
        <f>IFERROR(VLOOKUP(Proc[[#This Row],[App]],Table2[],3,0),"open")</f>
        <v>open</v>
      </c>
      <c r="C6069" s="182" t="s">
        <v>370</v>
      </c>
      <c r="D6069" t="s">
        <v>8438</v>
      </c>
      <c r="E6069" t="s">
        <v>8480</v>
      </c>
      <c r="F6069" s="183" t="s">
        <v>2681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0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1" t="s">
        <v>6434</v>
      </c>
      <c r="M6069" s="178">
        <v>46057</v>
      </c>
      <c r="N6069" s="178"/>
      <c r="O6069" s="178"/>
      <c r="P6069" s="178" t="str">
        <f ca="1">IF(Proc[[#This Row],[DaysAgeing]]&gt;5,"yep","on track")</f>
        <v>on track</v>
      </c>
      <c r="Q6069" s="3">
        <f ca="1">IF(Proc[[#This Row],[DateClosed]]="",ABS(NETWORKDAYS(Proc[[#This Row],[DateOpened]],TODAY()))-1,ABS(NETWORKDAYS(Proc[[#This Row],[DateOpened]],Proc[[#This Row],[DateClosed]]))-1)</f>
        <v>1</v>
      </c>
      <c r="R6069" s="178" t="s">
        <v>422</v>
      </c>
      <c r="S6069" s="181"/>
    </row>
    <row r="6070" spans="1:19">
      <c r="A6070" s="180" t="s">
        <v>8481</v>
      </c>
      <c r="B6070" s="181" t="str">
        <f>IFERROR(VLOOKUP(Proc[[#This Row],[App]],Table2[],3,0),"open")</f>
        <v>open</v>
      </c>
      <c r="C6070" s="182" t="s">
        <v>370</v>
      </c>
      <c r="D6070" t="s">
        <v>8439</v>
      </c>
      <c r="E6070" t="s">
        <v>8480</v>
      </c>
      <c r="F6070" s="183" t="s">
        <v>2681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0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1" t="s">
        <v>6434</v>
      </c>
      <c r="M6070" s="178">
        <v>46057</v>
      </c>
      <c r="N6070" s="178"/>
      <c r="O6070" s="178"/>
      <c r="P6070" s="178" t="str">
        <f ca="1">IF(Proc[[#This Row],[DaysAgeing]]&gt;5,"yep","on track")</f>
        <v>on track</v>
      </c>
      <c r="Q6070" s="3">
        <f ca="1">IF(Proc[[#This Row],[DateClosed]]="",ABS(NETWORKDAYS(Proc[[#This Row],[DateOpened]],TODAY()))-1,ABS(NETWORKDAYS(Proc[[#This Row],[DateOpened]],Proc[[#This Row],[DateClosed]]))-1)</f>
        <v>1</v>
      </c>
      <c r="R6070" s="178" t="s">
        <v>422</v>
      </c>
      <c r="S6070" s="181"/>
    </row>
    <row r="6071" spans="1:19">
      <c r="A6071" s="180" t="s">
        <v>8481</v>
      </c>
      <c r="B6071" s="181" t="str">
        <f>IFERROR(VLOOKUP(Proc[[#This Row],[App]],Table2[],3,0),"open")</f>
        <v>open</v>
      </c>
      <c r="C6071" s="182" t="s">
        <v>370</v>
      </c>
      <c r="D6071" t="s">
        <v>8440</v>
      </c>
      <c r="E6071" t="s">
        <v>8480</v>
      </c>
      <c r="F6071" s="183" t="s">
        <v>2681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0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1" t="s">
        <v>6434</v>
      </c>
      <c r="M6071" s="178">
        <v>46057</v>
      </c>
      <c r="N6071" s="178"/>
      <c r="O6071" s="178"/>
      <c r="P6071" s="178" t="str">
        <f ca="1">IF(Proc[[#This Row],[DaysAgeing]]&gt;5,"yep","on track")</f>
        <v>on track</v>
      </c>
      <c r="Q6071" s="3">
        <f ca="1">IF(Proc[[#This Row],[DateClosed]]="",ABS(NETWORKDAYS(Proc[[#This Row],[DateOpened]],TODAY()))-1,ABS(NETWORKDAYS(Proc[[#This Row],[DateOpened]],Proc[[#This Row],[DateClosed]]))-1)</f>
        <v>1</v>
      </c>
      <c r="R6071" s="178" t="s">
        <v>422</v>
      </c>
      <c r="S6071" s="181"/>
    </row>
    <row r="6072" spans="1:19">
      <c r="A6072" s="180" t="s">
        <v>8481</v>
      </c>
      <c r="B6072" s="181" t="str">
        <f>IFERROR(VLOOKUP(Proc[[#This Row],[App]],Table2[],3,0),"open")</f>
        <v>open</v>
      </c>
      <c r="C6072" s="182" t="s">
        <v>370</v>
      </c>
      <c r="D6072" t="s">
        <v>8441</v>
      </c>
      <c r="E6072" t="s">
        <v>8480</v>
      </c>
      <c r="F6072" s="183" t="s">
        <v>2681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0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1" t="s">
        <v>6434</v>
      </c>
      <c r="M6072" s="178">
        <v>46057</v>
      </c>
      <c r="N6072" s="178"/>
      <c r="O6072" s="178"/>
      <c r="P6072" s="178" t="str">
        <f ca="1">IF(Proc[[#This Row],[DaysAgeing]]&gt;5,"yep","on track")</f>
        <v>on track</v>
      </c>
      <c r="Q6072" s="3">
        <f ca="1">IF(Proc[[#This Row],[DateClosed]]="",ABS(NETWORKDAYS(Proc[[#This Row],[DateOpened]],TODAY()))-1,ABS(NETWORKDAYS(Proc[[#This Row],[DateOpened]],Proc[[#This Row],[DateClosed]]))-1)</f>
        <v>1</v>
      </c>
      <c r="R6072" s="178" t="s">
        <v>422</v>
      </c>
      <c r="S6072" s="181"/>
    </row>
    <row r="6073" spans="1:19">
      <c r="A6073" s="180" t="s">
        <v>8481</v>
      </c>
      <c r="B6073" s="181" t="str">
        <f>IFERROR(VLOOKUP(Proc[[#This Row],[App]],Table2[],3,0),"open")</f>
        <v>open</v>
      </c>
      <c r="C6073" s="182" t="s">
        <v>370</v>
      </c>
      <c r="D6073" t="s">
        <v>8442</v>
      </c>
      <c r="E6073" t="s">
        <v>8480</v>
      </c>
      <c r="F6073" s="183" t="s">
        <v>2681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0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1" t="s">
        <v>6434</v>
      </c>
      <c r="M6073" s="178">
        <v>46057</v>
      </c>
      <c r="N6073" s="178"/>
      <c r="O6073" s="178"/>
      <c r="P6073" s="178" t="str">
        <f ca="1">IF(Proc[[#This Row],[DaysAgeing]]&gt;5,"yep","on track")</f>
        <v>on track</v>
      </c>
      <c r="Q6073" s="3">
        <f ca="1">IF(Proc[[#This Row],[DateClosed]]="",ABS(NETWORKDAYS(Proc[[#This Row],[DateOpened]],TODAY()))-1,ABS(NETWORKDAYS(Proc[[#This Row],[DateOpened]],Proc[[#This Row],[DateClosed]]))-1)</f>
        <v>1</v>
      </c>
      <c r="R6073" s="178" t="s">
        <v>422</v>
      </c>
      <c r="S6073" s="181"/>
    </row>
    <row r="6074" spans="1:19">
      <c r="A6074" s="180" t="s">
        <v>8481</v>
      </c>
      <c r="B6074" s="181" t="str">
        <f>IFERROR(VLOOKUP(Proc[[#This Row],[App]],Table2[],3,0),"open")</f>
        <v>open</v>
      </c>
      <c r="C6074" s="182" t="s">
        <v>370</v>
      </c>
      <c r="D6074" t="s">
        <v>8443</v>
      </c>
      <c r="E6074" t="s">
        <v>8480</v>
      </c>
      <c r="F6074" s="183" t="s">
        <v>2681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0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1" t="s">
        <v>6434</v>
      </c>
      <c r="M6074" s="178">
        <v>46057</v>
      </c>
      <c r="N6074" s="178"/>
      <c r="O6074" s="178"/>
      <c r="P6074" s="178" t="str">
        <f ca="1">IF(Proc[[#This Row],[DaysAgeing]]&gt;5,"yep","on track")</f>
        <v>on track</v>
      </c>
      <c r="Q6074" s="3">
        <f ca="1">IF(Proc[[#This Row],[DateClosed]]="",ABS(NETWORKDAYS(Proc[[#This Row],[DateOpened]],TODAY()))-1,ABS(NETWORKDAYS(Proc[[#This Row],[DateOpened]],Proc[[#This Row],[DateClosed]]))-1)</f>
        <v>1</v>
      </c>
      <c r="R6074" s="178" t="s">
        <v>422</v>
      </c>
      <c r="S6074" s="181"/>
    </row>
    <row r="6075" spans="1:19">
      <c r="A6075" s="180" t="s">
        <v>8481</v>
      </c>
      <c r="B6075" s="181" t="str">
        <f>IFERROR(VLOOKUP(Proc[[#This Row],[App]],Table2[],3,0),"open")</f>
        <v>open</v>
      </c>
      <c r="C6075" s="182" t="s">
        <v>370</v>
      </c>
      <c r="D6075" t="s">
        <v>8444</v>
      </c>
      <c r="E6075" t="s">
        <v>8480</v>
      </c>
      <c r="F6075" s="183" t="s">
        <v>2681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0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1" t="s">
        <v>6434</v>
      </c>
      <c r="M6075" s="178">
        <v>46057</v>
      </c>
      <c r="N6075" s="178"/>
      <c r="O6075" s="178"/>
      <c r="P6075" s="178" t="str">
        <f ca="1">IF(Proc[[#This Row],[DaysAgeing]]&gt;5,"yep","on track")</f>
        <v>on track</v>
      </c>
      <c r="Q6075" s="3">
        <f ca="1">IF(Proc[[#This Row],[DateClosed]]="",ABS(NETWORKDAYS(Proc[[#This Row],[DateOpened]],TODAY()))-1,ABS(NETWORKDAYS(Proc[[#This Row],[DateOpened]],Proc[[#This Row],[DateClosed]]))-1)</f>
        <v>1</v>
      </c>
      <c r="R6075" s="178" t="s">
        <v>422</v>
      </c>
      <c r="S6075" s="181"/>
    </row>
    <row r="6076" spans="1:19">
      <c r="A6076" s="180" t="s">
        <v>8481</v>
      </c>
      <c r="B6076" s="181" t="str">
        <f>IFERROR(VLOOKUP(Proc[[#This Row],[App]],Table2[],3,0),"open")</f>
        <v>open</v>
      </c>
      <c r="C6076" s="182" t="s">
        <v>370</v>
      </c>
      <c r="D6076" t="s">
        <v>8445</v>
      </c>
      <c r="E6076" t="s">
        <v>8480</v>
      </c>
      <c r="F6076" s="183" t="s">
        <v>2681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0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1" t="s">
        <v>6434</v>
      </c>
      <c r="M6076" s="178">
        <v>46057</v>
      </c>
      <c r="N6076" s="178"/>
      <c r="O6076" s="178"/>
      <c r="P6076" s="178" t="str">
        <f ca="1">IF(Proc[[#This Row],[DaysAgeing]]&gt;5,"yep","on track")</f>
        <v>on track</v>
      </c>
      <c r="Q6076" s="3">
        <f ca="1">IF(Proc[[#This Row],[DateClosed]]="",ABS(NETWORKDAYS(Proc[[#This Row],[DateOpened]],TODAY()))-1,ABS(NETWORKDAYS(Proc[[#This Row],[DateOpened]],Proc[[#This Row],[DateClosed]]))-1)</f>
        <v>1</v>
      </c>
      <c r="R6076" s="178" t="s">
        <v>422</v>
      </c>
      <c r="S6076" s="181"/>
    </row>
    <row r="6077" spans="1:19">
      <c r="A6077" s="180" t="s">
        <v>8481</v>
      </c>
      <c r="B6077" s="181" t="str">
        <f>IFERROR(VLOOKUP(Proc[[#This Row],[App]],Table2[],3,0),"open")</f>
        <v>open</v>
      </c>
      <c r="C6077" s="182" t="s">
        <v>370</v>
      </c>
      <c r="D6077" t="s">
        <v>8446</v>
      </c>
      <c r="E6077" t="s">
        <v>8480</v>
      </c>
      <c r="F6077" s="183" t="s">
        <v>2681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0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1" t="s">
        <v>6434</v>
      </c>
      <c r="M6077" s="178">
        <v>46057</v>
      </c>
      <c r="N6077" s="178"/>
      <c r="O6077" s="178"/>
      <c r="P6077" s="178" t="str">
        <f ca="1">IF(Proc[[#This Row],[DaysAgeing]]&gt;5,"yep","on track")</f>
        <v>on track</v>
      </c>
      <c r="Q6077" s="3">
        <f ca="1">IF(Proc[[#This Row],[DateClosed]]="",ABS(NETWORKDAYS(Proc[[#This Row],[DateOpened]],TODAY()))-1,ABS(NETWORKDAYS(Proc[[#This Row],[DateOpened]],Proc[[#This Row],[DateClosed]]))-1)</f>
        <v>1</v>
      </c>
      <c r="R6077" s="178" t="s">
        <v>422</v>
      </c>
      <c r="S6077" s="181"/>
    </row>
    <row r="6078" spans="1:19">
      <c r="A6078" s="180" t="s">
        <v>8481</v>
      </c>
      <c r="B6078" s="181" t="str">
        <f>IFERROR(VLOOKUP(Proc[[#This Row],[App]],Table2[],3,0),"open")</f>
        <v>open</v>
      </c>
      <c r="C6078" s="182" t="s">
        <v>370</v>
      </c>
      <c r="D6078" t="s">
        <v>8447</v>
      </c>
      <c r="E6078" t="s">
        <v>8480</v>
      </c>
      <c r="F6078" s="183" t="s">
        <v>2681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0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1" t="s">
        <v>6434</v>
      </c>
      <c r="M6078" s="178">
        <v>46057</v>
      </c>
      <c r="N6078" s="178"/>
      <c r="O6078" s="178"/>
      <c r="P6078" s="178" t="str">
        <f ca="1">IF(Proc[[#This Row],[DaysAgeing]]&gt;5,"yep","on track")</f>
        <v>on track</v>
      </c>
      <c r="Q6078" s="3">
        <f ca="1">IF(Proc[[#This Row],[DateClosed]]="",ABS(NETWORKDAYS(Proc[[#This Row],[DateOpened]],TODAY()))-1,ABS(NETWORKDAYS(Proc[[#This Row],[DateOpened]],Proc[[#This Row],[DateClosed]]))-1)</f>
        <v>1</v>
      </c>
      <c r="R6078" s="178" t="s">
        <v>422</v>
      </c>
      <c r="S6078" s="181"/>
    </row>
    <row r="6079" spans="1:19">
      <c r="A6079" s="180" t="s">
        <v>8481</v>
      </c>
      <c r="B6079" s="181" t="str">
        <f>IFERROR(VLOOKUP(Proc[[#This Row],[App]],Table2[],3,0),"open")</f>
        <v>open</v>
      </c>
      <c r="C6079" s="182" t="s">
        <v>370</v>
      </c>
      <c r="D6079" t="s">
        <v>8448</v>
      </c>
      <c r="E6079" t="s">
        <v>8480</v>
      </c>
      <c r="F6079" s="183" t="s">
        <v>2681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0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1" t="s">
        <v>6434</v>
      </c>
      <c r="M6079" s="178">
        <v>46057</v>
      </c>
      <c r="N6079" s="178"/>
      <c r="O6079" s="178"/>
      <c r="P6079" s="178" t="str">
        <f ca="1">IF(Proc[[#This Row],[DaysAgeing]]&gt;5,"yep","on track")</f>
        <v>on track</v>
      </c>
      <c r="Q6079" s="3">
        <f ca="1">IF(Proc[[#This Row],[DateClosed]]="",ABS(NETWORKDAYS(Proc[[#This Row],[DateOpened]],TODAY()))-1,ABS(NETWORKDAYS(Proc[[#This Row],[DateOpened]],Proc[[#This Row],[DateClosed]]))-1)</f>
        <v>1</v>
      </c>
      <c r="R6079" s="178" t="s">
        <v>422</v>
      </c>
      <c r="S6079" s="181"/>
    </row>
    <row r="6080" spans="1:19">
      <c r="A6080" s="180" t="s">
        <v>8481</v>
      </c>
      <c r="B6080" s="181" t="str">
        <f>IFERROR(VLOOKUP(Proc[[#This Row],[App]],Table2[],3,0),"open")</f>
        <v>open</v>
      </c>
      <c r="C6080" s="182" t="s">
        <v>370</v>
      </c>
      <c r="D6080" t="s">
        <v>8449</v>
      </c>
      <c r="E6080" t="s">
        <v>8480</v>
      </c>
      <c r="F6080" s="183" t="s">
        <v>2681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0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1" t="s">
        <v>6434</v>
      </c>
      <c r="M6080" s="178">
        <v>46057</v>
      </c>
      <c r="N6080" s="178"/>
      <c r="O6080" s="178"/>
      <c r="P6080" s="178" t="str">
        <f ca="1">IF(Proc[[#This Row],[DaysAgeing]]&gt;5,"yep","on track")</f>
        <v>on track</v>
      </c>
      <c r="Q6080" s="3">
        <f ca="1">IF(Proc[[#This Row],[DateClosed]]="",ABS(NETWORKDAYS(Proc[[#This Row],[DateOpened]],TODAY()))-1,ABS(NETWORKDAYS(Proc[[#This Row],[DateOpened]],Proc[[#This Row],[DateClosed]]))-1)</f>
        <v>1</v>
      </c>
      <c r="R6080" s="178" t="s">
        <v>422</v>
      </c>
      <c r="S6080" s="181"/>
    </row>
    <row r="6081" spans="1:19">
      <c r="A6081" s="180" t="s">
        <v>8481</v>
      </c>
      <c r="B6081" s="181" t="str">
        <f>IFERROR(VLOOKUP(Proc[[#This Row],[App]],Table2[],3,0),"open")</f>
        <v>open</v>
      </c>
      <c r="C6081" s="182" t="s">
        <v>370</v>
      </c>
      <c r="D6081" t="s">
        <v>8450</v>
      </c>
      <c r="E6081" t="s">
        <v>8480</v>
      </c>
      <c r="F6081" s="183" t="s">
        <v>2681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0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1" t="s">
        <v>6434</v>
      </c>
      <c r="M6081" s="178">
        <v>46057</v>
      </c>
      <c r="N6081" s="178"/>
      <c r="O6081" s="178"/>
      <c r="P6081" s="178" t="str">
        <f ca="1">IF(Proc[[#This Row],[DaysAgeing]]&gt;5,"yep","on track")</f>
        <v>on track</v>
      </c>
      <c r="Q6081" s="3">
        <f ca="1">IF(Proc[[#This Row],[DateClosed]]="",ABS(NETWORKDAYS(Proc[[#This Row],[DateOpened]],TODAY()))-1,ABS(NETWORKDAYS(Proc[[#This Row],[DateOpened]],Proc[[#This Row],[DateClosed]]))-1)</f>
        <v>1</v>
      </c>
      <c r="R6081" s="178" t="s">
        <v>422</v>
      </c>
      <c r="S6081" s="181"/>
    </row>
    <row r="6082" spans="1:19">
      <c r="A6082" s="180" t="s">
        <v>8481</v>
      </c>
      <c r="B6082" s="181" t="str">
        <f>IFERROR(VLOOKUP(Proc[[#This Row],[App]],Table2[],3,0),"open")</f>
        <v>open</v>
      </c>
      <c r="C6082" s="182" t="s">
        <v>370</v>
      </c>
      <c r="D6082" t="s">
        <v>8451</v>
      </c>
      <c r="E6082" t="s">
        <v>8480</v>
      </c>
      <c r="F6082" s="183" t="s">
        <v>2681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0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1" t="s">
        <v>6434</v>
      </c>
      <c r="M6082" s="178">
        <v>46057</v>
      </c>
      <c r="N6082" s="178"/>
      <c r="O6082" s="178"/>
      <c r="P6082" s="178" t="str">
        <f ca="1">IF(Proc[[#This Row],[DaysAgeing]]&gt;5,"yep","on track")</f>
        <v>on track</v>
      </c>
      <c r="Q6082" s="3">
        <f ca="1">IF(Proc[[#This Row],[DateClosed]]="",ABS(NETWORKDAYS(Proc[[#This Row],[DateOpened]],TODAY()))-1,ABS(NETWORKDAYS(Proc[[#This Row],[DateOpened]],Proc[[#This Row],[DateClosed]]))-1)</f>
        <v>1</v>
      </c>
      <c r="R6082" s="178" t="s">
        <v>422</v>
      </c>
      <c r="S6082" s="181"/>
    </row>
    <row r="6083" spans="1:19">
      <c r="A6083" s="180" t="s">
        <v>8481</v>
      </c>
      <c r="B6083" s="181" t="str">
        <f>IFERROR(VLOOKUP(Proc[[#This Row],[App]],Table2[],3,0),"open")</f>
        <v>open</v>
      </c>
      <c r="C6083" s="182" t="s">
        <v>370</v>
      </c>
      <c r="D6083" t="s">
        <v>8452</v>
      </c>
      <c r="E6083" t="s">
        <v>8480</v>
      </c>
      <c r="F6083" s="183" t="s">
        <v>2681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0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1" t="s">
        <v>6434</v>
      </c>
      <c r="M6083" s="178">
        <v>46057</v>
      </c>
      <c r="N6083" s="178"/>
      <c r="O6083" s="178"/>
      <c r="P6083" s="178" t="str">
        <f ca="1">IF(Proc[[#This Row],[DaysAgeing]]&gt;5,"yep","on track")</f>
        <v>on track</v>
      </c>
      <c r="Q6083" s="3">
        <f ca="1">IF(Proc[[#This Row],[DateClosed]]="",ABS(NETWORKDAYS(Proc[[#This Row],[DateOpened]],TODAY()))-1,ABS(NETWORKDAYS(Proc[[#This Row],[DateOpened]],Proc[[#This Row],[DateClosed]]))-1)</f>
        <v>1</v>
      </c>
      <c r="R6083" s="178" t="s">
        <v>422</v>
      </c>
      <c r="S6083" s="181"/>
    </row>
    <row r="6084" spans="1:19">
      <c r="A6084" s="180" t="s">
        <v>8481</v>
      </c>
      <c r="B6084" s="181" t="str">
        <f>IFERROR(VLOOKUP(Proc[[#This Row],[App]],Table2[],3,0),"open")</f>
        <v>open</v>
      </c>
      <c r="C6084" s="182" t="s">
        <v>370</v>
      </c>
      <c r="D6084" t="s">
        <v>8453</v>
      </c>
      <c r="E6084" t="s">
        <v>8480</v>
      </c>
      <c r="F6084" s="183" t="s">
        <v>2681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0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1" t="s">
        <v>6434</v>
      </c>
      <c r="M6084" s="178">
        <v>46057</v>
      </c>
      <c r="N6084" s="178"/>
      <c r="O6084" s="178"/>
      <c r="P6084" s="178" t="str">
        <f ca="1">IF(Proc[[#This Row],[DaysAgeing]]&gt;5,"yep","on track")</f>
        <v>on track</v>
      </c>
      <c r="Q6084" s="3">
        <f ca="1">IF(Proc[[#This Row],[DateClosed]]="",ABS(NETWORKDAYS(Proc[[#This Row],[DateOpened]],TODAY()))-1,ABS(NETWORKDAYS(Proc[[#This Row],[DateOpened]],Proc[[#This Row],[DateClosed]]))-1)</f>
        <v>1</v>
      </c>
      <c r="R6084" s="178" t="s">
        <v>422</v>
      </c>
      <c r="S6084" s="181"/>
    </row>
    <row r="6085" spans="1:19">
      <c r="A6085" s="180" t="s">
        <v>8481</v>
      </c>
      <c r="B6085" s="181" t="str">
        <f>IFERROR(VLOOKUP(Proc[[#This Row],[App]],Table2[],3,0),"open")</f>
        <v>open</v>
      </c>
      <c r="C6085" s="182" t="s">
        <v>370</v>
      </c>
      <c r="D6085" t="s">
        <v>8454</v>
      </c>
      <c r="E6085" t="s">
        <v>8480</v>
      </c>
      <c r="F6085" s="183" t="s">
        <v>2681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0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1" t="s">
        <v>6434</v>
      </c>
      <c r="M6085" s="178">
        <v>46057</v>
      </c>
      <c r="N6085" s="178"/>
      <c r="O6085" s="178"/>
      <c r="P6085" s="178" t="str">
        <f ca="1">IF(Proc[[#This Row],[DaysAgeing]]&gt;5,"yep","on track")</f>
        <v>on track</v>
      </c>
      <c r="Q6085" s="3">
        <f ca="1">IF(Proc[[#This Row],[DateClosed]]="",ABS(NETWORKDAYS(Proc[[#This Row],[DateOpened]],TODAY()))-1,ABS(NETWORKDAYS(Proc[[#This Row],[DateOpened]],Proc[[#This Row],[DateClosed]]))-1)</f>
        <v>1</v>
      </c>
      <c r="R6085" s="178" t="s">
        <v>422</v>
      </c>
      <c r="S6085" s="181"/>
    </row>
    <row r="6086" spans="1:19">
      <c r="A6086" s="180" t="s">
        <v>8481</v>
      </c>
      <c r="B6086" s="181" t="str">
        <f>IFERROR(VLOOKUP(Proc[[#This Row],[App]],Table2[],3,0),"open")</f>
        <v>open</v>
      </c>
      <c r="C6086" s="182" t="s">
        <v>370</v>
      </c>
      <c r="D6086" t="s">
        <v>8455</v>
      </c>
      <c r="E6086" t="s">
        <v>8480</v>
      </c>
      <c r="F6086" s="183" t="s">
        <v>2681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0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1" t="s">
        <v>6434</v>
      </c>
      <c r="M6086" s="178">
        <v>46057</v>
      </c>
      <c r="N6086" s="178"/>
      <c r="O6086" s="178"/>
      <c r="P6086" s="178" t="str">
        <f ca="1">IF(Proc[[#This Row],[DaysAgeing]]&gt;5,"yep","on track")</f>
        <v>on track</v>
      </c>
      <c r="Q6086" s="3">
        <f ca="1">IF(Proc[[#This Row],[DateClosed]]="",ABS(NETWORKDAYS(Proc[[#This Row],[DateOpened]],TODAY()))-1,ABS(NETWORKDAYS(Proc[[#This Row],[DateOpened]],Proc[[#This Row],[DateClosed]]))-1)</f>
        <v>1</v>
      </c>
      <c r="R6086" s="178" t="s">
        <v>422</v>
      </c>
      <c r="S6086" s="181"/>
    </row>
    <row r="6087" spans="1:19">
      <c r="A6087" s="180" t="s">
        <v>8481</v>
      </c>
      <c r="B6087" s="181" t="str">
        <f>IFERROR(VLOOKUP(Proc[[#This Row],[App]],Table2[],3,0),"open")</f>
        <v>open</v>
      </c>
      <c r="C6087" s="182" t="s">
        <v>370</v>
      </c>
      <c r="D6087" t="s">
        <v>8456</v>
      </c>
      <c r="E6087" t="s">
        <v>8480</v>
      </c>
      <c r="F6087" s="183" t="s">
        <v>2681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0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1" t="s">
        <v>6434</v>
      </c>
      <c r="M6087" s="178">
        <v>46057</v>
      </c>
      <c r="N6087" s="178"/>
      <c r="O6087" s="178"/>
      <c r="P6087" s="178" t="str">
        <f ca="1">IF(Proc[[#This Row],[DaysAgeing]]&gt;5,"yep","on track")</f>
        <v>on track</v>
      </c>
      <c r="Q6087" s="3">
        <f ca="1">IF(Proc[[#This Row],[DateClosed]]="",ABS(NETWORKDAYS(Proc[[#This Row],[DateOpened]],TODAY()))-1,ABS(NETWORKDAYS(Proc[[#This Row],[DateOpened]],Proc[[#This Row],[DateClosed]]))-1)</f>
        <v>1</v>
      </c>
      <c r="R6087" s="178" t="s">
        <v>422</v>
      </c>
      <c r="S6087" s="181"/>
    </row>
    <row r="6088" spans="1:19">
      <c r="A6088" s="180" t="s">
        <v>8481</v>
      </c>
      <c r="B6088" s="181" t="str">
        <f>IFERROR(VLOOKUP(Proc[[#This Row],[App]],Table2[],3,0),"open")</f>
        <v>open</v>
      </c>
      <c r="C6088" s="182" t="s">
        <v>370</v>
      </c>
      <c r="D6088" t="s">
        <v>8457</v>
      </c>
      <c r="E6088" t="s">
        <v>8480</v>
      </c>
      <c r="F6088" s="183" t="s">
        <v>2681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0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1" t="s">
        <v>6434</v>
      </c>
      <c r="M6088" s="178">
        <v>46057</v>
      </c>
      <c r="N6088" s="178"/>
      <c r="O6088" s="178"/>
      <c r="P6088" s="178" t="str">
        <f ca="1">IF(Proc[[#This Row],[DaysAgeing]]&gt;5,"yep","on track")</f>
        <v>on track</v>
      </c>
      <c r="Q6088" s="3">
        <f ca="1">IF(Proc[[#This Row],[DateClosed]]="",ABS(NETWORKDAYS(Proc[[#This Row],[DateOpened]],TODAY()))-1,ABS(NETWORKDAYS(Proc[[#This Row],[DateOpened]],Proc[[#This Row],[DateClosed]]))-1)</f>
        <v>1</v>
      </c>
      <c r="R6088" s="178" t="s">
        <v>422</v>
      </c>
      <c r="S6088" s="181"/>
    </row>
    <row r="6089" spans="1:19">
      <c r="A6089" s="180" t="s">
        <v>8481</v>
      </c>
      <c r="B6089" s="181" t="str">
        <f>IFERROR(VLOOKUP(Proc[[#This Row],[App]],Table2[],3,0),"open")</f>
        <v>open</v>
      </c>
      <c r="C6089" s="182" t="s">
        <v>370</v>
      </c>
      <c r="D6089" t="s">
        <v>8458</v>
      </c>
      <c r="E6089" t="s">
        <v>8480</v>
      </c>
      <c r="F6089" s="183" t="s">
        <v>2681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0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1" t="s">
        <v>6434</v>
      </c>
      <c r="M6089" s="178">
        <v>46057</v>
      </c>
      <c r="N6089" s="178"/>
      <c r="O6089" s="178"/>
      <c r="P6089" s="178" t="str">
        <f ca="1">IF(Proc[[#This Row],[DaysAgeing]]&gt;5,"yep","on track")</f>
        <v>on track</v>
      </c>
      <c r="Q6089" s="3">
        <f ca="1">IF(Proc[[#This Row],[DateClosed]]="",ABS(NETWORKDAYS(Proc[[#This Row],[DateOpened]],TODAY()))-1,ABS(NETWORKDAYS(Proc[[#This Row],[DateOpened]],Proc[[#This Row],[DateClosed]]))-1)</f>
        <v>1</v>
      </c>
      <c r="R6089" s="178" t="s">
        <v>422</v>
      </c>
      <c r="S6089" s="181"/>
    </row>
    <row r="6090" spans="1:19">
      <c r="A6090" s="180" t="s">
        <v>8481</v>
      </c>
      <c r="B6090" s="181" t="str">
        <f>IFERROR(VLOOKUP(Proc[[#This Row],[App]],Table2[],3,0),"open")</f>
        <v>open</v>
      </c>
      <c r="C6090" s="182" t="s">
        <v>370</v>
      </c>
      <c r="D6090" t="s">
        <v>8459</v>
      </c>
      <c r="E6090" t="s">
        <v>8480</v>
      </c>
      <c r="F6090" s="183" t="s">
        <v>2681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0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1" t="s">
        <v>6434</v>
      </c>
      <c r="M6090" s="178">
        <v>46057</v>
      </c>
      <c r="N6090" s="178"/>
      <c r="O6090" s="178"/>
      <c r="P6090" s="178" t="str">
        <f ca="1">IF(Proc[[#This Row],[DaysAgeing]]&gt;5,"yep","on track")</f>
        <v>on track</v>
      </c>
      <c r="Q6090" s="3">
        <f ca="1">IF(Proc[[#This Row],[DateClosed]]="",ABS(NETWORKDAYS(Proc[[#This Row],[DateOpened]],TODAY()))-1,ABS(NETWORKDAYS(Proc[[#This Row],[DateOpened]],Proc[[#This Row],[DateClosed]]))-1)</f>
        <v>1</v>
      </c>
      <c r="R6090" s="178" t="s">
        <v>422</v>
      </c>
      <c r="S6090" s="181"/>
    </row>
    <row r="6091" spans="1:19">
      <c r="A6091" s="180" t="s">
        <v>8481</v>
      </c>
      <c r="B6091" s="181" t="str">
        <f>IFERROR(VLOOKUP(Proc[[#This Row],[App]],Table2[],3,0),"open")</f>
        <v>open</v>
      </c>
      <c r="C6091" s="182" t="s">
        <v>370</v>
      </c>
      <c r="D6091" t="s">
        <v>8460</v>
      </c>
      <c r="E6091" t="s">
        <v>8480</v>
      </c>
      <c r="F6091" s="183" t="s">
        <v>2681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0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1" t="s">
        <v>6434</v>
      </c>
      <c r="M6091" s="178">
        <v>46057</v>
      </c>
      <c r="N6091" s="178"/>
      <c r="O6091" s="178"/>
      <c r="P6091" s="178" t="str">
        <f ca="1">IF(Proc[[#This Row],[DaysAgeing]]&gt;5,"yep","on track")</f>
        <v>on track</v>
      </c>
      <c r="Q6091" s="3">
        <f ca="1">IF(Proc[[#This Row],[DateClosed]]="",ABS(NETWORKDAYS(Proc[[#This Row],[DateOpened]],TODAY()))-1,ABS(NETWORKDAYS(Proc[[#This Row],[DateOpened]],Proc[[#This Row],[DateClosed]]))-1)</f>
        <v>1</v>
      </c>
      <c r="R6091" s="178" t="s">
        <v>422</v>
      </c>
      <c r="S6091" s="181"/>
    </row>
    <row r="6092" spans="1:19">
      <c r="A6092" s="180" t="s">
        <v>8481</v>
      </c>
      <c r="B6092" s="181" t="str">
        <f>IFERROR(VLOOKUP(Proc[[#This Row],[App]],Table2[],3,0),"open")</f>
        <v>open</v>
      </c>
      <c r="C6092" s="182" t="s">
        <v>370</v>
      </c>
      <c r="D6092" t="s">
        <v>8461</v>
      </c>
      <c r="E6092" t="s">
        <v>8480</v>
      </c>
      <c r="F6092" s="183" t="s">
        <v>2681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0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1" t="s">
        <v>6434</v>
      </c>
      <c r="M6092" s="178">
        <v>46057</v>
      </c>
      <c r="N6092" s="178"/>
      <c r="O6092" s="178"/>
      <c r="P6092" s="178" t="str">
        <f ca="1">IF(Proc[[#This Row],[DaysAgeing]]&gt;5,"yep","on track")</f>
        <v>on track</v>
      </c>
      <c r="Q6092" s="3">
        <f ca="1">IF(Proc[[#This Row],[DateClosed]]="",ABS(NETWORKDAYS(Proc[[#This Row],[DateOpened]],TODAY()))-1,ABS(NETWORKDAYS(Proc[[#This Row],[DateOpened]],Proc[[#This Row],[DateClosed]]))-1)</f>
        <v>1</v>
      </c>
      <c r="R6092" s="178" t="s">
        <v>422</v>
      </c>
      <c r="S6092" s="181"/>
    </row>
    <row r="6093" spans="1:19">
      <c r="A6093" s="180" t="s">
        <v>8481</v>
      </c>
      <c r="B6093" s="181" t="str">
        <f>IFERROR(VLOOKUP(Proc[[#This Row],[App]],Table2[],3,0),"open")</f>
        <v>open</v>
      </c>
      <c r="C6093" s="182" t="s">
        <v>370</v>
      </c>
      <c r="D6093" t="s">
        <v>8462</v>
      </c>
      <c r="E6093" t="s">
        <v>8480</v>
      </c>
      <c r="F6093" s="183" t="s">
        <v>2681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0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1" t="s">
        <v>6434</v>
      </c>
      <c r="M6093" s="178">
        <v>46057</v>
      </c>
      <c r="N6093" s="178"/>
      <c r="O6093" s="178"/>
      <c r="P6093" s="178" t="str">
        <f ca="1">IF(Proc[[#This Row],[DaysAgeing]]&gt;5,"yep","on track")</f>
        <v>on track</v>
      </c>
      <c r="Q6093" s="3">
        <f ca="1">IF(Proc[[#This Row],[DateClosed]]="",ABS(NETWORKDAYS(Proc[[#This Row],[DateOpened]],TODAY()))-1,ABS(NETWORKDAYS(Proc[[#This Row],[DateOpened]],Proc[[#This Row],[DateClosed]]))-1)</f>
        <v>1</v>
      </c>
      <c r="R6093" s="178" t="s">
        <v>422</v>
      </c>
      <c r="S6093" s="181"/>
    </row>
    <row r="6094" spans="1:19">
      <c r="A6094" s="180" t="s">
        <v>8481</v>
      </c>
      <c r="B6094" s="181" t="str">
        <f>IFERROR(VLOOKUP(Proc[[#This Row],[App]],Table2[],3,0),"open")</f>
        <v>open</v>
      </c>
      <c r="C6094" s="182" t="s">
        <v>370</v>
      </c>
      <c r="D6094" t="s">
        <v>8463</v>
      </c>
      <c r="E6094" t="s">
        <v>8480</v>
      </c>
      <c r="F6094" s="183" t="s">
        <v>2681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0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1" t="s">
        <v>6434</v>
      </c>
      <c r="M6094" s="178">
        <v>46057</v>
      </c>
      <c r="N6094" s="178"/>
      <c r="O6094" s="178"/>
      <c r="P6094" s="178" t="str">
        <f ca="1">IF(Proc[[#This Row],[DaysAgeing]]&gt;5,"yep","on track")</f>
        <v>on track</v>
      </c>
      <c r="Q6094" s="3">
        <f ca="1">IF(Proc[[#This Row],[DateClosed]]="",ABS(NETWORKDAYS(Proc[[#This Row],[DateOpened]],TODAY()))-1,ABS(NETWORKDAYS(Proc[[#This Row],[DateOpened]],Proc[[#This Row],[DateClosed]]))-1)</f>
        <v>1</v>
      </c>
      <c r="R6094" s="178" t="s">
        <v>422</v>
      </c>
      <c r="S6094" s="181"/>
    </row>
    <row r="6095" spans="1:19">
      <c r="A6095" s="180" t="s">
        <v>8481</v>
      </c>
      <c r="B6095" s="181" t="str">
        <f>IFERROR(VLOOKUP(Proc[[#This Row],[App]],Table2[],3,0),"open")</f>
        <v>open</v>
      </c>
      <c r="C6095" s="182" t="s">
        <v>370</v>
      </c>
      <c r="D6095" t="s">
        <v>8464</v>
      </c>
      <c r="E6095" t="s">
        <v>8480</v>
      </c>
      <c r="F6095" s="183" t="s">
        <v>2681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0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1" t="s">
        <v>6434</v>
      </c>
      <c r="M6095" s="178">
        <v>46057</v>
      </c>
      <c r="N6095" s="178"/>
      <c r="O6095" s="178"/>
      <c r="P6095" s="178" t="str">
        <f ca="1">IF(Proc[[#This Row],[DaysAgeing]]&gt;5,"yep","on track")</f>
        <v>on track</v>
      </c>
      <c r="Q6095" s="3">
        <f ca="1">IF(Proc[[#This Row],[DateClosed]]="",ABS(NETWORKDAYS(Proc[[#This Row],[DateOpened]],TODAY()))-1,ABS(NETWORKDAYS(Proc[[#This Row],[DateOpened]],Proc[[#This Row],[DateClosed]]))-1)</f>
        <v>1</v>
      </c>
      <c r="R6095" s="178" t="s">
        <v>422</v>
      </c>
      <c r="S6095" s="181"/>
    </row>
    <row r="6096" spans="1:19">
      <c r="A6096" s="180" t="s">
        <v>8481</v>
      </c>
      <c r="B6096" s="181" t="str">
        <f>IFERROR(VLOOKUP(Proc[[#This Row],[App]],Table2[],3,0),"open")</f>
        <v>open</v>
      </c>
      <c r="C6096" s="182" t="s">
        <v>370</v>
      </c>
      <c r="D6096" t="s">
        <v>8465</v>
      </c>
      <c r="E6096" t="s">
        <v>8480</v>
      </c>
      <c r="F6096" s="183" t="s">
        <v>2681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0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1" t="s">
        <v>6434</v>
      </c>
      <c r="M6096" s="178">
        <v>46057</v>
      </c>
      <c r="N6096" s="178"/>
      <c r="O6096" s="178"/>
      <c r="P6096" s="178" t="str">
        <f ca="1">IF(Proc[[#This Row],[DaysAgeing]]&gt;5,"yep","on track")</f>
        <v>on track</v>
      </c>
      <c r="Q6096" s="3">
        <f ca="1">IF(Proc[[#This Row],[DateClosed]]="",ABS(NETWORKDAYS(Proc[[#This Row],[DateOpened]],TODAY()))-1,ABS(NETWORKDAYS(Proc[[#This Row],[DateOpened]],Proc[[#This Row],[DateClosed]]))-1)</f>
        <v>1</v>
      </c>
      <c r="R6096" s="178" t="s">
        <v>422</v>
      </c>
      <c r="S6096" s="181"/>
    </row>
    <row r="6097" spans="1:19">
      <c r="A6097" s="180" t="s">
        <v>8481</v>
      </c>
      <c r="B6097" s="181" t="str">
        <f>IFERROR(VLOOKUP(Proc[[#This Row],[App]],Table2[],3,0),"open")</f>
        <v>open</v>
      </c>
      <c r="C6097" s="182" t="s">
        <v>370</v>
      </c>
      <c r="D6097" t="s">
        <v>8466</v>
      </c>
      <c r="E6097" t="s">
        <v>8480</v>
      </c>
      <c r="F6097" s="183" t="s">
        <v>2681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0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1" t="s">
        <v>6434</v>
      </c>
      <c r="M6097" s="178">
        <v>46057</v>
      </c>
      <c r="N6097" s="178"/>
      <c r="O6097" s="178"/>
      <c r="P6097" s="178" t="str">
        <f ca="1">IF(Proc[[#This Row],[DaysAgeing]]&gt;5,"yep","on track")</f>
        <v>on track</v>
      </c>
      <c r="Q6097" s="3">
        <f ca="1">IF(Proc[[#This Row],[DateClosed]]="",ABS(NETWORKDAYS(Proc[[#This Row],[DateOpened]],TODAY()))-1,ABS(NETWORKDAYS(Proc[[#This Row],[DateOpened]],Proc[[#This Row],[DateClosed]]))-1)</f>
        <v>1</v>
      </c>
      <c r="R6097" s="178" t="s">
        <v>422</v>
      </c>
      <c r="S6097" s="181"/>
    </row>
    <row r="6098" spans="1:19">
      <c r="A6098" s="180" t="s">
        <v>8481</v>
      </c>
      <c r="B6098" s="181" t="str">
        <f>IFERROR(VLOOKUP(Proc[[#This Row],[App]],Table2[],3,0),"open")</f>
        <v>open</v>
      </c>
      <c r="C6098" s="182" t="s">
        <v>370</v>
      </c>
      <c r="D6098" t="s">
        <v>8467</v>
      </c>
      <c r="E6098" t="s">
        <v>8480</v>
      </c>
      <c r="F6098" s="183" t="s">
        <v>2681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0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1" t="s">
        <v>6434</v>
      </c>
      <c r="M6098" s="178">
        <v>46057</v>
      </c>
      <c r="N6098" s="178"/>
      <c r="O6098" s="178"/>
      <c r="P6098" s="178" t="str">
        <f ca="1">IF(Proc[[#This Row],[DaysAgeing]]&gt;5,"yep","on track")</f>
        <v>on track</v>
      </c>
      <c r="Q6098" s="3">
        <f ca="1">IF(Proc[[#This Row],[DateClosed]]="",ABS(NETWORKDAYS(Proc[[#This Row],[DateOpened]],TODAY()))-1,ABS(NETWORKDAYS(Proc[[#This Row],[DateOpened]],Proc[[#This Row],[DateClosed]]))-1)</f>
        <v>1</v>
      </c>
      <c r="R6098" s="178" t="s">
        <v>422</v>
      </c>
      <c r="S6098" s="181"/>
    </row>
    <row r="6099" spans="1:19">
      <c r="A6099" s="180" t="s">
        <v>8481</v>
      </c>
      <c r="B6099" s="181" t="str">
        <f>IFERROR(VLOOKUP(Proc[[#This Row],[App]],Table2[],3,0),"open")</f>
        <v>open</v>
      </c>
      <c r="C6099" s="182" t="s">
        <v>370</v>
      </c>
      <c r="D6099" t="s">
        <v>8468</v>
      </c>
      <c r="E6099" t="s">
        <v>8480</v>
      </c>
      <c r="F6099" s="183" t="s">
        <v>2681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0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1" t="s">
        <v>6434</v>
      </c>
      <c r="M6099" s="178">
        <v>46057</v>
      </c>
      <c r="N6099" s="178"/>
      <c r="O6099" s="178"/>
      <c r="P6099" s="178" t="str">
        <f ca="1">IF(Proc[[#This Row],[DaysAgeing]]&gt;5,"yep","on track")</f>
        <v>on track</v>
      </c>
      <c r="Q6099" s="3">
        <f ca="1">IF(Proc[[#This Row],[DateClosed]]="",ABS(NETWORKDAYS(Proc[[#This Row],[DateOpened]],TODAY()))-1,ABS(NETWORKDAYS(Proc[[#This Row],[DateOpened]],Proc[[#This Row],[DateClosed]]))-1)</f>
        <v>1</v>
      </c>
      <c r="R6099" s="178" t="s">
        <v>422</v>
      </c>
      <c r="S6099" s="181"/>
    </row>
    <row r="6100" spans="1:19">
      <c r="A6100" s="180" t="s">
        <v>8481</v>
      </c>
      <c r="B6100" s="181" t="str">
        <f>IFERROR(VLOOKUP(Proc[[#This Row],[App]],Table2[],3,0),"open")</f>
        <v>open</v>
      </c>
      <c r="C6100" s="182" t="s">
        <v>370</v>
      </c>
      <c r="D6100" t="s">
        <v>8469</v>
      </c>
      <c r="E6100" t="s">
        <v>8480</v>
      </c>
      <c r="F6100" s="183" t="s">
        <v>2681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0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1" t="s">
        <v>6434</v>
      </c>
      <c r="M6100" s="178">
        <v>46057</v>
      </c>
      <c r="N6100" s="178"/>
      <c r="O6100" s="178"/>
      <c r="P6100" s="178" t="str">
        <f ca="1">IF(Proc[[#This Row],[DaysAgeing]]&gt;5,"yep","on track")</f>
        <v>on track</v>
      </c>
      <c r="Q6100" s="3">
        <f ca="1">IF(Proc[[#This Row],[DateClosed]]="",ABS(NETWORKDAYS(Proc[[#This Row],[DateOpened]],TODAY()))-1,ABS(NETWORKDAYS(Proc[[#This Row],[DateOpened]],Proc[[#This Row],[DateClosed]]))-1)</f>
        <v>1</v>
      </c>
      <c r="R6100" s="178" t="s">
        <v>422</v>
      </c>
      <c r="S6100" s="181"/>
    </row>
    <row r="6101" spans="1:19">
      <c r="A6101" s="180" t="s">
        <v>8481</v>
      </c>
      <c r="B6101" s="181" t="str">
        <f>IFERROR(VLOOKUP(Proc[[#This Row],[App]],Table2[],3,0),"open")</f>
        <v>open</v>
      </c>
      <c r="C6101" s="182" t="s">
        <v>370</v>
      </c>
      <c r="D6101" t="s">
        <v>8470</v>
      </c>
      <c r="E6101" t="s">
        <v>8480</v>
      </c>
      <c r="F6101" s="183" t="s">
        <v>2681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0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1" t="s">
        <v>6434</v>
      </c>
      <c r="M6101" s="178">
        <v>46057</v>
      </c>
      <c r="N6101" s="178"/>
      <c r="O6101" s="178"/>
      <c r="P6101" s="178" t="str">
        <f ca="1">IF(Proc[[#This Row],[DaysAgeing]]&gt;5,"yep","on track")</f>
        <v>on track</v>
      </c>
      <c r="Q6101" s="3">
        <f ca="1">IF(Proc[[#This Row],[DateClosed]]="",ABS(NETWORKDAYS(Proc[[#This Row],[DateOpened]],TODAY()))-1,ABS(NETWORKDAYS(Proc[[#This Row],[DateOpened]],Proc[[#This Row],[DateClosed]]))-1)</f>
        <v>1</v>
      </c>
      <c r="R6101" s="178" t="s">
        <v>422</v>
      </c>
      <c r="S6101" s="181"/>
    </row>
    <row r="6102" spans="1:19">
      <c r="A6102" s="180" t="s">
        <v>8481</v>
      </c>
      <c r="B6102" s="181" t="str">
        <f>IFERROR(VLOOKUP(Proc[[#This Row],[App]],Table2[],3,0),"open")</f>
        <v>open</v>
      </c>
      <c r="C6102" s="182" t="s">
        <v>370</v>
      </c>
      <c r="D6102" t="s">
        <v>8471</v>
      </c>
      <c r="E6102" t="s">
        <v>8480</v>
      </c>
      <c r="F6102" s="183" t="s">
        <v>2681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0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1" t="s">
        <v>6434</v>
      </c>
      <c r="M6102" s="178">
        <v>46057</v>
      </c>
      <c r="N6102" s="178"/>
      <c r="O6102" s="178"/>
      <c r="P6102" s="178" t="str">
        <f ca="1">IF(Proc[[#This Row],[DaysAgeing]]&gt;5,"yep","on track")</f>
        <v>on track</v>
      </c>
      <c r="Q6102" s="3">
        <f ca="1">IF(Proc[[#This Row],[DateClosed]]="",ABS(NETWORKDAYS(Proc[[#This Row],[DateOpened]],TODAY()))-1,ABS(NETWORKDAYS(Proc[[#This Row],[DateOpened]],Proc[[#This Row],[DateClosed]]))-1)</f>
        <v>1</v>
      </c>
      <c r="R6102" s="178" t="s">
        <v>422</v>
      </c>
      <c r="S6102" s="181"/>
    </row>
    <row r="6103" spans="1:19">
      <c r="A6103" s="180" t="s">
        <v>8481</v>
      </c>
      <c r="B6103" s="181" t="str">
        <f>IFERROR(VLOOKUP(Proc[[#This Row],[App]],Table2[],3,0),"open")</f>
        <v>open</v>
      </c>
      <c r="C6103" s="182" t="s">
        <v>370</v>
      </c>
      <c r="D6103" t="s">
        <v>8472</v>
      </c>
      <c r="E6103" t="s">
        <v>8480</v>
      </c>
      <c r="F6103" s="183" t="s">
        <v>2681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0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1" t="s">
        <v>6434</v>
      </c>
      <c r="M6103" s="178">
        <v>46057</v>
      </c>
      <c r="N6103" s="178"/>
      <c r="O6103" s="178"/>
      <c r="P6103" s="178" t="str">
        <f ca="1">IF(Proc[[#This Row],[DaysAgeing]]&gt;5,"yep","on track")</f>
        <v>on track</v>
      </c>
      <c r="Q6103" s="3">
        <f ca="1">IF(Proc[[#This Row],[DateClosed]]="",ABS(NETWORKDAYS(Proc[[#This Row],[DateOpened]],TODAY()))-1,ABS(NETWORKDAYS(Proc[[#This Row],[DateOpened]],Proc[[#This Row],[DateClosed]]))-1)</f>
        <v>1</v>
      </c>
      <c r="R6103" s="178" t="s">
        <v>422</v>
      </c>
      <c r="S6103" s="181"/>
    </row>
    <row r="6104" spans="1:19">
      <c r="A6104" s="180" t="s">
        <v>8481</v>
      </c>
      <c r="B6104" s="181" t="str">
        <f>IFERROR(VLOOKUP(Proc[[#This Row],[App]],Table2[],3,0),"open")</f>
        <v>open</v>
      </c>
      <c r="C6104" s="182" t="s">
        <v>370</v>
      </c>
      <c r="D6104" t="s">
        <v>8473</v>
      </c>
      <c r="E6104" t="s">
        <v>8480</v>
      </c>
      <c r="F6104" s="183" t="s">
        <v>2681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0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1" t="s">
        <v>6434</v>
      </c>
      <c r="M6104" s="178">
        <v>46057</v>
      </c>
      <c r="N6104" s="178"/>
      <c r="O6104" s="178"/>
      <c r="P6104" s="178" t="str">
        <f ca="1">IF(Proc[[#This Row],[DaysAgeing]]&gt;5,"yep","on track")</f>
        <v>on track</v>
      </c>
      <c r="Q6104" s="3">
        <f ca="1">IF(Proc[[#This Row],[DateClosed]]="",ABS(NETWORKDAYS(Proc[[#This Row],[DateOpened]],TODAY()))-1,ABS(NETWORKDAYS(Proc[[#This Row],[DateOpened]],Proc[[#This Row],[DateClosed]]))-1)</f>
        <v>1</v>
      </c>
      <c r="R6104" s="178" t="s">
        <v>422</v>
      </c>
      <c r="S6104" s="181"/>
    </row>
    <row r="6105" spans="1:19">
      <c r="A6105" s="180" t="s">
        <v>8481</v>
      </c>
      <c r="B6105" s="181" t="str">
        <f>IFERROR(VLOOKUP(Proc[[#This Row],[App]],Table2[],3,0),"open")</f>
        <v>open</v>
      </c>
      <c r="C6105" s="182" t="s">
        <v>370</v>
      </c>
      <c r="D6105" t="s">
        <v>8474</v>
      </c>
      <c r="E6105" t="s">
        <v>8480</v>
      </c>
      <c r="F6105" s="183" t="s">
        <v>2681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0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1" t="s">
        <v>6434</v>
      </c>
      <c r="M6105" s="178">
        <v>46057</v>
      </c>
      <c r="N6105" s="178"/>
      <c r="O6105" s="178"/>
      <c r="P6105" s="178" t="str">
        <f ca="1">IF(Proc[[#This Row],[DaysAgeing]]&gt;5,"yep","on track")</f>
        <v>on track</v>
      </c>
      <c r="Q6105" s="3">
        <f ca="1">IF(Proc[[#This Row],[DateClosed]]="",ABS(NETWORKDAYS(Proc[[#This Row],[DateOpened]],TODAY()))-1,ABS(NETWORKDAYS(Proc[[#This Row],[DateOpened]],Proc[[#This Row],[DateClosed]]))-1)</f>
        <v>1</v>
      </c>
      <c r="R6105" s="178" t="s">
        <v>422</v>
      </c>
      <c r="S6105" s="181"/>
    </row>
    <row r="6106" spans="1:19">
      <c r="A6106" s="180" t="s">
        <v>8481</v>
      </c>
      <c r="B6106" s="181" t="str">
        <f>IFERROR(VLOOKUP(Proc[[#This Row],[App]],Table2[],3,0),"open")</f>
        <v>open</v>
      </c>
      <c r="C6106" s="182" t="s">
        <v>370</v>
      </c>
      <c r="D6106" t="s">
        <v>8475</v>
      </c>
      <c r="E6106" t="s">
        <v>8480</v>
      </c>
      <c r="F6106" s="183" t="s">
        <v>2681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0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1" t="s">
        <v>6434</v>
      </c>
      <c r="M6106" s="178">
        <v>46057</v>
      </c>
      <c r="N6106" s="178"/>
      <c r="O6106" s="178"/>
      <c r="P6106" s="178" t="str">
        <f ca="1">IF(Proc[[#This Row],[DaysAgeing]]&gt;5,"yep","on track")</f>
        <v>on track</v>
      </c>
      <c r="Q6106" s="3">
        <f ca="1">IF(Proc[[#This Row],[DateClosed]]="",ABS(NETWORKDAYS(Proc[[#This Row],[DateOpened]],TODAY()))-1,ABS(NETWORKDAYS(Proc[[#This Row],[DateOpened]],Proc[[#This Row],[DateClosed]]))-1)</f>
        <v>1</v>
      </c>
      <c r="R6106" s="178" t="s">
        <v>422</v>
      </c>
      <c r="S6106" s="181"/>
    </row>
    <row r="6107" spans="1:19">
      <c r="A6107" s="180" t="s">
        <v>8481</v>
      </c>
      <c r="B6107" s="181" t="str">
        <f>IFERROR(VLOOKUP(Proc[[#This Row],[App]],Table2[],3,0),"open")</f>
        <v>open</v>
      </c>
      <c r="C6107" s="182" t="s">
        <v>370</v>
      </c>
      <c r="D6107" t="s">
        <v>8476</v>
      </c>
      <c r="E6107" t="s">
        <v>8480</v>
      </c>
      <c r="F6107" s="183" t="s">
        <v>2681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0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1" t="s">
        <v>6434</v>
      </c>
      <c r="M6107" s="178">
        <v>46057</v>
      </c>
      <c r="N6107" s="178"/>
      <c r="O6107" s="178"/>
      <c r="P6107" s="178" t="str">
        <f ca="1">IF(Proc[[#This Row],[DaysAgeing]]&gt;5,"yep","on track")</f>
        <v>on track</v>
      </c>
      <c r="Q6107" s="3">
        <f ca="1">IF(Proc[[#This Row],[DateClosed]]="",ABS(NETWORKDAYS(Proc[[#This Row],[DateOpened]],TODAY()))-1,ABS(NETWORKDAYS(Proc[[#This Row],[DateOpened]],Proc[[#This Row],[DateClosed]]))-1)</f>
        <v>1</v>
      </c>
      <c r="R6107" s="178" t="s">
        <v>422</v>
      </c>
      <c r="S6107" s="181"/>
    </row>
    <row r="6108" spans="1:19">
      <c r="A6108" s="180" t="s">
        <v>8481</v>
      </c>
      <c r="B6108" s="181" t="str">
        <f>IFERROR(VLOOKUP(Proc[[#This Row],[App]],Table2[],3,0),"open")</f>
        <v>open</v>
      </c>
      <c r="C6108" s="182" t="s">
        <v>375</v>
      </c>
      <c r="D6108" t="s">
        <v>8477</v>
      </c>
      <c r="E6108" t="s">
        <v>8480</v>
      </c>
      <c r="F6108" s="183" t="str">
        <f>VLOOKUP(Proc[[#This Row],[Obj]],Sheet5!A:B,2,0)</f>
        <v>O000000000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1" t="s">
        <v>6434</v>
      </c>
      <c r="M6108" s="178">
        <v>46057</v>
      </c>
      <c r="N6108" s="178"/>
      <c r="O6108" s="178"/>
      <c r="P6108" s="178" t="str">
        <f ca="1">IF(Proc[[#This Row],[DaysAgeing]]&gt;5,"yep","on track")</f>
        <v>on track</v>
      </c>
      <c r="Q6108" s="3">
        <f ca="1">IF(Proc[[#This Row],[DateClosed]]="",ABS(NETWORKDAYS(Proc[[#This Row],[DateOpened]],TODAY()))-1,ABS(NETWORKDAYS(Proc[[#This Row],[DateOpened]],Proc[[#This Row],[DateClosed]]))-1)</f>
        <v>1</v>
      </c>
      <c r="R6108" s="178" t="s">
        <v>422</v>
      </c>
      <c r="S6108" s="181"/>
    </row>
    <row r="6109" spans="1:19">
      <c r="A6109" s="180" t="s">
        <v>8481</v>
      </c>
      <c r="B6109" s="181" t="str">
        <f>IFERROR(VLOOKUP(Proc[[#This Row],[App]],Table2[],3,0),"open")</f>
        <v>open</v>
      </c>
      <c r="C6109" s="182" t="s">
        <v>375</v>
      </c>
      <c r="D6109" t="s">
        <v>8478</v>
      </c>
      <c r="E6109" t="s">
        <v>8480</v>
      </c>
      <c r="F6109" s="183" t="str">
        <f>VLOOKUP(Proc[[#This Row],[Obj]],Sheet5!A:B,2,0)</f>
        <v>O000000000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0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1" t="s">
        <v>6434</v>
      </c>
      <c r="M6109" s="178">
        <v>46057</v>
      </c>
      <c r="N6109" s="178"/>
      <c r="O6109" s="178"/>
      <c r="P6109" s="178" t="str">
        <f ca="1">IF(Proc[[#This Row],[DaysAgeing]]&gt;5,"yep","on track")</f>
        <v>on track</v>
      </c>
      <c r="Q6109" s="3">
        <f ca="1">IF(Proc[[#This Row],[DateClosed]]="",ABS(NETWORKDAYS(Proc[[#This Row],[DateOpened]],TODAY()))-1,ABS(NETWORKDAYS(Proc[[#This Row],[DateOpened]],Proc[[#This Row],[DateClosed]]))-1)</f>
        <v>1</v>
      </c>
      <c r="R6109" s="178" t="s">
        <v>422</v>
      </c>
      <c r="S6109" s="181"/>
    </row>
    <row r="6110" spans="1:19">
      <c r="A6110" t="s">
        <v>8482</v>
      </c>
      <c r="B6110" s="181" t="str">
        <f>IFERROR(VLOOKUP(Proc[[#This Row],[App]],Table2[],3,0),"open")</f>
        <v>open</v>
      </c>
      <c r="C6110" s="182" t="s">
        <v>370</v>
      </c>
      <c r="D6110" t="s">
        <v>8483</v>
      </c>
      <c r="E6110" s="182" t="s">
        <v>3540</v>
      </c>
      <c r="F6110" s="183" t="s">
        <v>8714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0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3" t="s">
        <v>6434</v>
      </c>
      <c r="M6110" s="178">
        <v>46057</v>
      </c>
      <c r="N6110" s="178"/>
      <c r="O6110" s="178"/>
      <c r="P6110" s="178" t="str">
        <f ca="1">IF(Proc[[#This Row],[DaysAgeing]]&gt;5,"yep","on track")</f>
        <v>on track</v>
      </c>
      <c r="Q6110" s="3">
        <f ca="1">IF(Proc[[#This Row],[DateClosed]]="",ABS(NETWORKDAYS(Proc[[#This Row],[DateOpened]],TODAY()))-1,ABS(NETWORKDAYS(Proc[[#This Row],[DateOpened]],Proc[[#This Row],[DateClosed]]))-1)</f>
        <v>1</v>
      </c>
      <c r="R6110" s="178" t="s">
        <v>1262</v>
      </c>
      <c r="S6110" s="181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G2:G6110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F4F29-BD7D-4038-8987-9455ED3F3A25}">
  <dimension ref="A1:B236"/>
  <sheetViews>
    <sheetView workbookViewId="0">
      <selection activeCell="B1" sqref="B1"/>
    </sheetView>
  </sheetViews>
  <sheetFormatPr defaultRowHeight="15"/>
  <sheetData>
    <row r="1" spans="1:2">
      <c r="A1" t="s">
        <v>8026</v>
      </c>
    </row>
    <row r="2" spans="1:2">
      <c r="A2" t="s">
        <v>8027</v>
      </c>
      <c r="B2" t="s">
        <v>8716</v>
      </c>
    </row>
    <row r="3" spans="1:2">
      <c r="A3" t="s">
        <v>8028</v>
      </c>
      <c r="B3" t="s">
        <v>8716</v>
      </c>
    </row>
    <row r="4" spans="1:2">
      <c r="A4" t="s">
        <v>8029</v>
      </c>
      <c r="B4" t="s">
        <v>8716</v>
      </c>
    </row>
    <row r="5" spans="1:2">
      <c r="A5" t="s">
        <v>8030</v>
      </c>
      <c r="B5" t="s">
        <v>446</v>
      </c>
    </row>
    <row r="6" spans="1:2">
      <c r="A6" t="s">
        <v>8040</v>
      </c>
      <c r="B6" t="s">
        <v>8717</v>
      </c>
    </row>
    <row r="7" spans="1:2">
      <c r="A7" t="s">
        <v>8041</v>
      </c>
      <c r="B7" t="s">
        <v>8717</v>
      </c>
    </row>
    <row r="8" spans="1:2">
      <c r="A8" t="s">
        <v>8046</v>
      </c>
      <c r="B8" t="s">
        <v>8718</v>
      </c>
    </row>
    <row r="9" spans="1:2">
      <c r="A9" t="s">
        <v>8047</v>
      </c>
      <c r="B9" t="s">
        <v>8718</v>
      </c>
    </row>
    <row r="10" spans="1:2">
      <c r="A10" t="s">
        <v>8071</v>
      </c>
      <c r="B10" t="s">
        <v>6775</v>
      </c>
    </row>
    <row r="11" spans="1:2">
      <c r="A11" t="s">
        <v>8072</v>
      </c>
      <c r="B11" t="s">
        <v>6775</v>
      </c>
    </row>
    <row r="12" spans="1:2">
      <c r="A12" t="s">
        <v>8073</v>
      </c>
      <c r="B12" t="s">
        <v>6775</v>
      </c>
    </row>
    <row r="13" spans="1:2">
      <c r="A13" t="s">
        <v>8074</v>
      </c>
      <c r="B13" t="s">
        <v>6775</v>
      </c>
    </row>
    <row r="14" spans="1:2">
      <c r="A14" t="s">
        <v>8075</v>
      </c>
      <c r="B14" t="s">
        <v>8719</v>
      </c>
    </row>
    <row r="15" spans="1:2">
      <c r="A15" t="s">
        <v>8076</v>
      </c>
      <c r="B15" t="s">
        <v>8719</v>
      </c>
    </row>
    <row r="16" spans="1:2">
      <c r="A16" t="s">
        <v>8139</v>
      </c>
      <c r="B16" t="s">
        <v>2681</v>
      </c>
    </row>
    <row r="17" spans="1:2">
      <c r="A17" t="s">
        <v>8140</v>
      </c>
      <c r="B17" t="s">
        <v>2681</v>
      </c>
    </row>
    <row r="18" spans="1:2">
      <c r="A18" t="s">
        <v>8141</v>
      </c>
      <c r="B18" t="s">
        <v>2681</v>
      </c>
    </row>
    <row r="19" spans="1:2">
      <c r="A19" t="s">
        <v>8142</v>
      </c>
      <c r="B19" t="s">
        <v>2681</v>
      </c>
    </row>
    <row r="20" spans="1:2">
      <c r="A20" t="s">
        <v>8143</v>
      </c>
      <c r="B20" t="s">
        <v>2681</v>
      </c>
    </row>
    <row r="21" spans="1:2">
      <c r="A21" t="s">
        <v>8144</v>
      </c>
      <c r="B21" t="s">
        <v>2681</v>
      </c>
    </row>
    <row r="22" spans="1:2">
      <c r="A22" t="s">
        <v>8145</v>
      </c>
      <c r="B22" t="s">
        <v>2681</v>
      </c>
    </row>
    <row r="23" spans="1:2">
      <c r="A23" t="s">
        <v>8146</v>
      </c>
      <c r="B23" t="s">
        <v>2681</v>
      </c>
    </row>
    <row r="24" spans="1:2">
      <c r="A24" t="s">
        <v>8147</v>
      </c>
      <c r="B24" t="s">
        <v>2681</v>
      </c>
    </row>
    <row r="25" spans="1:2">
      <c r="A25" t="s">
        <v>8148</v>
      </c>
      <c r="B25" t="s">
        <v>2681</v>
      </c>
    </row>
    <row r="26" spans="1:2">
      <c r="A26" t="s">
        <v>8149</v>
      </c>
      <c r="B26" t="s">
        <v>2681</v>
      </c>
    </row>
    <row r="27" spans="1:2">
      <c r="A27" t="s">
        <v>8150</v>
      </c>
      <c r="B27" t="s">
        <v>2681</v>
      </c>
    </row>
    <row r="28" spans="1:2">
      <c r="A28" t="s">
        <v>8151</v>
      </c>
      <c r="B28" t="s">
        <v>2681</v>
      </c>
    </row>
    <row r="29" spans="1:2">
      <c r="A29" t="s">
        <v>8152</v>
      </c>
      <c r="B29" t="s">
        <v>2681</v>
      </c>
    </row>
    <row r="30" spans="1:2">
      <c r="A30" t="s">
        <v>8153</v>
      </c>
      <c r="B30" t="s">
        <v>2681</v>
      </c>
    </row>
    <row r="31" spans="1:2">
      <c r="A31" t="s">
        <v>8154</v>
      </c>
      <c r="B31" t="s">
        <v>2681</v>
      </c>
    </row>
    <row r="32" spans="1:2">
      <c r="A32" t="s">
        <v>8155</v>
      </c>
      <c r="B32" t="s">
        <v>2681</v>
      </c>
    </row>
    <row r="33" spans="1:2">
      <c r="A33" t="s">
        <v>8156</v>
      </c>
      <c r="B33" t="s">
        <v>2681</v>
      </c>
    </row>
    <row r="34" spans="1:2">
      <c r="A34" t="s">
        <v>8157</v>
      </c>
      <c r="B34" t="s">
        <v>2681</v>
      </c>
    </row>
    <row r="35" spans="1:2">
      <c r="A35" t="s">
        <v>8158</v>
      </c>
      <c r="B35" t="s">
        <v>2681</v>
      </c>
    </row>
    <row r="36" spans="1:2">
      <c r="A36" t="s">
        <v>8159</v>
      </c>
      <c r="B36" t="s">
        <v>2681</v>
      </c>
    </row>
    <row r="37" spans="1:2">
      <c r="A37" t="s">
        <v>8160</v>
      </c>
      <c r="B37" t="s">
        <v>2681</v>
      </c>
    </row>
    <row r="38" spans="1:2">
      <c r="A38" t="s">
        <v>8161</v>
      </c>
      <c r="B38" t="s">
        <v>2681</v>
      </c>
    </row>
    <row r="39" spans="1:2">
      <c r="A39" t="s">
        <v>8162</v>
      </c>
      <c r="B39" t="s">
        <v>2681</v>
      </c>
    </row>
    <row r="40" spans="1:2">
      <c r="A40" t="s">
        <v>8163</v>
      </c>
      <c r="B40" t="s">
        <v>2681</v>
      </c>
    </row>
    <row r="41" spans="1:2">
      <c r="A41" t="s">
        <v>8164</v>
      </c>
      <c r="B41" t="s">
        <v>2681</v>
      </c>
    </row>
    <row r="42" spans="1:2">
      <c r="A42" t="s">
        <v>8165</v>
      </c>
      <c r="B42" t="s">
        <v>2681</v>
      </c>
    </row>
    <row r="43" spans="1:2">
      <c r="A43" t="s">
        <v>8166</v>
      </c>
      <c r="B43" t="s">
        <v>2681</v>
      </c>
    </row>
    <row r="44" spans="1:2">
      <c r="A44" t="s">
        <v>8167</v>
      </c>
      <c r="B44" t="s">
        <v>2681</v>
      </c>
    </row>
    <row r="45" spans="1:2">
      <c r="A45" t="s">
        <v>8168</v>
      </c>
      <c r="B45" t="s">
        <v>2681</v>
      </c>
    </row>
    <row r="46" spans="1:2">
      <c r="A46" t="s">
        <v>8169</v>
      </c>
      <c r="B46" t="s">
        <v>2681</v>
      </c>
    </row>
    <row r="47" spans="1:2">
      <c r="A47" t="s">
        <v>8170</v>
      </c>
      <c r="B47" t="s">
        <v>2681</v>
      </c>
    </row>
    <row r="48" spans="1:2">
      <c r="A48" t="s">
        <v>8171</v>
      </c>
      <c r="B48" t="s">
        <v>2681</v>
      </c>
    </row>
    <row r="49" spans="1:2">
      <c r="A49" t="s">
        <v>8172</v>
      </c>
      <c r="B49" t="s">
        <v>2681</v>
      </c>
    </row>
    <row r="50" spans="1:2">
      <c r="A50" t="s">
        <v>8173</v>
      </c>
      <c r="B50" t="s">
        <v>2681</v>
      </c>
    </row>
    <row r="51" spans="1:2">
      <c r="A51" t="s">
        <v>8174</v>
      </c>
      <c r="B51" t="s">
        <v>2681</v>
      </c>
    </row>
    <row r="52" spans="1:2">
      <c r="A52" t="s">
        <v>8175</v>
      </c>
      <c r="B52" t="s">
        <v>2681</v>
      </c>
    </row>
    <row r="53" spans="1:2">
      <c r="A53" t="s">
        <v>8176</v>
      </c>
      <c r="B53" t="s">
        <v>2681</v>
      </c>
    </row>
    <row r="54" spans="1:2">
      <c r="A54" t="s">
        <v>8178</v>
      </c>
      <c r="B54" t="s">
        <v>8713</v>
      </c>
    </row>
    <row r="55" spans="1:2">
      <c r="A55" t="s">
        <v>8179</v>
      </c>
      <c r="B55" t="s">
        <v>8713</v>
      </c>
    </row>
    <row r="56" spans="1:2">
      <c r="A56" t="s">
        <v>8180</v>
      </c>
      <c r="B56" t="s">
        <v>8713</v>
      </c>
    </row>
    <row r="57" spans="1:2">
      <c r="A57" t="s">
        <v>8181</v>
      </c>
      <c r="B57" t="s">
        <v>8713</v>
      </c>
    </row>
    <row r="58" spans="1:2">
      <c r="A58" t="s">
        <v>8182</v>
      </c>
      <c r="B58" t="s">
        <v>8713</v>
      </c>
    </row>
    <row r="59" spans="1:2">
      <c r="A59" t="s">
        <v>8183</v>
      </c>
      <c r="B59" t="s">
        <v>8713</v>
      </c>
    </row>
    <row r="60" spans="1:2">
      <c r="A60" t="s">
        <v>8184</v>
      </c>
      <c r="B60" t="s">
        <v>8713</v>
      </c>
    </row>
    <row r="61" spans="1:2">
      <c r="A61" t="s">
        <v>8223</v>
      </c>
      <c r="B61" t="s">
        <v>2681</v>
      </c>
    </row>
    <row r="62" spans="1:2">
      <c r="A62" t="s">
        <v>8224</v>
      </c>
      <c r="B62" t="s">
        <v>2681</v>
      </c>
    </row>
    <row r="63" spans="1:2">
      <c r="A63" t="s">
        <v>8225</v>
      </c>
      <c r="B63" t="s">
        <v>2681</v>
      </c>
    </row>
    <row r="64" spans="1:2">
      <c r="A64" t="s">
        <v>8226</v>
      </c>
      <c r="B64" t="s">
        <v>2681</v>
      </c>
    </row>
    <row r="65" spans="1:2">
      <c r="A65" t="s">
        <v>8227</v>
      </c>
      <c r="B65" t="s">
        <v>2681</v>
      </c>
    </row>
    <row r="66" spans="1:2">
      <c r="A66" t="s">
        <v>8228</v>
      </c>
      <c r="B66" t="s">
        <v>2681</v>
      </c>
    </row>
    <row r="67" spans="1:2">
      <c r="A67" t="s">
        <v>8229</v>
      </c>
      <c r="B67" t="s">
        <v>2681</v>
      </c>
    </row>
    <row r="68" spans="1:2">
      <c r="A68" t="s">
        <v>8230</v>
      </c>
      <c r="B68" t="s">
        <v>2681</v>
      </c>
    </row>
    <row r="69" spans="1:2">
      <c r="A69" t="s">
        <v>8231</v>
      </c>
      <c r="B69" t="s">
        <v>2681</v>
      </c>
    </row>
    <row r="70" spans="1:2">
      <c r="A70" t="s">
        <v>8232</v>
      </c>
      <c r="B70" t="s">
        <v>2681</v>
      </c>
    </row>
    <row r="71" spans="1:2">
      <c r="A71" t="s">
        <v>8233</v>
      </c>
      <c r="B71" t="s">
        <v>2681</v>
      </c>
    </row>
    <row r="72" spans="1:2">
      <c r="A72" t="s">
        <v>8234</v>
      </c>
      <c r="B72" t="s">
        <v>2681</v>
      </c>
    </row>
    <row r="73" spans="1:2">
      <c r="A73" t="s">
        <v>8235</v>
      </c>
      <c r="B73" t="s">
        <v>2681</v>
      </c>
    </row>
    <row r="74" spans="1:2">
      <c r="A74" t="s">
        <v>8236</v>
      </c>
      <c r="B74" t="s">
        <v>2681</v>
      </c>
    </row>
    <row r="75" spans="1:2">
      <c r="A75" t="s">
        <v>8237</v>
      </c>
      <c r="B75" t="s">
        <v>2681</v>
      </c>
    </row>
    <row r="76" spans="1:2">
      <c r="A76" t="s">
        <v>8238</v>
      </c>
      <c r="B76" t="s">
        <v>2681</v>
      </c>
    </row>
    <row r="77" spans="1:2">
      <c r="A77" t="s">
        <v>8239</v>
      </c>
      <c r="B77" t="s">
        <v>2681</v>
      </c>
    </row>
    <row r="78" spans="1:2">
      <c r="A78" t="s">
        <v>8240</v>
      </c>
      <c r="B78" t="s">
        <v>2681</v>
      </c>
    </row>
    <row r="79" spans="1:2">
      <c r="A79" t="s">
        <v>8241</v>
      </c>
      <c r="B79" t="s">
        <v>2681</v>
      </c>
    </row>
    <row r="80" spans="1:2">
      <c r="A80" t="s">
        <v>8242</v>
      </c>
      <c r="B80" t="s">
        <v>2681</v>
      </c>
    </row>
    <row r="81" spans="1:2">
      <c r="A81" t="s">
        <v>8243</v>
      </c>
      <c r="B81" t="s">
        <v>2681</v>
      </c>
    </row>
    <row r="82" spans="1:2">
      <c r="A82" t="s">
        <v>8244</v>
      </c>
      <c r="B82" t="s">
        <v>2681</v>
      </c>
    </row>
    <row r="83" spans="1:2">
      <c r="A83" t="s">
        <v>8245</v>
      </c>
      <c r="B83" t="s">
        <v>2681</v>
      </c>
    </row>
    <row r="84" spans="1:2">
      <c r="A84" t="s">
        <v>8246</v>
      </c>
      <c r="B84" t="s">
        <v>2681</v>
      </c>
    </row>
    <row r="85" spans="1:2">
      <c r="A85" t="s">
        <v>8247</v>
      </c>
      <c r="B85" t="s">
        <v>2681</v>
      </c>
    </row>
    <row r="86" spans="1:2">
      <c r="A86" t="s">
        <v>8248</v>
      </c>
      <c r="B86" t="s">
        <v>2681</v>
      </c>
    </row>
    <row r="87" spans="1:2">
      <c r="A87" t="s">
        <v>8249</v>
      </c>
      <c r="B87" t="s">
        <v>2681</v>
      </c>
    </row>
    <row r="88" spans="1:2">
      <c r="A88" t="s">
        <v>8250</v>
      </c>
      <c r="B88" t="s">
        <v>2681</v>
      </c>
    </row>
    <row r="89" spans="1:2">
      <c r="A89" t="s">
        <v>8251</v>
      </c>
      <c r="B89" t="s">
        <v>2681</v>
      </c>
    </row>
    <row r="90" spans="1:2">
      <c r="A90" t="s">
        <v>8252</v>
      </c>
      <c r="B90" t="s">
        <v>2681</v>
      </c>
    </row>
    <row r="91" spans="1:2">
      <c r="A91" t="s">
        <v>8253</v>
      </c>
      <c r="B91" t="s">
        <v>2681</v>
      </c>
    </row>
    <row r="92" spans="1:2">
      <c r="A92" t="s">
        <v>8254</v>
      </c>
      <c r="B92" t="s">
        <v>2681</v>
      </c>
    </row>
    <row r="93" spans="1:2">
      <c r="A93" t="s">
        <v>8255</v>
      </c>
      <c r="B93" t="s">
        <v>2681</v>
      </c>
    </row>
    <row r="94" spans="1:2">
      <c r="A94" t="s">
        <v>8256</v>
      </c>
      <c r="B94" t="s">
        <v>2681</v>
      </c>
    </row>
    <row r="95" spans="1:2">
      <c r="A95" t="s">
        <v>8257</v>
      </c>
      <c r="B95" t="s">
        <v>2681</v>
      </c>
    </row>
    <row r="96" spans="1:2">
      <c r="A96" t="s">
        <v>8258</v>
      </c>
      <c r="B96" t="s">
        <v>2681</v>
      </c>
    </row>
    <row r="97" spans="1:2">
      <c r="A97" t="s">
        <v>8259</v>
      </c>
      <c r="B97" t="s">
        <v>2681</v>
      </c>
    </row>
    <row r="98" spans="1:2">
      <c r="A98" t="s">
        <v>8260</v>
      </c>
      <c r="B98" t="s">
        <v>2681</v>
      </c>
    </row>
    <row r="99" spans="1:2">
      <c r="A99" t="s">
        <v>8261</v>
      </c>
      <c r="B99" t="s">
        <v>2681</v>
      </c>
    </row>
    <row r="100" spans="1:2">
      <c r="A100" t="s">
        <v>8262</v>
      </c>
      <c r="B100" t="s">
        <v>2681</v>
      </c>
    </row>
    <row r="101" spans="1:2">
      <c r="A101" t="s">
        <v>8263</v>
      </c>
      <c r="B101" t="s">
        <v>2681</v>
      </c>
    </row>
    <row r="102" spans="1:2">
      <c r="A102" t="s">
        <v>8264</v>
      </c>
      <c r="B102" t="s">
        <v>2681</v>
      </c>
    </row>
    <row r="103" spans="1:2">
      <c r="A103" t="s">
        <v>8265</v>
      </c>
      <c r="B103" t="s">
        <v>2681</v>
      </c>
    </row>
    <row r="104" spans="1:2">
      <c r="A104" t="s">
        <v>8266</v>
      </c>
      <c r="B104" t="s">
        <v>2681</v>
      </c>
    </row>
    <row r="105" spans="1:2">
      <c r="A105" t="s">
        <v>8267</v>
      </c>
      <c r="B105" t="s">
        <v>2681</v>
      </c>
    </row>
    <row r="106" spans="1:2">
      <c r="A106" t="s">
        <v>8268</v>
      </c>
      <c r="B106" t="s">
        <v>2681</v>
      </c>
    </row>
    <row r="107" spans="1:2">
      <c r="A107" t="s">
        <v>8269</v>
      </c>
      <c r="B107" t="s">
        <v>2681</v>
      </c>
    </row>
    <row r="108" spans="1:2">
      <c r="A108" t="s">
        <v>8270</v>
      </c>
      <c r="B108" t="s">
        <v>2681</v>
      </c>
    </row>
    <row r="109" spans="1:2">
      <c r="A109" t="s">
        <v>8271</v>
      </c>
      <c r="B109" t="s">
        <v>2681</v>
      </c>
    </row>
    <row r="110" spans="1:2">
      <c r="A110" t="s">
        <v>8272</v>
      </c>
      <c r="B110" t="s">
        <v>2681</v>
      </c>
    </row>
    <row r="111" spans="1:2">
      <c r="A111" t="s">
        <v>8273</v>
      </c>
      <c r="B111" t="s">
        <v>2681</v>
      </c>
    </row>
    <row r="112" spans="1:2">
      <c r="A112" t="s">
        <v>8274</v>
      </c>
      <c r="B112" t="s">
        <v>2681</v>
      </c>
    </row>
    <row r="113" spans="1:2">
      <c r="A113" t="s">
        <v>8275</v>
      </c>
      <c r="B113" t="s">
        <v>2681</v>
      </c>
    </row>
    <row r="114" spans="1:2">
      <c r="A114" t="s">
        <v>8276</v>
      </c>
      <c r="B114" t="s">
        <v>2681</v>
      </c>
    </row>
    <row r="115" spans="1:2">
      <c r="A115" t="s">
        <v>8277</v>
      </c>
      <c r="B115" t="s">
        <v>2681</v>
      </c>
    </row>
    <row r="116" spans="1:2">
      <c r="A116" t="s">
        <v>8278</v>
      </c>
      <c r="B116" t="s">
        <v>2681</v>
      </c>
    </row>
    <row r="117" spans="1:2">
      <c r="A117" t="s">
        <v>8279</v>
      </c>
      <c r="B117" t="s">
        <v>2681</v>
      </c>
    </row>
    <row r="118" spans="1:2">
      <c r="A118" t="s">
        <v>8280</v>
      </c>
      <c r="B118" t="s">
        <v>2681</v>
      </c>
    </row>
    <row r="119" spans="1:2">
      <c r="A119" t="s">
        <v>8281</v>
      </c>
      <c r="B119" t="s">
        <v>2681</v>
      </c>
    </row>
    <row r="120" spans="1:2">
      <c r="A120" t="s">
        <v>8282</v>
      </c>
      <c r="B120" t="s">
        <v>2681</v>
      </c>
    </row>
    <row r="121" spans="1:2">
      <c r="A121" t="s">
        <v>8283</v>
      </c>
      <c r="B121" t="s">
        <v>2681</v>
      </c>
    </row>
    <row r="122" spans="1:2">
      <c r="A122" t="s">
        <v>8284</v>
      </c>
      <c r="B122" t="s">
        <v>2681</v>
      </c>
    </row>
    <row r="123" spans="1:2">
      <c r="A123" t="s">
        <v>8285</v>
      </c>
      <c r="B123" t="s">
        <v>2681</v>
      </c>
    </row>
    <row r="124" spans="1:2">
      <c r="A124" t="s">
        <v>8286</v>
      </c>
      <c r="B124" t="s">
        <v>2681</v>
      </c>
    </row>
    <row r="125" spans="1:2">
      <c r="A125" t="s">
        <v>8287</v>
      </c>
      <c r="B125" t="s">
        <v>2681</v>
      </c>
    </row>
    <row r="126" spans="1:2">
      <c r="A126" t="s">
        <v>8288</v>
      </c>
      <c r="B126" t="s">
        <v>2681</v>
      </c>
    </row>
    <row r="127" spans="1:2">
      <c r="A127" t="s">
        <v>8289</v>
      </c>
      <c r="B127" t="s">
        <v>2681</v>
      </c>
    </row>
    <row r="128" spans="1:2">
      <c r="A128" t="s">
        <v>8290</v>
      </c>
      <c r="B128" t="s">
        <v>2681</v>
      </c>
    </row>
    <row r="129" spans="1:2">
      <c r="A129" t="s">
        <v>8291</v>
      </c>
      <c r="B129" t="s">
        <v>2681</v>
      </c>
    </row>
    <row r="130" spans="1:2">
      <c r="A130" t="s">
        <v>8292</v>
      </c>
      <c r="B130" t="s">
        <v>2681</v>
      </c>
    </row>
    <row r="131" spans="1:2">
      <c r="A131" t="s">
        <v>8293</v>
      </c>
      <c r="B131" t="s">
        <v>2681</v>
      </c>
    </row>
    <row r="132" spans="1:2">
      <c r="A132" t="s">
        <v>8294</v>
      </c>
      <c r="B132" t="s">
        <v>2681</v>
      </c>
    </row>
    <row r="133" spans="1:2">
      <c r="A133" t="s">
        <v>8295</v>
      </c>
      <c r="B133" t="s">
        <v>2681</v>
      </c>
    </row>
    <row r="134" spans="1:2">
      <c r="A134" t="s">
        <v>8296</v>
      </c>
      <c r="B134" t="s">
        <v>2681</v>
      </c>
    </row>
    <row r="135" spans="1:2">
      <c r="A135" t="s">
        <v>8297</v>
      </c>
      <c r="B135" t="s">
        <v>2681</v>
      </c>
    </row>
    <row r="136" spans="1:2">
      <c r="A136" t="s">
        <v>8298</v>
      </c>
      <c r="B136" t="s">
        <v>2681</v>
      </c>
    </row>
    <row r="137" spans="1:2">
      <c r="A137" t="s">
        <v>8299</v>
      </c>
      <c r="B137" t="s">
        <v>2681</v>
      </c>
    </row>
    <row r="138" spans="1:2">
      <c r="A138" t="s">
        <v>8300</v>
      </c>
      <c r="B138" t="s">
        <v>2681</v>
      </c>
    </row>
    <row r="139" spans="1:2">
      <c r="A139" t="s">
        <v>8301</v>
      </c>
      <c r="B139" t="s">
        <v>2681</v>
      </c>
    </row>
    <row r="140" spans="1:2">
      <c r="A140" t="s">
        <v>8302</v>
      </c>
      <c r="B140" t="s">
        <v>2681</v>
      </c>
    </row>
    <row r="141" spans="1:2">
      <c r="A141" t="s">
        <v>8303</v>
      </c>
      <c r="B141" t="s">
        <v>2681</v>
      </c>
    </row>
    <row r="142" spans="1:2">
      <c r="A142" t="s">
        <v>8304</v>
      </c>
      <c r="B142" t="s">
        <v>2681</v>
      </c>
    </row>
    <row r="143" spans="1:2">
      <c r="A143" t="s">
        <v>8305</v>
      </c>
      <c r="B143" t="s">
        <v>2681</v>
      </c>
    </row>
    <row r="144" spans="1:2">
      <c r="A144" t="s">
        <v>8306</v>
      </c>
      <c r="B144" t="s">
        <v>2681</v>
      </c>
    </row>
    <row r="145" spans="1:2">
      <c r="A145" t="s">
        <v>8307</v>
      </c>
      <c r="B145" t="s">
        <v>2681</v>
      </c>
    </row>
    <row r="146" spans="1:2">
      <c r="A146" t="s">
        <v>8308</v>
      </c>
      <c r="B146" t="s">
        <v>2681</v>
      </c>
    </row>
    <row r="147" spans="1:2">
      <c r="A147" t="s">
        <v>5994</v>
      </c>
      <c r="B147" t="s">
        <v>2681</v>
      </c>
    </row>
    <row r="148" spans="1:2">
      <c r="A148" t="s">
        <v>5993</v>
      </c>
      <c r="B148" t="s">
        <v>2681</v>
      </c>
    </row>
    <row r="149" spans="1:2">
      <c r="A149" t="s">
        <v>5995</v>
      </c>
      <c r="B149" t="s">
        <v>2681</v>
      </c>
    </row>
    <row r="150" spans="1:2">
      <c r="A150" t="s">
        <v>5996</v>
      </c>
      <c r="B150" t="s">
        <v>2681</v>
      </c>
    </row>
    <row r="151" spans="1:2">
      <c r="A151" t="s">
        <v>5997</v>
      </c>
      <c r="B151" t="s">
        <v>2681</v>
      </c>
    </row>
    <row r="152" spans="1:2">
      <c r="A152" t="s">
        <v>8309</v>
      </c>
      <c r="B152" t="s">
        <v>2681</v>
      </c>
    </row>
    <row r="153" spans="1:2">
      <c r="A153" t="s">
        <v>8310</v>
      </c>
      <c r="B153" t="s">
        <v>2681</v>
      </c>
    </row>
    <row r="154" spans="1:2">
      <c r="A154" t="s">
        <v>8311</v>
      </c>
      <c r="B154" t="s">
        <v>2681</v>
      </c>
    </row>
    <row r="155" spans="1:2">
      <c r="A155" t="s">
        <v>8312</v>
      </c>
      <c r="B155" t="s">
        <v>2681</v>
      </c>
    </row>
    <row r="156" spans="1:2">
      <c r="A156" t="s">
        <v>8313</v>
      </c>
      <c r="B156" t="s">
        <v>2681</v>
      </c>
    </row>
    <row r="157" spans="1:2">
      <c r="A157" t="s">
        <v>8314</v>
      </c>
      <c r="B157" t="s">
        <v>2681</v>
      </c>
    </row>
    <row r="158" spans="1:2">
      <c r="A158" t="s">
        <v>8315</v>
      </c>
      <c r="B158" t="s">
        <v>2681</v>
      </c>
    </row>
    <row r="159" spans="1:2">
      <c r="A159" t="s">
        <v>8316</v>
      </c>
      <c r="B159" t="s">
        <v>2681</v>
      </c>
    </row>
    <row r="160" spans="1:2">
      <c r="A160" t="s">
        <v>8317</v>
      </c>
      <c r="B160" t="s">
        <v>2681</v>
      </c>
    </row>
    <row r="161" spans="1:2">
      <c r="A161" t="s">
        <v>8318</v>
      </c>
      <c r="B161" t="s">
        <v>2681</v>
      </c>
    </row>
    <row r="162" spans="1:2">
      <c r="A162" t="s">
        <v>8319</v>
      </c>
      <c r="B162" t="s">
        <v>2681</v>
      </c>
    </row>
    <row r="163" spans="1:2">
      <c r="A163" t="s">
        <v>8320</v>
      </c>
      <c r="B163" t="s">
        <v>2681</v>
      </c>
    </row>
    <row r="164" spans="1:2">
      <c r="A164" t="s">
        <v>2686</v>
      </c>
      <c r="B164" t="s">
        <v>2681</v>
      </c>
    </row>
    <row r="165" spans="1:2">
      <c r="A165" t="s">
        <v>8321</v>
      </c>
      <c r="B165" t="s">
        <v>2681</v>
      </c>
    </row>
    <row r="166" spans="1:2">
      <c r="A166" t="s">
        <v>8322</v>
      </c>
      <c r="B166" t="s">
        <v>2681</v>
      </c>
    </row>
    <row r="167" spans="1:2">
      <c r="A167" t="s">
        <v>8323</v>
      </c>
      <c r="B167" t="s">
        <v>2681</v>
      </c>
    </row>
    <row r="168" spans="1:2">
      <c r="A168" t="s">
        <v>8324</v>
      </c>
      <c r="B168" t="s">
        <v>2681</v>
      </c>
    </row>
    <row r="169" spans="1:2">
      <c r="A169" t="s">
        <v>8325</v>
      </c>
      <c r="B169" t="s">
        <v>2681</v>
      </c>
    </row>
    <row r="170" spans="1:2">
      <c r="A170" t="s">
        <v>8326</v>
      </c>
      <c r="B170" t="s">
        <v>2681</v>
      </c>
    </row>
    <row r="171" spans="1:2">
      <c r="A171" t="s">
        <v>8327</v>
      </c>
      <c r="B171" t="s">
        <v>2681</v>
      </c>
    </row>
    <row r="172" spans="1:2">
      <c r="A172" t="s">
        <v>8328</v>
      </c>
      <c r="B172" t="s">
        <v>2681</v>
      </c>
    </row>
    <row r="173" spans="1:2">
      <c r="A173" t="s">
        <v>8329</v>
      </c>
      <c r="B173" t="s">
        <v>2681</v>
      </c>
    </row>
    <row r="174" spans="1:2">
      <c r="A174" t="s">
        <v>8330</v>
      </c>
      <c r="B174" t="s">
        <v>2681</v>
      </c>
    </row>
    <row r="175" spans="1:2">
      <c r="A175" t="s">
        <v>8331</v>
      </c>
      <c r="B175" t="s">
        <v>2681</v>
      </c>
    </row>
    <row r="176" spans="1:2">
      <c r="A176" t="s">
        <v>8332</v>
      </c>
      <c r="B176" t="s">
        <v>2681</v>
      </c>
    </row>
    <row r="177" spans="1:2">
      <c r="A177" t="s">
        <v>8333</v>
      </c>
      <c r="B177" t="s">
        <v>2681</v>
      </c>
    </row>
    <row r="178" spans="1:2">
      <c r="A178" t="s">
        <v>8334</v>
      </c>
      <c r="B178" t="s">
        <v>2681</v>
      </c>
    </row>
    <row r="179" spans="1:2">
      <c r="A179" t="s">
        <v>8335</v>
      </c>
      <c r="B179" t="s">
        <v>2681</v>
      </c>
    </row>
    <row r="180" spans="1:2">
      <c r="A180" t="s">
        <v>8336</v>
      </c>
      <c r="B180" t="s">
        <v>2681</v>
      </c>
    </row>
    <row r="181" spans="1:2">
      <c r="A181" t="s">
        <v>8337</v>
      </c>
      <c r="B181" t="s">
        <v>2681</v>
      </c>
    </row>
    <row r="182" spans="1:2">
      <c r="A182" t="s">
        <v>8338</v>
      </c>
      <c r="B182" t="s">
        <v>2681</v>
      </c>
    </row>
    <row r="183" spans="1:2">
      <c r="A183" t="s">
        <v>8339</v>
      </c>
      <c r="B183" t="s">
        <v>2681</v>
      </c>
    </row>
    <row r="184" spans="1:2">
      <c r="A184" t="s">
        <v>8340</v>
      </c>
      <c r="B184" t="s">
        <v>2681</v>
      </c>
    </row>
    <row r="185" spans="1:2">
      <c r="A185" t="s">
        <v>8341</v>
      </c>
      <c r="B185" t="s">
        <v>2681</v>
      </c>
    </row>
    <row r="186" spans="1:2">
      <c r="A186" t="s">
        <v>8342</v>
      </c>
      <c r="B186" t="s">
        <v>2681</v>
      </c>
    </row>
    <row r="187" spans="1:2">
      <c r="A187" t="s">
        <v>8343</v>
      </c>
      <c r="B187" t="s">
        <v>2681</v>
      </c>
    </row>
    <row r="188" spans="1:2">
      <c r="A188" t="s">
        <v>8344</v>
      </c>
      <c r="B188" t="s">
        <v>2681</v>
      </c>
    </row>
    <row r="189" spans="1:2">
      <c r="A189" t="s">
        <v>8345</v>
      </c>
      <c r="B189" t="s">
        <v>2681</v>
      </c>
    </row>
    <row r="190" spans="1:2">
      <c r="A190" t="s">
        <v>8346</v>
      </c>
      <c r="B190" t="s">
        <v>2681</v>
      </c>
    </row>
    <row r="191" spans="1:2">
      <c r="A191" t="s">
        <v>8347</v>
      </c>
      <c r="B191" t="s">
        <v>2681</v>
      </c>
    </row>
    <row r="192" spans="1:2">
      <c r="A192" t="s">
        <v>8348</v>
      </c>
      <c r="B192" t="s">
        <v>2681</v>
      </c>
    </row>
    <row r="193" spans="1:2">
      <c r="A193" t="s">
        <v>8349</v>
      </c>
      <c r="B193" t="s">
        <v>2681</v>
      </c>
    </row>
    <row r="194" spans="1:2">
      <c r="A194" t="s">
        <v>8350</v>
      </c>
      <c r="B194" t="s">
        <v>2681</v>
      </c>
    </row>
    <row r="195" spans="1:2">
      <c r="A195" t="s">
        <v>8351</v>
      </c>
      <c r="B195" t="s">
        <v>2681</v>
      </c>
    </row>
    <row r="196" spans="1:2">
      <c r="A196" t="s">
        <v>8352</v>
      </c>
      <c r="B196" t="s">
        <v>2681</v>
      </c>
    </row>
    <row r="197" spans="1:2">
      <c r="A197" t="s">
        <v>8353</v>
      </c>
      <c r="B197" t="s">
        <v>2681</v>
      </c>
    </row>
    <row r="198" spans="1:2">
      <c r="A198" t="s">
        <v>8354</v>
      </c>
      <c r="B198" t="s">
        <v>2681</v>
      </c>
    </row>
    <row r="199" spans="1:2">
      <c r="A199" t="s">
        <v>8355</v>
      </c>
      <c r="B199" t="s">
        <v>2681</v>
      </c>
    </row>
    <row r="200" spans="1:2">
      <c r="A200" t="s">
        <v>8356</v>
      </c>
      <c r="B200" t="s">
        <v>2681</v>
      </c>
    </row>
    <row r="201" spans="1:2">
      <c r="A201" t="s">
        <v>8357</v>
      </c>
      <c r="B201" t="s">
        <v>2681</v>
      </c>
    </row>
    <row r="202" spans="1:2">
      <c r="A202" t="s">
        <v>8358</v>
      </c>
      <c r="B202" t="s">
        <v>2681</v>
      </c>
    </row>
    <row r="203" spans="1:2">
      <c r="A203" t="s">
        <v>8359</v>
      </c>
      <c r="B203" t="s">
        <v>2681</v>
      </c>
    </row>
    <row r="204" spans="1:2">
      <c r="A204" t="s">
        <v>8360</v>
      </c>
      <c r="B204" t="s">
        <v>2681</v>
      </c>
    </row>
    <row r="205" spans="1:2">
      <c r="A205" t="s">
        <v>8361</v>
      </c>
      <c r="B205" t="s">
        <v>2681</v>
      </c>
    </row>
    <row r="206" spans="1:2">
      <c r="A206" t="s">
        <v>8362</v>
      </c>
      <c r="B206" t="s">
        <v>2681</v>
      </c>
    </row>
    <row r="207" spans="1:2">
      <c r="A207" t="s">
        <v>8363</v>
      </c>
      <c r="B207" t="s">
        <v>2681</v>
      </c>
    </row>
    <row r="208" spans="1:2">
      <c r="A208" t="s">
        <v>8364</v>
      </c>
      <c r="B208" t="s">
        <v>2681</v>
      </c>
    </row>
    <row r="209" spans="1:2">
      <c r="A209" t="s">
        <v>8365</v>
      </c>
      <c r="B209" t="s">
        <v>2681</v>
      </c>
    </row>
    <row r="210" spans="1:2">
      <c r="A210" t="s">
        <v>8366</v>
      </c>
      <c r="B210" t="s">
        <v>2681</v>
      </c>
    </row>
    <row r="211" spans="1:2">
      <c r="A211" t="s">
        <v>8367</v>
      </c>
      <c r="B211" t="s">
        <v>2681</v>
      </c>
    </row>
    <row r="212" spans="1:2">
      <c r="A212" t="s">
        <v>8368</v>
      </c>
      <c r="B212" t="s">
        <v>2681</v>
      </c>
    </row>
    <row r="213" spans="1:2">
      <c r="A213" t="s">
        <v>8369</v>
      </c>
      <c r="B213" t="s">
        <v>2681</v>
      </c>
    </row>
    <row r="214" spans="1:2">
      <c r="A214" t="s">
        <v>8370</v>
      </c>
      <c r="B214" t="s">
        <v>2681</v>
      </c>
    </row>
    <row r="215" spans="1:2">
      <c r="A215" t="s">
        <v>8371</v>
      </c>
      <c r="B215" t="s">
        <v>2681</v>
      </c>
    </row>
    <row r="216" spans="1:2">
      <c r="A216" t="s">
        <v>8372</v>
      </c>
      <c r="B216" t="s">
        <v>2681</v>
      </c>
    </row>
    <row r="217" spans="1:2">
      <c r="A217" t="s">
        <v>8373</v>
      </c>
      <c r="B217" t="s">
        <v>2681</v>
      </c>
    </row>
    <row r="218" spans="1:2">
      <c r="A218" t="s">
        <v>8374</v>
      </c>
      <c r="B218" t="s">
        <v>2681</v>
      </c>
    </row>
    <row r="219" spans="1:2">
      <c r="A219" t="s">
        <v>8375</v>
      </c>
      <c r="B219" t="s">
        <v>2681</v>
      </c>
    </row>
    <row r="220" spans="1:2">
      <c r="A220" t="s">
        <v>8376</v>
      </c>
      <c r="B220" t="s">
        <v>2681</v>
      </c>
    </row>
    <row r="221" spans="1:2">
      <c r="A221" t="s">
        <v>8377</v>
      </c>
      <c r="B221" t="s">
        <v>2681</v>
      </c>
    </row>
    <row r="222" spans="1:2">
      <c r="A222" t="s">
        <v>8378</v>
      </c>
      <c r="B222" t="s">
        <v>2681</v>
      </c>
    </row>
    <row r="223" spans="1:2">
      <c r="A223" t="s">
        <v>8379</v>
      </c>
      <c r="B223" t="s">
        <v>2681</v>
      </c>
    </row>
    <row r="224" spans="1:2">
      <c r="A224" t="s">
        <v>8380</v>
      </c>
      <c r="B224" t="s">
        <v>2681</v>
      </c>
    </row>
    <row r="225" spans="1:2">
      <c r="A225" t="s">
        <v>8381</v>
      </c>
      <c r="B225" t="s">
        <v>2681</v>
      </c>
    </row>
    <row r="226" spans="1:2">
      <c r="A226" t="s">
        <v>8382</v>
      </c>
      <c r="B226" t="s">
        <v>2681</v>
      </c>
    </row>
    <row r="227" spans="1:2">
      <c r="A227" t="s">
        <v>8383</v>
      </c>
      <c r="B227" t="s">
        <v>2681</v>
      </c>
    </row>
    <row r="228" spans="1:2">
      <c r="A228" t="s">
        <v>8384</v>
      </c>
      <c r="B228" t="s">
        <v>2681</v>
      </c>
    </row>
    <row r="229" spans="1:2">
      <c r="A229" t="s">
        <v>8385</v>
      </c>
      <c r="B229" t="s">
        <v>2681</v>
      </c>
    </row>
    <row r="230" spans="1:2">
      <c r="A230" t="s">
        <v>8386</v>
      </c>
      <c r="B230" t="s">
        <v>2681</v>
      </c>
    </row>
    <row r="231" spans="1:2">
      <c r="A231" t="s">
        <v>8387</v>
      </c>
      <c r="B231" t="s">
        <v>2681</v>
      </c>
    </row>
    <row r="232" spans="1:2">
      <c r="A232" t="s">
        <v>8388</v>
      </c>
      <c r="B232" t="s">
        <v>2681</v>
      </c>
    </row>
    <row r="233" spans="1:2">
      <c r="A233" t="s">
        <v>8389</v>
      </c>
      <c r="B233" s="182" t="s">
        <v>2681</v>
      </c>
    </row>
    <row r="234" spans="1:2">
      <c r="A234" t="s">
        <v>8390</v>
      </c>
      <c r="B234" t="s">
        <v>2681</v>
      </c>
    </row>
    <row r="235" spans="1:2">
      <c r="A235" t="s">
        <v>8477</v>
      </c>
      <c r="B235" t="s">
        <v>8720</v>
      </c>
    </row>
    <row r="236" spans="1:2">
      <c r="A236" t="s">
        <v>8478</v>
      </c>
      <c r="B236" t="s">
        <v>8720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495E4-9884-4CF3-AFDD-8C64B1784F7A}">
  <dimension ref="A1:C240"/>
  <sheetViews>
    <sheetView workbookViewId="0"/>
  </sheetViews>
  <sheetFormatPr defaultRowHeight="15"/>
  <sheetData>
    <row r="1" spans="1:3">
      <c r="A1" t="s">
        <v>8006</v>
      </c>
      <c r="B1" t="s">
        <v>4828</v>
      </c>
    </row>
    <row r="2" spans="1:3">
      <c r="A2" t="s">
        <v>8007</v>
      </c>
      <c r="B2" t="s">
        <v>4828</v>
      </c>
    </row>
    <row r="3" spans="1:3">
      <c r="A3" t="s">
        <v>8008</v>
      </c>
      <c r="B3" t="s">
        <v>4828</v>
      </c>
    </row>
    <row r="4" spans="1:3">
      <c r="A4" t="s">
        <v>8009</v>
      </c>
      <c r="B4" t="s">
        <v>4828</v>
      </c>
    </row>
    <row r="5" spans="1:3">
      <c r="A5" t="s">
        <v>8010</v>
      </c>
      <c r="B5" t="s">
        <v>4828</v>
      </c>
    </row>
    <row r="6" spans="1:3">
      <c r="A6" t="s">
        <v>8011</v>
      </c>
      <c r="B6" t="s">
        <v>4828</v>
      </c>
    </row>
    <row r="7" spans="1:3">
      <c r="A7" t="s">
        <v>8012</v>
      </c>
      <c r="B7" t="s">
        <v>4828</v>
      </c>
    </row>
    <row r="8" spans="1:3">
      <c r="A8" t="s">
        <v>8013</v>
      </c>
      <c r="B8" t="s">
        <v>4828</v>
      </c>
    </row>
    <row r="9" spans="1:3">
      <c r="A9" t="s">
        <v>8014</v>
      </c>
      <c r="B9" t="s">
        <v>4828</v>
      </c>
    </row>
    <row r="10" spans="1:3">
      <c r="A10" t="s">
        <v>8015</v>
      </c>
      <c r="B10" t="s">
        <v>4828</v>
      </c>
    </row>
    <row r="11" spans="1:3">
      <c r="A11" t="s">
        <v>8016</v>
      </c>
      <c r="B11" t="s">
        <v>4828</v>
      </c>
    </row>
    <row r="12" spans="1:3">
      <c r="A12" t="s">
        <v>8017</v>
      </c>
      <c r="B12" t="s">
        <v>4828</v>
      </c>
    </row>
    <row r="13" spans="1:3">
      <c r="A13" t="s">
        <v>8018</v>
      </c>
      <c r="B13" s="182" t="s">
        <v>4828</v>
      </c>
      <c r="C13" t="s">
        <v>4828</v>
      </c>
    </row>
    <row r="14" spans="1:3">
      <c r="A14" t="s">
        <v>5779</v>
      </c>
      <c r="B14" t="s">
        <v>5803</v>
      </c>
    </row>
    <row r="15" spans="1:3">
      <c r="A15" t="s">
        <v>5780</v>
      </c>
      <c r="B15" t="s">
        <v>5803</v>
      </c>
    </row>
    <row r="16" spans="1:3">
      <c r="A16" t="s">
        <v>5781</v>
      </c>
      <c r="B16" t="s">
        <v>5804</v>
      </c>
    </row>
    <row r="17" spans="1:2">
      <c r="A17" t="s">
        <v>5782</v>
      </c>
      <c r="B17" t="s">
        <v>5804</v>
      </c>
    </row>
    <row r="18" spans="1:2">
      <c r="A18" t="s">
        <v>8020</v>
      </c>
      <c r="B18" t="s">
        <v>8058</v>
      </c>
    </row>
    <row r="19" spans="1:2">
      <c r="A19" t="s">
        <v>8021</v>
      </c>
      <c r="B19" t="s">
        <v>8059</v>
      </c>
    </row>
    <row r="20" spans="1:2">
      <c r="A20" t="s">
        <v>8022</v>
      </c>
      <c r="B20" t="s">
        <v>8059</v>
      </c>
    </row>
    <row r="21" spans="1:2">
      <c r="A21" t="s">
        <v>8023</v>
      </c>
      <c r="B21" t="s">
        <v>8059</v>
      </c>
    </row>
    <row r="22" spans="1:2">
      <c r="A22" t="s">
        <v>8024</v>
      </c>
      <c r="B22" t="s">
        <v>8059</v>
      </c>
    </row>
    <row r="23" spans="1:2">
      <c r="A23" t="s">
        <v>8025</v>
      </c>
      <c r="B23" t="s">
        <v>2372</v>
      </c>
    </row>
    <row r="24" spans="1:2">
      <c r="A24" t="s">
        <v>8031</v>
      </c>
      <c r="B24" t="s">
        <v>8061</v>
      </c>
    </row>
    <row r="25" spans="1:2">
      <c r="A25" t="s">
        <v>8032</v>
      </c>
      <c r="B25" t="s">
        <v>8061</v>
      </c>
    </row>
    <row r="26" spans="1:2">
      <c r="A26" t="s">
        <v>8033</v>
      </c>
      <c r="B26" t="s">
        <v>8061</v>
      </c>
    </row>
    <row r="27" spans="1:2">
      <c r="A27" t="s">
        <v>8034</v>
      </c>
      <c r="B27" t="s">
        <v>8061</v>
      </c>
    </row>
    <row r="28" spans="1:2">
      <c r="A28" t="s">
        <v>8035</v>
      </c>
      <c r="B28" t="s">
        <v>8061</v>
      </c>
    </row>
    <row r="29" spans="1:2">
      <c r="A29" t="s">
        <v>8036</v>
      </c>
      <c r="B29" t="s">
        <v>8062</v>
      </c>
    </row>
    <row r="30" spans="1:2">
      <c r="A30" t="s">
        <v>8037</v>
      </c>
      <c r="B30" t="s">
        <v>8063</v>
      </c>
    </row>
    <row r="31" spans="1:2">
      <c r="A31" t="s">
        <v>8038</v>
      </c>
      <c r="B31" t="s">
        <v>8063</v>
      </c>
    </row>
    <row r="32" spans="1:2">
      <c r="A32" t="s">
        <v>3110</v>
      </c>
      <c r="B32" t="s">
        <v>8064</v>
      </c>
    </row>
    <row r="33" spans="1:2">
      <c r="A33" t="s">
        <v>8039</v>
      </c>
      <c r="B33" t="s">
        <v>8063</v>
      </c>
    </row>
    <row r="34" spans="1:2">
      <c r="A34" t="s">
        <v>8042</v>
      </c>
      <c r="B34" t="s">
        <v>8065</v>
      </c>
    </row>
    <row r="35" spans="1:2">
      <c r="A35" t="s">
        <v>8043</v>
      </c>
      <c r="B35" t="s">
        <v>8064</v>
      </c>
    </row>
    <row r="36" spans="1:2">
      <c r="A36" t="s">
        <v>8044</v>
      </c>
      <c r="B36" t="s">
        <v>8062</v>
      </c>
    </row>
    <row r="37" spans="1:2">
      <c r="A37" t="s">
        <v>8045</v>
      </c>
      <c r="B37" t="s">
        <v>8066</v>
      </c>
    </row>
    <row r="38" spans="1:2">
      <c r="A38" t="s">
        <v>8048</v>
      </c>
      <c r="B38" t="s">
        <v>8067</v>
      </c>
    </row>
    <row r="39" spans="1:2">
      <c r="A39" t="s">
        <v>8049</v>
      </c>
      <c r="B39" t="s">
        <v>8067</v>
      </c>
    </row>
    <row r="40" spans="1:2">
      <c r="A40" t="s">
        <v>8050</v>
      </c>
      <c r="B40" t="s">
        <v>8065</v>
      </c>
    </row>
    <row r="41" spans="1:2">
      <c r="A41" t="s">
        <v>8051</v>
      </c>
      <c r="B41" t="s">
        <v>8065</v>
      </c>
    </row>
    <row r="42" spans="1:2">
      <c r="A42" t="s">
        <v>8052</v>
      </c>
      <c r="B42" t="s">
        <v>8064</v>
      </c>
    </row>
    <row r="43" spans="1:2">
      <c r="A43" t="s">
        <v>8053</v>
      </c>
      <c r="B43" t="s">
        <v>8064</v>
      </c>
    </row>
    <row r="44" spans="1:2">
      <c r="A44" t="s">
        <v>8054</v>
      </c>
      <c r="B44" t="s">
        <v>8065</v>
      </c>
    </row>
    <row r="45" spans="1:2">
      <c r="A45" t="s">
        <v>8055</v>
      </c>
      <c r="B45" t="s">
        <v>8064</v>
      </c>
    </row>
    <row r="46" spans="1:2">
      <c r="A46" t="s">
        <v>3146</v>
      </c>
      <c r="B46" t="s">
        <v>8064</v>
      </c>
    </row>
    <row r="47" spans="1:2">
      <c r="A47" t="s">
        <v>3151</v>
      </c>
      <c r="B47" t="s">
        <v>8062</v>
      </c>
    </row>
    <row r="48" spans="1:2">
      <c r="A48" t="s">
        <v>8056</v>
      </c>
    </row>
    <row r="49" spans="1:2">
      <c r="A49" t="s">
        <v>8057</v>
      </c>
      <c r="B49" t="s">
        <v>8069</v>
      </c>
    </row>
    <row r="50" spans="1:2">
      <c r="A50" t="s">
        <v>7811</v>
      </c>
      <c r="B50" t="s">
        <v>426</v>
      </c>
    </row>
    <row r="51" spans="1:2">
      <c r="A51" t="s">
        <v>7812</v>
      </c>
      <c r="B51" t="s">
        <v>426</v>
      </c>
    </row>
    <row r="52" spans="1:2">
      <c r="A52" t="s">
        <v>7813</v>
      </c>
      <c r="B52" t="s">
        <v>426</v>
      </c>
    </row>
    <row r="53" spans="1:2">
      <c r="A53" t="s">
        <v>7814</v>
      </c>
      <c r="B53" t="s">
        <v>426</v>
      </c>
    </row>
    <row r="54" spans="1:2">
      <c r="A54" t="s">
        <v>7815</v>
      </c>
      <c r="B54" t="s">
        <v>426</v>
      </c>
    </row>
    <row r="55" spans="1:2">
      <c r="A55" t="s">
        <v>7816</v>
      </c>
      <c r="B55" t="s">
        <v>426</v>
      </c>
    </row>
    <row r="56" spans="1:2">
      <c r="A56" t="s">
        <v>7817</v>
      </c>
      <c r="B56" t="s">
        <v>426</v>
      </c>
    </row>
    <row r="57" spans="1:2">
      <c r="A57" t="s">
        <v>8077</v>
      </c>
      <c r="B57" t="s">
        <v>8137</v>
      </c>
    </row>
    <row r="58" spans="1:2">
      <c r="A58" t="s">
        <v>8078</v>
      </c>
      <c r="B58" t="s">
        <v>8137</v>
      </c>
    </row>
    <row r="59" spans="1:2">
      <c r="A59" t="s">
        <v>8079</v>
      </c>
      <c r="B59" t="s">
        <v>8712</v>
      </c>
    </row>
    <row r="60" spans="1:2">
      <c r="A60" t="s">
        <v>8080</v>
      </c>
      <c r="B60" t="s">
        <v>8712</v>
      </c>
    </row>
    <row r="61" spans="1:2">
      <c r="A61" t="s">
        <v>8081</v>
      </c>
      <c r="B61" t="s">
        <v>8712</v>
      </c>
    </row>
    <row r="62" spans="1:2">
      <c r="A62" t="s">
        <v>8082</v>
      </c>
      <c r="B62" t="s">
        <v>8712</v>
      </c>
    </row>
    <row r="63" spans="1:2">
      <c r="A63" t="s">
        <v>8083</v>
      </c>
      <c r="B63" t="s">
        <v>8712</v>
      </c>
    </row>
    <row r="64" spans="1:2">
      <c r="A64" t="s">
        <v>8084</v>
      </c>
      <c r="B64" t="s">
        <v>8712</v>
      </c>
    </row>
    <row r="65" spans="1:2">
      <c r="A65" t="s">
        <v>8085</v>
      </c>
      <c r="B65" t="s">
        <v>8712</v>
      </c>
    </row>
    <row r="66" spans="1:2">
      <c r="A66" t="s">
        <v>8086</v>
      </c>
      <c r="B66" t="s">
        <v>8712</v>
      </c>
    </row>
    <row r="67" spans="1:2">
      <c r="A67" t="s">
        <v>8087</v>
      </c>
      <c r="B67" t="s">
        <v>8712</v>
      </c>
    </row>
    <row r="68" spans="1:2">
      <c r="A68" t="s">
        <v>8088</v>
      </c>
      <c r="B68" t="s">
        <v>8712</v>
      </c>
    </row>
    <row r="69" spans="1:2">
      <c r="A69" t="s">
        <v>8089</v>
      </c>
      <c r="B69" t="s">
        <v>8712</v>
      </c>
    </row>
    <row r="70" spans="1:2">
      <c r="A70" t="s">
        <v>8090</v>
      </c>
      <c r="B70" t="s">
        <v>8712</v>
      </c>
    </row>
    <row r="71" spans="1:2">
      <c r="A71" t="s">
        <v>8091</v>
      </c>
      <c r="B71" t="s">
        <v>8712</v>
      </c>
    </row>
    <row r="72" spans="1:2">
      <c r="A72" t="s">
        <v>8092</v>
      </c>
      <c r="B72" t="s">
        <v>8712</v>
      </c>
    </row>
    <row r="73" spans="1:2">
      <c r="A73" t="s">
        <v>8093</v>
      </c>
      <c r="B73" t="s">
        <v>8712</v>
      </c>
    </row>
    <row r="74" spans="1:2">
      <c r="A74" t="s">
        <v>8094</v>
      </c>
      <c r="B74" t="s">
        <v>8712</v>
      </c>
    </row>
    <row r="75" spans="1:2">
      <c r="A75" t="s">
        <v>8095</v>
      </c>
      <c r="B75" t="s">
        <v>8712</v>
      </c>
    </row>
    <row r="76" spans="1:2">
      <c r="A76" t="s">
        <v>8096</v>
      </c>
      <c r="B76" t="s">
        <v>8712</v>
      </c>
    </row>
    <row r="77" spans="1:2">
      <c r="A77" t="s">
        <v>8097</v>
      </c>
      <c r="B77" t="s">
        <v>8712</v>
      </c>
    </row>
    <row r="78" spans="1:2">
      <c r="A78" t="s">
        <v>8098</v>
      </c>
      <c r="B78" t="s">
        <v>8712</v>
      </c>
    </row>
    <row r="79" spans="1:2">
      <c r="A79" t="s">
        <v>8099</v>
      </c>
      <c r="B79" t="s">
        <v>8712</v>
      </c>
    </row>
    <row r="80" spans="1:2">
      <c r="A80" t="s">
        <v>8100</v>
      </c>
      <c r="B80" t="s">
        <v>8712</v>
      </c>
    </row>
    <row r="81" spans="1:2">
      <c r="A81" t="s">
        <v>8101</v>
      </c>
      <c r="B81" t="s">
        <v>8712</v>
      </c>
    </row>
    <row r="82" spans="1:2">
      <c r="A82" t="s">
        <v>8102</v>
      </c>
      <c r="B82" t="s">
        <v>8712</v>
      </c>
    </row>
    <row r="83" spans="1:2">
      <c r="A83" t="s">
        <v>8103</v>
      </c>
      <c r="B83" t="s">
        <v>8712</v>
      </c>
    </row>
    <row r="84" spans="1:2">
      <c r="A84" t="s">
        <v>8104</v>
      </c>
      <c r="B84" t="s">
        <v>8712</v>
      </c>
    </row>
    <row r="85" spans="1:2">
      <c r="A85" t="s">
        <v>8105</v>
      </c>
      <c r="B85" t="s">
        <v>8712</v>
      </c>
    </row>
    <row r="86" spans="1:2">
      <c r="A86" t="s">
        <v>8106</v>
      </c>
      <c r="B86" t="s">
        <v>8712</v>
      </c>
    </row>
    <row r="87" spans="1:2">
      <c r="A87" t="s">
        <v>8107</v>
      </c>
      <c r="B87" t="s">
        <v>8712</v>
      </c>
    </row>
    <row r="88" spans="1:2">
      <c r="A88" t="s">
        <v>8108</v>
      </c>
      <c r="B88" t="s">
        <v>8712</v>
      </c>
    </row>
    <row r="89" spans="1:2">
      <c r="A89" t="s">
        <v>8109</v>
      </c>
      <c r="B89" t="s">
        <v>8712</v>
      </c>
    </row>
    <row r="90" spans="1:2">
      <c r="A90" t="s">
        <v>8110</v>
      </c>
      <c r="B90" t="s">
        <v>8712</v>
      </c>
    </row>
    <row r="91" spans="1:2">
      <c r="A91" t="s">
        <v>8111</v>
      </c>
      <c r="B91" t="s">
        <v>8712</v>
      </c>
    </row>
    <row r="92" spans="1:2">
      <c r="A92" t="s">
        <v>8112</v>
      </c>
      <c r="B92" t="s">
        <v>8712</v>
      </c>
    </row>
    <row r="93" spans="1:2">
      <c r="A93" t="s">
        <v>8113</v>
      </c>
      <c r="B93" t="s">
        <v>8712</v>
      </c>
    </row>
    <row r="94" spans="1:2">
      <c r="A94" t="s">
        <v>8114</v>
      </c>
      <c r="B94" t="s">
        <v>8712</v>
      </c>
    </row>
    <row r="95" spans="1:2">
      <c r="A95" t="s">
        <v>8115</v>
      </c>
      <c r="B95" t="s">
        <v>8712</v>
      </c>
    </row>
    <row r="96" spans="1:2">
      <c r="A96" t="s">
        <v>8116</v>
      </c>
      <c r="B96" t="s">
        <v>8712</v>
      </c>
    </row>
    <row r="97" spans="1:2">
      <c r="A97" t="s">
        <v>8117</v>
      </c>
      <c r="B97" t="s">
        <v>7301</v>
      </c>
    </row>
    <row r="98" spans="1:2">
      <c r="A98" t="s">
        <v>8118</v>
      </c>
      <c r="B98" t="s">
        <v>8712</v>
      </c>
    </row>
    <row r="99" spans="1:2">
      <c r="A99" t="s">
        <v>8119</v>
      </c>
      <c r="B99" t="s">
        <v>8712</v>
      </c>
    </row>
    <row r="100" spans="1:2">
      <c r="A100" t="s">
        <v>8120</v>
      </c>
      <c r="B100" t="s">
        <v>8712</v>
      </c>
    </row>
    <row r="101" spans="1:2">
      <c r="A101" t="s">
        <v>8121</v>
      </c>
      <c r="B101" t="s">
        <v>8712</v>
      </c>
    </row>
    <row r="102" spans="1:2">
      <c r="A102" t="s">
        <v>8122</v>
      </c>
      <c r="B102" t="s">
        <v>7301</v>
      </c>
    </row>
    <row r="103" spans="1:2">
      <c r="A103" t="s">
        <v>8123</v>
      </c>
      <c r="B103" t="s">
        <v>8712</v>
      </c>
    </row>
    <row r="104" spans="1:2">
      <c r="A104" t="s">
        <v>8124</v>
      </c>
      <c r="B104" t="s">
        <v>8712</v>
      </c>
    </row>
    <row r="105" spans="1:2">
      <c r="A105" t="s">
        <v>8125</v>
      </c>
      <c r="B105" t="s">
        <v>8712</v>
      </c>
    </row>
    <row r="106" spans="1:2">
      <c r="A106" t="s">
        <v>8126</v>
      </c>
      <c r="B106" t="s">
        <v>8712</v>
      </c>
    </row>
    <row r="107" spans="1:2">
      <c r="A107" t="s">
        <v>8127</v>
      </c>
      <c r="B107" t="s">
        <v>8712</v>
      </c>
    </row>
    <row r="108" spans="1:2">
      <c r="A108" t="s">
        <v>8128</v>
      </c>
      <c r="B108" t="s">
        <v>8712</v>
      </c>
    </row>
    <row r="109" spans="1:2">
      <c r="A109" t="s">
        <v>8129</v>
      </c>
      <c r="B109" t="s">
        <v>8712</v>
      </c>
    </row>
    <row r="110" spans="1:2">
      <c r="A110" t="s">
        <v>8130</v>
      </c>
      <c r="B110" t="s">
        <v>8712</v>
      </c>
    </row>
    <row r="111" spans="1:2">
      <c r="A111" t="s">
        <v>8131</v>
      </c>
      <c r="B111" t="s">
        <v>8712</v>
      </c>
    </row>
    <row r="112" spans="1:2">
      <c r="A112" t="s">
        <v>8132</v>
      </c>
      <c r="B112" t="s">
        <v>8712</v>
      </c>
    </row>
    <row r="113" spans="1:2">
      <c r="A113" t="s">
        <v>8133</v>
      </c>
      <c r="B113" t="s">
        <v>8712</v>
      </c>
    </row>
    <row r="114" spans="1:2">
      <c r="A114" t="s">
        <v>8134</v>
      </c>
      <c r="B114" t="s">
        <v>8712</v>
      </c>
    </row>
    <row r="115" spans="1:2">
      <c r="A115" t="s">
        <v>8177</v>
      </c>
      <c r="B115" t="s">
        <v>2681</v>
      </c>
    </row>
    <row r="116" spans="1:2">
      <c r="A116" t="s">
        <v>8185</v>
      </c>
      <c r="B116" t="s">
        <v>8713</v>
      </c>
    </row>
    <row r="117" spans="1:2">
      <c r="A117" t="s">
        <v>8186</v>
      </c>
      <c r="B117" t="s">
        <v>8713</v>
      </c>
    </row>
    <row r="118" spans="1:2">
      <c r="A118" t="s">
        <v>8187</v>
      </c>
      <c r="B118" t="s">
        <v>8713</v>
      </c>
    </row>
    <row r="119" spans="1:2">
      <c r="A119" t="s">
        <v>8188</v>
      </c>
      <c r="B119" t="s">
        <v>8713</v>
      </c>
    </row>
    <row r="120" spans="1:2">
      <c r="A120" t="s">
        <v>8189</v>
      </c>
      <c r="B120" t="s">
        <v>8713</v>
      </c>
    </row>
    <row r="121" spans="1:2">
      <c r="A121" t="s">
        <v>8190</v>
      </c>
      <c r="B121" t="s">
        <v>8713</v>
      </c>
    </row>
    <row r="122" spans="1:2">
      <c r="A122" t="s">
        <v>8191</v>
      </c>
      <c r="B122" t="s">
        <v>8713</v>
      </c>
    </row>
    <row r="123" spans="1:2">
      <c r="A123" t="s">
        <v>8192</v>
      </c>
      <c r="B123" t="s">
        <v>8713</v>
      </c>
    </row>
    <row r="124" spans="1:2">
      <c r="A124" t="s">
        <v>8193</v>
      </c>
      <c r="B124" t="s">
        <v>8713</v>
      </c>
    </row>
    <row r="125" spans="1:2">
      <c r="A125" t="s">
        <v>8194</v>
      </c>
      <c r="B125" t="s">
        <v>8713</v>
      </c>
    </row>
    <row r="126" spans="1:2">
      <c r="A126" t="s">
        <v>8195</v>
      </c>
      <c r="B126" t="s">
        <v>8713</v>
      </c>
    </row>
    <row r="127" spans="1:2">
      <c r="A127" t="s">
        <v>8196</v>
      </c>
      <c r="B127" t="s">
        <v>8713</v>
      </c>
    </row>
    <row r="128" spans="1:2">
      <c r="A128" t="s">
        <v>8197</v>
      </c>
      <c r="B128" t="s">
        <v>8713</v>
      </c>
    </row>
    <row r="129" spans="1:2">
      <c r="A129" t="s">
        <v>8198</v>
      </c>
      <c r="B129" t="s">
        <v>8713</v>
      </c>
    </row>
    <row r="130" spans="1:2">
      <c r="A130" t="s">
        <v>8199</v>
      </c>
      <c r="B130" t="s">
        <v>8713</v>
      </c>
    </row>
    <row r="131" spans="1:2">
      <c r="A131" t="s">
        <v>8200</v>
      </c>
      <c r="B131" t="s">
        <v>8713</v>
      </c>
    </row>
    <row r="132" spans="1:2">
      <c r="A132" t="s">
        <v>8201</v>
      </c>
      <c r="B132" t="s">
        <v>8713</v>
      </c>
    </row>
    <row r="133" spans="1:2">
      <c r="A133" t="s">
        <v>8202</v>
      </c>
      <c r="B133" t="s">
        <v>8713</v>
      </c>
    </row>
    <row r="134" spans="1:2">
      <c r="A134" t="s">
        <v>8203</v>
      </c>
      <c r="B134" t="s">
        <v>8713</v>
      </c>
    </row>
    <row r="135" spans="1:2">
      <c r="A135" t="s">
        <v>8204</v>
      </c>
      <c r="B135" t="s">
        <v>8713</v>
      </c>
    </row>
    <row r="136" spans="1:2">
      <c r="A136" t="s">
        <v>8205</v>
      </c>
      <c r="B136" t="s">
        <v>8713</v>
      </c>
    </row>
    <row r="137" spans="1:2">
      <c r="A137" t="s">
        <v>8206</v>
      </c>
      <c r="B137" t="s">
        <v>8713</v>
      </c>
    </row>
    <row r="138" spans="1:2">
      <c r="A138" t="s">
        <v>8207</v>
      </c>
      <c r="B138" t="s">
        <v>8713</v>
      </c>
    </row>
    <row r="139" spans="1:2">
      <c r="A139" t="s">
        <v>8208</v>
      </c>
      <c r="B139" t="s">
        <v>8713</v>
      </c>
    </row>
    <row r="140" spans="1:2">
      <c r="A140" t="s">
        <v>8209</v>
      </c>
      <c r="B140" t="s">
        <v>8713</v>
      </c>
    </row>
    <row r="141" spans="1:2">
      <c r="A141" t="s">
        <v>8210</v>
      </c>
      <c r="B141" t="s">
        <v>8713</v>
      </c>
    </row>
    <row r="142" spans="1:2">
      <c r="A142" t="s">
        <v>8211</v>
      </c>
      <c r="B142" t="s">
        <v>8713</v>
      </c>
    </row>
    <row r="143" spans="1:2">
      <c r="A143" t="s">
        <v>8212</v>
      </c>
      <c r="B143" t="s">
        <v>8713</v>
      </c>
    </row>
    <row r="144" spans="1:2">
      <c r="A144" t="s">
        <v>8213</v>
      </c>
      <c r="B144" t="s">
        <v>8713</v>
      </c>
    </row>
    <row r="145" spans="1:2">
      <c r="A145" t="s">
        <v>8214</v>
      </c>
      <c r="B145" t="s">
        <v>8713</v>
      </c>
    </row>
    <row r="146" spans="1:2">
      <c r="A146" t="s">
        <v>8215</v>
      </c>
      <c r="B146" t="s">
        <v>8713</v>
      </c>
    </row>
    <row r="147" spans="1:2">
      <c r="A147" t="s">
        <v>8216</v>
      </c>
      <c r="B147" t="s">
        <v>8713</v>
      </c>
    </row>
    <row r="148" spans="1:2">
      <c r="A148" t="s">
        <v>8217</v>
      </c>
      <c r="B148" t="s">
        <v>8713</v>
      </c>
    </row>
    <row r="149" spans="1:2">
      <c r="A149" t="s">
        <v>8218</v>
      </c>
      <c r="B149" t="s">
        <v>8713</v>
      </c>
    </row>
    <row r="150" spans="1:2">
      <c r="A150" t="s">
        <v>8219</v>
      </c>
      <c r="B150" t="s">
        <v>8713</v>
      </c>
    </row>
    <row r="151" spans="1:2">
      <c r="A151" t="s">
        <v>8220</v>
      </c>
      <c r="B151" t="s">
        <v>8713</v>
      </c>
    </row>
    <row r="152" spans="1:2">
      <c r="A152" t="s">
        <v>8221</v>
      </c>
      <c r="B152" t="s">
        <v>8713</v>
      </c>
    </row>
    <row r="153" spans="1:2">
      <c r="A153" t="s">
        <v>8222</v>
      </c>
      <c r="B153" t="s">
        <v>8713</v>
      </c>
    </row>
    <row r="154" spans="1:2">
      <c r="A154" t="s">
        <v>8391</v>
      </c>
      <c r="B154" t="s">
        <v>2681</v>
      </c>
    </row>
    <row r="155" spans="1:2">
      <c r="A155" t="s">
        <v>8392</v>
      </c>
      <c r="B155" t="s">
        <v>2681</v>
      </c>
    </row>
    <row r="156" spans="1:2">
      <c r="A156" t="s">
        <v>8393</v>
      </c>
      <c r="B156" t="s">
        <v>2681</v>
      </c>
    </row>
    <row r="157" spans="1:2">
      <c r="A157" t="s">
        <v>8394</v>
      </c>
      <c r="B157" t="s">
        <v>2681</v>
      </c>
    </row>
    <row r="158" spans="1:2">
      <c r="A158" t="s">
        <v>8395</v>
      </c>
      <c r="B158" t="s">
        <v>2681</v>
      </c>
    </row>
    <row r="159" spans="1:2">
      <c r="A159" t="s">
        <v>8396</v>
      </c>
      <c r="B159" t="s">
        <v>2681</v>
      </c>
    </row>
    <row r="160" spans="1:2">
      <c r="A160" t="s">
        <v>8397</v>
      </c>
      <c r="B160" t="s">
        <v>2681</v>
      </c>
    </row>
    <row r="161" spans="1:2">
      <c r="A161" t="s">
        <v>8398</v>
      </c>
      <c r="B161" t="s">
        <v>2681</v>
      </c>
    </row>
    <row r="162" spans="1:2">
      <c r="A162" t="s">
        <v>8399</v>
      </c>
      <c r="B162" t="s">
        <v>2681</v>
      </c>
    </row>
    <row r="163" spans="1:2">
      <c r="A163" t="s">
        <v>8400</v>
      </c>
      <c r="B163" t="s">
        <v>2681</v>
      </c>
    </row>
    <row r="164" spans="1:2">
      <c r="A164" t="s">
        <v>8401</v>
      </c>
      <c r="B164" t="s">
        <v>2681</v>
      </c>
    </row>
    <row r="165" spans="1:2">
      <c r="A165" t="s">
        <v>8402</v>
      </c>
      <c r="B165" t="s">
        <v>2681</v>
      </c>
    </row>
    <row r="166" spans="1:2">
      <c r="A166" t="s">
        <v>8403</v>
      </c>
      <c r="B166" t="s">
        <v>2681</v>
      </c>
    </row>
    <row r="167" spans="1:2">
      <c r="A167" t="s">
        <v>8404</v>
      </c>
      <c r="B167" t="s">
        <v>2681</v>
      </c>
    </row>
    <row r="168" spans="1:2">
      <c r="A168" t="s">
        <v>8405</v>
      </c>
      <c r="B168" t="s">
        <v>2681</v>
      </c>
    </row>
    <row r="169" spans="1:2">
      <c r="A169" t="s">
        <v>8406</v>
      </c>
      <c r="B169" t="s">
        <v>2681</v>
      </c>
    </row>
    <row r="170" spans="1:2">
      <c r="A170" t="s">
        <v>8407</v>
      </c>
      <c r="B170" t="s">
        <v>2681</v>
      </c>
    </row>
    <row r="171" spans="1:2">
      <c r="A171" t="s">
        <v>8408</v>
      </c>
      <c r="B171" t="s">
        <v>2681</v>
      </c>
    </row>
    <row r="172" spans="1:2">
      <c r="A172" t="s">
        <v>8409</v>
      </c>
      <c r="B172" t="s">
        <v>2681</v>
      </c>
    </row>
    <row r="173" spans="1:2">
      <c r="A173" t="s">
        <v>8410</v>
      </c>
      <c r="B173" t="s">
        <v>2681</v>
      </c>
    </row>
    <row r="174" spans="1:2">
      <c r="A174" t="s">
        <v>8411</v>
      </c>
      <c r="B174" t="s">
        <v>2681</v>
      </c>
    </row>
    <row r="175" spans="1:2">
      <c r="A175" t="s">
        <v>8412</v>
      </c>
      <c r="B175" t="s">
        <v>2681</v>
      </c>
    </row>
    <row r="176" spans="1:2">
      <c r="A176" t="s">
        <v>8413</v>
      </c>
      <c r="B176" t="s">
        <v>2681</v>
      </c>
    </row>
    <row r="177" spans="1:2">
      <c r="A177" t="s">
        <v>8414</v>
      </c>
      <c r="B177" t="s">
        <v>2681</v>
      </c>
    </row>
    <row r="178" spans="1:2">
      <c r="A178" t="s">
        <v>8415</v>
      </c>
      <c r="B178" t="s">
        <v>2681</v>
      </c>
    </row>
    <row r="179" spans="1:2">
      <c r="A179" t="s">
        <v>8416</v>
      </c>
      <c r="B179" t="s">
        <v>2681</v>
      </c>
    </row>
    <row r="180" spans="1:2">
      <c r="A180" t="s">
        <v>8417</v>
      </c>
      <c r="B180" t="s">
        <v>2681</v>
      </c>
    </row>
    <row r="181" spans="1:2">
      <c r="A181" t="s">
        <v>8418</v>
      </c>
      <c r="B181" t="s">
        <v>2681</v>
      </c>
    </row>
    <row r="182" spans="1:2">
      <c r="A182" t="s">
        <v>8419</v>
      </c>
      <c r="B182" t="s">
        <v>2681</v>
      </c>
    </row>
    <row r="183" spans="1:2">
      <c r="A183" t="s">
        <v>8420</v>
      </c>
      <c r="B183" t="s">
        <v>2681</v>
      </c>
    </row>
    <row r="184" spans="1:2">
      <c r="A184" t="s">
        <v>8421</v>
      </c>
      <c r="B184" t="s">
        <v>2681</v>
      </c>
    </row>
    <row r="185" spans="1:2">
      <c r="A185" t="s">
        <v>8422</v>
      </c>
      <c r="B185" t="s">
        <v>2681</v>
      </c>
    </row>
    <row r="186" spans="1:2">
      <c r="A186" t="s">
        <v>8423</v>
      </c>
      <c r="B186" t="s">
        <v>2681</v>
      </c>
    </row>
    <row r="187" spans="1:2">
      <c r="A187" t="s">
        <v>8424</v>
      </c>
      <c r="B187" t="s">
        <v>2681</v>
      </c>
    </row>
    <row r="188" spans="1:2">
      <c r="A188" t="s">
        <v>8425</v>
      </c>
      <c r="B188" t="s">
        <v>2681</v>
      </c>
    </row>
    <row r="189" spans="1:2">
      <c r="A189" t="s">
        <v>8426</v>
      </c>
      <c r="B189" t="s">
        <v>2681</v>
      </c>
    </row>
    <row r="190" spans="1:2">
      <c r="A190" t="s">
        <v>8427</v>
      </c>
      <c r="B190" t="s">
        <v>2681</v>
      </c>
    </row>
    <row r="191" spans="1:2">
      <c r="A191" t="s">
        <v>8428</v>
      </c>
      <c r="B191" t="s">
        <v>2681</v>
      </c>
    </row>
    <row r="192" spans="1:2">
      <c r="A192" t="s">
        <v>8429</v>
      </c>
      <c r="B192" t="s">
        <v>2681</v>
      </c>
    </row>
    <row r="193" spans="1:2">
      <c r="A193" t="s">
        <v>8430</v>
      </c>
      <c r="B193" t="s">
        <v>2681</v>
      </c>
    </row>
    <row r="194" spans="1:2">
      <c r="A194" t="s">
        <v>8431</v>
      </c>
      <c r="B194" t="s">
        <v>2681</v>
      </c>
    </row>
    <row r="195" spans="1:2">
      <c r="A195" t="s">
        <v>8432</v>
      </c>
      <c r="B195" t="s">
        <v>2681</v>
      </c>
    </row>
    <row r="196" spans="1:2">
      <c r="A196" t="s">
        <v>8433</v>
      </c>
      <c r="B196" t="s">
        <v>2681</v>
      </c>
    </row>
    <row r="197" spans="1:2">
      <c r="A197" t="s">
        <v>8434</v>
      </c>
      <c r="B197" t="s">
        <v>2681</v>
      </c>
    </row>
    <row r="198" spans="1:2">
      <c r="A198" t="s">
        <v>8435</v>
      </c>
      <c r="B198" t="s">
        <v>2681</v>
      </c>
    </row>
    <row r="199" spans="1:2">
      <c r="A199" t="s">
        <v>8436</v>
      </c>
      <c r="B199" t="s">
        <v>2681</v>
      </c>
    </row>
    <row r="200" spans="1:2">
      <c r="A200" t="s">
        <v>8437</v>
      </c>
      <c r="B200" t="s">
        <v>2681</v>
      </c>
    </row>
    <row r="201" spans="1:2">
      <c r="A201" t="s">
        <v>8438</v>
      </c>
      <c r="B201" t="s">
        <v>2681</v>
      </c>
    </row>
    <row r="202" spans="1:2">
      <c r="A202" t="s">
        <v>8439</v>
      </c>
      <c r="B202" t="s">
        <v>2681</v>
      </c>
    </row>
    <row r="203" spans="1:2">
      <c r="A203" t="s">
        <v>8440</v>
      </c>
      <c r="B203" t="s">
        <v>2681</v>
      </c>
    </row>
    <row r="204" spans="1:2">
      <c r="A204" t="s">
        <v>8441</v>
      </c>
      <c r="B204" t="s">
        <v>2681</v>
      </c>
    </row>
    <row r="205" spans="1:2">
      <c r="A205" t="s">
        <v>8442</v>
      </c>
      <c r="B205" t="s">
        <v>2681</v>
      </c>
    </row>
    <row r="206" spans="1:2">
      <c r="A206" t="s">
        <v>8443</v>
      </c>
      <c r="B206" t="s">
        <v>2681</v>
      </c>
    </row>
    <row r="207" spans="1:2">
      <c r="A207" t="s">
        <v>8444</v>
      </c>
      <c r="B207" t="s">
        <v>2681</v>
      </c>
    </row>
    <row r="208" spans="1:2">
      <c r="A208" t="s">
        <v>8445</v>
      </c>
      <c r="B208" t="s">
        <v>2681</v>
      </c>
    </row>
    <row r="209" spans="1:2">
      <c r="A209" t="s">
        <v>8446</v>
      </c>
      <c r="B209" t="s">
        <v>2681</v>
      </c>
    </row>
    <row r="210" spans="1:2">
      <c r="A210" t="s">
        <v>8447</v>
      </c>
      <c r="B210" t="s">
        <v>2681</v>
      </c>
    </row>
    <row r="211" spans="1:2">
      <c r="A211" t="s">
        <v>8448</v>
      </c>
      <c r="B211" t="s">
        <v>2681</v>
      </c>
    </row>
    <row r="212" spans="1:2">
      <c r="A212" t="s">
        <v>8449</v>
      </c>
      <c r="B212" t="s">
        <v>2681</v>
      </c>
    </row>
    <row r="213" spans="1:2">
      <c r="A213" t="s">
        <v>8450</v>
      </c>
      <c r="B213" t="s">
        <v>2681</v>
      </c>
    </row>
    <row r="214" spans="1:2">
      <c r="A214" t="s">
        <v>8451</v>
      </c>
      <c r="B214" t="s">
        <v>2681</v>
      </c>
    </row>
    <row r="215" spans="1:2">
      <c r="A215" t="s">
        <v>8452</v>
      </c>
      <c r="B215" t="s">
        <v>2681</v>
      </c>
    </row>
    <row r="216" spans="1:2">
      <c r="A216" t="s">
        <v>8453</v>
      </c>
      <c r="B216" t="s">
        <v>2681</v>
      </c>
    </row>
    <row r="217" spans="1:2">
      <c r="A217" t="s">
        <v>8454</v>
      </c>
      <c r="B217" t="s">
        <v>2681</v>
      </c>
    </row>
    <row r="218" spans="1:2">
      <c r="A218" t="s">
        <v>8455</v>
      </c>
      <c r="B218" t="s">
        <v>2681</v>
      </c>
    </row>
    <row r="219" spans="1:2">
      <c r="A219" t="s">
        <v>8456</v>
      </c>
      <c r="B219" t="s">
        <v>2681</v>
      </c>
    </row>
    <row r="220" spans="1:2">
      <c r="A220" t="s">
        <v>8457</v>
      </c>
      <c r="B220" t="s">
        <v>2681</v>
      </c>
    </row>
    <row r="221" spans="1:2">
      <c r="A221" t="s">
        <v>8458</v>
      </c>
      <c r="B221" t="s">
        <v>2681</v>
      </c>
    </row>
    <row r="222" spans="1:2">
      <c r="A222" t="s">
        <v>8459</v>
      </c>
      <c r="B222" t="s">
        <v>2681</v>
      </c>
    </row>
    <row r="223" spans="1:2">
      <c r="A223" t="s">
        <v>8460</v>
      </c>
      <c r="B223" t="s">
        <v>2681</v>
      </c>
    </row>
    <row r="224" spans="1:2">
      <c r="A224" t="s">
        <v>8461</v>
      </c>
      <c r="B224" t="s">
        <v>2681</v>
      </c>
    </row>
    <row r="225" spans="1:2">
      <c r="A225" t="s">
        <v>8462</v>
      </c>
      <c r="B225" t="s">
        <v>2681</v>
      </c>
    </row>
    <row r="226" spans="1:2">
      <c r="A226" t="s">
        <v>8463</v>
      </c>
      <c r="B226" t="s">
        <v>2681</v>
      </c>
    </row>
    <row r="227" spans="1:2">
      <c r="A227" t="s">
        <v>8464</v>
      </c>
      <c r="B227" t="s">
        <v>2681</v>
      </c>
    </row>
    <row r="228" spans="1:2">
      <c r="A228" t="s">
        <v>8465</v>
      </c>
      <c r="B228" t="s">
        <v>2681</v>
      </c>
    </row>
    <row r="229" spans="1:2">
      <c r="A229" t="s">
        <v>8466</v>
      </c>
      <c r="B229" t="s">
        <v>2681</v>
      </c>
    </row>
    <row r="230" spans="1:2">
      <c r="A230" t="s">
        <v>8467</v>
      </c>
      <c r="B230" t="s">
        <v>2681</v>
      </c>
    </row>
    <row r="231" spans="1:2">
      <c r="A231" t="s">
        <v>8468</v>
      </c>
      <c r="B231" t="s">
        <v>2681</v>
      </c>
    </row>
    <row r="232" spans="1:2">
      <c r="A232" t="s">
        <v>8469</v>
      </c>
      <c r="B232" t="s">
        <v>2681</v>
      </c>
    </row>
    <row r="233" spans="1:2">
      <c r="A233" t="s">
        <v>8470</v>
      </c>
      <c r="B233" t="s">
        <v>2681</v>
      </c>
    </row>
    <row r="234" spans="1:2">
      <c r="A234" t="s">
        <v>8471</v>
      </c>
      <c r="B234" t="s">
        <v>2681</v>
      </c>
    </row>
    <row r="235" spans="1:2">
      <c r="A235" t="s">
        <v>8472</v>
      </c>
      <c r="B235" t="s">
        <v>2681</v>
      </c>
    </row>
    <row r="236" spans="1:2">
      <c r="A236" t="s">
        <v>8473</v>
      </c>
      <c r="B236" t="s">
        <v>2681</v>
      </c>
    </row>
    <row r="237" spans="1:2">
      <c r="A237" t="s">
        <v>8474</v>
      </c>
      <c r="B237" t="s">
        <v>2681</v>
      </c>
    </row>
    <row r="238" spans="1:2">
      <c r="A238" t="s">
        <v>8475</v>
      </c>
      <c r="B238" t="s">
        <v>2681</v>
      </c>
    </row>
    <row r="239" spans="1:2">
      <c r="A239" t="s">
        <v>8476</v>
      </c>
      <c r="B239" t="s">
        <v>2681</v>
      </c>
    </row>
    <row r="240" spans="1:2">
      <c r="A240" t="s">
        <v>8483</v>
      </c>
      <c r="B240" t="s">
        <v>8714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C1A81-CC4A-4EFD-9C23-EAB697542B30}">
  <dimension ref="A1:C227"/>
  <sheetViews>
    <sheetView topLeftCell="A157" workbookViewId="0">
      <selection activeCell="F201" sqref="F201"/>
    </sheetView>
  </sheetViews>
  <sheetFormatPr defaultRowHeight="15"/>
  <sheetData>
    <row r="1" spans="1:3">
      <c r="A1">
        <v>1000</v>
      </c>
      <c r="B1" t="s">
        <v>8484</v>
      </c>
    </row>
    <row r="2" spans="1:3">
      <c r="A2" t="s">
        <v>8135</v>
      </c>
      <c r="C2" t="s">
        <v>8485</v>
      </c>
    </row>
    <row r="3" spans="1:3">
      <c r="A3" t="s">
        <v>8136</v>
      </c>
      <c r="C3" t="s">
        <v>8486</v>
      </c>
    </row>
    <row r="4" spans="1:3">
      <c r="A4" t="s">
        <v>8138</v>
      </c>
      <c r="C4" t="s">
        <v>8487</v>
      </c>
    </row>
    <row r="5" spans="1:3">
      <c r="A5" t="s">
        <v>8136</v>
      </c>
      <c r="C5" t="s">
        <v>8488</v>
      </c>
    </row>
    <row r="6" spans="1:3">
      <c r="A6" t="s">
        <v>8137</v>
      </c>
      <c r="C6" t="s">
        <v>8489</v>
      </c>
    </row>
    <row r="7" spans="1:3">
      <c r="A7" t="s">
        <v>8137</v>
      </c>
      <c r="C7" t="s">
        <v>8490</v>
      </c>
    </row>
    <row r="8" spans="1:3">
      <c r="A8" t="s">
        <v>8479</v>
      </c>
      <c r="C8" t="s">
        <v>8491</v>
      </c>
    </row>
    <row r="9" spans="1:3">
      <c r="A9" t="s">
        <v>8479</v>
      </c>
      <c r="C9" t="s">
        <v>8492</v>
      </c>
    </row>
    <row r="10" spans="1:3">
      <c r="A10" t="s">
        <v>8479</v>
      </c>
      <c r="C10" t="s">
        <v>8493</v>
      </c>
    </row>
    <row r="11" spans="1:3">
      <c r="A11" t="s">
        <v>8479</v>
      </c>
      <c r="C11" t="s">
        <v>8494</v>
      </c>
    </row>
    <row r="12" spans="1:3">
      <c r="A12" t="s">
        <v>8479</v>
      </c>
      <c r="C12" t="s">
        <v>8495</v>
      </c>
    </row>
    <row r="13" spans="1:3">
      <c r="A13" t="s">
        <v>8479</v>
      </c>
      <c r="C13" t="s">
        <v>8496</v>
      </c>
    </row>
    <row r="14" spans="1:3">
      <c r="A14" t="s">
        <v>8479</v>
      </c>
      <c r="C14" t="s">
        <v>8497</v>
      </c>
    </row>
    <row r="15" spans="1:3">
      <c r="A15" t="s">
        <v>8479</v>
      </c>
      <c r="C15" t="s">
        <v>8498</v>
      </c>
    </row>
    <row r="16" spans="1:3">
      <c r="A16" t="s">
        <v>8479</v>
      </c>
      <c r="C16" t="s">
        <v>8499</v>
      </c>
    </row>
    <row r="17" spans="1:3">
      <c r="A17" t="s">
        <v>8479</v>
      </c>
      <c r="C17" t="s">
        <v>8500</v>
      </c>
    </row>
    <row r="18" spans="1:3">
      <c r="A18" t="s">
        <v>8479</v>
      </c>
      <c r="C18" t="s">
        <v>8501</v>
      </c>
    </row>
    <row r="19" spans="1:3">
      <c r="A19" t="s">
        <v>8479</v>
      </c>
      <c r="C19" t="s">
        <v>8502</v>
      </c>
    </row>
    <row r="20" spans="1:3">
      <c r="A20" t="s">
        <v>8479</v>
      </c>
      <c r="C20" t="s">
        <v>8503</v>
      </c>
    </row>
    <row r="21" spans="1:3">
      <c r="A21" t="s">
        <v>8479</v>
      </c>
      <c r="C21" t="s">
        <v>8504</v>
      </c>
    </row>
    <row r="22" spans="1:3">
      <c r="A22" t="s">
        <v>8479</v>
      </c>
      <c r="C22" t="s">
        <v>8505</v>
      </c>
    </row>
    <row r="23" spans="1:3">
      <c r="A23" t="s">
        <v>8479</v>
      </c>
      <c r="C23" t="s">
        <v>8506</v>
      </c>
    </row>
    <row r="24" spans="1:3">
      <c r="A24" t="s">
        <v>8479</v>
      </c>
      <c r="C24" t="s">
        <v>8507</v>
      </c>
    </row>
    <row r="25" spans="1:3">
      <c r="A25" t="s">
        <v>8479</v>
      </c>
      <c r="C25" t="s">
        <v>8508</v>
      </c>
    </row>
    <row r="26" spans="1:3">
      <c r="A26" t="s">
        <v>8479</v>
      </c>
      <c r="C26" t="s">
        <v>8509</v>
      </c>
    </row>
    <row r="27" spans="1:3">
      <c r="A27" t="s">
        <v>8479</v>
      </c>
      <c r="C27" t="s">
        <v>8510</v>
      </c>
    </row>
    <row r="28" spans="1:3">
      <c r="A28" t="s">
        <v>8479</v>
      </c>
      <c r="C28" t="s">
        <v>8511</v>
      </c>
    </row>
    <row r="29" spans="1:3">
      <c r="A29" t="s">
        <v>8479</v>
      </c>
      <c r="C29" t="s">
        <v>8512</v>
      </c>
    </row>
    <row r="30" spans="1:3">
      <c r="A30" t="s">
        <v>8479</v>
      </c>
      <c r="C30" t="s">
        <v>8513</v>
      </c>
    </row>
    <row r="31" spans="1:3">
      <c r="A31" t="s">
        <v>8479</v>
      </c>
      <c r="C31" t="s">
        <v>8514</v>
      </c>
    </row>
    <row r="32" spans="1:3">
      <c r="A32" t="s">
        <v>8479</v>
      </c>
      <c r="C32" t="s">
        <v>8515</v>
      </c>
    </row>
    <row r="33" spans="1:3">
      <c r="A33" t="s">
        <v>8479</v>
      </c>
      <c r="C33" t="s">
        <v>8516</v>
      </c>
    </row>
    <row r="34" spans="1:3">
      <c r="A34" t="s">
        <v>8479</v>
      </c>
      <c r="C34" t="s">
        <v>8517</v>
      </c>
    </row>
    <row r="35" spans="1:3">
      <c r="A35" t="s">
        <v>8479</v>
      </c>
      <c r="C35" t="s">
        <v>8518</v>
      </c>
    </row>
    <row r="36" spans="1:3">
      <c r="A36" t="s">
        <v>8479</v>
      </c>
      <c r="C36" t="s">
        <v>8519</v>
      </c>
    </row>
    <row r="37" spans="1:3">
      <c r="A37" t="s">
        <v>8479</v>
      </c>
      <c r="C37" t="s">
        <v>8520</v>
      </c>
    </row>
    <row r="38" spans="1:3">
      <c r="A38" t="s">
        <v>8479</v>
      </c>
      <c r="C38" t="s">
        <v>8521</v>
      </c>
    </row>
    <row r="39" spans="1:3">
      <c r="A39" t="s">
        <v>8479</v>
      </c>
      <c r="C39" t="s">
        <v>8522</v>
      </c>
    </row>
    <row r="40" spans="1:3">
      <c r="A40" t="s">
        <v>8479</v>
      </c>
      <c r="C40" t="s">
        <v>8523</v>
      </c>
    </row>
    <row r="41" spans="1:3">
      <c r="A41" t="s">
        <v>8479</v>
      </c>
      <c r="C41" t="s">
        <v>8524</v>
      </c>
    </row>
    <row r="42" spans="1:3">
      <c r="A42" t="s">
        <v>8479</v>
      </c>
      <c r="C42" t="s">
        <v>8525</v>
      </c>
    </row>
    <row r="43" spans="1:3">
      <c r="A43" t="s">
        <v>8479</v>
      </c>
      <c r="C43" t="s">
        <v>8526</v>
      </c>
    </row>
    <row r="44" spans="1:3">
      <c r="A44" t="s">
        <v>8479</v>
      </c>
      <c r="C44" t="s">
        <v>8527</v>
      </c>
    </row>
    <row r="45" spans="1:3">
      <c r="A45" t="s">
        <v>8479</v>
      </c>
      <c r="C45" t="s">
        <v>8528</v>
      </c>
    </row>
    <row r="46" spans="1:3">
      <c r="A46" t="s">
        <v>8480</v>
      </c>
      <c r="C46" t="s">
        <v>8529</v>
      </c>
    </row>
    <row r="47" spans="1:3">
      <c r="A47" t="s">
        <v>8480</v>
      </c>
      <c r="C47" t="s">
        <v>8530</v>
      </c>
    </row>
    <row r="48" spans="1:3">
      <c r="A48" t="s">
        <v>8480</v>
      </c>
      <c r="C48" t="s">
        <v>8531</v>
      </c>
    </row>
    <row r="49" spans="1:3">
      <c r="A49" t="s">
        <v>8480</v>
      </c>
      <c r="C49" t="s">
        <v>8532</v>
      </c>
    </row>
    <row r="50" spans="1:3">
      <c r="A50" t="s">
        <v>8480</v>
      </c>
      <c r="C50" t="s">
        <v>8533</v>
      </c>
    </row>
    <row r="51" spans="1:3">
      <c r="A51" t="s">
        <v>8480</v>
      </c>
      <c r="C51" t="s">
        <v>8534</v>
      </c>
    </row>
    <row r="52" spans="1:3">
      <c r="A52" t="s">
        <v>8480</v>
      </c>
      <c r="C52" t="s">
        <v>8535</v>
      </c>
    </row>
    <row r="53" spans="1:3">
      <c r="A53" t="s">
        <v>8480</v>
      </c>
      <c r="C53" t="s">
        <v>8536</v>
      </c>
    </row>
    <row r="54" spans="1:3">
      <c r="A54" t="s">
        <v>8480</v>
      </c>
      <c r="C54" t="s">
        <v>8537</v>
      </c>
    </row>
    <row r="55" spans="1:3">
      <c r="A55" t="s">
        <v>8480</v>
      </c>
      <c r="C55" t="s">
        <v>8538</v>
      </c>
    </row>
    <row r="56" spans="1:3">
      <c r="A56" t="s">
        <v>8480</v>
      </c>
      <c r="C56" t="s">
        <v>8539</v>
      </c>
    </row>
    <row r="57" spans="1:3">
      <c r="A57" t="s">
        <v>8480</v>
      </c>
      <c r="C57" t="s">
        <v>8540</v>
      </c>
    </row>
    <row r="58" spans="1:3">
      <c r="A58" t="s">
        <v>8480</v>
      </c>
      <c r="C58" t="s">
        <v>8541</v>
      </c>
    </row>
    <row r="59" spans="1:3">
      <c r="A59" t="s">
        <v>8480</v>
      </c>
      <c r="C59" t="s">
        <v>8542</v>
      </c>
    </row>
    <row r="60" spans="1:3">
      <c r="A60" t="s">
        <v>8480</v>
      </c>
      <c r="C60" t="s">
        <v>8543</v>
      </c>
    </row>
    <row r="61" spans="1:3">
      <c r="A61" t="s">
        <v>8480</v>
      </c>
      <c r="C61" t="s">
        <v>8544</v>
      </c>
    </row>
    <row r="62" spans="1:3">
      <c r="A62" t="s">
        <v>8480</v>
      </c>
      <c r="C62" t="s">
        <v>8545</v>
      </c>
    </row>
    <row r="63" spans="1:3">
      <c r="A63" t="s">
        <v>8480</v>
      </c>
      <c r="C63" t="s">
        <v>8546</v>
      </c>
    </row>
    <row r="64" spans="1:3">
      <c r="A64" t="s">
        <v>8480</v>
      </c>
      <c r="C64" t="s">
        <v>8547</v>
      </c>
    </row>
    <row r="65" spans="1:3">
      <c r="A65" t="s">
        <v>8480</v>
      </c>
      <c r="C65" t="s">
        <v>8548</v>
      </c>
    </row>
    <row r="66" spans="1:3">
      <c r="A66" t="s">
        <v>8480</v>
      </c>
      <c r="C66" t="s">
        <v>8549</v>
      </c>
    </row>
    <row r="67" spans="1:3">
      <c r="A67" t="s">
        <v>8480</v>
      </c>
      <c r="C67" t="s">
        <v>8550</v>
      </c>
    </row>
    <row r="68" spans="1:3">
      <c r="A68" t="s">
        <v>8480</v>
      </c>
      <c r="C68" t="s">
        <v>8551</v>
      </c>
    </row>
    <row r="69" spans="1:3">
      <c r="A69" t="s">
        <v>8480</v>
      </c>
      <c r="C69" t="s">
        <v>8552</v>
      </c>
    </row>
    <row r="70" spans="1:3">
      <c r="A70" t="s">
        <v>8480</v>
      </c>
      <c r="C70" t="s">
        <v>8553</v>
      </c>
    </row>
    <row r="71" spans="1:3">
      <c r="A71" t="s">
        <v>8480</v>
      </c>
      <c r="C71" t="s">
        <v>8554</v>
      </c>
    </row>
    <row r="72" spans="1:3">
      <c r="A72" t="s">
        <v>8480</v>
      </c>
      <c r="C72" t="s">
        <v>8555</v>
      </c>
    </row>
    <row r="73" spans="1:3">
      <c r="A73" t="s">
        <v>8480</v>
      </c>
      <c r="C73" t="s">
        <v>8556</v>
      </c>
    </row>
    <row r="74" spans="1:3">
      <c r="A74" t="s">
        <v>8480</v>
      </c>
      <c r="C74" t="s">
        <v>8557</v>
      </c>
    </row>
    <row r="75" spans="1:3">
      <c r="A75" t="s">
        <v>8480</v>
      </c>
      <c r="C75" t="s">
        <v>8558</v>
      </c>
    </row>
    <row r="76" spans="1:3">
      <c r="A76" t="s">
        <v>8480</v>
      </c>
      <c r="C76" t="s">
        <v>8559</v>
      </c>
    </row>
    <row r="77" spans="1:3">
      <c r="A77" t="s">
        <v>8480</v>
      </c>
      <c r="C77" t="s">
        <v>8560</v>
      </c>
    </row>
    <row r="78" spans="1:3">
      <c r="A78" t="s">
        <v>8480</v>
      </c>
      <c r="C78" t="s">
        <v>8561</v>
      </c>
    </row>
    <row r="79" spans="1:3">
      <c r="A79" t="s">
        <v>8480</v>
      </c>
      <c r="C79" t="s">
        <v>8562</v>
      </c>
    </row>
    <row r="80" spans="1:3">
      <c r="A80" t="s">
        <v>8480</v>
      </c>
      <c r="C80" t="s">
        <v>8563</v>
      </c>
    </row>
    <row r="81" spans="1:3">
      <c r="A81" t="s">
        <v>8480</v>
      </c>
      <c r="C81" t="s">
        <v>8564</v>
      </c>
    </row>
    <row r="82" spans="1:3">
      <c r="A82" t="s">
        <v>8480</v>
      </c>
      <c r="C82" t="s">
        <v>8565</v>
      </c>
    </row>
    <row r="83" spans="1:3">
      <c r="A83" t="s">
        <v>8480</v>
      </c>
      <c r="C83" t="s">
        <v>8566</v>
      </c>
    </row>
    <row r="84" spans="1:3">
      <c r="A84" t="s">
        <v>8480</v>
      </c>
      <c r="C84" t="s">
        <v>8567</v>
      </c>
    </row>
    <row r="85" spans="1:3">
      <c r="A85" t="s">
        <v>8480</v>
      </c>
      <c r="C85" t="s">
        <v>8568</v>
      </c>
    </row>
    <row r="86" spans="1:3">
      <c r="A86" t="s">
        <v>8480</v>
      </c>
      <c r="C86" t="s">
        <v>8569</v>
      </c>
    </row>
    <row r="87" spans="1:3">
      <c r="A87" t="s">
        <v>8480</v>
      </c>
      <c r="C87" t="s">
        <v>8570</v>
      </c>
    </row>
    <row r="88" spans="1:3">
      <c r="A88" t="s">
        <v>8480</v>
      </c>
      <c r="C88" t="s">
        <v>8571</v>
      </c>
    </row>
    <row r="89" spans="1:3">
      <c r="A89" t="s">
        <v>8480</v>
      </c>
      <c r="C89" t="s">
        <v>8572</v>
      </c>
    </row>
    <row r="90" spans="1:3">
      <c r="A90" t="s">
        <v>8480</v>
      </c>
      <c r="C90" t="s">
        <v>8573</v>
      </c>
    </row>
    <row r="91" spans="1:3">
      <c r="A91" t="s">
        <v>8480</v>
      </c>
      <c r="C91" t="s">
        <v>8574</v>
      </c>
    </row>
    <row r="92" spans="1:3">
      <c r="A92" t="s">
        <v>8480</v>
      </c>
      <c r="C92" t="s">
        <v>8575</v>
      </c>
    </row>
    <row r="93" spans="1:3">
      <c r="A93" t="s">
        <v>8480</v>
      </c>
      <c r="C93" t="s">
        <v>8576</v>
      </c>
    </row>
    <row r="94" spans="1:3">
      <c r="A94" t="s">
        <v>8480</v>
      </c>
      <c r="C94" t="s">
        <v>8577</v>
      </c>
    </row>
    <row r="95" spans="1:3">
      <c r="A95" t="s">
        <v>8480</v>
      </c>
      <c r="C95" t="s">
        <v>8578</v>
      </c>
    </row>
    <row r="96" spans="1:3">
      <c r="A96" t="s">
        <v>8480</v>
      </c>
      <c r="C96" t="s">
        <v>8579</v>
      </c>
    </row>
    <row r="97" spans="1:3">
      <c r="A97" t="s">
        <v>8480</v>
      </c>
      <c r="C97" t="s">
        <v>8580</v>
      </c>
    </row>
    <row r="98" spans="1:3">
      <c r="A98" t="s">
        <v>8480</v>
      </c>
      <c r="C98" t="s">
        <v>8581</v>
      </c>
    </row>
    <row r="99" spans="1:3">
      <c r="A99" t="s">
        <v>8480</v>
      </c>
      <c r="C99" t="s">
        <v>8582</v>
      </c>
    </row>
    <row r="100" spans="1:3">
      <c r="A100" t="s">
        <v>8480</v>
      </c>
      <c r="C100" t="s">
        <v>8583</v>
      </c>
    </row>
    <row r="101" spans="1:3">
      <c r="A101" t="s">
        <v>8480</v>
      </c>
      <c r="C101" t="s">
        <v>8584</v>
      </c>
    </row>
    <row r="102" spans="1:3">
      <c r="A102" t="s">
        <v>8480</v>
      </c>
      <c r="C102" t="s">
        <v>8585</v>
      </c>
    </row>
    <row r="103" spans="1:3">
      <c r="A103" t="s">
        <v>8480</v>
      </c>
      <c r="C103" t="s">
        <v>8586</v>
      </c>
    </row>
    <row r="104" spans="1:3">
      <c r="A104" t="s">
        <v>8480</v>
      </c>
      <c r="C104" t="s">
        <v>8587</v>
      </c>
    </row>
    <row r="105" spans="1:3">
      <c r="A105" t="s">
        <v>8480</v>
      </c>
      <c r="C105" t="s">
        <v>8588</v>
      </c>
    </row>
    <row r="106" spans="1:3">
      <c r="A106" t="s">
        <v>8480</v>
      </c>
      <c r="C106" t="s">
        <v>8589</v>
      </c>
    </row>
    <row r="107" spans="1:3">
      <c r="A107" t="s">
        <v>8480</v>
      </c>
      <c r="C107" t="s">
        <v>8590</v>
      </c>
    </row>
    <row r="108" spans="1:3">
      <c r="A108" t="s">
        <v>8480</v>
      </c>
      <c r="C108" t="s">
        <v>8591</v>
      </c>
    </row>
    <row r="109" spans="1:3">
      <c r="A109" t="s">
        <v>8480</v>
      </c>
      <c r="C109" t="s">
        <v>8592</v>
      </c>
    </row>
    <row r="110" spans="1:3">
      <c r="A110" t="s">
        <v>8480</v>
      </c>
      <c r="C110" t="s">
        <v>8593</v>
      </c>
    </row>
    <row r="111" spans="1:3">
      <c r="A111" t="s">
        <v>8480</v>
      </c>
      <c r="C111" t="s">
        <v>8594</v>
      </c>
    </row>
    <row r="112" spans="1:3">
      <c r="A112" t="s">
        <v>8480</v>
      </c>
      <c r="C112" t="s">
        <v>8595</v>
      </c>
    </row>
    <row r="113" spans="1:3">
      <c r="A113" t="s">
        <v>8480</v>
      </c>
      <c r="C113" t="s">
        <v>8596</v>
      </c>
    </row>
    <row r="114" spans="1:3">
      <c r="A114" t="s">
        <v>8480</v>
      </c>
      <c r="C114" t="s">
        <v>8597</v>
      </c>
    </row>
    <row r="115" spans="1:3">
      <c r="A115" t="s">
        <v>8480</v>
      </c>
      <c r="C115" t="s">
        <v>8598</v>
      </c>
    </row>
    <row r="116" spans="1:3">
      <c r="A116" t="s">
        <v>8480</v>
      </c>
      <c r="C116" t="s">
        <v>8599</v>
      </c>
    </row>
    <row r="117" spans="1:3">
      <c r="A117" t="s">
        <v>8480</v>
      </c>
      <c r="C117" t="s">
        <v>8600</v>
      </c>
    </row>
    <row r="118" spans="1:3">
      <c r="A118" t="s">
        <v>8480</v>
      </c>
      <c r="C118" t="s">
        <v>8601</v>
      </c>
    </row>
    <row r="119" spans="1:3">
      <c r="A119" t="s">
        <v>8480</v>
      </c>
      <c r="C119" t="s">
        <v>8602</v>
      </c>
    </row>
    <row r="120" spans="1:3">
      <c r="A120" t="s">
        <v>8480</v>
      </c>
      <c r="C120" t="s">
        <v>8603</v>
      </c>
    </row>
    <row r="121" spans="1:3">
      <c r="A121" t="s">
        <v>8480</v>
      </c>
      <c r="C121" t="s">
        <v>8604</v>
      </c>
    </row>
    <row r="122" spans="1:3">
      <c r="A122" t="s">
        <v>8480</v>
      </c>
      <c r="C122" t="s">
        <v>8605</v>
      </c>
    </row>
    <row r="123" spans="1:3">
      <c r="A123" t="s">
        <v>8480</v>
      </c>
      <c r="C123" t="s">
        <v>8606</v>
      </c>
    </row>
    <row r="124" spans="1:3">
      <c r="A124" t="s">
        <v>8480</v>
      </c>
      <c r="C124" t="s">
        <v>8607</v>
      </c>
    </row>
    <row r="125" spans="1:3">
      <c r="A125" t="s">
        <v>8480</v>
      </c>
      <c r="C125" t="s">
        <v>8608</v>
      </c>
    </row>
    <row r="126" spans="1:3">
      <c r="A126" t="s">
        <v>8480</v>
      </c>
      <c r="C126" t="s">
        <v>8609</v>
      </c>
    </row>
    <row r="127" spans="1:3">
      <c r="A127" t="s">
        <v>8480</v>
      </c>
      <c r="C127" t="s">
        <v>8610</v>
      </c>
    </row>
    <row r="128" spans="1:3">
      <c r="A128" t="s">
        <v>8480</v>
      </c>
      <c r="C128" t="s">
        <v>8611</v>
      </c>
    </row>
    <row r="129" spans="1:3">
      <c r="A129" t="s">
        <v>8480</v>
      </c>
      <c r="C129" t="s">
        <v>8612</v>
      </c>
    </row>
    <row r="130" spans="1:3">
      <c r="A130" t="s">
        <v>8480</v>
      </c>
      <c r="C130" t="s">
        <v>8613</v>
      </c>
    </row>
    <row r="131" spans="1:3">
      <c r="A131" t="s">
        <v>8480</v>
      </c>
      <c r="C131" t="s">
        <v>8614</v>
      </c>
    </row>
    <row r="132" spans="1:3">
      <c r="A132" t="s">
        <v>8480</v>
      </c>
      <c r="C132" t="s">
        <v>8615</v>
      </c>
    </row>
    <row r="133" spans="1:3">
      <c r="A133" t="s">
        <v>8480</v>
      </c>
      <c r="C133" t="s">
        <v>8616</v>
      </c>
    </row>
    <row r="134" spans="1:3">
      <c r="A134" t="s">
        <v>8480</v>
      </c>
      <c r="C134" t="s">
        <v>8617</v>
      </c>
    </row>
    <row r="135" spans="1:3">
      <c r="A135" t="s">
        <v>8480</v>
      </c>
      <c r="C135" t="s">
        <v>8618</v>
      </c>
    </row>
    <row r="136" spans="1:3">
      <c r="A136" t="s">
        <v>8480</v>
      </c>
      <c r="C136" t="s">
        <v>8619</v>
      </c>
    </row>
    <row r="137" spans="1:3">
      <c r="A137" t="s">
        <v>8480</v>
      </c>
      <c r="C137" t="s">
        <v>8620</v>
      </c>
    </row>
    <row r="138" spans="1:3">
      <c r="A138" t="s">
        <v>8480</v>
      </c>
      <c r="C138" t="s">
        <v>8621</v>
      </c>
    </row>
    <row r="139" spans="1:3">
      <c r="A139" t="s">
        <v>8480</v>
      </c>
      <c r="C139" t="s">
        <v>8622</v>
      </c>
    </row>
    <row r="140" spans="1:3">
      <c r="A140" t="s">
        <v>8480</v>
      </c>
      <c r="C140" t="s">
        <v>8623</v>
      </c>
    </row>
    <row r="141" spans="1:3">
      <c r="A141" t="s">
        <v>8480</v>
      </c>
      <c r="C141" t="s">
        <v>8624</v>
      </c>
    </row>
    <row r="142" spans="1:3">
      <c r="A142" t="s">
        <v>8480</v>
      </c>
      <c r="C142" t="s">
        <v>8625</v>
      </c>
    </row>
    <row r="143" spans="1:3">
      <c r="A143" t="s">
        <v>8480</v>
      </c>
      <c r="C143" t="s">
        <v>8626</v>
      </c>
    </row>
    <row r="144" spans="1:3">
      <c r="A144" t="s">
        <v>8480</v>
      </c>
      <c r="C144" t="s">
        <v>8627</v>
      </c>
    </row>
    <row r="145" spans="1:3">
      <c r="A145" t="s">
        <v>8480</v>
      </c>
      <c r="C145" t="s">
        <v>8628</v>
      </c>
    </row>
    <row r="146" spans="1:3">
      <c r="A146" t="s">
        <v>8480</v>
      </c>
      <c r="C146" t="s">
        <v>8629</v>
      </c>
    </row>
    <row r="147" spans="1:3">
      <c r="A147" t="s">
        <v>8480</v>
      </c>
      <c r="C147" t="s">
        <v>8630</v>
      </c>
    </row>
    <row r="148" spans="1:3">
      <c r="A148" t="s">
        <v>8480</v>
      </c>
      <c r="C148" t="s">
        <v>8631</v>
      </c>
    </row>
    <row r="149" spans="1:3">
      <c r="A149" t="s">
        <v>8480</v>
      </c>
      <c r="C149" t="s">
        <v>8632</v>
      </c>
    </row>
    <row r="150" spans="1:3">
      <c r="A150" t="s">
        <v>8480</v>
      </c>
      <c r="C150" t="s">
        <v>8633</v>
      </c>
    </row>
    <row r="151" spans="1:3">
      <c r="A151" t="s">
        <v>8480</v>
      </c>
      <c r="C151" t="s">
        <v>8634</v>
      </c>
    </row>
    <row r="152" spans="1:3">
      <c r="A152" t="s">
        <v>8480</v>
      </c>
      <c r="C152" t="s">
        <v>8635</v>
      </c>
    </row>
    <row r="153" spans="1:3">
      <c r="A153" t="s">
        <v>8480</v>
      </c>
      <c r="C153" t="s">
        <v>8636</v>
      </c>
    </row>
    <row r="154" spans="1:3">
      <c r="A154" t="s">
        <v>8480</v>
      </c>
      <c r="C154" t="s">
        <v>8637</v>
      </c>
    </row>
    <row r="155" spans="1:3">
      <c r="A155" t="s">
        <v>8480</v>
      </c>
      <c r="C155" t="s">
        <v>8638</v>
      </c>
    </row>
    <row r="156" spans="1:3">
      <c r="A156" t="s">
        <v>8480</v>
      </c>
      <c r="C156" t="s">
        <v>8639</v>
      </c>
    </row>
    <row r="157" spans="1:3">
      <c r="A157" t="s">
        <v>8480</v>
      </c>
      <c r="C157" t="s">
        <v>8640</v>
      </c>
    </row>
    <row r="158" spans="1:3">
      <c r="A158" t="s">
        <v>8480</v>
      </c>
      <c r="C158" t="s">
        <v>8641</v>
      </c>
    </row>
    <row r="159" spans="1:3">
      <c r="A159" t="s">
        <v>8480</v>
      </c>
      <c r="C159" t="s">
        <v>8642</v>
      </c>
    </row>
    <row r="160" spans="1:3">
      <c r="A160" t="s">
        <v>8480</v>
      </c>
      <c r="C160" t="s">
        <v>8643</v>
      </c>
    </row>
    <row r="161" spans="1:3">
      <c r="A161" t="s">
        <v>8480</v>
      </c>
      <c r="C161" t="s">
        <v>8644</v>
      </c>
    </row>
    <row r="162" spans="1:3">
      <c r="A162" t="s">
        <v>8480</v>
      </c>
      <c r="C162" t="s">
        <v>8645</v>
      </c>
    </row>
    <row r="163" spans="1:3">
      <c r="A163" t="s">
        <v>8480</v>
      </c>
      <c r="C163" t="s">
        <v>8646</v>
      </c>
    </row>
    <row r="164" spans="1:3">
      <c r="A164" t="s">
        <v>8480</v>
      </c>
      <c r="C164" t="s">
        <v>8647</v>
      </c>
    </row>
    <row r="165" spans="1:3">
      <c r="A165" t="s">
        <v>8480</v>
      </c>
      <c r="C165" t="s">
        <v>8648</v>
      </c>
    </row>
    <row r="166" spans="1:3">
      <c r="A166" t="s">
        <v>8480</v>
      </c>
      <c r="C166" t="s">
        <v>8649</v>
      </c>
    </row>
    <row r="167" spans="1:3">
      <c r="A167" t="s">
        <v>8480</v>
      </c>
      <c r="C167" t="s">
        <v>8650</v>
      </c>
    </row>
    <row r="168" spans="1:3">
      <c r="A168" t="s">
        <v>8480</v>
      </c>
      <c r="C168" t="s">
        <v>8651</v>
      </c>
    </row>
    <row r="169" spans="1:3">
      <c r="A169" t="s">
        <v>8480</v>
      </c>
      <c r="C169" t="s">
        <v>8652</v>
      </c>
    </row>
    <row r="170" spans="1:3">
      <c r="A170" t="s">
        <v>8480</v>
      </c>
      <c r="C170" t="s">
        <v>8653</v>
      </c>
    </row>
    <row r="171" spans="1:3">
      <c r="A171" t="s">
        <v>8480</v>
      </c>
      <c r="C171" t="s">
        <v>8654</v>
      </c>
    </row>
    <row r="172" spans="1:3">
      <c r="A172" t="s">
        <v>8480</v>
      </c>
      <c r="C172" t="s">
        <v>8655</v>
      </c>
    </row>
    <row r="173" spans="1:3">
      <c r="A173" t="s">
        <v>8480</v>
      </c>
      <c r="C173" t="s">
        <v>8656</v>
      </c>
    </row>
    <row r="174" spans="1:3">
      <c r="A174" t="s">
        <v>8480</v>
      </c>
      <c r="C174" t="s">
        <v>8657</v>
      </c>
    </row>
    <row r="175" spans="1:3">
      <c r="A175" t="s">
        <v>8480</v>
      </c>
      <c r="C175" t="s">
        <v>8658</v>
      </c>
    </row>
    <row r="176" spans="1:3">
      <c r="A176" t="s">
        <v>8480</v>
      </c>
      <c r="C176" t="s">
        <v>8659</v>
      </c>
    </row>
    <row r="177" spans="1:3">
      <c r="A177" t="s">
        <v>8480</v>
      </c>
      <c r="C177" t="s">
        <v>8660</v>
      </c>
    </row>
    <row r="178" spans="1:3">
      <c r="A178" t="s">
        <v>8480</v>
      </c>
      <c r="C178" t="s">
        <v>8661</v>
      </c>
    </row>
    <row r="179" spans="1:3">
      <c r="A179" t="s">
        <v>8480</v>
      </c>
      <c r="C179" t="s">
        <v>8662</v>
      </c>
    </row>
    <row r="180" spans="1:3">
      <c r="A180" t="s">
        <v>8480</v>
      </c>
      <c r="C180" t="s">
        <v>8663</v>
      </c>
    </row>
    <row r="181" spans="1:3">
      <c r="A181" t="s">
        <v>8480</v>
      </c>
      <c r="C181" t="s">
        <v>8664</v>
      </c>
    </row>
    <row r="182" spans="1:3">
      <c r="A182" t="s">
        <v>8480</v>
      </c>
      <c r="C182" t="s">
        <v>8666</v>
      </c>
    </row>
    <row r="183" spans="1:3">
      <c r="A183" t="s">
        <v>8480</v>
      </c>
      <c r="C183" t="s">
        <v>8667</v>
      </c>
    </row>
    <row r="184" spans="1:3">
      <c r="A184" t="s">
        <v>8480</v>
      </c>
      <c r="C184" t="s">
        <v>8668</v>
      </c>
    </row>
    <row r="185" spans="1:3">
      <c r="A185" t="s">
        <v>8480</v>
      </c>
      <c r="C185" t="s">
        <v>8669</v>
      </c>
    </row>
    <row r="186" spans="1:3">
      <c r="A186" t="s">
        <v>8480</v>
      </c>
      <c r="C186" t="s">
        <v>8670</v>
      </c>
    </row>
    <row r="187" spans="1:3">
      <c r="A187" t="s">
        <v>8480</v>
      </c>
      <c r="C187" t="s">
        <v>8671</v>
      </c>
    </row>
    <row r="188" spans="1:3">
      <c r="A188" t="s">
        <v>8480</v>
      </c>
      <c r="C188" t="s">
        <v>8672</v>
      </c>
    </row>
    <row r="189" spans="1:3">
      <c r="A189" t="s">
        <v>8480</v>
      </c>
      <c r="C189" t="s">
        <v>8673</v>
      </c>
    </row>
    <row r="190" spans="1:3">
      <c r="A190" t="s">
        <v>8480</v>
      </c>
      <c r="C190" t="s">
        <v>8674</v>
      </c>
    </row>
    <row r="191" spans="1:3">
      <c r="A191" t="s">
        <v>8480</v>
      </c>
      <c r="C191" t="s">
        <v>8675</v>
      </c>
    </row>
    <row r="192" spans="1:3">
      <c r="A192" t="s">
        <v>8480</v>
      </c>
      <c r="C192" t="s">
        <v>8676</v>
      </c>
    </row>
    <row r="193" spans="1:3">
      <c r="A193" t="s">
        <v>8480</v>
      </c>
      <c r="C193" t="s">
        <v>8677</v>
      </c>
    </row>
    <row r="194" spans="1:3">
      <c r="A194" t="s">
        <v>8480</v>
      </c>
      <c r="C194" t="s">
        <v>8678</v>
      </c>
    </row>
    <row r="195" spans="1:3">
      <c r="A195" t="s">
        <v>8480</v>
      </c>
      <c r="C195" t="s">
        <v>8679</v>
      </c>
    </row>
    <row r="196" spans="1:3">
      <c r="A196" t="s">
        <v>8480</v>
      </c>
      <c r="C196" t="s">
        <v>8680</v>
      </c>
    </row>
    <row r="197" spans="1:3">
      <c r="A197" t="s">
        <v>8480</v>
      </c>
      <c r="C197" t="s">
        <v>8681</v>
      </c>
    </row>
    <row r="198" spans="1:3">
      <c r="A198" t="s">
        <v>8480</v>
      </c>
      <c r="C198" t="s">
        <v>8682</v>
      </c>
    </row>
    <row r="199" spans="1:3">
      <c r="A199" t="s">
        <v>8480</v>
      </c>
      <c r="C199" t="s">
        <v>8683</v>
      </c>
    </row>
    <row r="200" spans="1:3">
      <c r="A200" t="s">
        <v>8480</v>
      </c>
      <c r="C200" t="s">
        <v>8684</v>
      </c>
    </row>
    <row r="201" spans="1:3">
      <c r="A201" t="s">
        <v>8480</v>
      </c>
      <c r="C201" t="s">
        <v>8685</v>
      </c>
    </row>
    <row r="202" spans="1:3">
      <c r="A202" t="s">
        <v>8480</v>
      </c>
      <c r="C202" t="s">
        <v>8686</v>
      </c>
    </row>
    <row r="203" spans="1:3">
      <c r="A203" t="s">
        <v>8480</v>
      </c>
      <c r="C203" t="s">
        <v>8687</v>
      </c>
    </row>
    <row r="204" spans="1:3">
      <c r="A204" t="s">
        <v>8480</v>
      </c>
      <c r="C204" t="s">
        <v>8688</v>
      </c>
    </row>
    <row r="205" spans="1:3">
      <c r="A205" t="s">
        <v>8480</v>
      </c>
      <c r="C205" t="s">
        <v>8689</v>
      </c>
    </row>
    <row r="206" spans="1:3">
      <c r="A206" t="s">
        <v>8480</v>
      </c>
      <c r="C206" t="s">
        <v>8690</v>
      </c>
    </row>
    <row r="207" spans="1:3">
      <c r="A207" t="s">
        <v>8480</v>
      </c>
      <c r="C207" t="s">
        <v>8691</v>
      </c>
    </row>
    <row r="208" spans="1:3">
      <c r="A208" t="s">
        <v>8480</v>
      </c>
      <c r="C208" t="s">
        <v>8692</v>
      </c>
    </row>
    <row r="209" spans="1:3">
      <c r="A209" t="s">
        <v>8480</v>
      </c>
      <c r="C209" t="s">
        <v>8693</v>
      </c>
    </row>
    <row r="210" spans="1:3">
      <c r="A210" t="s">
        <v>8480</v>
      </c>
      <c r="C210" t="s">
        <v>8694</v>
      </c>
    </row>
    <row r="211" spans="1:3">
      <c r="A211" t="s">
        <v>8480</v>
      </c>
      <c r="C211" t="s">
        <v>8695</v>
      </c>
    </row>
    <row r="212" spans="1:3">
      <c r="A212" t="s">
        <v>8480</v>
      </c>
      <c r="C212" t="s">
        <v>8696</v>
      </c>
    </row>
    <row r="213" spans="1:3">
      <c r="A213" t="s">
        <v>8480</v>
      </c>
      <c r="C213" t="s">
        <v>8697</v>
      </c>
    </row>
    <row r="214" spans="1:3">
      <c r="A214" t="s">
        <v>8480</v>
      </c>
      <c r="C214" t="s">
        <v>8698</v>
      </c>
    </row>
    <row r="215" spans="1:3">
      <c r="A215" t="s">
        <v>8480</v>
      </c>
      <c r="C215" t="s">
        <v>8699</v>
      </c>
    </row>
    <row r="216" spans="1:3">
      <c r="A216" t="s">
        <v>8480</v>
      </c>
      <c r="C216" t="s">
        <v>8700</v>
      </c>
    </row>
    <row r="217" spans="1:3">
      <c r="A217" t="s">
        <v>8480</v>
      </c>
      <c r="C217" t="s">
        <v>8701</v>
      </c>
    </row>
    <row r="218" spans="1:3">
      <c r="A218" t="s">
        <v>8480</v>
      </c>
      <c r="C218" t="s">
        <v>8702</v>
      </c>
    </row>
    <row r="219" spans="1:3">
      <c r="A219" t="s">
        <v>8480</v>
      </c>
      <c r="C219" t="s">
        <v>8703</v>
      </c>
    </row>
    <row r="220" spans="1:3">
      <c r="A220" t="s">
        <v>8480</v>
      </c>
      <c r="C220" t="s">
        <v>8704</v>
      </c>
    </row>
    <row r="221" spans="1:3">
      <c r="A221" t="s">
        <v>8480</v>
      </c>
      <c r="C221" t="s">
        <v>8705</v>
      </c>
    </row>
    <row r="222" spans="1:3">
      <c r="A222" t="s">
        <v>8480</v>
      </c>
      <c r="C222" t="s">
        <v>8706</v>
      </c>
    </row>
    <row r="223" spans="1:3">
      <c r="A223" t="s">
        <v>8480</v>
      </c>
      <c r="C223" t="s">
        <v>8707</v>
      </c>
    </row>
    <row r="224" spans="1:3">
      <c r="A224" t="s">
        <v>8480</v>
      </c>
      <c r="C224" t="s">
        <v>8708</v>
      </c>
    </row>
    <row r="225" spans="1:3">
      <c r="A225" t="s">
        <v>8480</v>
      </c>
      <c r="C225" t="s">
        <v>8709</v>
      </c>
    </row>
    <row r="226" spans="1:3">
      <c r="A226" t="s">
        <v>8480</v>
      </c>
      <c r="C226" t="s">
        <v>8710</v>
      </c>
    </row>
    <row r="227" spans="1:3">
      <c r="A227" t="s">
        <v>8480</v>
      </c>
      <c r="C227" t="s">
        <v>8711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4AB9F-BAA8-4EB2-AC4E-15C418A4F11E}">
  <dimension ref="A1:C1"/>
  <sheetViews>
    <sheetView workbookViewId="0">
      <selection sqref="A1:XFD1"/>
    </sheetView>
  </sheetViews>
  <sheetFormatPr defaultRowHeight="15"/>
  <sheetData>
    <row r="1" spans="1:3">
      <c r="A1" t="s">
        <v>8480</v>
      </c>
      <c r="C1" t="s">
        <v>8665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9B878-53D7-457A-9502-556A16FD4B77}">
  <dimension ref="A1:B34"/>
  <sheetViews>
    <sheetView workbookViewId="0">
      <selection activeCell="B1" sqref="A1:B34"/>
    </sheetView>
  </sheetViews>
  <sheetFormatPr defaultRowHeight="15"/>
  <cols>
    <col min="1" max="1" width="74.42578125" bestFit="1" customWidth="1"/>
    <col min="2" max="2" width="24.7109375" bestFit="1" customWidth="1"/>
  </cols>
  <sheetData>
    <row r="1" spans="1:2">
      <c r="A1" t="s">
        <v>7839</v>
      </c>
      <c r="B1" t="s">
        <v>7891</v>
      </c>
    </row>
    <row r="2" spans="1:2">
      <c r="A2" t="s">
        <v>7884</v>
      </c>
      <c r="B2" t="s">
        <v>7612</v>
      </c>
    </row>
    <row r="3" spans="1:2">
      <c r="A3" t="s">
        <v>7885</v>
      </c>
      <c r="B3" t="s">
        <v>7612</v>
      </c>
    </row>
    <row r="4" spans="1:2">
      <c r="A4" t="s">
        <v>7886</v>
      </c>
      <c r="B4" t="s">
        <v>7612</v>
      </c>
    </row>
    <row r="5" spans="1:2">
      <c r="A5" t="s">
        <v>7887</v>
      </c>
      <c r="B5" t="s">
        <v>7612</v>
      </c>
    </row>
    <row r="6" spans="1:2">
      <c r="A6" t="s">
        <v>7888</v>
      </c>
      <c r="B6" t="s">
        <v>7612</v>
      </c>
    </row>
    <row r="7" spans="1:2">
      <c r="A7" t="s">
        <v>7889</v>
      </c>
      <c r="B7" t="s">
        <v>7612</v>
      </c>
    </row>
    <row r="8" spans="1:2">
      <c r="A8" t="s">
        <v>7972</v>
      </c>
      <c r="B8" t="s">
        <v>7996</v>
      </c>
    </row>
    <row r="9" spans="1:2">
      <c r="A9" t="s">
        <v>7973</v>
      </c>
      <c r="B9" t="s">
        <v>7997</v>
      </c>
    </row>
    <row r="10" spans="1:2">
      <c r="A10" t="s">
        <v>7974</v>
      </c>
      <c r="B10" t="s">
        <v>7998</v>
      </c>
    </row>
    <row r="11" spans="1:2">
      <c r="A11" t="s">
        <v>7975</v>
      </c>
      <c r="B11" t="s">
        <v>7999</v>
      </c>
    </row>
    <row r="12" spans="1:2">
      <c r="A12" t="s">
        <v>7976</v>
      </c>
      <c r="B12" t="s">
        <v>7999</v>
      </c>
    </row>
    <row r="13" spans="1:2">
      <c r="A13" t="s">
        <v>7977</v>
      </c>
      <c r="B13" t="s">
        <v>7999</v>
      </c>
    </row>
    <row r="14" spans="1:2">
      <c r="A14" t="s">
        <v>7978</v>
      </c>
      <c r="B14" t="s">
        <v>8000</v>
      </c>
    </row>
    <row r="15" spans="1:2">
      <c r="A15" t="s">
        <v>7979</v>
      </c>
      <c r="B15" t="s">
        <v>8001</v>
      </c>
    </row>
    <row r="16" spans="1:2">
      <c r="A16" t="s">
        <v>4295</v>
      </c>
      <c r="B16" t="s">
        <v>8002</v>
      </c>
    </row>
    <row r="17" spans="1:2">
      <c r="A17" t="s">
        <v>7980</v>
      </c>
      <c r="B17" t="s">
        <v>8003</v>
      </c>
    </row>
    <row r="18" spans="1:2">
      <c r="A18" t="s">
        <v>7252</v>
      </c>
      <c r="B18" t="s">
        <v>7988</v>
      </c>
    </row>
    <row r="19" spans="1:2">
      <c r="A19" t="s">
        <v>7253</v>
      </c>
      <c r="B19" t="s">
        <v>7988</v>
      </c>
    </row>
    <row r="20" spans="1:2">
      <c r="A20" t="s">
        <v>7254</v>
      </c>
      <c r="B20" t="s">
        <v>7988</v>
      </c>
    </row>
    <row r="21" spans="1:2">
      <c r="A21" t="s">
        <v>7255</v>
      </c>
      <c r="B21" t="s">
        <v>7988</v>
      </c>
    </row>
    <row r="22" spans="1:2">
      <c r="A22" t="s">
        <v>7256</v>
      </c>
      <c r="B22" t="s">
        <v>7988</v>
      </c>
    </row>
    <row r="23" spans="1:2">
      <c r="A23" t="s">
        <v>7273</v>
      </c>
      <c r="B23" t="s">
        <v>7989</v>
      </c>
    </row>
    <row r="24" spans="1:2">
      <c r="A24" t="s">
        <v>7274</v>
      </c>
      <c r="B24" t="s">
        <v>7989</v>
      </c>
    </row>
    <row r="25" spans="1:2">
      <c r="A25" t="s">
        <v>7275</v>
      </c>
      <c r="B25" t="s">
        <v>7989</v>
      </c>
    </row>
    <row r="26" spans="1:2">
      <c r="A26" t="s">
        <v>7276</v>
      </c>
      <c r="B26" t="s">
        <v>7989</v>
      </c>
    </row>
    <row r="27" spans="1:2">
      <c r="A27" t="s">
        <v>7277</v>
      </c>
      <c r="B27" t="s">
        <v>7989</v>
      </c>
    </row>
    <row r="28" spans="1:2">
      <c r="A28" t="s">
        <v>7294</v>
      </c>
      <c r="B28" t="s">
        <v>7990</v>
      </c>
    </row>
    <row r="29" spans="1:2">
      <c r="A29" t="s">
        <v>7292</v>
      </c>
      <c r="B29" t="s">
        <v>7990</v>
      </c>
    </row>
    <row r="30" spans="1:2">
      <c r="A30" t="s">
        <v>7291</v>
      </c>
      <c r="B30" t="s">
        <v>7990</v>
      </c>
    </row>
    <row r="31" spans="1:2">
      <c r="A31" t="s">
        <v>7290</v>
      </c>
      <c r="B31" t="s">
        <v>7990</v>
      </c>
    </row>
    <row r="32" spans="1:2">
      <c r="A32" t="s">
        <v>7293</v>
      </c>
      <c r="B32" t="s">
        <v>7990</v>
      </c>
    </row>
    <row r="33" spans="1:2">
      <c r="A33" t="s">
        <v>4413</v>
      </c>
      <c r="B33" t="s">
        <v>7991</v>
      </c>
    </row>
    <row r="34" spans="1:2">
      <c r="A34" t="s">
        <v>7993</v>
      </c>
      <c r="B34" t="s">
        <v>8004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22" workbookViewId="0">
      <selection activeCell="A47" sqref="A47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KPI</vt:lpstr>
      <vt:lpstr>Report</vt:lpstr>
      <vt:lpstr>OK</vt:lpstr>
      <vt:lpstr>PROC</vt:lpstr>
      <vt:lpstr>Sheet5</vt:lpstr>
      <vt:lpstr>Sheet4</vt:lpstr>
      <vt:lpstr>Sheet2</vt:lpstr>
      <vt:lpstr>Sheet3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2026-02-04T19:35:25Z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