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"/>
    </mc:Choice>
  </mc:AlternateContent>
  <xr:revisionPtr revIDLastSave="0" documentId="13_ncr:1_{8FC80F15-E854-4395-A35D-91DAFADA06AC}" xr6:coauthVersionLast="47" xr6:coauthVersionMax="47" xr10:uidLastSave="{00000000-0000-0000-0000-000000000000}"/>
  <bookViews>
    <workbookView xWindow="-108" yWindow="-108" windowWidth="23256" windowHeight="12456" firstSheet="2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725" i="1" l="1"/>
  <c r="K3725" i="1"/>
  <c r="J3726" i="1"/>
  <c r="K3726" i="1"/>
  <c r="J3727" i="1"/>
  <c r="K3727" i="1"/>
  <c r="J3728" i="1"/>
  <c r="K3728" i="1"/>
  <c r="J3729" i="1"/>
  <c r="K3729" i="1"/>
  <c r="J3730" i="1"/>
  <c r="K3730" i="1"/>
  <c r="K3724" i="1"/>
  <c r="J3724" i="1"/>
  <c r="K3723" i="1"/>
  <c r="J3723" i="1"/>
  <c r="K3722" i="1"/>
  <c r="J3722" i="1"/>
  <c r="K3720" i="1"/>
  <c r="J3720" i="1"/>
  <c r="K3719" i="1"/>
  <c r="J3719" i="1"/>
  <c r="K3718" i="1"/>
  <c r="J3718" i="1"/>
  <c r="K3717" i="1"/>
  <c r="J3717" i="1"/>
  <c r="K3716" i="1"/>
  <c r="J3716" i="1"/>
  <c r="K3715" i="1"/>
  <c r="J3715" i="1"/>
  <c r="K3714" i="1"/>
  <c r="J3714" i="1"/>
  <c r="K3713" i="1"/>
  <c r="J3713" i="1"/>
  <c r="K3712" i="1"/>
  <c r="J3712" i="1"/>
  <c r="K3711" i="1"/>
  <c r="J3711" i="1"/>
  <c r="K3710" i="1"/>
  <c r="J3710" i="1"/>
  <c r="K3709" i="1"/>
  <c r="J3709" i="1"/>
  <c r="K3708" i="1"/>
  <c r="J3708" i="1"/>
  <c r="K3707" i="1"/>
  <c r="J3707" i="1"/>
  <c r="K3706" i="1"/>
  <c r="J3706" i="1"/>
  <c r="K3705" i="1"/>
  <c r="J3705" i="1"/>
  <c r="K3704" i="1"/>
  <c r="J3704" i="1"/>
  <c r="K3703" i="1"/>
  <c r="J3703" i="1"/>
  <c r="K3702" i="1"/>
  <c r="J3702" i="1"/>
  <c r="K3701" i="1"/>
  <c r="J3701" i="1"/>
  <c r="K3700" i="1"/>
  <c r="J3700" i="1"/>
  <c r="K3699" i="1"/>
  <c r="J3699" i="1"/>
  <c r="K3698" i="1"/>
  <c r="J3698" i="1"/>
  <c r="K3697" i="1"/>
  <c r="J3697" i="1"/>
  <c r="K3695" i="1"/>
  <c r="J3695" i="1"/>
  <c r="K3694" i="1"/>
  <c r="J3694" i="1"/>
  <c r="K3690" i="1"/>
  <c r="J3690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Q3692" i="1"/>
  <c r="K3721" i="1"/>
  <c r="J3721" i="1"/>
  <c r="K3696" i="1"/>
  <c r="J3696" i="1"/>
  <c r="K3693" i="1"/>
  <c r="J3693" i="1"/>
  <c r="H3721" i="1"/>
  <c r="H3696" i="1"/>
  <c r="H3693" i="1"/>
  <c r="H3692" i="1"/>
  <c r="H3818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B3799" i="1"/>
  <c r="H3799" i="1"/>
  <c r="J3799" i="1"/>
  <c r="K3799" i="1"/>
  <c r="Q3799" i="1"/>
  <c r="P3799" i="1" s="1"/>
  <c r="B3796" i="1"/>
  <c r="B3797" i="1"/>
  <c r="B3798" i="1"/>
  <c r="H3796" i="1"/>
  <c r="H3797" i="1"/>
  <c r="H3798" i="1"/>
  <c r="J3796" i="1"/>
  <c r="J3797" i="1"/>
  <c r="J3798" i="1"/>
  <c r="K3796" i="1"/>
  <c r="K3797" i="1"/>
  <c r="K3798" i="1"/>
  <c r="Q3796" i="1"/>
  <c r="P3796" i="1" s="1"/>
  <c r="Q3797" i="1"/>
  <c r="P3797" i="1" s="1"/>
  <c r="Q3798" i="1"/>
  <c r="P3798" i="1" s="1"/>
  <c r="B3795" i="1"/>
  <c r="H3795" i="1"/>
  <c r="J3795" i="1"/>
  <c r="K3795" i="1"/>
  <c r="Q3795" i="1"/>
  <c r="P3795" i="1" s="1"/>
  <c r="B3794" i="1"/>
  <c r="H3794" i="1"/>
  <c r="J3794" i="1"/>
  <c r="K3794" i="1"/>
  <c r="Q3794" i="1"/>
  <c r="P3794" i="1" s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B3735" i="1"/>
  <c r="H3735" i="1"/>
  <c r="J3735" i="1"/>
  <c r="K3735" i="1"/>
  <c r="Q3735" i="1"/>
  <c r="P3735" i="1" s="1"/>
  <c r="B3734" i="1"/>
  <c r="H3734" i="1"/>
  <c r="J3734" i="1"/>
  <c r="K3734" i="1"/>
  <c r="Q3734" i="1"/>
  <c r="P3734" i="1" s="1"/>
  <c r="B3733" i="1"/>
  <c r="H3733" i="1"/>
  <c r="J3733" i="1"/>
  <c r="K3733" i="1"/>
  <c r="Q3733" i="1"/>
  <c r="P3733" i="1" s="1"/>
  <c r="B3732" i="1" l="1"/>
  <c r="H3732" i="1"/>
  <c r="J3732" i="1"/>
  <c r="K3732" i="1"/>
  <c r="Q3732" i="1"/>
  <c r="P3732" i="1" s="1"/>
  <c r="B3731" i="1" l="1"/>
  <c r="H3731" i="1"/>
  <c r="J3731" i="1"/>
  <c r="K3731" i="1"/>
  <c r="Q3731" i="1"/>
  <c r="P3731" i="1" s="1"/>
  <c r="B3662" i="1" l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1" i="1"/>
  <c r="K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P3692" i="1"/>
  <c r="P3693" i="1"/>
  <c r="Q3694" i="1"/>
  <c r="P3694" i="1" s="1"/>
  <c r="B3661" i="1"/>
  <c r="H3661" i="1"/>
  <c r="J3661" i="1"/>
  <c r="K3661" i="1"/>
  <c r="Q3661" i="1"/>
  <c r="P3661" i="1" s="1"/>
  <c r="B3650" i="1"/>
  <c r="B3651" i="1"/>
  <c r="B3652" i="1"/>
  <c r="B3653" i="1"/>
  <c r="B3654" i="1"/>
  <c r="B3655" i="1"/>
  <c r="B3656" i="1"/>
  <c r="B3657" i="1"/>
  <c r="B3658" i="1"/>
  <c r="B3659" i="1"/>
  <c r="B3660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K3650" i="1"/>
  <c r="K3651" i="1"/>
  <c r="K3652" i="1"/>
  <c r="K3653" i="1"/>
  <c r="K3654" i="1"/>
  <c r="K3655" i="1"/>
  <c r="K3656" i="1"/>
  <c r="K3657" i="1"/>
  <c r="K3658" i="1"/>
  <c r="K3659" i="1"/>
  <c r="K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B3632" i="1"/>
  <c r="H3632" i="1"/>
  <c r="J3632" i="1"/>
  <c r="K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B3631" i="1"/>
  <c r="H3631" i="1"/>
  <c r="J3631" i="1"/>
  <c r="K3631" i="1"/>
  <c r="Q3631" i="1"/>
  <c r="P3631" i="1" s="1"/>
  <c r="J3620" i="1"/>
  <c r="J3615" i="1"/>
  <c r="J3603" i="1"/>
  <c r="J3602" i="1"/>
  <c r="J3538" i="1"/>
  <c r="J3537" i="1"/>
  <c r="J3536" i="1"/>
  <c r="B3630" i="1"/>
  <c r="H3630" i="1"/>
  <c r="J3630" i="1"/>
  <c r="K3630" i="1"/>
  <c r="Q3630" i="1"/>
  <c r="P3630" i="1" s="1"/>
  <c r="B3629" i="1"/>
  <c r="H3629" i="1"/>
  <c r="J3629" i="1"/>
  <c r="K3629" i="1"/>
  <c r="Q3629" i="1"/>
  <c r="P3629" i="1" s="1"/>
  <c r="B3628" i="1"/>
  <c r="H3628" i="1"/>
  <c r="J3628" i="1"/>
  <c r="K3628" i="1"/>
  <c r="Q3628" i="1"/>
  <c r="P3628" i="1" s="1"/>
  <c r="B3622" i="1"/>
  <c r="B3623" i="1"/>
  <c r="B3624" i="1"/>
  <c r="B3625" i="1"/>
  <c r="B3626" i="1"/>
  <c r="B3627" i="1"/>
  <c r="H3622" i="1"/>
  <c r="H3623" i="1"/>
  <c r="H3624" i="1"/>
  <c r="H3625" i="1"/>
  <c r="H3626" i="1"/>
  <c r="H3627" i="1"/>
  <c r="J3625" i="1"/>
  <c r="J3626" i="1"/>
  <c r="J3627" i="1"/>
  <c r="K3622" i="1"/>
  <c r="K3623" i="1"/>
  <c r="K3624" i="1"/>
  <c r="K3625" i="1"/>
  <c r="K3626" i="1"/>
  <c r="K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B3621" i="1"/>
  <c r="H3621" i="1"/>
  <c r="K3621" i="1"/>
  <c r="Q3621" i="1"/>
  <c r="P3621" i="1" s="1"/>
  <c r="B3620" i="1"/>
  <c r="H3620" i="1"/>
  <c r="K3620" i="1"/>
  <c r="Q3620" i="1"/>
  <c r="P3620" i="1" s="1"/>
  <c r="B3609" i="1"/>
  <c r="B3610" i="1"/>
  <c r="B3611" i="1"/>
  <c r="B3612" i="1"/>
  <c r="B3613" i="1"/>
  <c r="B3614" i="1"/>
  <c r="B3615" i="1"/>
  <c r="B3616" i="1"/>
  <c r="B3617" i="1"/>
  <c r="B3618" i="1"/>
  <c r="B3619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K3609" i="1"/>
  <c r="K3610" i="1"/>
  <c r="K3611" i="1"/>
  <c r="K3612" i="1"/>
  <c r="K3613" i="1"/>
  <c r="K3614" i="1"/>
  <c r="K3615" i="1"/>
  <c r="K3616" i="1"/>
  <c r="K3617" i="1"/>
  <c r="K3618" i="1"/>
  <c r="K3619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B3608" i="1"/>
  <c r="H3608" i="1"/>
  <c r="K3608" i="1"/>
  <c r="Q3608" i="1"/>
  <c r="P3608" i="1" s="1"/>
  <c r="B3607" i="1"/>
  <c r="H3607" i="1"/>
  <c r="J3607" i="1"/>
  <c r="K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B3603" i="1"/>
  <c r="B3604" i="1"/>
  <c r="B3605" i="1"/>
  <c r="B3606" i="1"/>
  <c r="H3603" i="1"/>
  <c r="H3604" i="1"/>
  <c r="H3605" i="1"/>
  <c r="H3606" i="1"/>
  <c r="J3604" i="1"/>
  <c r="J3605" i="1"/>
  <c r="J3606" i="1"/>
  <c r="K3603" i="1"/>
  <c r="K3604" i="1"/>
  <c r="K3605" i="1"/>
  <c r="K3606" i="1"/>
  <c r="Q3603" i="1"/>
  <c r="P3603" i="1" s="1"/>
  <c r="Q3604" i="1"/>
  <c r="P3604" i="1" s="1"/>
  <c r="Q3605" i="1"/>
  <c r="P3605" i="1" s="1"/>
  <c r="Q3606" i="1"/>
  <c r="P3606" i="1" s="1"/>
  <c r="B3602" i="1"/>
  <c r="H3602" i="1"/>
  <c r="K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B3601" i="1"/>
  <c r="H3601" i="1"/>
  <c r="K3601" i="1"/>
  <c r="Q3601" i="1"/>
  <c r="P3601" i="1" s="1"/>
  <c r="B3590" i="1"/>
  <c r="B3591" i="1"/>
  <c r="B3592" i="1"/>
  <c r="B3593" i="1"/>
  <c r="B3594" i="1"/>
  <c r="B3595" i="1"/>
  <c r="B3596" i="1"/>
  <c r="B3597" i="1"/>
  <c r="B3598" i="1"/>
  <c r="B3599" i="1"/>
  <c r="B3600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K3590" i="1"/>
  <c r="K3591" i="1"/>
  <c r="K3592" i="1"/>
  <c r="K3593" i="1"/>
  <c r="K3594" i="1"/>
  <c r="K3595" i="1"/>
  <c r="K3596" i="1"/>
  <c r="K3597" i="1"/>
  <c r="K3598" i="1"/>
  <c r="K3599" i="1"/>
  <c r="K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B3589" i="1"/>
  <c r="H3589" i="1"/>
  <c r="K3589" i="1"/>
  <c r="Q3589" i="1"/>
  <c r="P3589" i="1" s="1"/>
  <c r="B3584" i="1"/>
  <c r="B3585" i="1"/>
  <c r="B3586" i="1"/>
  <c r="B3587" i="1"/>
  <c r="B3588" i="1"/>
  <c r="H3584" i="1"/>
  <c r="H3585" i="1"/>
  <c r="H3586" i="1"/>
  <c r="H3587" i="1"/>
  <c r="H3588" i="1"/>
  <c r="J3584" i="1"/>
  <c r="J3585" i="1"/>
  <c r="K3584" i="1"/>
  <c r="K3585" i="1"/>
  <c r="K3586" i="1"/>
  <c r="K3587" i="1"/>
  <c r="K3588" i="1"/>
  <c r="Q3584" i="1"/>
  <c r="P3584" i="1" s="1"/>
  <c r="Q3585" i="1"/>
  <c r="P3585" i="1" s="1"/>
  <c r="Q3586" i="1"/>
  <c r="P3586" i="1" s="1"/>
  <c r="Q3587" i="1"/>
  <c r="P3587" i="1" s="1"/>
  <c r="Q3588" i="1"/>
  <c r="P3588" i="1" s="1"/>
  <c r="B3583" i="1"/>
  <c r="H3583" i="1"/>
  <c r="J3583" i="1"/>
  <c r="K3583" i="1"/>
  <c r="Q3583" i="1"/>
  <c r="P3583" i="1" s="1"/>
  <c r="J3488" i="1"/>
  <c r="J3486" i="1"/>
  <c r="B3582" i="1"/>
  <c r="H3582" i="1"/>
  <c r="J3582" i="1"/>
  <c r="K3582" i="1"/>
  <c r="Q3582" i="1"/>
  <c r="P3582" i="1" s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B3487" i="1"/>
  <c r="B3488" i="1"/>
  <c r="H3487" i="1"/>
  <c r="H3488" i="1"/>
  <c r="K3487" i="1"/>
  <c r="K3488" i="1"/>
  <c r="Q3487" i="1"/>
  <c r="P3487" i="1" s="1"/>
  <c r="Q3488" i="1"/>
  <c r="P3488" i="1" s="1"/>
  <c r="B3486" i="1"/>
  <c r="H3486" i="1"/>
  <c r="K3486" i="1"/>
  <c r="Q3486" i="1"/>
  <c r="P3486" i="1" s="1"/>
  <c r="J3485" i="1"/>
  <c r="J3484" i="1"/>
  <c r="J3483" i="1"/>
  <c r="J3482" i="1"/>
  <c r="J3478" i="1"/>
  <c r="B3480" i="1"/>
  <c r="B3481" i="1"/>
  <c r="B3482" i="1"/>
  <c r="B3483" i="1"/>
  <c r="B3484" i="1"/>
  <c r="B3485" i="1"/>
  <c r="H3480" i="1"/>
  <c r="H3481" i="1"/>
  <c r="H3482" i="1"/>
  <c r="H3483" i="1"/>
  <c r="H3484" i="1"/>
  <c r="H3485" i="1"/>
  <c r="K3480" i="1"/>
  <c r="K3481" i="1"/>
  <c r="K3482" i="1"/>
  <c r="K3483" i="1"/>
  <c r="K3484" i="1"/>
  <c r="K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B3479" i="1"/>
  <c r="H3479" i="1"/>
  <c r="K3479" i="1"/>
  <c r="Q3479" i="1"/>
  <c r="P3479" i="1" s="1"/>
  <c r="B3478" i="1"/>
  <c r="H3478" i="1"/>
  <c r="K3478" i="1"/>
  <c r="Q3478" i="1"/>
  <c r="P3478" i="1" s="1"/>
  <c r="B3477" i="1" l="1"/>
  <c r="H3477" i="1"/>
  <c r="J3477" i="1"/>
  <c r="K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B3467" i="1"/>
  <c r="B3468" i="1"/>
  <c r="B3469" i="1"/>
  <c r="B3470" i="1"/>
  <c r="B3471" i="1"/>
  <c r="B3472" i="1"/>
  <c r="B3473" i="1"/>
  <c r="B3474" i="1"/>
  <c r="B3475" i="1"/>
  <c r="B3476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K3467" i="1"/>
  <c r="K3468" i="1"/>
  <c r="K3469" i="1"/>
  <c r="K3470" i="1"/>
  <c r="K3471" i="1"/>
  <c r="K3472" i="1"/>
  <c r="K3473" i="1"/>
  <c r="K3474" i="1"/>
  <c r="K3475" i="1"/>
  <c r="K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B3460" i="1"/>
  <c r="B3461" i="1"/>
  <c r="B3462" i="1"/>
  <c r="B3463" i="1"/>
  <c r="B3464" i="1"/>
  <c r="B3465" i="1"/>
  <c r="B3466" i="1"/>
  <c r="H3460" i="1"/>
  <c r="H3461" i="1"/>
  <c r="H3462" i="1"/>
  <c r="H3463" i="1"/>
  <c r="H3464" i="1"/>
  <c r="H3465" i="1"/>
  <c r="H3466" i="1"/>
  <c r="J3460" i="1"/>
  <c r="J3464" i="1"/>
  <c r="J3465" i="1"/>
  <c r="J3466" i="1"/>
  <c r="K3460" i="1"/>
  <c r="K3461" i="1"/>
  <c r="K3462" i="1"/>
  <c r="K3463" i="1"/>
  <c r="K3464" i="1"/>
  <c r="K3465" i="1"/>
  <c r="K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B3459" i="1"/>
  <c r="H3459" i="1"/>
  <c r="J3459" i="1"/>
  <c r="K3459" i="1"/>
  <c r="Q3459" i="1"/>
  <c r="P3459" i="1" s="1"/>
  <c r="B3458" i="1"/>
  <c r="H3458" i="1"/>
  <c r="J3458" i="1"/>
  <c r="K3458" i="1"/>
  <c r="Q3458" i="1"/>
  <c r="P3458" i="1" s="1"/>
  <c r="B3457" i="1"/>
  <c r="H3457" i="1"/>
  <c r="J3457" i="1"/>
  <c r="K3457" i="1"/>
  <c r="Q3457" i="1"/>
  <c r="P3457" i="1" s="1"/>
  <c r="B3456" i="1"/>
  <c r="H3456" i="1"/>
  <c r="J3456" i="1"/>
  <c r="K3456" i="1"/>
  <c r="Q3456" i="1"/>
  <c r="P3456" i="1" s="1"/>
  <c r="B3455" i="1"/>
  <c r="H3455" i="1"/>
  <c r="J3455" i="1"/>
  <c r="K3455" i="1"/>
  <c r="Q3455" i="1"/>
  <c r="P3455" i="1" s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B3436" i="1"/>
  <c r="H3436" i="1"/>
  <c r="J3436" i="1"/>
  <c r="K3436" i="1"/>
  <c r="Q3436" i="1"/>
  <c r="P3436" i="1" s="1"/>
  <c r="B3435" i="1"/>
  <c r="H3435" i="1"/>
  <c r="K3435" i="1"/>
  <c r="Q3435" i="1"/>
  <c r="P3435" i="1" s="1"/>
  <c r="B3434" i="1"/>
  <c r="H3434" i="1"/>
  <c r="K3434" i="1"/>
  <c r="Q3434" i="1"/>
  <c r="P3434" i="1" s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B3232" i="1" l="1"/>
  <c r="B3233" i="1"/>
  <c r="B3234" i="1"/>
  <c r="B3235" i="1"/>
  <c r="B3236" i="1"/>
  <c r="B3237" i="1"/>
  <c r="B3238" i="1"/>
  <c r="B3239" i="1"/>
  <c r="B3240" i="1"/>
  <c r="B3241" i="1"/>
  <c r="B3242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K3232" i="1"/>
  <c r="K3233" i="1"/>
  <c r="K3234" i="1"/>
  <c r="K3235" i="1"/>
  <c r="K3236" i="1"/>
  <c r="K3237" i="1"/>
  <c r="K3238" i="1"/>
  <c r="K3239" i="1"/>
  <c r="K3240" i="1"/>
  <c r="K3241" i="1"/>
  <c r="K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<sst xmlns="http://schemas.openxmlformats.org/spreadsheetml/2006/main" count="34201" uniqueCount="5951">
  <si>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</si>
  <si>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</si>
  <si>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</si>
  <si>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</si>
  <si>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</si>
  <si>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</si>
  <si>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</si>
  <si>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</si>
  <si>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</si>
  <si>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</si>
  <si>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</si>
  <si>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</si>
  <si>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</si>
  <si>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</si>
  <si>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</si>
  <si>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</si>
  <si>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</si>
  <si>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</si>
  <si>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</si>
  <si>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</si>
  <si>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</si>
  <si>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</si>
  <si>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</si>
  <si>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</si>
  <si>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</si>
  <si>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</si>
  <si>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</si>
  <si>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</si>
  <si>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</si>
  <si>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</si>
  <si>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</si>
  <si>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</si>
  <si>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</si>
  <si>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</si>
  <si>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</si>
  <si>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</si>
  <si>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</si>
  <si>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</si>
  <si>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</si>
  <si>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</si>
  <si>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</si>
  <si>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</si>
  <si>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</si>
  <si>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</si>
  <si>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</si>
  <si>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</si>
  <si>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</si>
  <si>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</si>
  <si>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</si>
  <si>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</si>
  <si>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</si>
  <si>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</si>
  <si>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</si>
  <si>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</si>
  <si>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</si>
  <si>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</si>
  <si>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</si>
  <si>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</si>
  <si>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</si>
  <si>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</si>
  <si>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</si>
  <si>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</si>
  <si>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</si>
  <si>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</si>
  <si>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</si>
  <si>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</si>
  <si>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</si>
  <si>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</si>
  <si>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</si>
  <si>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</si>
  <si>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</si>
  <si>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</si>
  <si>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</si>
  <si>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</si>
  <si>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</si>
  <si>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</si>
  <si>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</si>
  <si>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</si>
  <si>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</si>
  <si>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</si>
  <si>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</si>
  <si>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</si>
  <si>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</si>
  <si>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</si>
  <si>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</si>
  <si>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</si>
  <si>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</si>
  <si>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</si>
  <si>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</si>
  <si>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</si>
  <si>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</si>
  <si>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</si>
  <si>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</si>
  <si>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</si>
  <si>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</si>
  <si>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</si>
  <si>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</si>
  <si>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</si>
  <si>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</si>
  <si>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</si>
  <si>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</si>
  <si>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</si>
  <si>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</si>
  <si>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</si>
  <si>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</si>
  <si>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</si>
  <si>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</si>
  <si>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</si>
  <si>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</si>
  <si>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</si>
  <si>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</si>
  <si>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</si>
  <si>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</si>
  <si>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</si>
  <si>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</si>
  <si>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</si>
  <si>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</si>
  <si>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</si>
  <si>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</si>
  <si>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</si>
  <si>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</si>
  <si>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</si>
  <si>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</si>
  <si>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</si>
  <si>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</si>
  <si>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</si>
  <si>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</si>
  <si>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</si>
  <si>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</si>
  <si>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</si>
  <si>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</si>
  <si>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</si>
  <si>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</si>
  <si>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</si>
  <si>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</si>
  <si>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</si>
  <si>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</si>
  <si>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</si>
  <si>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</si>
  <si>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</si>
  <si>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</si>
  <si>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</si>
  <si>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</si>
  <si>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</si>
  <si>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</si>
  <si>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</si>
  <si>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</si>
  <si>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</si>
  <si>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</si>
  <si>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</si>
  <si>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</si>
  <si>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</si>
  <si>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</si>
  <si>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</si>
  <si>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</si>
  <si>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</si>
  <si>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</si>
  <si>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</si>
  <si>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</si>
  <si>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</si>
  <si>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</si>
  <si>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</si>
  <si>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</si>
  <si>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</si>
  <si>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</si>
  <si>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</si>
  <si>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</si>
  <si>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</si>
  <si>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</si>
  <si>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</si>
  <si>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</si>
  <si>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</si>
  <si>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</si>
  <si>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</si>
  <si>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</si>
  <si>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</si>
  <si>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</si>
  <si>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</si>
  <si>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</si>
  <si>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</si>
  <si>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</si>
  <si>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</si>
  <si>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</si>
  <si>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</si>
  <si>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</si>
  <si>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</si>
  <si>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</si>
  <si>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</si>
  <si>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</si>
  <si>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</si>
  <si>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</si>
  <si>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</si>
  <si>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</si>
  <si>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</si>
  <si>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</si>
  <si>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</si>
  <si>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</si>
  <si>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</si>
  <si>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</si>
  <si>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</si>
  <si>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</si>
  <si>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</si>
  <si>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</si>
  <si>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</si>
  <si>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</si>
  <si>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</si>
  <si>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</si>
  <si>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</si>
  <si>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</si>
  <si>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</si>
  <si>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</si>
  <si>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</si>
  <si>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</si>
  <si>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</si>
  <si>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</si>
  <si>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</si>
  <si>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</si>
  <si>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</si>
  <si>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</si>
  <si>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</si>
  <si>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</si>
  <si>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</si>
  <si>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</si>
  <si>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</si>
  <si>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</si>
  <si>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</si>
  <si>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</si>
  <si>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</si>
  <si>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</si>
  <si>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</si>
  <si>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</si>
  <si>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</si>
  <si>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</si>
  <si>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</si>
  <si>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</si>
  <si>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</si>
  <si>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</si>
  <si>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</si>
  <si>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</si>
  <si>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</si>
  <si>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</si>
  <si>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</si>
  <si>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</si>
  <si>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</si>
  <si>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</si>
  <si>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</si>
  <si>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</si>
  <si>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</si>
  <si>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</si>
  <si>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</si>
  <si>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</si>
  <si>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</si>
  <si>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</si>
  <si>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</si>
  <si>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</si>
  <si>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</si>
  <si>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</si>
  <si>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</si>
  <si>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</si>
  <si>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</si>
  <si>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</si>
  <si>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</si>
  <si>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</si>
  <si>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</si>
  <si>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</si>
  <si>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</si>
  <si>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</si>
  <si>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</si>
  <si>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</si>
  <si>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</si>
  <si>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</si>
  <si>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</si>
  <si>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</si>
  <si>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</si>
  <si>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</si>
  <si>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</si>
  <si>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</si>
  <si>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</si>
  <si>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</si>
  <si>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</si>
  <si>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</si>
  <si>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</si>
  <si>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</si>
  <si>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</si>
  <si>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</si>
  <si>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</si>
  <si>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</si>
  <si>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</si>
  <si>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</si>
  <si>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</si>
  <si>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</si>
  <si>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</si>
  <si>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</si>
  <si>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</si>
  <si>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</si>
  <si>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</si>
  <si>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</si>
  <si>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</si>
  <si>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</si>
  <si>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</si>
  <si>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</si>
  <si>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</si>
  <si>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</si>
  <si>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</si>
  <si>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</si>
  <si>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</si>
  <si>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</si>
  <si>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</si>
  <si>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</si>
  <si>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</si>
  <si>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</si>
  <si>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</si>
  <si>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</si>
  <si>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</si>
  <si>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</si>
  <si>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</si>
  <si>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</si>
  <si>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</si>
  <si>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</si>
  <si>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</si>
  <si>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</si>
  <si>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</si>
  <si>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</si>
  <si>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</si>
  <si>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</si>
  <si>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</si>
  <si>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</si>
  <si>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</si>
  <si>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</si>
  <si>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</si>
  <si>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</si>
  <si>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</si>
  <si>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</si>
  <si>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</si>
  <si>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</si>
  <si>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</si>
  <si>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</si>
  <si>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</si>
  <si>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</si>
  <si>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</si>
  <si>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</si>
  <si>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</si>
  <si>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</si>
  <si>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</si>
  <si>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</si>
  <si>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</si>
  <si>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</si>
  <si>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</si>
  <si>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</si>
  <si>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</si>
  <si>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</si>
  <si>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</si>
  <si>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</si>
  <si>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</si>
  <si>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</si>
  <si>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</si>
  <si>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</si>
  <si>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</si>
  <si>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</si>
  <si>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</si>
  <si>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</si>
  <si>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</si>
  <si>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</si>
  <si>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</si>
  <si>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</si>
  <si>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</si>
  <si>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</si>
  <si>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</si>
  <si>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</si>
  <si>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</si>
  <si>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</si>
  <si>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</si>
  <si>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</si>
  <si>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</si>
  <si>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</si>
  <si>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</si>
  <si>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</si>
  <si>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</si>
  <si>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</si>
  <si>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</si>
  <si>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</si>
  <si>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</si>
  <si>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</si>
  <si>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</si>
  <si>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</si>
  <si>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</si>
  <si>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</si>
  <si>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</si>
  <si>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</si>
  <si>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</si>
  <si>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</si>
  <si>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</si>
  <si>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</si>
  <si>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</si>
  <si>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</si>
  <si>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</si>
  <si>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</si>
  <si>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</si>
  <si>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</si>
  <si>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</si>
  <si>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</si>
  <si>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</si>
  <si>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</si>
  <si>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</si>
  <si>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</si>
  <si>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</si>
  <si>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</si>
  <si>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</si>
  <si>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</si>
  <si>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</si>
  <si>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</si>
  <si>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</si>
  <si>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</si>
  <si>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</si>
  <si>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</si>
  <si>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</si>
  <si>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</si>
  <si>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</si>
  <si>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</si>
  <si>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</si>
  <si>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</si>
  <si>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</si>
  <si>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</si>
  <si>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</si>
  <si>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</si>
  <si>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</si>
  <si>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</si>
  <si>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</si>
  <si>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</si>
  <si>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</si>
  <si>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</si>
  <si>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</si>
  <si>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</si>
  <si>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</si>
  <si>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</si>
  <si>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</si>
  <si>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</si>
  <si>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</si>
  <si>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</si>
  <si>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</si>
  <si>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</si>
  <si>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</si>
  <si>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</si>
  <si>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</si>
  <si>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</si>
  <si>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</si>
  <si>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</si>
  <si>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</si>
  <si>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</si>
  <si>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</si>
  <si>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</si>
  <si>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</si>
  <si>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</si>
  <si>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</si>
  <si>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</si>
  <si>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</si>
  <si>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</si>
  <si>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</si>
  <si>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</si>
  <si>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</si>
  <si>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</si>
  <si>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</si>
  <si>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</si>
  <si>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</si>
  <si>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</si>
  <si>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</si>
  <si>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</si>
  <si>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</si>
  <si>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</si>
  <si>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</si>
  <si>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</si>
  <si>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</si>
  <si>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</si>
  <si>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</si>
  <si>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</si>
  <si>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</si>
  <si>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</si>
  <si>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</si>
  <si>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</si>
  <si>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</si>
  <si>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</si>
  <si>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</si>
  <si>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</si>
  <si>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</si>
  <si>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</si>
  <si>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</si>
  <si>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</si>
  <si>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</si>
  <si>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</si>
  <si>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</si>
  <si>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</si>
  <si>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</si>
  <si>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</si>
  <si>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</si>
  <si>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</si>
  <si>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</si>
  <si>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</si>
  <si>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</si>
  <si>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</si>
  <si>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</si>
  <si>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</si>
  <si>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</si>
  <si>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</si>
  <si>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</si>
  <si>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</si>
  <si>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</si>
  <si>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</si>
  <si>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</si>
  <si>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</si>
  <si>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</si>
  <si>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</si>
  <si>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</si>
  <si>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</si>
  <si>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</si>
  <si>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</si>
  <si>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</si>
  <si>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</si>
  <si>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</si>
  <si>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</si>
  <si>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</si>
  <si>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</si>
  <si>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</si>
  <si>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</si>
  <si>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</si>
  <si>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</si>
  <si>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</si>
  <si>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</si>
  <si>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</si>
  <si>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</si>
  <si>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</si>
  <si>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</si>
  <si>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</si>
  <si>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</si>
  <si>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</si>
  <si>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</si>
  <si>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</si>
  <si>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</si>
  <si>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</si>
  <si>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</si>
  <si>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</si>
  <si>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</si>
  <si>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</si>
  <si>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</si>
  <si>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</si>
  <si>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</si>
  <si>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</si>
  <si>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</si>
  <si>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</si>
  <si>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</si>
  <si>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</si>
  <si>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</si>
  <si>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</si>
  <si>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</si>
  <si>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</si>
  <si>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</si>
  <si>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</si>
  <si>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</si>
  <si>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</si>
  <si>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</si>
  <si>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</si>
  <si>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</si>
  <si>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</si>
  <si>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</si>
  <si>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</si>
  <si>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</si>
  <si>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</si>
  <si>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</si>
  <si>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</si>
  <si>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</si>
  <si>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</si>
  <si>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</si>
  <si>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</si>
  <si>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</si>
  <si>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</si>
  <si>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</si>
  <si>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</si>
  <si>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</si>
  <si>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</si>
  <si>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</si>
  <si>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</si>
  <si>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</si>
  <si>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</si>
  <si>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</si>
  <si>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</si>
  <si>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</si>
  <si>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</si>
  <si>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</si>
  <si>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</si>
  <si>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</si>
  <si>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</si>
  <si>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</si>
  <si>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</si>
  <si>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</si>
  <si>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</si>
  <si>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</si>
  <si>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</si>
  <si>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</si>
  <si>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</si>
  <si>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</si>
  <si>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</si>
  <si>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</si>
  <si>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</si>
  <si>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</si>
  <si>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</si>
  <si>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</si>
  <si>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</si>
  <si>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</si>
  <si>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</si>
  <si>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</si>
  <si>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</si>
  <si>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</si>
  <si>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</si>
  <si>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</si>
  <si>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</si>
  <si>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</si>
  <si>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</si>
  <si>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</si>
  <si>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</si>
  <si>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</si>
  <si>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</si>
  <si>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</si>
  <si>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</si>
  <si>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</si>
  <si>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</si>
  <si>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</si>
  <si>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</si>
  <si>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</si>
  <si>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</si>
  <si>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</si>
  <si>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</si>
  <si>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</si>
  <si>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</si>
  <si>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</si>
  <si>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</si>
  <si>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</si>
  <si>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</si>
  <si>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</si>
  <si>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</si>
  <si>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</si>
  <si>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</si>
  <si>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</si>
  <si>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</si>
  <si>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</si>
  <si>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</si>
  <si>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</si>
  <si>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</si>
  <si>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</si>
  <si>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</si>
  <si>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</si>
  <si>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</si>
  <si>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</si>
  <si>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</si>
  <si>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</si>
  <si>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</si>
  <si>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</si>
  <si>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</si>
  <si>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</si>
  <si>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</si>
  <si>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</si>
  <si>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</si>
  <si>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</si>
  <si>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</si>
  <si>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</si>
  <si>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</si>
  <si>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</si>
  <si>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</si>
  <si>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</si>
  <si>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</si>
  <si>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</si>
  <si>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</si>
  <si>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</si>
  <si>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</si>
  <si>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</si>
  <si>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</si>
  <si>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</si>
  <si>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</si>
  <si>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</si>
  <si>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</si>
  <si>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</si>
  <si>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</si>
  <si>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</si>
  <si>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</si>
  <si>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</si>
  <si>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</si>
  <si>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</si>
  <si>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</si>
  <si>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</si>
  <si>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</si>
  <si>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</si>
  <si>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</si>
  <si>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</si>
  <si>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</si>
  <si>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</si>
  <si>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</si>
  <si>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</si>
  <si>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</si>
  <si>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</si>
  <si>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</si>
  <si>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</si>
  <si>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</si>
  <si>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</si>
  <si>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</si>
  <si>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</si>
  <si>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</si>
  <si>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</si>
  <si>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</si>
  <si>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</si>
  <si>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</si>
  <si>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</si>
  <si>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</si>
  <si>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</si>
  <si>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</si>
  <si>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</si>
  <si>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</si>
  <si>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</si>
  <si>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</si>
  <si>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</si>
  <si>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</si>
  <si>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</si>
  <si>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</si>
  <si>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</si>
  <si>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</si>
  <si>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</si>
  <si>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</si>
  <si>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</si>
  <si>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</si>
  <si>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</si>
  <si>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</si>
  <si>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</si>
  <si>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</si>
  <si>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</si>
  <si>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</si>
  <si>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</si>
  <si>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</si>
  <si>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</si>
  <si>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</si>
  <si>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</si>
  <si>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</si>
  <si>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</si>
  <si>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</si>
  <si>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</si>
  <si>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</si>
  <si>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</si>
  <si>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</si>
  <si>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</si>
  <si>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</si>
  <si>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</si>
  <si>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</si>
  <si>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</si>
  <si>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</si>
  <si>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</si>
  <si>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</si>
  <si>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</si>
  <si>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</si>
  <si>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</si>
  <si>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</si>
  <si>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</si>
  <si>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</si>
  <si>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</si>
  <si>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</si>
  <si>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</si>
  <si>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</si>
  <si>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</si>
  <si>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</si>
  <si>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</si>
  <si>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</si>
  <si>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</si>
  <si>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</si>
  <si>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</si>
  <si>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</si>
  <si>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</si>
  <si>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</si>
  <si>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</si>
  <si>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</si>
  <si>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</si>
  <si>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</si>
  <si>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</si>
  <si>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</si>
  <si>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</si>
  <si>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</si>
  <si>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</si>
  <si>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</si>
  <si>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</si>
  <si>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</si>
  <si>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</si>
  <si>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</si>
  <si>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</si>
  <si>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</si>
  <si>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</si>
  <si>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</si>
  <si>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</si>
  <si>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</si>
  <si>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</si>
  <si>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</si>
  <si>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</si>
  <si>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</si>
  <si>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</si>
  <si>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</si>
  <si>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</si>
  <si>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</si>
  <si>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</si>
  <si>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</si>
  <si>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</si>
  <si>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</si>
  <si>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</si>
  <si>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</si>
  <si>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</si>
  <si>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</si>
  <si>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</si>
  <si>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</si>
  <si>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</si>
  <si>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</si>
  <si>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</si>
  <si>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</si>
  <si>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</si>
  <si>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</si>
  <si>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</si>
  <si>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</si>
  <si>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</si>
  <si>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</si>
  <si>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</si>
  <si>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</si>
  <si>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</si>
  <si>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</si>
  <si>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</si>
  <si>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</si>
  <si>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</si>
  <si>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</si>
  <si>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</si>
  <si>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</si>
  <si>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</si>
  <si>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</si>
  <si>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</si>
  <si>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</si>
  <si>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</si>
  <si>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</si>
  <si>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</si>
  <si>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</si>
  <si>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</si>
  <si>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</si>
  <si>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</si>
  <si>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</si>
  <si>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</si>
  <si>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</si>
  <si>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</si>
  <si>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</si>
  <si>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</si>
  <si>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</si>
  <si>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</si>
  <si>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</si>
  <si>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</si>
  <si>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</si>
  <si>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</si>
  <si>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</si>
  <si>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</si>
  <si>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</si>
  <si>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</si>
  <si>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</si>
  <si>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</si>
  <si>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</si>
  <si>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</si>
  <si>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</si>
  <si>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</si>
  <si>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</si>
  <si>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</si>
  <si>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</si>
  <si>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</si>
  <si>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</si>
  <si>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</si>
  <si>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</si>
  <si>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</si>
  <si>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</si>
  <si>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</si>
  <si>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</si>
  <si>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</si>
  <si>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</si>
  <si>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</si>
  <si>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</si>
  <si>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</si>
  <si>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</si>
  <si>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</si>
  <si>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</si>
  <si>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</si>
  <si>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</si>
  <si>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</si>
  <si>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</si>
  <si>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</si>
  <si>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</si>
  <si>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</si>
  <si>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</si>
  <si>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</si>
  <si>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</si>
  <si>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</si>
  <si>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</si>
  <si>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</si>
  <si>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</si>
  <si>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</si>
  <si>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</si>
  <si>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</si>
  <si>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</si>
  <si>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</si>
  <si>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</si>
  <si>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</si>
  <si>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</si>
  <si>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</si>
  <si>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</si>
  <si>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</si>
  <si>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</si>
  <si>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</si>
  <si>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</si>
  <si>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</si>
  <si>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</si>
  <si>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</si>
  <si>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</si>
  <si>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</si>
  <si>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</si>
  <si>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</si>
  <si>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</si>
  <si>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</si>
  <si>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</si>
  <si>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</si>
  <si>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</si>
  <si>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</si>
  <si>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</si>
  <si>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</si>
  <si>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</si>
  <si>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</si>
  <si>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</si>
  <si>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</si>
  <si>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</si>
  <si>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</si>
  <si>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</si>
  <si>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</si>
  <si>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</si>
  <si>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</si>
  <si>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</si>
  <si>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</si>
  <si>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</si>
  <si>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</si>
  <si>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</si>
  <si>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</si>
  <si>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</si>
  <si>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</si>
  <si>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</si>
  <si>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</si>
  <si>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</si>
  <si>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</si>
  <si>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</si>
  <si>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</si>
  <si>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</si>
  <si>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</si>
  <si>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</si>
  <si>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</si>
  <si>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</si>
  <si>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</si>
  <si>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</si>
  <si>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</si>
  <si>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</si>
  <si>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</si>
  <si>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</si>
  <si>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</si>
  <si>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</si>
  <si>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</si>
  <si>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</si>
  <si>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</si>
  <si>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</si>
  <si>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</si>
  <si>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</si>
  <si>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</si>
  <si>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</si>
  <si>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</si>
  <si>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</si>
  <si>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</si>
  <si>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</si>
  <si>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</si>
  <si>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</si>
  <si>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</si>
  <si>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</si>
  <si>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</si>
  <si>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</si>
  <si>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</si>
  <si>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</si>
  <si>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</si>
  <si>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</si>
  <si>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</si>
  <si>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</si>
  <si>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</si>
  <si>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</si>
  <si>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</si>
  <si>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</si>
  <si>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</si>
  <si>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</si>
  <si>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</si>
  <si>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</si>
  <si>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</si>
  <si>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</si>
  <si>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</si>
  <si>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</si>
  <si>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</si>
  <si>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</si>
  <si>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</si>
  <si>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</si>
  <si>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</si>
  <si>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</si>
  <si>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</si>
  <si>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</si>
  <si>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</si>
  <si>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</si>
  <si>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</si>
  <si>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</si>
  <si>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</si>
  <si>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</si>
  <si>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</si>
  <si>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</si>
  <si>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</si>
  <si>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</si>
  <si>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</si>
  <si>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</si>
  <si>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</si>
  <si>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</si>
  <si>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</si>
  <si>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</si>
  <si>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</si>
  <si>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</si>
  <si>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</si>
  <si>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</si>
  <si>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</si>
  <si>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</si>
  <si>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</si>
  <si>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</si>
  <si>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</si>
  <si>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</si>
  <si>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</si>
  <si>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</si>
  <si>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</si>
  <si>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</si>
  <si>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</si>
  <si>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</si>
  <si>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</si>
  <si>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</si>
  <si>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</si>
  <si>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</si>
  <si>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</si>
  <si>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</si>
  <si>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</si>
  <si>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</si>
  <si>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</si>
  <si>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</si>
  <si>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</si>
  <si>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</si>
  <si>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</si>
  <si>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</si>
  <si>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</si>
  <si>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</si>
  <si>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</si>
  <si>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</si>
  <si>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</si>
  <si>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</si>
  <si>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</si>
  <si>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</si>
  <si>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</si>
  <si>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</si>
  <si>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</si>
  <si>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</si>
  <si>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</si>
  <si>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</si>
  <si>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</si>
  <si>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</si>
  <si>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</si>
  <si>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</si>
  <si>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</si>
  <si>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</si>
  <si>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</si>
  <si>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</si>
  <si>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</si>
  <si>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</si>
  <si>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</si>
  <si>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</si>
  <si>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</si>
  <si>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</si>
  <si>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</si>
  <si>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</si>
  <si>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</si>
  <si>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</si>
  <si>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</si>
  <si>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</si>
  <si>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</si>
  <si>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</si>
  <si>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</si>
  <si>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</si>
  <si>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</si>
  <si>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</si>
  <si>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</si>
  <si>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</si>
  <si>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</si>
  <si>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</si>
  <si>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</si>
  <si>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</si>
  <si>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</si>
  <si>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</si>
  <si>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</si>
  <si>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</si>
  <si>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</si>
  <si>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</si>
  <si>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</si>
  <si>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</si>
  <si>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</si>
  <si>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</si>
  <si>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</si>
  <si>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</si>
  <si>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</si>
  <si>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</si>
  <si>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</si>
  <si>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</si>
  <si>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</si>
  <si>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</si>
  <si>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</si>
  <si>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</si>
  <si>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</si>
  <si>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</si>
  <si>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</si>
  <si>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</si>
  <si>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</si>
  <si>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</si>
  <si>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</si>
  <si>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</si>
  <si>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</si>
  <si>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</si>
  <si>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</si>
  <si>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</si>
  <si>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</si>
  <si>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</si>
  <si>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</si>
  <si>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</si>
  <si>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</si>
  <si>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</si>
  <si>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</si>
  <si>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</si>
  <si>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</si>
  <si>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</si>
  <si>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</si>
  <si>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</si>
  <si>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</si>
  <si>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</si>
  <si>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</si>
  <si>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</si>
  <si>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</si>
  <si>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</si>
  <si>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</si>
  <si>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</si>
  <si>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</si>
  <si>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</si>
  <si>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</si>
  <si>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</si>
  <si>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</si>
  <si>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</si>
  <si>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</si>
  <si>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</si>
  <si>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</si>
  <si>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</si>
  <si>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</si>
  <si>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</si>
  <si>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</si>
  <si>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</si>
  <si>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</si>
  <si>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</si>
  <si>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</si>
  <si>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</si>
  <si>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</si>
  <si>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</si>
  <si>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</si>
  <si>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</si>
  <si>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</si>
  <si>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</si>
  <si>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</si>
  <si>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</si>
  <si>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</si>
  <si>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</si>
  <si>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</si>
  <si>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</si>
  <si>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</si>
  <si>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</si>
  <si>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</si>
  <si>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</si>
  <si>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</si>
  <si>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</si>
  <si>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</si>
  <si>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</si>
  <si>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</si>
  <si>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</si>
  <si>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</si>
  <si>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</si>
  <si>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</si>
  <si>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</si>
  <si>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</si>
  <si>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</si>
  <si>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</si>
  <si>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</si>
  <si>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</si>
  <si>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</si>
  <si>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</si>
  <si>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</si>
  <si>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</si>
  <si>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</si>
  <si>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</si>
  <si>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</si>
  <si>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</si>
  <si>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</si>
  <si>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</si>
  <si>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</si>
  <si>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</si>
  <si>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</si>
  <si>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</si>
  <si>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</si>
  <si>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</si>
  <si>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</si>
  <si>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</si>
  <si>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</si>
  <si>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</si>
  <si>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</si>
  <si>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</si>
  <si>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</si>
  <si>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</si>
  <si>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</si>
  <si>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</si>
  <si>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</si>
  <si>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</si>
  <si>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</si>
  <si>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</si>
  <si>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</si>
  <si>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</si>
  <si>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</si>
  <si>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</si>
  <si>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</si>
  <si>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</si>
  <si>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</si>
  <si>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</si>
  <si>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</si>
  <si>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</si>
  <si>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</si>
  <si>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</si>
  <si>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</si>
  <si>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</si>
  <si>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</si>
  <si>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</si>
  <si>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</si>
  <si>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</si>
  <si>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</si>
  <si>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</si>
  <si>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</si>
  <si>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</si>
  <si>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</si>
  <si>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</si>
  <si>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</si>
  <si>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</si>
  <si>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</si>
  <si>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</si>
  <si>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</si>
  <si>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</si>
  <si>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</si>
  <si>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</si>
  <si>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</si>
  <si>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</si>
  <si>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</si>
  <si>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</si>
  <si>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</si>
  <si>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</si>
  <si>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</si>
  <si>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</si>
  <si>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</si>
  <si>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</si>
  <si>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</si>
  <si>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</si>
  <si>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</si>
  <si>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</si>
  <si>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</si>
  <si>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</si>
  <si>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</si>
  <si>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</si>
  <si>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</si>
  <si>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</si>
  <si>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</si>
  <si>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</si>
  <si>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</si>
  <si>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</si>
  <si>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</si>
  <si>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</si>
  <si>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</si>
  <si>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</si>
  <si>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</si>
  <si>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</si>
  <si>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</si>
  <si>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</si>
  <si>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</si>
  <si>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</si>
  <si>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</si>
  <si>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</si>
  <si>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</si>
  <si>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</si>
  <si>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</si>
  <si>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</si>
  <si>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</si>
  <si>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</si>
  <si>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</si>
  <si>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</si>
  <si>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</si>
  <si>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</si>
  <si>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</si>
  <si>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</si>
  <si>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</si>
  <si>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</si>
  <si>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</si>
  <si>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</si>
  <si>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</si>
  <si>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</si>
  <si>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</si>
  <si>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</si>
  <si>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</si>
  <si>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</si>
  <si>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</si>
  <si>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</si>
  <si>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</si>
  <si>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</si>
  <si>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</si>
  <si>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</si>
  <si>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</si>
  <si>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</si>
  <si>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</si>
  <si>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</si>
  <si>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</si>
  <si>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</si>
  <si>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</si>
  <si>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</si>
  <si>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</si>
  <si>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</si>
  <si>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</si>
  <si>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</si>
  <si>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</si>
  <si>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</si>
  <si>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</si>
  <si>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</si>
  <si>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</si>
  <si>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</si>
  <si>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</si>
  <si>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</si>
  <si>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</si>
  <si>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</si>
  <si>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</si>
  <si>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</si>
  <si>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</si>
  <si>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</si>
  <si>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</si>
  <si>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</si>
  <si>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</si>
  <si>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</si>
  <si>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</si>
  <si>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</si>
  <si>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</si>
  <si>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</si>
  <si>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</si>
  <si>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</si>
  <si>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</si>
  <si>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</si>
  <si>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</si>
  <si>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</si>
  <si>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</si>
  <si>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</si>
  <si>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</si>
  <si>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</si>
  <si>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</si>
  <si>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</si>
  <si>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</si>
  <si>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</si>
  <si>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</si>
  <si>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</si>
  <si>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</si>
  <si>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</si>
  <si>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</si>
  <si>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</si>
  <si>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</si>
  <si>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</si>
  <si>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</si>
  <si>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</si>
  <si>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</si>
  <si>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</si>
  <si>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</si>
  <si>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</si>
  <si>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</si>
  <si>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</si>
  <si>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</si>
  <si>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</si>
  <si>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</si>
  <si>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</si>
  <si>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</si>
  <si>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</si>
  <si>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</si>
  <si>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</si>
  <si>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</si>
  <si>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</si>
  <si>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</si>
  <si>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</si>
  <si>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</si>
  <si>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</si>
  <si>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</si>
  <si>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</si>
  <si>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</si>
  <si>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</si>
  <si>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</si>
  <si>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</si>
  <si>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</si>
  <si>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</si>
  <si>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</si>
  <si>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</si>
  <si>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</si>
  <si>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</si>
  <si>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</si>
  <si>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</si>
  <si>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</si>
  <si>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</si>
  <si>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</si>
  <si>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</si>
  <si>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</si>
  <si>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</si>
  <si>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</si>
  <si>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</si>
  <si>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</si>
  <si>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</si>
  <si>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</si>
  <si>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</si>
  <si>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</si>
  <si>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</si>
  <si>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</si>
  <si>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</si>
  <si>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</si>
  <si>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</si>
  <si>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</si>
  <si>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</si>
  <si>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</si>
  <si>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</si>
  <si>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</si>
  <si>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</si>
  <si>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</si>
  <si>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</si>
  <si>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</si>
  <si>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</si>
  <si>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</si>
  <si>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</si>
  <si>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</si>
  <si>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</si>
  <si>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</si>
  <si>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</si>
  <si>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</si>
  <si>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</si>
  <si>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</si>
  <si>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</si>
  <si>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</si>
  <si>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</si>
  <si>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</si>
  <si>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</si>
  <si>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</si>
  <si>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</si>
  <si>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</si>
  <si>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</si>
  <si>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</si>
  <si>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</si>
  <si>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</si>
  <si>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</si>
  <si>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</si>
  <si>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</si>
  <si>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</si>
  <si>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</si>
  <si>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</si>
  <si>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</si>
  <si>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</si>
  <si>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</si>
  <si>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</si>
  <si>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</si>
  <si>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</si>
  <si>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</si>
  <si>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</si>
  <si>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</si>
  <si>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</si>
  <si>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</si>
  <si>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</si>
  <si>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</si>
  <si>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</si>
  <si>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</si>
  <si>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</si>
  <si>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</si>
  <si>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</si>
  <si>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</si>
  <si>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</si>
  <si>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</si>
  <si>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</si>
  <si>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</si>
  <si>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</si>
  <si>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</si>
  <si>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</si>
  <si>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</si>
  <si>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</si>
  <si>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</si>
  <si>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</si>
  <si>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</si>
  <si>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</si>
  <si>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</si>
  <si>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</si>
  <si>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</si>
  <si>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</si>
  <si>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</si>
  <si>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</si>
  <si>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</si>
  <si>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</si>
  <si>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</si>
  <si>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</si>
  <si>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</si>
  <si>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</si>
  <si>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</si>
  <si>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</si>
  <si>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</si>
  <si>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</si>
  <si>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</si>
  <si>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</si>
  <si>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</si>
  <si>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</si>
  <si>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</si>
  <si>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</si>
  <si>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</si>
  <si>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</si>
  <si>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</si>
  <si>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</si>
  <si>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</si>
  <si>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</si>
  <si>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</si>
  <si>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</si>
  <si>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</si>
  <si>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</si>
  <si>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</si>
  <si>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</si>
  <si>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</si>
  <si>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</si>
  <si>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</si>
  <si>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</si>
  <si>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</si>
  <si>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</si>
  <si>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</si>
  <si>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</si>
  <si>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</si>
  <si>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</si>
  <si>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</si>
  <si>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</si>
  <si>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</si>
  <si>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</si>
  <si>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</si>
  <si>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</si>
  <si>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</si>
  <si>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</si>
  <si>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</si>
  <si>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</si>
  <si>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</si>
  <si>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</si>
  <si>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</si>
  <si>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</si>
  <si>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</si>
  <si>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</si>
  <si>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</si>
  <si>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</si>
  <si>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</si>
  <si>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</si>
  <si>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</si>
  <si>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</si>
  <si>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</si>
  <si>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</si>
  <si>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</si>
  <si>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</si>
  <si>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</si>
  <si>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</si>
  <si>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</si>
  <si>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</si>
  <si>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</si>
  <si>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</si>
  <si>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</si>
  <si>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</si>
  <si>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</si>
  <si>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</si>
  <si>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</si>
  <si>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</si>
  <si>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</si>
  <si>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</si>
  <si>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</si>
  <si>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</si>
  <si>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</si>
  <si>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</si>
  <si>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</si>
  <si>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</si>
  <si>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</si>
  <si>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</si>
  <si>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</si>
  <si>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</si>
  <si>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</si>
  <si>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</si>
  <si>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</si>
  <si>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</si>
  <si>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</si>
  <si>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</si>
  <si>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</si>
  <si>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</si>
  <si>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</si>
  <si>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</si>
  <si>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</si>
  <si>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</si>
  <si>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</si>
  <si>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</si>
  <si>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</si>
  <si>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</si>
  <si>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</si>
  <si>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</si>
  <si>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</si>
  <si>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</si>
  <si>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</si>
  <si>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</si>
  <si>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</si>
  <si>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</si>
  <si>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</si>
  <si>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</si>
  <si>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</si>
  <si>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</si>
  <si>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</si>
  <si>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</si>
  <si>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</si>
  <si>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</si>
  <si>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</si>
  <si>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</si>
  <si>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</si>
  <si>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</si>
  <si>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</si>
  <si>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</si>
  <si>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</si>
  <si>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</si>
  <si>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</si>
  <si>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</si>
  <si>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</si>
  <si>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</si>
  <si>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</si>
  <si>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</si>
  <si>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</si>
  <si>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</si>
  <si>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</si>
  <si>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</si>
  <si>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</si>
  <si>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</si>
  <si>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</si>
  <si>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</si>
  <si>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</si>
  <si>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</si>
  <si>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</si>
  <si>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</si>
  <si>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</si>
  <si>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</si>
  <si>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</si>
  <si>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</si>
  <si>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</si>
  <si>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</si>
  <si>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</si>
  <si>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</si>
  <si>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</si>
  <si>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</si>
  <si>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</si>
  <si>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</si>
  <si>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</si>
  <si>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</si>
  <si>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</si>
  <si>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</si>
  <si>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</si>
  <si>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</si>
  <si>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</si>
  <si>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</si>
  <si>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</si>
  <si>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</si>
  <si>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</si>
  <si>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</si>
  <si>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</si>
  <si>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</si>
  <si>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</si>
  <si>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</si>
  <si>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</si>
  <si>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</si>
  <si>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</si>
  <si>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</si>
  <si>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</si>
  <si>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</si>
  <si>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</si>
  <si>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</si>
  <si>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</si>
  <si>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</si>
  <si>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</si>
  <si>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</si>
  <si>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</si>
  <si>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</si>
  <si>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</si>
  <si>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</si>
  <si>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</si>
  <si>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</si>
  <si>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</si>
  <si>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</si>
  <si>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</si>
  <si>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</si>
  <si>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</si>
  <si>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</si>
  <si>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</si>
  <si>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</si>
  <si>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</si>
  <si>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</si>
  <si>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</si>
  <si>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</si>
  <si>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</si>
  <si>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</si>
  <si>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</si>
  <si>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</si>
  <si>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</si>
  <si>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</si>
  <si>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</si>
  <si>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</si>
  <si>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</si>
  <si>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</si>
  <si>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</si>
  <si>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</si>
  <si>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</si>
  <si>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</si>
  <si>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</si>
  <si>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</si>
  <si>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</si>
  <si>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</si>
  <si>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</si>
  <si>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</si>
  <si>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</si>
  <si>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</si>
  <si>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</si>
  <si>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</si>
  <si>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</si>
  <si>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</si>
  <si>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</si>
  <si>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</si>
  <si>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</si>
  <si>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</si>
  <si>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</si>
  <si>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</si>
  <si>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</si>
  <si>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</si>
  <si>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</si>
  <si>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</si>
  <si>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</si>
  <si>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</si>
  <si>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</si>
  <si>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</si>
  <si>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</si>
  <si>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</si>
  <si>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</si>
  <si>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</si>
  <si>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</si>
  <si>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</si>
  <si>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</si>
  <si>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</si>
  <si>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</si>
  <si>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</si>
  <si>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</si>
  <si>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</si>
  <si>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</si>
  <si>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</si>
  <si>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</si>
  <si>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</si>
  <si>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</si>
  <si>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</si>
  <si>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</si>
  <si>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</si>
  <si>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</si>
  <si>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</si>
  <si>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</si>
  <si>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</si>
  <si>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</si>
  <si>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</si>
  <si>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</si>
  <si>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</si>
  <si>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</si>
  <si>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</si>
  <si>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</si>
  <si>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</si>
  <si>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</si>
  <si>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</si>
  <si>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</si>
  <si>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</si>
  <si>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</si>
  <si>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</si>
  <si>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</si>
  <si>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</si>
  <si>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</si>
  <si>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</si>
  <si>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</si>
  <si>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</si>
  <si>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</si>
  <si>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</si>
  <si>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</si>
  <si>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</si>
  <si>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</si>
  <si>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</si>
  <si>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</si>
  <si>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</si>
  <si>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</si>
  <si>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</si>
  <si>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</si>
  <si>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</si>
  <si>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</si>
  <si>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</si>
  <si>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</si>
  <si>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</si>
  <si>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</si>
  <si>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</si>
  <si>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</si>
  <si>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</si>
  <si>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</si>
  <si>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</si>
  <si>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</si>
  <si>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</si>
  <si>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</si>
  <si>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</si>
  <si>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</si>
  <si>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</si>
  <si>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</si>
  <si>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</si>
  <si>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</si>
  <si>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</si>
  <si>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</si>
  <si>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</si>
  <si>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</si>
  <si>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</si>
  <si>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</si>
  <si>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</si>
  <si>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</si>
  <si>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</si>
  <si>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</si>
  <si>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</si>
  <si>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</si>
  <si>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</si>
  <si>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</si>
  <si>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</si>
  <si>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</si>
  <si>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</si>
  <si>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</si>
  <si>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</si>
  <si>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</si>
  <si>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</si>
  <si>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</si>
  <si>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</si>
  <si>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</si>
  <si>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</si>
  <si>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</si>
  <si>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</si>
  <si>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</si>
  <si>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</si>
  <si>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</si>
  <si>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</si>
  <si>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</si>
  <si>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</si>
  <si>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</si>
  <si>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</si>
  <si>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</si>
  <si>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</si>
  <si>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</si>
  <si>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</si>
  <si>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</si>
  <si>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</si>
  <si>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</si>
  <si>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</si>
  <si>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</si>
  <si>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</si>
  <si>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</si>
  <si>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</si>
  <si>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</si>
  <si>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</si>
  <si>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</si>
  <si>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</si>
  <si>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</si>
  <si>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</si>
  <si>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</si>
  <si>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</si>
  <si>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</si>
  <si>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</si>
  <si>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</si>
  <si>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</si>
  <si>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</si>
  <si>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</si>
  <si>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</si>
  <si>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</si>
  <si>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</si>
  <si>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</si>
  <si>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</si>
  <si>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</si>
  <si>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</si>
  <si>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</si>
  <si>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</si>
  <si>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</si>
  <si>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</si>
  <si>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</si>
  <si>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</si>
  <si>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</si>
  <si>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</si>
  <si>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</si>
  <si>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</si>
  <si>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</si>
  <si>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</si>
  <si>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</si>
  <si>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</si>
  <si>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</si>
  <si>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</si>
  <si>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</si>
  <si>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</si>
  <si>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</si>
  <si>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</si>
  <si>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</si>
  <si>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</si>
  <si>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</si>
  <si>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</si>
  <si>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</si>
  <si>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</si>
  <si>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</si>
  <si>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</si>
  <si>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</si>
  <si>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</si>
  <si>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</si>
  <si>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</si>
  <si>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</si>
  <si>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</si>
  <si>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</si>
  <si>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</si>
  <si>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</si>
  <si>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</si>
  <si>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</si>
  <si>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</si>
  <si>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</si>
  <si>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</si>
  <si>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</si>
  <si>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</si>
  <si>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</si>
  <si>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</si>
  <si>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</si>
  <si>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</si>
  <si>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</si>
  <si>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</si>
  <si>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</si>
  <si>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</si>
  <si>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</si>
  <si>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</si>
  <si>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</si>
  <si>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</si>
  <si>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</si>
  <si>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</si>
  <si>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</si>
  <si>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</si>
  <si>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</si>
  <si>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</si>
  <si>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</si>
  <si>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</si>
  <si>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</si>
  <si>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</si>
  <si>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</si>
  <si>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</si>
  <si>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</si>
  <si>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</si>
  <si>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</si>
  <si>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</si>
  <si>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</si>
  <si>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</si>
  <si>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</si>
  <si>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</si>
  <si>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</si>
  <si>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</si>
  <si>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</si>
  <si>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</si>
  <si>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</si>
  <si>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</si>
  <si>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</si>
  <si>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</si>
  <si>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</si>
  <si>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</si>
  <si>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</si>
  <si>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</si>
  <si>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</si>
  <si>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</si>
  <si>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</si>
  <si>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</si>
  <si>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</si>
  <si>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</si>
  <si>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</si>
  <si>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</si>
  <si>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</si>
  <si>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</si>
  <si>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</si>
  <si>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</si>
  <si>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</si>
  <si>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</si>
  <si>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</si>
  <si>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</si>
  <si>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</si>
  <si>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</si>
  <si>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</si>
  <si>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</si>
  <si>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</si>
  <si>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</si>
  <si>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</si>
  <si>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</si>
  <si>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</si>
  <si>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</si>
  <si>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</si>
  <si>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</si>
  <si>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</si>
  <si>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</si>
  <si>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</si>
  <si>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</si>
  <si>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</si>
  <si>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</si>
  <si>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</si>
  <si>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</si>
  <si>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</si>
  <si>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</si>
  <si>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</si>
  <si>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</si>
  <si>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</si>
  <si>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</si>
  <si>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</si>
  <si>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</si>
  <si>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</si>
  <si>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</si>
  <si>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</si>
  <si>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</si>
  <si>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</si>
  <si>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</si>
  <si>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</si>
  <si>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</si>
  <si>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</si>
  <si>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</si>
  <si>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</si>
  <si>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</si>
  <si>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</si>
  <si>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</si>
  <si>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</si>
  <si>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</si>
  <si>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</si>
  <si>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</si>
  <si>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</si>
  <si>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</si>
  <si>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</si>
  <si>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</si>
  <si>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</si>
  <si>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</si>
  <si>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</si>
  <si>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</si>
  <si>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</si>
  <si>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</si>
  <si>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</si>
  <si>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</si>
  <si>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</si>
  <si>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</si>
  <si>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</si>
  <si>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</si>
  <si>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</si>
  <si>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</si>
  <si>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</si>
  <si>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</si>
  <si>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</si>
  <si>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</si>
  <si>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</si>
  <si>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</si>
  <si>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</si>
  <si>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</si>
  <si>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</si>
  <si>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</si>
  <si>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</si>
  <si>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</si>
  <si>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</si>
  <si>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</si>
  <si>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</si>
  <si>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</si>
  <si>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</si>
  <si>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</si>
  <si>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</si>
  <si>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</si>
  <si>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</si>
  <si>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</si>
  <si>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</si>
  <si>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</si>
  <si>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</si>
  <si>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</si>
  <si>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</si>
  <si>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</si>
  <si>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</si>
  <si>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</si>
  <si>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</si>
  <si>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</si>
  <si>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</si>
  <si>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</si>
  <si>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</si>
  <si>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</si>
  <si>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</si>
  <si>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</si>
  <si>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</si>
  <si>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</si>
  <si>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</si>
  <si>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</si>
  <si>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</si>
  <si>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</si>
  <si>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</si>
  <si>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</si>
  <si>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</si>
  <si>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</si>
  <si>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</si>
  <si>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</si>
  <si>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</si>
  <si>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</si>
  <si>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</si>
  <si>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</si>
  <si>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</si>
  <si>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</si>
  <si>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</si>
  <si>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</si>
  <si>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</si>
  <si>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</si>
  <si>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</si>
  <si>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</si>
  <si>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</si>
  <si>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</si>
  <si>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</si>
  <si>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</si>
  <si>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</si>
  <si>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</si>
  <si>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</si>
  <si>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</si>
  <si>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</si>
  <si>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</si>
  <si>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</si>
  <si>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</si>
  <si>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</si>
  <si>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</si>
  <si>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</si>
  <si>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</si>
  <si>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</si>
  <si>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</si>
  <si>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</si>
  <si>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</si>
  <si>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</si>
  <si>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</si>
  <si>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</si>
  <si>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</si>
  <si>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</si>
  <si>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</si>
  <si>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</si>
  <si>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</si>
  <si>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</si>
  <si>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</si>
  <si>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</si>
  <si>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</si>
  <si>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</si>
  <si>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</si>
  <si>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</si>
  <si>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</si>
  <si>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</si>
  <si>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</si>
  <si>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</si>
  <si>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</si>
  <si>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</si>
  <si>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</si>
  <si>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</si>
  <si>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</si>
  <si>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</si>
  <si>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</si>
  <si>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</si>
  <si>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</si>
  <si>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</si>
  <si>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</si>
  <si>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</si>
  <si>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</si>
  <si>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</si>
  <si>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</si>
  <si>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</si>
  <si>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</si>
  <si>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</si>
  <si>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</si>
  <si>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</si>
  <si>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</si>
  <si>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</si>
  <si>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</si>
  <si>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</si>
  <si>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</si>
  <si>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</si>
  <si>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</si>
  <si>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</si>
  <si>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</si>
  <si>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</si>
  <si>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</si>
  <si>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</si>
  <si>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</si>
  <si>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</si>
  <si>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</si>
  <si>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</si>
  <si>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</si>
  <si>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</si>
  <si>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</si>
  <si>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</si>
  <si>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</si>
  <si>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</si>
  <si>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</si>
  <si>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</si>
  <si>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</si>
  <si>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</si>
  <si>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</si>
  <si>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</si>
  <si>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</si>
  <si>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</si>
  <si>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</si>
  <si>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</si>
  <si>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</si>
  <si>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</si>
  <si>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</si>
  <si>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</si>
  <si>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</si>
  <si>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</si>
  <si>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</si>
  <si>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</si>
  <si>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</si>
  <si>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</si>
  <si>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</si>
  <si>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</si>
  <si>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</si>
  <si>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</si>
  <si>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</si>
  <si>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</si>
  <si>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</si>
  <si>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</si>
  <si>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</si>
  <si>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</si>
  <si>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</si>
  <si>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</si>
  <si>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</si>
  <si>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</si>
  <si>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</si>
  <si>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</si>
  <si>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</si>
  <si>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</si>
  <si>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</si>
  <si>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</si>
  <si>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</si>
  <si>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</si>
  <si>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</si>
  <si>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</si>
  <si>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</si>
  <si>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</si>
  <si>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</si>
  <si>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</si>
  <si>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</si>
  <si>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</si>
  <si>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</si>
  <si>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</si>
  <si>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</si>
  <si>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</si>
  <si>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</si>
  <si>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</si>
  <si>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</si>
  <si>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</si>
  <si>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</si>
  <si>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</si>
  <si>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</si>
  <si>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</si>
  <si>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</si>
  <si>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</si>
  <si>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</si>
  <si>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</si>
  <si>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</si>
  <si>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</si>
  <si>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</si>
  <si>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</si>
  <si>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</si>
  <si>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</si>
  <si>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</si>
  <si>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</si>
  <si>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</si>
  <si>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</si>
  <si>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</si>
  <si>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</si>
  <si>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</si>
  <si>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</si>
  <si>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</si>
  <si>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</si>
  <si>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</si>
  <si>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</si>
  <si>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</si>
  <si>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</si>
  <si>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</si>
  <si>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</si>
  <si>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</si>
  <si>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</si>
  <si>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</si>
  <si>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</si>
  <si>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</si>
  <si>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</si>
  <si>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</si>
  <si>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</si>
  <si>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</si>
  <si>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</si>
  <si>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</si>
  <si>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</si>
  <si>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</si>
  <si>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</si>
  <si>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</si>
  <si>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</si>
  <si>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</si>
  <si>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</si>
  <si>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</si>
  <si>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</si>
  <si>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</si>
  <si>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</si>
  <si>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</si>
  <si>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</si>
  <si>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</si>
  <si>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</si>
  <si>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</si>
  <si>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</si>
  <si>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</si>
  <si>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</si>
  <si>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</si>
  <si>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</si>
  <si>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</si>
  <si>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</si>
  <si>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</si>
  <si>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</si>
  <si>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</si>
  <si>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</si>
  <si>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</si>
  <si>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</si>
  <si>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</si>
  <si>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</si>
  <si>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</si>
  <si>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</si>
  <si>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</si>
  <si>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</si>
  <si>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</si>
  <si>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</si>
  <si>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</si>
  <si>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</si>
  <si>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</si>
  <si>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</si>
  <si>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</si>
  <si>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</si>
  <si>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</si>
  <si>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</si>
  <si>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</si>
  <si>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</si>
  <si>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</si>
  <si>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</si>
  <si>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</si>
  <si>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</si>
  <si>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</si>
  <si>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</si>
  <si>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</si>
  <si>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</si>
  <si>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</si>
  <si>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</si>
  <si>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</si>
  <si>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</si>
  <si>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</si>
  <si>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</si>
  <si>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</si>
  <si>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</si>
  <si>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</si>
  <si>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</si>
  <si>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</si>
  <si>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</si>
  <si>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</si>
  <si>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</si>
  <si>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</si>
  <si>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</si>
  <si>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</si>
  <si>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</si>
  <si>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</si>
  <si>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</si>
  <si>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</si>
  <si>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</si>
  <si>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</si>
  <si>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</si>
  <si>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</si>
  <si>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</si>
  <si>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</si>
  <si>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</si>
  <si>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</si>
  <si>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</si>
  <si>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</si>
  <si>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</si>
  <si>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</si>
  <si>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</si>
  <si>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</si>
  <si>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</si>
  <si>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</si>
  <si>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</si>
  <si>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</si>
  <si>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</si>
  <si>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</si>
  <si>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</si>
  <si>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</si>
  <si>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</si>
  <si>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</si>
  <si>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</si>
  <si>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</si>
  <si>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</si>
  <si>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</si>
  <si>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</si>
  <si>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</si>
  <si>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</si>
  <si>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</si>
  <si>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</si>
  <si>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</si>
  <si>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</si>
  <si>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</si>
  <si>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</si>
  <si>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</si>
  <si>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</si>
  <si>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</si>
  <si>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</si>
  <si>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</si>
  <si>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</si>
  <si>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</si>
  <si>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</si>
  <si>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</si>
  <si>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</si>
  <si>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</si>
  <si>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</si>
  <si>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</si>
  <si>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</si>
  <si>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</si>
  <si>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</si>
  <si>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</si>
  <si>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</si>
  <si>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</si>
  <si>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</si>
  <si>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</si>
  <si>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</si>
  <si>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</si>
  <si>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</si>
  <si>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</si>
  <si>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</si>
  <si>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</si>
  <si>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</si>
  <si>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</si>
  <si>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</si>
  <si>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</si>
  <si>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</si>
  <si>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</si>
  <si>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</si>
  <si>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</si>
  <si>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</si>
  <si>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</si>
  <si>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</si>
  <si>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</si>
  <si>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</si>
  <si>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</si>
  <si>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</si>
  <si>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</si>
  <si>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</si>
  <si>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</si>
  <si>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</si>
  <si>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</si>
  <si>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</si>
  <si>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</si>
  <si>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</si>
  <si>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</si>
  <si>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</si>
  <si>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</si>
  <si>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</si>
  <si>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</si>
  <si>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</si>
  <si>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</si>
  <si>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</si>
  <si>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</si>
  <si>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</si>
  <si>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</si>
  <si>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</si>
  <si>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</si>
  <si>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</si>
  <si>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</si>
  <si>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</si>
  <si>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</si>
  <si>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</si>
  <si>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</si>
  <si>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</si>
  <si>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</si>
  <si>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</si>
  <si>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</si>
  <si>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</si>
  <si>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</si>
  <si>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</si>
  <si>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</si>
  <si>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</si>
  <si>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</si>
  <si>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</si>
  <si>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</si>
  <si>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</si>
  <si>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</si>
  <si>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</si>
  <si>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</si>
  <si>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</si>
  <si>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</si>
  <si>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</si>
  <si>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</si>
  <si>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</si>
  <si>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</si>
  <si>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</si>
  <si>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</si>
  <si>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</si>
  <si>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</si>
  <si>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</si>
  <si>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</si>
  <si>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</si>
  <si>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</si>
  <si>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</si>
  <si>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</si>
  <si>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</si>
  <si>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</si>
  <si>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</si>
  <si>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</si>
  <si>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</si>
  <si>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</si>
  <si>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</si>
  <si>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</si>
  <si>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</si>
  <si>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</si>
  <si>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</si>
  <si>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</si>
  <si>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</si>
  <si>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</si>
  <si>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</si>
  <si>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</si>
  <si>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</si>
  <si>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</si>
  <si>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</si>
  <si>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</si>
  <si>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</si>
  <si>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</si>
  <si>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</si>
  <si>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</si>
  <si>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</si>
  <si>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</si>
  <si>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</si>
  <si>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</si>
  <si>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</si>
  <si>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</si>
  <si>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</si>
  <si>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</si>
  <si>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</si>
  <si>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</si>
  <si>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</si>
  <si>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</si>
  <si>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</si>
  <si>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</si>
  <si>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</si>
  <si>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</si>
  <si>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</si>
  <si>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</si>
  <si>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</si>
  <si>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</si>
  <si>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</si>
  <si>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</si>
  <si>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</si>
  <si>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</si>
  <si>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</si>
  <si>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</si>
  <si>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</si>
  <si>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</si>
  <si>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</si>
  <si>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</si>
  <si>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</si>
  <si>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</si>
  <si>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</si>
  <si>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</si>
  <si>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</si>
  <si>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</si>
  <si>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</si>
  <si>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</si>
  <si>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</si>
  <si>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</si>
  <si>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</si>
  <si>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</si>
  <si>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</si>
  <si>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</si>
  <si>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</si>
  <si>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</si>
  <si>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</si>
  <si>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</si>
  <si>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</si>
  <si>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</si>
  <si>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</si>
  <si>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</si>
  <si>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</si>
  <si>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</si>
  <si>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</si>
  <si>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</si>
  <si>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</si>
  <si>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</si>
  <si>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</si>
  <si>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</si>
  <si>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</si>
  <si>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</si>
  <si>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</si>
  <si>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</si>
  <si>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</si>
  <si>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</si>
  <si>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</si>
  <si>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</si>
  <si>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</si>
  <si>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</si>
  <si>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</si>
  <si>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</si>
  <si>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</si>
  <si>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</si>
  <si>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</si>
  <si>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</si>
  <si>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</si>
  <si>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</si>
  <si>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</si>
  <si>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</si>
  <si>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</si>
  <si>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</si>
  <si>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</si>
  <si>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</si>
  <si>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</si>
  <si>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</si>
  <si>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</si>
  <si>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</si>
  <si>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</si>
  <si>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</si>
  <si>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</si>
  <si>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</si>
  <si>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</si>
  <si>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</si>
  <si>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</si>
  <si>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</si>
  <si>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</si>
  <si>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</si>
  <si>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</si>
  <si>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</si>
  <si>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</si>
  <si>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</si>
  <si>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</si>
  <si>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</si>
  <si>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</si>
  <si>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</si>
  <si>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</si>
  <si>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</si>
  <si>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</si>
  <si>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</si>
  <si>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</si>
  <si>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</si>
  <si>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</si>
  <si>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</si>
  <si>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</si>
  <si>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</si>
  <si>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</si>
  <si>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</si>
  <si>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</si>
  <si>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</si>
  <si>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</si>
  <si>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</si>
  <si>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</si>
  <si>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</si>
  <si>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</si>
  <si>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</si>
  <si>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</si>
  <si>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</si>
  <si>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</si>
  <si>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</si>
  <si>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</si>
  <si>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</si>
  <si>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</si>
  <si>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</si>
  <si>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</si>
  <si>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</si>
  <si>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</si>
  <si>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</si>
  <si>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</si>
  <si>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</si>
  <si>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</si>
  <si>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</si>
  <si>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</si>
  <si>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</si>
  <si>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</si>
  <si>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</si>
  <si>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</si>
  <si>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</si>
  <si>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</si>
  <si>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</si>
  <si>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</si>
  <si>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</si>
  <si>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</si>
  <si>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</si>
  <si>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</si>
  <si>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</si>
  <si>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</si>
  <si>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</si>
  <si>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</si>
  <si>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</si>
  <si>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</si>
  <si>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</si>
  <si>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</si>
  <si>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</si>
  <si>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</si>
  <si>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</si>
  <si>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</si>
  <si>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</si>
  <si>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</si>
  <si>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</si>
  <si>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</si>
  <si>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</si>
  <si>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</si>
  <si>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</si>
  <si>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</si>
  <si>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</si>
  <si>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</si>
  <si>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</si>
  <si>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</si>
  <si>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</si>
  <si>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</si>
  <si>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</si>
  <si>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</si>
  <si>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</si>
  <si>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</si>
  <si>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</si>
  <si>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</si>
  <si>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</si>
  <si>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</si>
  <si>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</si>
  <si>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</si>
  <si>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</si>
  <si>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</si>
  <si>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</si>
  <si>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</si>
  <si>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</si>
  <si>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</si>
  <si>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</si>
  <si>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</si>
  <si>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</si>
  <si>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</si>
  <si>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</si>
  <si>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</si>
  <si>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</si>
  <si>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</si>
  <si>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</si>
  <si>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</si>
  <si>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</si>
  <si>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</si>
  <si>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</si>
  <si>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</si>
  <si>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</si>
  <si>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</si>
  <si>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</si>
  <si>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</si>
  <si>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</si>
  <si>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</si>
  <si>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</si>
  <si>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</si>
  <si>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</si>
  <si>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</si>
  <si>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</si>
  <si>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</si>
  <si>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</si>
  <si>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</si>
  <si>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</si>
  <si>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</si>
  <si>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</si>
  <si>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</si>
  <si>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</si>
  <si>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</si>
  <si>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</si>
  <si>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</si>
  <si>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</si>
  <si>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</si>
  <si>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</si>
  <si>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</si>
  <si>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</si>
  <si>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</si>
  <si>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</si>
  <si>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</si>
  <si>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</si>
  <si>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</si>
  <si>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</si>
  <si>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</si>
  <si>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</si>
  <si>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</si>
  <si>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</si>
  <si>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</si>
  <si>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</si>
  <si>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</si>
  <si>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</si>
  <si>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</si>
  <si>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</si>
  <si>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</si>
  <si>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</si>
  <si>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</si>
  <si>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</si>
  <si>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</si>
  <si>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</si>
  <si>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</si>
  <si>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</si>
  <si>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</si>
  <si>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</si>
  <si>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</si>
  <si>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</si>
  <si>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</si>
  <si>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</si>
  <si>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</si>
  <si>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</si>
  <si>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</si>
  <si>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</si>
  <si>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</si>
  <si>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</si>
  <si>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</si>
  <si>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</si>
  <si>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</si>
  <si>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</si>
  <si>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</si>
  <si>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</si>
  <si>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</si>
  <si>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</si>
  <si>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</si>
  <si>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</si>
  <si>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</si>
  <si>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</si>
  <si>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</si>
  <si>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</si>
  <si>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</si>
  <si>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</si>
  <si>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</si>
  <si>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</si>
  <si>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</si>
  <si>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</si>
  <si>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</si>
  <si>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</si>
  <si>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</si>
  <si>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</si>
  <si>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</si>
  <si>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</si>
  <si>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</si>
  <si>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</si>
  <si>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</si>
  <si>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</si>
  <si>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</si>
  <si>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</si>
  <si>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</si>
  <si>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</si>
  <si>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</si>
  <si>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</si>
  <si>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</si>
  <si>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</si>
  <si>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</si>
  <si>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</si>
  <si>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</si>
  <si>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</si>
  <si>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</si>
  <si>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</si>
  <si>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</si>
  <si>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</si>
  <si>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</si>
  <si>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</si>
  <si>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</si>
  <si>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</si>
  <si>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</si>
  <si>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</si>
  <si>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</si>
  <si>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</si>
  <si>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</si>
  <si>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</si>
  <si>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</si>
  <si>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</si>
  <si>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</si>
  <si>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</si>
  <si>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</si>
  <si>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</si>
  <si>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</si>
  <si>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</si>
  <si>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</si>
  <si>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</si>
  <si>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</si>
  <si>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</si>
  <si>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</si>
  <si>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</si>
  <si>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</si>
  <si>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</si>
  <si>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</si>
  <si>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</si>
  <si>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</si>
  <si>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</si>
  <si>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</si>
  <si>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</si>
  <si>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</si>
  <si>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</si>
  <si>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</si>
  <si>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</si>
  <si>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</si>
  <si>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</si>
  <si>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</si>
  <si>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</si>
  <si>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</si>
  <si>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</si>
  <si>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</si>
  <si>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</si>
  <si>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</si>
  <si>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</si>
  <si>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</si>
  <si>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</si>
  <si>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</si>
  <si>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</si>
  <si>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</si>
  <si>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</si>
  <si>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</si>
  <si>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</si>
  <si>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</si>
  <si>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</si>
  <si>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</si>
  <si>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</si>
  <si>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</si>
  <si>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</si>
  <si>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</si>
  <si>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</si>
  <si>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</si>
  <si>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</si>
  <si>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</si>
  <si>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</si>
  <si>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</si>
  <si>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</si>
  <si>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</si>
  <si>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</si>
  <si>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</si>
  <si>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</si>
  <si>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</si>
  <si>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</si>
  <si>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</si>
  <si>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</si>
  <si>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</si>
  <si>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</si>
  <si>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</si>
  <si>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</si>
  <si>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</si>
  <si>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</si>
  <si>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</si>
  <si>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</si>
  <si>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</si>
  <si>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</si>
  <si>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</si>
  <si>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</si>
  <si>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</si>
  <si>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</si>
  <si>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</si>
  <si>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</si>
  <si>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</si>
  <si>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</si>
  <si>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</si>
  <si>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</si>
  <si>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</si>
  <si>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</si>
  <si>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</si>
  <si>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</si>
  <si>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</si>
  <si>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</si>
  <si>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</si>
  <si>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</si>
  <si>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</si>
  <si>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</si>
  <si>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</si>
  <si>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</si>
  <si>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</si>
  <si>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</si>
  <si>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</si>
  <si>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</si>
  <si>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</si>
  <si>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</si>
  <si>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</si>
  <si>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</si>
  <si>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</si>
  <si>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</si>
  <si>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</si>
  <si>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</si>
  <si>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</si>
  <si>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</si>
  <si>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</si>
  <si>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</si>
  <si>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</si>
  <si>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</si>
  <si>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</si>
  <si>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</si>
  <si>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</si>
  <si>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</si>
  <si>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</si>
  <si>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</si>
  <si>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</si>
  <si>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</si>
  <si>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</si>
  <si>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</si>
  <si>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</si>
  <si>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</si>
  <si>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</si>
  <si>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</si>
  <si>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</si>
  <si>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</si>
  <si>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</si>
  <si>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</si>
  <si>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</si>
  <si>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</si>
  <si>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</si>
  <si>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</si>
  <si>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</si>
  <si>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</si>
  <si>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</si>
  <si>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</si>
  <si>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</si>
  <si>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</si>
  <si>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</si>
  <si>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</si>
  <si>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</si>
  <si>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</si>
  <si>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</si>
  <si>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</si>
  <si>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</si>
  <si>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</si>
  <si>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</si>
  <si>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</si>
  <si>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</si>
  <si>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</si>
  <si>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</si>
  <si>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</si>
  <si>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</si>
  <si>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</si>
  <si>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</si>
  <si>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</si>
  <si>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</si>
  <si>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</si>
  <si>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</si>
  <si>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</si>
  <si>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</si>
  <si>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</si>
  <si>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</si>
  <si>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</si>
  <si>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</si>
  <si>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</si>
  <si>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</si>
  <si>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</si>
  <si>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</si>
  <si>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</si>
  <si>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</si>
  <si>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</si>
  <si>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</si>
  <si>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</si>
  <si>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</si>
  <si>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</si>
  <si>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</si>
  <si>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</si>
  <si>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</si>
  <si>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</si>
  <si>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</si>
  <si>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</si>
  <si>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</si>
  <si>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</si>
  <si>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</si>
  <si>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</si>
  <si>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</si>
  <si>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</si>
  <si>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</si>
  <si>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</si>
  <si>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</si>
  <si>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</si>
  <si>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</si>
  <si>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</si>
  <si>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</si>
  <si>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</si>
  <si>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</si>
  <si>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</si>
  <si>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</si>
  <si>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</si>
  <si>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</si>
  <si>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</si>
  <si>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</si>
  <si>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</si>
  <si>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</si>
  <si>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</si>
  <si>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</si>
  <si>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</si>
  <si>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</si>
  <si>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</si>
  <si>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</si>
  <si>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</si>
  <si>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</si>
  <si>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</si>
  <si>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</si>
  <si>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</si>
  <si>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</si>
  <si>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</si>
  <si>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</si>
  <si>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</si>
  <si>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</si>
  <si>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</si>
  <si>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</si>
  <si>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</si>
  <si>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</si>
  <si>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</si>
  <si>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</si>
  <si>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</si>
  <si>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</si>
  <si>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</si>
  <si>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</si>
  <si>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</si>
  <si>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</si>
  <si>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</si>
  <si>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</si>
  <si>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</si>
  <si>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</si>
  <si>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</si>
  <si>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</si>
  <si>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</si>
  <si>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</si>
  <si>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</si>
  <si>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</si>
  <si>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</si>
  <si>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</si>
  <si>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</si>
  <si>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</si>
  <si>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</si>
  <si>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</si>
  <si>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</si>
  <si>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</si>
  <si>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</si>
  <si>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</si>
  <si>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</si>
  <si>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</si>
  <si>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</si>
  <si>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</si>
  <si>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</si>
  <si>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</si>
  <si>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</si>
  <si>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</si>
  <si>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</si>
  <si>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</si>
  <si>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</si>
  <si>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</si>
  <si>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</si>
  <si>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</si>
  <si>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</si>
  <si>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</si>
  <si>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</si>
  <si>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</si>
  <si>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</si>
  <si>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</si>
  <si>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</si>
  <si>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</si>
  <si>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</si>
  <si>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</si>
  <si>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</si>
  <si>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</si>
  <si>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</si>
  <si>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</si>
  <si>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</si>
  <si>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</si>
  <si>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</si>
  <si>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</si>
  <si>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</si>
  <si>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</si>
  <si>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</si>
  <si>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</si>
  <si>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</si>
  <si>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</si>
  <si>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</si>
  <si>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</si>
  <si>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</si>
  <si>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</si>
  <si>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</si>
  <si>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</si>
  <si>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</si>
  <si>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</si>
  <si>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</si>
  <si>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</si>
  <si>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</si>
  <si>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</si>
  <si>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</si>
  <si>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</si>
  <si>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</si>
  <si>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</si>
  <si>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</si>
  <si>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</si>
  <si>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</si>
  <si>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</si>
  <si>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</si>
  <si>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</si>
  <si>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</si>
  <si>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</si>
  <si>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</si>
  <si>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</si>
  <si>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</si>
  <si>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</si>
  <si>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</si>
  <si>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</si>
  <si>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</si>
  <si>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</si>
  <si>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</si>
  <si>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</si>
  <si>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</si>
  <si>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</si>
  <si>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</si>
  <si>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</si>
  <si>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</si>
  <si>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</si>
  <si>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</si>
  <si>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</si>
  <si>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</si>
  <si>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</si>
  <si>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</si>
  <si>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</si>
  <si>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</si>
  <si>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</si>
  <si>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</si>
  <si>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</si>
  <si>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</si>
  <si>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</si>
  <si>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</si>
  <si>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</si>
  <si>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</si>
  <si>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</si>
  <si>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</si>
  <si>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</si>
  <si>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</si>
  <si>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</si>
  <si>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</si>
  <si>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</si>
  <si>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</si>
  <si>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</si>
  <si>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</si>
  <si>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</si>
  <si>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</si>
  <si>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</si>
  <si>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</si>
  <si>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</si>
  <si>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</si>
  <si>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</si>
  <si>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</si>
  <si>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</si>
  <si>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</si>
  <si>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</si>
  <si>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</si>
  <si>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</si>
  <si>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</si>
  <si>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</si>
  <si>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</si>
  <si>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</si>
  <si>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</si>
  <si>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</si>
  <si>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</si>
  <si>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</si>
  <si>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</si>
  <si>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</si>
  <si>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</si>
  <si>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</si>
  <si>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</si>
  <si>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</si>
  <si>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</si>
  <si>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</si>
  <si>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</si>
  <si>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</si>
  <si>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</si>
  <si>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</si>
  <si>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</si>
  <si>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</si>
  <si>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</si>
  <si>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</si>
  <si>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</si>
  <si>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</si>
  <si>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</si>
  <si>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</si>
  <si>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</si>
  <si>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</si>
  <si>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</si>
  <si>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</si>
  <si>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</si>
  <si>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</si>
  <si>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</si>
  <si>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</si>
  <si>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</si>
  <si>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</si>
  <si>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</si>
  <si>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</si>
  <si>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</si>
  <si>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</si>
  <si>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</si>
  <si>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</si>
  <si>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</si>
  <si>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</si>
  <si>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</si>
  <si>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</si>
  <si>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</si>
  <si>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</si>
  <si>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</si>
  <si>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</si>
  <si>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</si>
  <si>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</si>
  <si>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</si>
  <si>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</si>
  <si>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</si>
  <si>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</si>
  <si>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</si>
  <si>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</si>
  <si>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</si>
  <si>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</si>
  <si>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</si>
  <si>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</si>
  <si>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</si>
  <si>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</si>
  <si>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</si>
  <si>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</si>
  <si>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</si>
  <si>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</si>
  <si>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</si>
  <si>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</si>
  <si>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</si>
  <si>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</si>
  <si>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</si>
  <si>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</si>
  <si>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</si>
  <si>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</si>
  <si>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</si>
  <si>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</si>
  <si>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</si>
  <si>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</si>
  <si>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</si>
  <si>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</si>
  <si>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</si>
  <si>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</si>
  <si>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</si>
  <si>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</si>
  <si>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</si>
  <si>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</si>
  <si>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</si>
  <si>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</si>
  <si>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</si>
  <si>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</si>
  <si>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</si>
  <si>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</si>
  <si>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</si>
  <si>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</si>
  <si>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</si>
  <si>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</si>
  <si>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</si>
  <si>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</si>
  <si>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</si>
  <si>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</si>
  <si>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</si>
  <si>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</si>
  <si>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</si>
  <si>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</si>
  <si>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</si>
  <si>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</si>
  <si>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</si>
  <si>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</si>
  <si>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</si>
  <si>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</si>
  <si>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</si>
  <si>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</si>
  <si>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</si>
  <si>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</si>
  <si>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</si>
  <si>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</si>
  <si>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</si>
  <si>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</si>
  <si>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</si>
  <si>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</si>
  <si>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</si>
  <si>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</si>
  <si>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</si>
  <si>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</si>
  <si>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</si>
  <si>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</si>
  <si>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</si>
  <si>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</si>
  <si>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</si>
  <si>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</si>
  <si>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</si>
  <si>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</si>
  <si>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</si>
  <si>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</si>
  <si>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</si>
  <si>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</si>
  <si>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</si>
  <si>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</si>
  <si>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</si>
  <si>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</si>
  <si>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</si>
  <si>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</si>
  <si>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</si>
  <si>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</si>
  <si>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</si>
  <si>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</si>
  <si>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</si>
  <si>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</si>
  <si>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</si>
  <si>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</si>
  <si>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</si>
  <si>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</si>
  <si>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</si>
  <si>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</si>
  <si>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</si>
  <si>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</si>
  <si>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</si>
  <si>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</si>
  <si>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</si>
  <si>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</si>
  <si>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</si>
  <si>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</si>
  <si>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</si>
  <si>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</si>
  <si>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</si>
  <si>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</si>
  <si>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</si>
  <si>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</si>
  <si>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</si>
  <si>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</si>
  <si>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</si>
  <si>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</si>
  <si>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</si>
  <si>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</si>
  <si>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</si>
  <si>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</si>
  <si>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</si>
  <si>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</si>
  <si>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</si>
  <si>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</si>
  <si>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</si>
  <si>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</si>
  <si>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</si>
  <si>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</si>
  <si>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</si>
  <si>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</si>
  <si>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</si>
  <si>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</si>
  <si>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</si>
  <si>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</si>
  <si>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</si>
  <si>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</si>
  <si>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</si>
  <si>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</si>
  <si>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</si>
  <si>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</si>
  <si>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</si>
  <si>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</si>
  <si>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</si>
  <si>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</si>
  <si>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</si>
  <si>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</si>
  <si>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</si>
  <si>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</si>
  <si>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</si>
  <si>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</si>
  <si>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</si>
  <si>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</si>
  <si>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</si>
  <si>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</si>
  <si>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</si>
  <si>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</si>
  <si>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</si>
  <si>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</si>
  <si>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</si>
  <si>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</si>
  <si>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</si>
  <si>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</si>
  <si>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</si>
  <si>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</si>
  <si>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</si>
  <si>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</si>
  <si>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</si>
  <si>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</si>
  <si>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</si>
  <si>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</si>
  <si>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</si>
  <si>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</si>
  <si>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</si>
  <si>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</si>
  <si>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</si>
  <si>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</si>
  <si>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</si>
  <si>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</si>
  <si>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</si>
  <si>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</si>
  <si>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</si>
  <si>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</si>
  <si>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</si>
  <si>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</si>
  <si>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</si>
  <si>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</si>
  <si>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</si>
  <si>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</si>
  <si>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</si>
  <si>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</si>
  <si>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</si>
  <si>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</si>
  <si>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</si>
  <si>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</si>
  <si>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</si>
  <si>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</si>
  <si>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</si>
  <si>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</si>
  <si>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</si>
  <si>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</si>
  <si>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</si>
  <si>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</si>
  <si>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</si>
  <si>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</si>
  <si>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</si>
  <si>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</si>
  <si>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</si>
  <si>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</si>
  <si>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</si>
  <si>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</si>
  <si>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</si>
  <si>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</si>
  <si>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</si>
  <si>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</si>
  <si>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</si>
  <si>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</si>
  <si>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</si>
  <si>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</si>
  <si>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</si>
  <si>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</si>
  <si>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</si>
  <si>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</si>
  <si>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</si>
  <si>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</si>
  <si>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</si>
  <si>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</si>
  <si>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</si>
  <si>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</si>
  <si>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</si>
  <si>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</si>
  <si>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</si>
  <si>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</si>
  <si>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</si>
  <si>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</si>
  <si>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</si>
  <si>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</si>
  <si>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</si>
  <si>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</si>
  <si>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</si>
  <si>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</si>
  <si>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</si>
  <si>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</si>
  <si>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</si>
  <si>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</si>
  <si>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</si>
  <si>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</si>
  <si>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</si>
  <si>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</si>
  <si>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</si>
  <si>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</si>
  <si>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</si>
  <si>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</si>
  <si>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</si>
  <si>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</si>
  <si>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</si>
  <si>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</si>
  <si>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</si>
  <si>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</si>
  <si>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</si>
  <si>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</si>
  <si>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</si>
  <si>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</si>
  <si>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</si>
  <si>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</si>
  <si>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</si>
  <si>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</si>
  <si>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</si>
  <si>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</si>
  <si>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</si>
  <si>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</si>
  <si>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</si>
  <si>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</si>
  <si>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</si>
  <si>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</si>
  <si>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</si>
  <si>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</si>
  <si>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</si>
  <si>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</si>
  <si>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</si>
  <si>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</si>
  <si>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</si>
  <si>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</si>
  <si>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</si>
  <si>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</si>
  <si>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</si>
  <si>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</si>
  <si>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</si>
  <si>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</si>
  <si>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</si>
  <si>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</si>
  <si>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</si>
  <si>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</si>
  <si>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</si>
  <si>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</si>
  <si>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</si>
  <si>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</si>
  <si>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</si>
  <si>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</si>
  <si>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</si>
  <si>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</si>
  <si>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</si>
  <si>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</si>
  <si>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</si>
  <si>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</si>
  <si>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</si>
  <si>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</si>
  <si>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</si>
  <si>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</si>
  <si>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</si>
  <si>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</si>
  <si>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</si>
  <si>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</si>
  <si>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</si>
  <si>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</si>
  <si>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</si>
  <si>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</si>
  <si>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</si>
  <si>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</si>
  <si>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</si>
  <si>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</si>
  <si>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</si>
  <si>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</si>
  <si>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</si>
  <si>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</si>
  <si>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</si>
  <si>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</si>
  <si>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</si>
  <si>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</si>
  <si>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</si>
  <si>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</si>
  <si>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</si>
  <si>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</si>
  <si>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</si>
  <si>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</si>
  <si>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</si>
  <si>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</si>
  <si>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</si>
  <si>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</si>
  <si>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</si>
  <si>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</si>
  <si>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</si>
  <si>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</si>
  <si>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</si>
  <si>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</si>
  <si>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</si>
  <si>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</si>
  <si>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</si>
  <si>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</si>
  <si>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</si>
  <si>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</si>
  <si>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</si>
  <si>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</si>
  <si>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</si>
  <si>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</si>
  <si>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</si>
  <si>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</si>
  <si>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</si>
  <si>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</si>
  <si>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</si>
  <si>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</si>
  <si>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</si>
  <si>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</si>
  <si>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</si>
  <si>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</si>
  <si>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</si>
  <si>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</si>
  <si>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</si>
  <si>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</si>
  <si>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</si>
  <si>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</si>
  <si>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</si>
  <si>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</si>
  <si>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</si>
  <si>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</si>
  <si>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</si>
  <si>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</si>
  <si>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</si>
  <si>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</si>
  <si>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</si>
  <si>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</si>
  <si>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</si>
  <si>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</si>
  <si>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</si>
  <si>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</si>
  <si>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</si>
  <si>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</si>
  <si>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</si>
  <si>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</si>
  <si>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</si>
  <si>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</si>
  <si>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</si>
  <si>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</si>
  <si>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</si>
  <si>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</si>
  <si>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</si>
  <si>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</si>
  <si>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</si>
  <si>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</si>
  <si>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</si>
  <si>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</si>
  <si>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</si>
  <si>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</si>
  <si>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</si>
  <si>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</si>
  <si>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</si>
  <si>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</si>
  <si>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</si>
  <si>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</si>
  <si>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</si>
  <si>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</si>
  <si>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</si>
  <si>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</si>
  <si>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</si>
  <si>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</si>
  <si>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</si>
  <si>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</si>
  <si>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</si>
  <si>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</si>
  <si>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</si>
  <si>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</si>
  <si>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</si>
  <si>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</si>
  <si>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</si>
  <si>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</si>
  <si>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</si>
  <si>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</si>
  <si>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</si>
  <si>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</si>
  <si>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</si>
  <si>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</si>
  <si>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</si>
  <si>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</si>
  <si>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</si>
  <si>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</si>
  <si>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</si>
  <si>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</si>
  <si>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</si>
  <si>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</si>
  <si>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</si>
  <si>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</si>
  <si>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</si>
  <si>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</si>
  <si>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</si>
  <si>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</si>
  <si>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</si>
  <si>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</si>
  <si>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</si>
  <si>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</si>
  <si>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</si>
  <si>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</si>
  <si>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</si>
  <si>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</si>
  <si>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</si>
  <si>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</si>
  <si>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</si>
  <si>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</si>
  <si>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</si>
  <si>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</si>
  <si>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</si>
  <si>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</si>
  <si>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</si>
  <si>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</si>
  <si>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</si>
  <si>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</si>
  <si>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</si>
  <si>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</si>
  <si>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</si>
  <si>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</si>
  <si>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</si>
  <si>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</si>
  <si>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</si>
  <si>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</si>
  <si>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</si>
  <si>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</si>
  <si>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</si>
  <si>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</si>
  <si>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</si>
  <si>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</si>
  <si>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</si>
  <si>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</si>
  <si>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</si>
  <si>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</si>
  <si>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</si>
  <si>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</si>
  <si>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</si>
  <si>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</si>
  <si>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</si>
  <si>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</si>
  <si>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</si>
  <si>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</si>
  <si>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</si>
  <si>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</si>
  <si>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</si>
  <si>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</si>
  <si>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</si>
  <si>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</si>
  <si>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</si>
  <si>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</si>
  <si>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</si>
  <si>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</si>
  <si>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</si>
  <si>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</si>
  <si>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</si>
  <si>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</si>
  <si>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</si>
  <si>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</si>
  <si>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</si>
  <si>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</si>
  <si>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</si>
  <si>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</si>
  <si>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</si>
  <si>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</si>
  <si>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</si>
  <si>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</si>
  <si>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</si>
  <si>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</si>
  <si>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</si>
  <si>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</si>
  <si>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</si>
  <si>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</si>
  <si>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</si>
  <si>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</si>
  <si>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</si>
  <si>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</si>
  <si>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</si>
  <si>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</si>
  <si>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</si>
  <si>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</si>
  <si>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</si>
  <si>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</si>
  <si>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</si>
  <si>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</si>
  <si>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</si>
  <si>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</si>
  <si>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</si>
  <si>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</si>
  <si>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</si>
  <si>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</si>
  <si>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</si>
  <si>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</si>
  <si>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</si>
  <si>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</si>
  <si>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</si>
  <si>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</si>
  <si>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</si>
  <si>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</si>
  <si>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</si>
  <si>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</si>
  <si>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</si>
  <si>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</si>
  <si>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</si>
  <si>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</si>
  <si>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</si>
  <si>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</si>
  <si>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</si>
  <si>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</si>
  <si>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</si>
  <si>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</si>
  <si>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</si>
  <si>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</si>
  <si>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</si>
  <si>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</si>
  <si>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</si>
  <si>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</si>
  <si>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</si>
  <si>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</si>
  <si>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</si>
  <si>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</si>
  <si>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</si>
  <si>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</si>
  <si>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</si>
  <si>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</si>
  <si>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</si>
  <si>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</si>
  <si>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</si>
  <si>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</si>
  <si>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</si>
  <si>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</si>
  <si>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</si>
  <si>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</si>
  <si>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</si>
  <si>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</si>
  <si>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</si>
  <si>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</si>
  <si>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</si>
  <si>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</si>
  <si>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</si>
  <si>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</si>
  <si>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</si>
  <si>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</si>
  <si>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</si>
  <si>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</si>
  <si>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</si>
  <si>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</si>
  <si>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</si>
  <si>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</si>
  <si>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</si>
  <si>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</si>
  <si>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</si>
  <si>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</si>
  <si>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</si>
  <si>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</si>
  <si>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</si>
  <si>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</si>
  <si>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</si>
  <si>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</si>
  <si>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</si>
  <si>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</si>
  <si>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</si>
  <si>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</si>
  <si>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</si>
  <si>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</si>
  <si>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</si>
  <si>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</si>
  <si>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</si>
  <si>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</si>
  <si>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</si>
  <si>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</si>
  <si>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</si>
  <si>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</si>
  <si>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</si>
  <si>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</si>
  <si>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</si>
  <si>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</si>
  <si>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</si>
  <si>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</si>
  <si>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</si>
  <si>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</si>
  <si>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</si>
  <si>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</si>
  <si>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</si>
  <si>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</si>
  <si>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</si>
  <si>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</si>
  <si>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</si>
  <si>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</si>
  <si>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</si>
  <si>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</si>
  <si>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</si>
  <si>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</si>
  <si>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</si>
  <si>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</si>
  <si>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</si>
  <si>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</si>
  <si>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</si>
  <si>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</si>
  <si>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</si>
  <si>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</si>
  <si>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</si>
  <si>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</si>
  <si>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</si>
  <si>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</si>
  <si>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</si>
  <si>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</si>
  <si>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</si>
  <si>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</si>
  <si>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</si>
  <si>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</si>
  <si>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</si>
  <si>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</si>
  <si>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</si>
  <si>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</si>
  <si>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</si>
  <si>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</si>
  <si>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</si>
  <si>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</si>
  <si>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</si>
  <si>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</si>
  <si>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</si>
  <si>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</si>
  <si>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</si>
  <si>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</si>
  <si>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</si>
  <si>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</si>
  <si>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</si>
  <si>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</si>
  <si>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</si>
  <si>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</si>
  <si>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</si>
  <si>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</si>
  <si>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</si>
  <si>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</si>
  <si>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</si>
  <si>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</si>
  <si>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</si>
  <si>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</si>
  <si>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</si>
  <si>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</si>
  <si>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</si>
  <si>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</si>
  <si>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</si>
  <si>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</si>
  <si>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</si>
  <si>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</si>
  <si>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</si>
  <si>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</si>
  <si>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</si>
  <si>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</si>
  <si>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</si>
  <si>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</si>
  <si>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</si>
  <si>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</si>
  <si>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</si>
  <si>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</si>
  <si>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</si>
  <si>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</si>
  <si>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</si>
  <si>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</si>
  <si>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</si>
  <si>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</si>
  <si>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</si>
  <si>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</si>
  <si>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</si>
  <si>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</si>
  <si>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</si>
  <si>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</si>
  <si>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</si>
  <si>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</si>
  <si>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</si>
  <si>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</si>
  <si>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</si>
  <si>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</si>
  <si>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</si>
  <si>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</si>
  <si>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</si>
  <si>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</si>
  <si>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</si>
  <si>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</si>
  <si>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</si>
  <si>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</si>
  <si>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</si>
  <si>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</si>
  <si>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</si>
  <si>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</si>
  <si>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</si>
  <si>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</si>
  <si>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</si>
  <si>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</si>
  <si>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</si>
  <si>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</si>
  <si>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</si>
  <si>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</si>
  <si>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</si>
  <si>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</si>
  <si>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</si>
  <si>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</si>
  <si>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</si>
  <si>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</si>
  <si>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</si>
  <si>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</si>
  <si>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</si>
  <si>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</si>
  <si>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</si>
  <si>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</si>
  <si>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</si>
  <si>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</si>
  <si>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</si>
  <si>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</si>
  <si>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</si>
  <si>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</si>
  <si>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</si>
  <si>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</si>
  <si>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</si>
  <si>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</si>
  <si>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</si>
  <si>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</si>
  <si>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</si>
  <si>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</si>
  <si>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</si>
  <si>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</si>
  <si>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</si>
  <si>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</si>
  <si>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</si>
  <si>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</si>
  <si>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</si>
  <si>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</si>
  <si>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</si>
  <si>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</si>
  <si>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</si>
  <si>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</si>
  <si>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</si>
  <si>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</si>
  <si>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</si>
  <si>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</si>
  <si>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</si>
  <si>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</si>
  <si>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</si>
  <si>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</si>
  <si>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</si>
  <si>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</si>
  <si>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</si>
  <si>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</si>
  <si>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</si>
  <si>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</si>
  <si>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</si>
  <si>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</si>
  <si>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</si>
  <si>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</si>
  <si>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</si>
  <si>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</si>
  <si>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</si>
  <si>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</si>
  <si>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</si>
  <si>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</si>
  <si>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</si>
  <si>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</si>
  <si>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</si>
  <si>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</si>
  <si>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</si>
  <si>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</si>
  <si>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</si>
  <si>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</si>
  <si>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</si>
  <si>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</si>
  <si>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</si>
  <si>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</si>
  <si>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</si>
  <si>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</si>
  <si>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</si>
  <si>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</si>
  <si>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</si>
  <si>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</si>
  <si>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</si>
  <si>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</si>
  <si>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</si>
  <si>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</si>
  <si>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</si>
  <si>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</si>
  <si>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</si>
  <si>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</si>
  <si>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</si>
  <si>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</si>
  <si>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</si>
  <si>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</si>
  <si>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</si>
  <si>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</si>
  <si>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</si>
  <si>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</si>
  <si>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</si>
  <si>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</si>
  <si>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</si>
  <si>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</si>
  <si>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</si>
  <si>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</si>
  <si>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</si>
  <si>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</si>
  <si>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</si>
  <si>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</si>
  <si>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</si>
  <si>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</si>
  <si>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</si>
  <si>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</si>
  <si>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</si>
  <si>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</si>
  <si>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</si>
  <si>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</si>
  <si>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</si>
  <si>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</si>
  <si>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</si>
  <si>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</si>
  <si>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</si>
  <si>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</si>
  <si>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</si>
  <si>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</si>
  <si>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</si>
  <si>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</si>
  <si>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</si>
  <si>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</si>
  <si>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</si>
  <si>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</si>
  <si>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</si>
  <si>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</si>
  <si>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</si>
  <si>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</si>
  <si>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</si>
  <si>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</si>
  <si>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</si>
  <si>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</si>
  <si>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</si>
  <si>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</si>
  <si>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</si>
  <si>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</si>
  <si>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</si>
  <si>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</si>
  <si>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</si>
  <si>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</si>
  <si>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</si>
  <si>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</si>
  <si>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</si>
  <si>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</si>
  <si>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</si>
  <si>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</si>
  <si>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</si>
  <si>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</si>
  <si>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</si>
  <si>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</si>
  <si>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</si>
  <si>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</si>
  <si>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</si>
  <si>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</si>
  <si>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</si>
  <si>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</si>
  <si>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</si>
  <si>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</si>
  <si>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</si>
  <si>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</si>
  <si>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</si>
  <si>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</si>
  <si>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</si>
  <si>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</si>
  <si>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</si>
  <si>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</si>
  <si>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</si>
  <si>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</si>
  <si>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</si>
  <si>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</si>
  <si>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</si>
  <si>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</si>
  <si>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</si>
  <si>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</si>
  <si>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</si>
  <si>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</si>
  <si>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</si>
  <si>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</si>
  <si>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</si>
  <si>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</si>
  <si>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</si>
  <si>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</si>
  <si>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</si>
  <si>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</si>
  <si>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</si>
  <si>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</si>
  <si>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</si>
  <si>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</si>
  <si>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</si>
  <si>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</si>
  <si>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</si>
  <si>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</si>
  <si>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</si>
  <si>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</si>
  <si>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</si>
  <si>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</si>
  <si>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</si>
  <si>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</si>
  <si>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</si>
  <si>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</si>
  <si>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</si>
  <si>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</si>
  <si>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</si>
  <si>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</si>
  <si>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</si>
  <si>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</si>
  <si>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</si>
  <si>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</si>
  <si>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</si>
  <si>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</si>
  <si>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</si>
  <si>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</si>
  <si>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</si>
  <si>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</si>
  <si>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</si>
  <si>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</si>
  <si>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</si>
  <si>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</si>
  <si>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</si>
  <si>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</si>
  <si>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</si>
  <si>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</si>
  <si>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</si>
  <si>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</si>
  <si>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</si>
  <si>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</si>
  <si>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</si>
  <si>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</si>
  <si>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</si>
  <si>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</si>
  <si>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</si>
  <si>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</si>
  <si>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</si>
  <si>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</si>
  <si>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</si>
  <si>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</si>
  <si>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</si>
  <si>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</si>
  <si>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</si>
  <si>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</si>
  <si>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</si>
  <si>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</si>
  <si>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</si>
  <si>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</si>
  <si>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</si>
  <si>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</si>
  <si>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</si>
  <si>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</si>
  <si>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</si>
  <si>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</si>
  <si>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</si>
  <si>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</si>
  <si>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</si>
  <si>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</si>
  <si>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</si>
  <si>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</si>
  <si>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</si>
  <si>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</si>
  <si>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</si>
  <si>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</si>
  <si>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</si>
  <si>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</si>
  <si>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</si>
  <si>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</si>
  <si>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</si>
  <si>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</si>
  <si>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</si>
  <si>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</si>
  <si>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</si>
  <si>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</si>
  <si>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</si>
  <si>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</si>
  <si>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</si>
  <si>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</si>
  <si>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</si>
  <si>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</si>
  <si>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</si>
  <si>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</si>
  <si>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</si>
  <si>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</si>
  <si>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</si>
  <si>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</si>
  <si>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</si>
  <si>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</si>
  <si>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</si>
  <si>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</si>
  <si>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</si>
  <si>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</si>
  <si>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</si>
  <si>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</si>
  <si>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</si>
  <si>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</si>
  <si>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</si>
  <si>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</si>
  <si>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</si>
  <si>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</si>
  <si>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</si>
  <si>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</si>
  <si>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</si>
  <si>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</si>
  <si>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</si>
  <si>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</si>
  <si>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</si>
  <si>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</si>
  <si>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</si>
  <si>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</si>
  <si>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</si>
  <si>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</si>
  <si>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</si>
  <si>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</si>
  <si>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</si>
  <si>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</si>
  <si>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</si>
  <si>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</si>
  <si>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</si>
  <si>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</si>
  <si>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</si>
  <si>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</si>
  <si>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</si>
  <si>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</si>
  <si>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</si>
  <si>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</si>
  <si>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</si>
  <si>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</si>
  <si>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</si>
  <si>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</si>
  <si>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</si>
  <si>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</si>
  <si>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</si>
  <si>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</si>
  <si>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</si>
  <si>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</si>
  <si>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</si>
  <si>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</si>
  <si>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</si>
  <si>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</si>
  <si>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</si>
  <si>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</si>
  <si>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</si>
  <si>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</si>
  <si>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</si>
  <si>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</si>
  <si>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</si>
  <si>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</si>
  <si>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</si>
  <si>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</si>
  <si>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</si>
  <si>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</si>
  <si>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</si>
  <si>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</si>
  <si>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</si>
  <si>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</si>
  <si>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</si>
  <si>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</si>
  <si>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</si>
  <si>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</si>
  <si>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</si>
  <si>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</si>
  <si>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</si>
  <si>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</si>
  <si>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</si>
  <si>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</si>
  <si>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</si>
  <si>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</si>
  <si>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</si>
  <si>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</si>
  <si>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</si>
  <si>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</si>
  <si>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</si>
  <si>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</si>
  <si>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</si>
  <si>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</si>
  <si>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</si>
  <si>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</si>
  <si>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</si>
  <si>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</si>
  <si>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</si>
  <si>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</si>
  <si>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</si>
  <si>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</si>
  <si>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</si>
  <si>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</si>
  <si>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</si>
  <si>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</si>
  <si>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</si>
  <si>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</si>
  <si>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</si>
  <si>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</si>
  <si>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</si>
  <si>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</si>
  <si>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</si>
  <si>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</si>
  <si>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</si>
  <si>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</si>
  <si>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</si>
  <si>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</si>
  <si>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</si>
  <si>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</si>
  <si>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</si>
  <si>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</si>
  <si>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</si>
  <si>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</si>
  <si>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</si>
  <si>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</si>
  <si>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</si>
  <si>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</si>
  <si>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</si>
  <si>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</si>
  <si>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</si>
  <si>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</si>
  <si>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</si>
  <si>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</si>
  <si>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</si>
  <si>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</si>
  <si>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</si>
  <si>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</si>
  <si>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</si>
  <si>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</si>
  <si>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</si>
  <si>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</si>
  <si>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</si>
  <si>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</si>
  <si>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</si>
  <si>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</si>
  <si>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</si>
  <si>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</si>
  <si>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</si>
  <si>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</si>
  <si>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</si>
  <si>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</si>
  <si>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</si>
  <si>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</si>
  <si>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</si>
  <si>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</si>
  <si>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</si>
  <si>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</si>
  <si>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</si>
  <si>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</si>
  <si>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</si>
  <si>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</si>
  <si>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</si>
  <si>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</si>
  <si>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</si>
  <si>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</si>
  <si>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</si>
  <si>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</si>
  <si>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</si>
  <si>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</si>
  <si>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</si>
  <si>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</si>
  <si>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</si>
  <si>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</si>
  <si>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</si>
  <si>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</si>
  <si>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</si>
  <si>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</si>
  <si>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</si>
  <si>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</si>
  <si>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</si>
  <si>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</si>
  <si>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</si>
  <si>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</si>
  <si>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</si>
  <si>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</si>
  <si>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</si>
  <si>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</si>
  <si>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</si>
  <si>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</si>
  <si>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</si>
  <si>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</si>
  <si>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</si>
  <si>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</si>
  <si>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</si>
  <si>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</si>
  <si>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</si>
  <si>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</si>
  <si>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</si>
  <si>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</si>
  <si>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</si>
  <si>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</si>
  <si>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</si>
  <si>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</si>
  <si>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</si>
  <si>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</si>
  <si>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</si>
  <si>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</si>
  <si>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</si>
  <si>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</si>
  <si>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</si>
  <si>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</si>
  <si>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</si>
  <si>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</si>
  <si>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</si>
  <si>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</si>
  <si>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</si>
  <si>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</si>
  <si>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</si>
  <si>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</si>
  <si>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</si>
  <si>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</si>
  <si>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</si>
  <si>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</si>
  <si>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</si>
  <si>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</si>
  <si>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</si>
  <si>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</si>
  <si>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</si>
  <si>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</si>
  <si>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</si>
  <si>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</si>
  <si>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</si>
  <si>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</si>
  <si>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</si>
  <si>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</si>
  <si>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</si>
  <si>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</si>
  <si>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</si>
  <si>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</si>
  <si>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</si>
  <si>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</si>
  <si>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</si>
  <si>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</si>
  <si>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</si>
  <si>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</si>
  <si>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</si>
  <si>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</si>
  <si>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</si>
  <si>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</si>
  <si>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</si>
  <si>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</si>
  <si>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</si>
  <si>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</si>
  <si>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</si>
  <si>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</si>
  <si>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</si>
  <si>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</si>
  <si>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</si>
  <si>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</si>
  <si>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</si>
  <si>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</si>
  <si>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</si>
  <si>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</si>
  <si>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</si>
  <si>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</si>
  <si>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</si>
  <si>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</si>
  <si>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</si>
  <si>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</si>
  <si>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</si>
  <si>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</si>
  <si>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</si>
  <si>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</si>
  <si>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</si>
  <si>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</si>
  <si>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</si>
  <si>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</si>
  <si>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</si>
  <si>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</si>
  <si>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</si>
  <si>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</si>
  <si>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</si>
  <si>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</si>
  <si>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</si>
  <si>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</si>
  <si>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</si>
  <si>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</si>
  <si>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</si>
  <si>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</si>
  <si>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</si>
  <si>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</si>
  <si>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</si>
  <si>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</si>
  <si>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</si>
  <si>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</si>
  <si>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</si>
  <si>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</si>
  <si>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</si>
  <si>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</si>
  <si>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</si>
  <si>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</si>
  <si>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</si>
  <si>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</si>
  <si>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</si>
  <si>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</si>
  <si>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</si>
  <si>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</si>
  <si>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</si>
  <si>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</si>
  <si>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</si>
  <si>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</si>
  <si>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</si>
  <si>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</si>
  <si>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</si>
  <si>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</si>
  <si>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</si>
  <si>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</si>
  <si>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</si>
  <si>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</si>
  <si>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</si>
  <si>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</si>
  <si>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</si>
  <si>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</si>
  <si>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</si>
  <si>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</si>
  <si>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</si>
  <si>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</si>
  <si>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</si>
  <si>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</si>
  <si>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</si>
  <si>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</si>
  <si>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</si>
  <si>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</si>
  <si>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</si>
  <si>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</si>
  <si>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</si>
  <si>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</si>
  <si>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</si>
  <si>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</si>
  <si>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</si>
  <si>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</si>
  <si>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</si>
  <si>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</si>
  <si>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</si>
  <si>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</si>
  <si>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</si>
  <si>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</si>
  <si>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</si>
  <si>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</si>
  <si>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</si>
  <si>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</si>
  <si>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</si>
  <si>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</si>
  <si>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</si>
  <si>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</si>
  <si>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</si>
  <si>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</si>
  <si>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</si>
  <si>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</si>
  <si>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</si>
  <si>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</si>
  <si>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</si>
  <si>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</si>
  <si>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</si>
  <si>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</si>
  <si>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</si>
  <si>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</si>
  <si>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</si>
  <si>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</si>
  <si>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</si>
  <si>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</si>
  <si>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</si>
  <si>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</si>
  <si>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</si>
  <si>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</si>
  <si>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</si>
  <si>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</si>
  <si>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</si>
  <si>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</si>
  <si>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</si>
  <si>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</si>
  <si>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</si>
  <si>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</si>
  <si>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</si>
  <si>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</si>
  <si>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</si>
  <si>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</si>
  <si>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</si>
  <si>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</si>
  <si>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</si>
  <si>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</si>
  <si>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</si>
  <si>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</si>
  <si>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</si>
  <si>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</si>
  <si>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</si>
  <si>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</si>
  <si>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</si>
  <si>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</si>
  <si>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</si>
  <si>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</si>
  <si>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</si>
  <si>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</si>
  <si>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</si>
  <si>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</si>
  <si>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</si>
  <si>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</si>
  <si>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</si>
  <si>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</si>
  <si>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</si>
  <si>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</si>
  <si>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</si>
  <si>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</si>
  <si>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</si>
  <si>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</si>
  <si>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</si>
  <si>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</si>
  <si>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</si>
  <si>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</si>
  <si>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</si>
  <si>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</si>
  <si>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</si>
  <si>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</si>
  <si>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</si>
  <si>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</si>
  <si>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</si>
  <si>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</si>
  <si>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</si>
  <si>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</si>
  <si>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</si>
  <si>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</si>
  <si>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</si>
  <si>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</si>
  <si>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</si>
  <si>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</si>
  <si>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</si>
  <si>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</si>
  <si>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</si>
  <si>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</si>
  <si>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</si>
  <si>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</si>
  <si>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</si>
  <si>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</si>
  <si>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</si>
  <si>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</si>
  <si>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</si>
  <si>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</si>
  <si>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</si>
  <si>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</si>
  <si>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</si>
  <si>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</si>
  <si>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</si>
  <si>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</si>
  <si>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</si>
  <si>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</si>
  <si>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</si>
  <si>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</si>
  <si>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</si>
  <si>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</si>
  <si>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</si>
  <si>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</si>
  <si>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</si>
  <si>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</si>
  <si>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</si>
  <si>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</si>
  <si>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</si>
  <si>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</si>
  <si>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</si>
  <si>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</si>
  <si>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</si>
  <si>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</si>
  <si>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</si>
  <si>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</si>
  <si>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</si>
  <si>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</si>
  <si>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</si>
  <si>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</si>
  <si>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</si>
  <si>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</si>
  <si>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</si>
  <si>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</si>
  <si>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</si>
  <si>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</si>
  <si>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</si>
  <si>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</si>
  <si>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</si>
  <si>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</si>
  <si>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</si>
  <si>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</si>
  <si>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</si>
  <si>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</si>
  <si>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</si>
  <si>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</si>
  <si>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</si>
  <si>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</si>
  <si>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</si>
  <si>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</si>
  <si>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</si>
  <si>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</si>
  <si>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</si>
  <si>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</si>
  <si>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</si>
  <si>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</si>
  <si>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</si>
  <si>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</si>
  <si>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</si>
  <si>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</si>
  <si>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</si>
  <si>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</si>
  <si>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</si>
  <si>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</si>
  <si>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</si>
  <si>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</si>
  <si>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</si>
  <si>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</si>
  <si>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</si>
  <si>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</si>
  <si>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</si>
  <si>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</si>
  <si>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</si>
  <si>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</si>
  <si>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</si>
  <si>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</si>
  <si>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</si>
  <si>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</si>
  <si>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</si>
  <si>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</si>
  <si>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</si>
  <si>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</si>
  <si>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</si>
  <si>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</si>
  <si>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</si>
  <si>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</si>
  <si>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</si>
  <si>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</si>
  <si>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</si>
  <si>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</si>
  <si>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</si>
  <si>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</si>
  <si>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</si>
  <si>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</si>
  <si>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</si>
  <si>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</si>
  <si>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</si>
  <si>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</si>
  <si>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</si>
  <si>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</si>
  <si>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</si>
  <si>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</si>
  <si>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</si>
  <si>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</si>
  <si>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</si>
  <si>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</si>
  <si>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</si>
  <si>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</si>
  <si>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</si>
  <si>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</si>
  <si>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</si>
  <si>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</si>
  <si>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</si>
  <si>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</si>
  <si>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</si>
  <si>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</si>
  <si>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</si>
  <si>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</si>
  <si>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</si>
  <si>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</si>
  <si>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</si>
  <si>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</si>
  <si>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</si>
  <si>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</si>
  <si>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</si>
  <si>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</si>
  <si>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</si>
  <si>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</si>
  <si>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</si>
  <si>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</si>
  <si>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</si>
  <si>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</si>
  <si>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</si>
  <si>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</si>
  <si>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</si>
  <si>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</si>
  <si>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</si>
  <si>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</si>
  <si>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</si>
  <si>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</si>
  <si>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</si>
  <si>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</si>
  <si>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</si>
  <si>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</si>
  <si>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</si>
  <si>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</si>
  <si>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</si>
  <si>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</si>
  <si>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</si>
  <si>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</si>
  <si>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</si>
  <si>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</si>
  <si>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</si>
  <si>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</si>
  <si>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</si>
  <si>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</si>
  <si>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</si>
  <si>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</si>
  <si>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</si>
  <si>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</si>
  <si>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</si>
  <si>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</si>
  <si>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</si>
  <si>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</si>
  <si>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</si>
  <si>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</si>
  <si>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</si>
  <si>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</si>
  <si>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</si>
  <si>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</si>
  <si>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</si>
  <si>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</si>
  <si>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</si>
  <si>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</si>
  <si>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</si>
  <si>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</si>
  <si>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</si>
  <si>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</si>
  <si>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</si>
  <si>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</si>
  <si>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</si>
  <si>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</si>
  <si>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</si>
  <si>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</si>
  <si>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</si>
  <si>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</si>
  <si>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</si>
  <si>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</si>
  <si>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</si>
  <si>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</si>
  <si>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</si>
  <si>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</si>
  <si>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</si>
  <si>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</si>
  <si>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</si>
  <si>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</si>
  <si>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</si>
  <si>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</si>
  <si>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</si>
  <si>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</si>
  <si>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</si>
  <si>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</si>
  <si>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</si>
  <si>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</si>
  <si>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</si>
  <si>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</si>
  <si>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</si>
  <si>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</si>
  <si>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</si>
  <si>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</si>
  <si>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</si>
  <si>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</si>
  <si>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</si>
  <si>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</si>
  <si>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</si>
  <si>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</si>
  <si>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</si>
  <si>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</si>
  <si>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</si>
  <si>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</si>
  <si>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</si>
  <si>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</si>
  <si>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</si>
  <si>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</si>
  <si>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</si>
  <si>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</si>
  <si>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</si>
  <si>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</si>
  <si>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</si>
  <si>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</si>
  <si>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</si>
  <si>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</si>
  <si>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</si>
  <si>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</si>
  <si>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</si>
  <si>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</si>
  <si>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</si>
  <si>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</si>
  <si>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</si>
  <si>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</si>
  <si>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</si>
  <si>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</si>
  <si>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</si>
  <si>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</si>
  <si>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</si>
  <si>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</si>
  <si>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</si>
  <si>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</si>
  <si>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</si>
  <si>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</si>
  <si>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</si>
  <si>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</si>
  <si>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</si>
  <si>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</si>
  <si>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</si>
  <si>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</si>
  <si>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</si>
  <si>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</si>
  <si>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</si>
  <si>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</si>
  <si>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</si>
  <si>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</si>
  <si>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</si>
  <si>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</si>
  <si>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</si>
  <si>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</si>
  <si>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</si>
  <si>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</si>
  <si>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</si>
  <si>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</si>
  <si>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</si>
  <si>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</si>
  <si>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</si>
  <si>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</si>
  <si>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</si>
  <si>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</si>
  <si>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</si>
  <si>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</si>
  <si>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</si>
  <si>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</si>
  <si>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</si>
  <si>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</si>
  <si>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</si>
  <si>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</si>
  <si>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</si>
  <si>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</si>
  <si>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</si>
  <si>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</si>
  <si>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</si>
  <si>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</si>
  <si>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</si>
  <si>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</si>
  <si>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</si>
  <si>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</si>
  <si>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</si>
  <si>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</si>
  <si>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</si>
  <si>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</si>
  <si>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</si>
  <si>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</si>
  <si>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</si>
  <si>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</si>
  <si>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</si>
  <si>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</si>
  <si>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</si>
  <si>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</si>
  <si>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</si>
  <si>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</si>
  <si>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</si>
  <si>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</si>
  <si>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</si>
  <si>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</si>
  <si>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</si>
  <si>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</si>
  <si>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</si>
  <si>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</si>
  <si>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</si>
  <si>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</si>
  <si>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</si>
  <si>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</si>
  <si>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</si>
  <si>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</si>
  <si>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</si>
  <si>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</si>
  <si>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</si>
  <si>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</si>
  <si>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</si>
  <si>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</si>
  <si>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</si>
  <si>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</si>
  <si>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</si>
  <si>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</si>
  <si>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</si>
  <si>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</si>
  <si>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</si>
  <si>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</si>
  <si>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</si>
  <si>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</si>
  <si>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</si>
  <si>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</si>
  <si>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</si>
  <si>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</si>
  <si>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</si>
  <si>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</si>
  <si>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</si>
  <si>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</si>
  <si>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</si>
  <si>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</si>
  <si>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</si>
  <si>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</si>
  <si>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</si>
  <si>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</si>
  <si>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</si>
  <si>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</si>
  <si>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</si>
  <si>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</si>
  <si>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</si>
  <si>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</si>
  <si>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</si>
  <si>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</si>
  <si>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</si>
  <si>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</si>
  <si>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</si>
  <si>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</si>
  <si>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</si>
  <si>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</si>
  <si>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</si>
  <si>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</si>
  <si>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</si>
  <si>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</si>
  <si>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</si>
  <si>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</si>
  <si>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</si>
  <si>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</si>
  <si>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</si>
  <si>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</si>
  <si>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</si>
  <si>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</si>
  <si>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</si>
  <si>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</si>
  <si>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</si>
  <si>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</si>
  <si>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</si>
  <si>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</si>
  <si>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</si>
  <si>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</si>
  <si>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</si>
  <si>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</si>
  <si>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</si>
  <si>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</si>
  <si>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</si>
  <si>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</si>
  <si>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</si>
  <si>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</si>
  <si>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</si>
  <si>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</si>
  <si>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</si>
  <si>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</si>
  <si>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</si>
  <si>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</si>
  <si>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</si>
  <si>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</si>
  <si>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</si>
  <si>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</si>
  <si>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</si>
  <si>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</si>
  <si>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</si>
  <si>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</si>
  <si>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</si>
  <si>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</si>
  <si>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</si>
  <si>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</si>
  <si>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</si>
  <si>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</si>
  <si>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</si>
  <si>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</si>
  <si>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</si>
  <si>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</si>
  <si>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</si>
  <si>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</si>
  <si>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</si>
  <si>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</si>
  <si>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</si>
  <si>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</si>
  <si>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</si>
  <si>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</si>
  <si>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</si>
  <si>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</si>
  <si>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</si>
  <si>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</si>
  <si>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</si>
  <si>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</si>
  <si>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</si>
  <si>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</si>
  <si>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</si>
  <si>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</si>
  <si>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</si>
  <si>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</si>
  <si>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</si>
  <si>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</si>
  <si>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</si>
  <si>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</si>
  <si>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</si>
  <si>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</si>
  <si>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</si>
  <si>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</si>
  <si>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</si>
  <si>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</si>
  <si>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</si>
  <si>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</si>
  <si>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</si>
  <si>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</si>
  <si>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</si>
  <si>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</si>
  <si>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</si>
  <si>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</si>
  <si>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</si>
  <si>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</si>
  <si>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</si>
  <si>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</si>
  <si>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</si>
  <si>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</si>
  <si>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</si>
  <si>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</si>
  <si>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</si>
  <si>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</si>
  <si>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</si>
  <si>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</si>
  <si>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</si>
  <si>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</si>
  <si>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</si>
  <si>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</si>
  <si>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</si>
  <si>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</si>
  <si>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</si>
  <si>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</si>
  <si>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</si>
  <si>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</si>
  <si>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</si>
  <si>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</si>
  <si>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</si>
  <si>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</si>
  <si>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</si>
  <si>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</si>
  <si>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</si>
  <si>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</si>
  <si>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</si>
  <si>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</si>
  <si>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</si>
  <si>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</si>
  <si>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</si>
  <si>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</si>
  <si>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</si>
  <si>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</si>
  <si>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</si>
  <si>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</si>
  <si>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</si>
  <si>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</si>
  <si>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</si>
  <si>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</si>
  <si>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</si>
  <si>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</si>
  <si>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</si>
  <si>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</si>
  <si>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</si>
  <si>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</si>
  <si>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</si>
  <si>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</si>
  <si>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</si>
  <si>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</si>
  <si>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</si>
  <si>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</si>
  <si>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</si>
  <si>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</si>
  <si>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</si>
  <si>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</si>
  <si>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</si>
  <si>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</si>
  <si>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</si>
  <si>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</si>
  <si>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</si>
  <si>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</si>
  <si>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</si>
  <si>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</si>
  <si>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</si>
  <si>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</si>
  <si>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</si>
  <si>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</si>
  <si>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</si>
  <si>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</si>
  <si>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</si>
  <si>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</si>
  <si>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</si>
  <si>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</si>
  <si>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</si>
  <si>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</si>
  <si>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</si>
  <si>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</si>
  <si>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</si>
  <si>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</si>
  <si>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</si>
  <si>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</si>
  <si>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</si>
  <si>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</si>
  <si>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</si>
  <si>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</si>
  <si>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</si>
  <si>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</si>
  <si>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</si>
  <si>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</si>
  <si>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</si>
  <si>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</si>
  <si>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</si>
  <si>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</si>
  <si>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</si>
  <si>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</si>
  <si>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</si>
  <si>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</si>
  <si>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</si>
  <si>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</si>
  <si>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</si>
  <si>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</si>
  <si>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</si>
  <si>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</si>
  <si>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</si>
  <si>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</si>
  <si>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</si>
  <si>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</si>
  <si>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</si>
  <si>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</si>
  <si>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</si>
  <si>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</si>
  <si>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</si>
  <si>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</si>
  <si>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</si>
  <si>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</si>
  <si>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</si>
  <si>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</si>
  <si>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</si>
  <si>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</si>
  <si>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</si>
  <si>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</si>
  <si>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</si>
  <si>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</si>
  <si>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</si>
  <si>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</si>
  <si>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</si>
  <si>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</si>
  <si>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</si>
  <si>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</si>
  <si>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</si>
  <si>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</si>
  <si>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</si>
  <si>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</si>
  <si>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</si>
  <si>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</si>
  <si>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</si>
  <si>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</si>
  <si>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</si>
  <si>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</si>
  <si>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</si>
  <si>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</si>
  <si>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</si>
  <si>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</si>
  <si>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</si>
  <si>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</si>
  <si>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</si>
  <si>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</si>
  <si>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</si>
  <si>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</si>
  <si>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</si>
  <si>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</si>
  <si>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</si>
  <si>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</si>
  <si>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</si>
  <si>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</si>
  <si>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</si>
  <si>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</si>
  <si>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</si>
  <si>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</si>
  <si>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</si>
  <si>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</si>
  <si>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</si>
  <si>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</si>
  <si>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</si>
  <si>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</si>
  <si>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</si>
  <si>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</si>
  <si>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</si>
  <si>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</si>
  <si>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</si>
  <si>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</si>
  <si>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</si>
  <si>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</si>
  <si>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</si>
  <si>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</si>
  <si>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</si>
  <si>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</si>
  <si>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</si>
  <si>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</si>
  <si>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</si>
  <si>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</si>
  <si>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</si>
  <si>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</si>
  <si>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</si>
  <si>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</si>
  <si>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</si>
  <si>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</si>
  <si>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</si>
  <si>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</si>
  <si>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</si>
  <si>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</si>
  <si>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</si>
  <si>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</si>
  <si>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</si>
  <si>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</si>
  <si>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</si>
  <si>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</si>
  <si>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</si>
  <si>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</si>
  <si>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</si>
  <si>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</si>
  <si>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</si>
  <si>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</si>
  <si>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</si>
  <si>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</si>
  <si>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</si>
  <si>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</si>
  <si>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</si>
  <si>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</si>
  <si>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</si>
  <si>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</si>
  <si>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</si>
  <si>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</si>
  <si>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</si>
  <si>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</si>
  <si>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</si>
  <si>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</si>
  <si>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</si>
  <si>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</si>
  <si>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</si>
  <si>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</si>
  <si>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</si>
  <si>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</si>
  <si>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</si>
  <si>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</si>
  <si>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</si>
  <si>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</si>
  <si>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</si>
  <si>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</si>
  <si>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</si>
  <si>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</si>
  <si>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</si>
  <si>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</si>
  <si>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</si>
  <si>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</si>
  <si>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</si>
  <si>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</si>
  <si>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</si>
  <si>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</si>
  <si>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</si>
  <si>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</si>
  <si>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</si>
  <si>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</si>
  <si>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</si>
  <si>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</si>
  <si>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</si>
  <si>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</si>
  <si>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</si>
  <si>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</si>
  <si>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</si>
  <si>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</si>
  <si>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</si>
  <si>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</si>
  <si>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</si>
  <si>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</si>
  <si>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</si>
  <si>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</si>
  <si>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</si>
  <si>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</si>
  <si>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</si>
  <si>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</si>
  <si>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</si>
  <si>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</si>
  <si>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</si>
  <si>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</si>
  <si>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</si>
  <si>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</si>
  <si>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</si>
  <si>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</si>
  <si>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</si>
  <si>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</si>
  <si>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</si>
  <si>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</si>
  <si>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</si>
  <si>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</si>
  <si>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</si>
  <si>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</si>
  <si>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</si>
  <si>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</si>
  <si>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</si>
  <si>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</si>
  <si>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</si>
  <si>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</si>
  <si>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</si>
  <si>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</si>
  <si>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</si>
  <si>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</si>
  <si>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</si>
  <si>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</si>
  <si>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</si>
  <si>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</si>
  <si>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</si>
  <si>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</si>
  <si>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</si>
  <si>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</si>
  <si>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</si>
  <si>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</si>
  <si>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</si>
  <si>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</si>
  <si>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</si>
  <si>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</si>
  <si>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</si>
  <si>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</si>
  <si>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</si>
  <si>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</si>
  <si>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</si>
  <si>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</si>
  <si>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</si>
  <si>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</si>
  <si>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</si>
  <si>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</si>
  <si>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</si>
  <si>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</si>
  <si>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</si>
  <si>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</si>
  <si>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</si>
  <si>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</si>
  <si>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</si>
  <si>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</si>
  <si>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</si>
  <si>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</si>
  <si>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</si>
  <si>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</si>
  <si>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</si>
  <si>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</si>
  <si>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</si>
  <si>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</si>
  <si>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</si>
  <si>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</si>
  <si>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P000001319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</si>
  <si>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</si>
  <si>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</si>
  <si>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</si>
  <si>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</si>
  <si>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</si>
  <si>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</si>
  <si>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</si>
  <si>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</si>
  <si>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</si>
  <si>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</si>
  <si>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</si>
  <si>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</si>
  <si>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</si>
  <si>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</si>
  <si>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</si>
  <si>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</si>
  <si>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</si>
  <si>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</si>
  <si>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</si>
  <si>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</si>
  <si>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</si>
  <si>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</si>
  <si>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</si>
  <si>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</si>
  <si>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</si>
  <si>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</si>
  <si>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</si>
  <si>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</si>
  <si>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</si>
  <si>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</si>
  <si>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</si>
  <si>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</si>
  <si>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</si>
  <si>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</si>
  <si>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</si>
  <si>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</si>
  <si>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</si>
  <si>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</si>
  <si>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</si>
  <si>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</si>
  <si>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</si>
  <si>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</si>
  <si>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</si>
  <si>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</si>
  <si>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</si>
  <si>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</si>
  <si>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</si>
  <si>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</si>
  <si>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</si>
  <si>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</si>
  <si>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</si>
  <si>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</si>
  <si>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</si>
  <si>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</si>
  <si>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</si>
  <si>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</si>
  <si>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</si>
  <si>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</si>
  <si>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</si>
  <si>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</si>
  <si>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</si>
  <si>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</si>
  <si>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</si>
  <si>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</si>
  <si>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</si>
  <si>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</si>
  <si>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</si>
  <si>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</si>
  <si>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</si>
  <si>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</si>
  <si>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</si>
  <si>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</si>
  <si>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</si>
  <si>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</si>
  <si>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</si>
  <si>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</si>
  <si>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</si>
  <si>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</si>
  <si>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</si>
  <si>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</si>
  <si>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</si>
  <si>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</si>
  <si>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</si>
  <si>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</si>
  <si>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</si>
  <si>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</si>
  <si>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</si>
  <si>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</si>
  <si>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</si>
  <si>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</si>
  <si>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</si>
  <si>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</si>
  <si>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</si>
  <si>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</si>
  <si>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</si>
  <si>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</si>
  <si>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</si>
  <si>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</si>
  <si>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</si>
  <si>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</si>
  <si>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</si>
  <si>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</si>
  <si>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</si>
  <si>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</si>
  <si>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</si>
  <si>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</si>
  <si>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</si>
  <si>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</si>
  <si>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</si>
  <si>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</si>
  <si>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</si>
  <si>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</si>
  <si>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</si>
  <si>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</si>
  <si>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</si>
  <si>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</si>
  <si>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</si>
  <si>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</si>
  <si>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</si>
  <si>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</si>
  <si>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</si>
  <si>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</si>
  <si>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</si>
  <si>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</si>
  <si>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</si>
  <si>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</si>
  <si>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</si>
  <si>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</si>
  <si>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</si>
  <si>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</si>
  <si>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</si>
  <si>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</si>
  <si>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</si>
  <si>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</si>
  <si>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</si>
  <si>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</si>
  <si>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</si>
  <si>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</si>
  <si>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</si>
  <si>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</si>
  <si>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</si>
  <si>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</si>
  <si>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</si>
  <si>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</si>
  <si>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</si>
  <si>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</si>
  <si>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</si>
  <si>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</si>
  <si>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</si>
  <si>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</si>
  <si>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</si>
  <si>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</si>
  <si>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</si>
  <si>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</si>
  <si>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</si>
  <si>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</si>
  <si>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</si>
  <si>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</si>
  <si>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</si>
  <si>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</si>
  <si>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</si>
  <si>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</si>
  <si>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</si>
  <si>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</si>
  <si>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</si>
  <si>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DFLTPGCOH_002132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</si>
  <si>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</si>
  <si>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</si>
  <si>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</si>
  <si>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</si>
  <si>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</si>
  <si>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</si>
  <si>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DFLTPGCOH_DIV-63_001248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</si>
  <si>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</si>
  <si>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</si>
  <si>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</si>
  <si>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</si>
  <si>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</si>
  <si>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</si>
  <si>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</si>
  <si>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</si>
  <si>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</si>
  <si>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</si>
  <si>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</si>
  <si>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</si>
  <si>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</si>
  <si>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</si>
  <si>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</si>
  <si>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</si>
  <si>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</si>
  <si>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</si>
  <si>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</si>
  <si>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CLFF_VMCA$$$DE10TM4000 DE10 Customs/Duties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</si>
  <si>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</si>
  <si>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</si>
  <si>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</si>
  <si>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</si>
  <si>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</si>
  <si>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</si>
  <si>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</si>
  <si>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</si>
  <si>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</si>
  <si>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</si>
  <si>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</si>
  <si>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</si>
  <si>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</si>
  <si>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</si>
  <si>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</si>
  <si>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</si>
  <si>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</si>
  <si>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</si>
  <si>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</si>
  <si>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</si>
  <si>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</si>
  <si>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</si>
  <si>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</si>
  <si>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</si>
  <si>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</si>
  <si>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</si>
  <si>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</si>
  <si>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</si>
  <si>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</si>
  <si>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</si>
  <si>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</si>
  <si>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</si>
  <si>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</si>
  <si>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</si>
  <si>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</si>
  <si>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</si>
  <si>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</si>
  <si>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</si>
  <si>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</si>
  <si>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</si>
  <si>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</si>
  <si>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</si>
  <si>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</si>
  <si>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</si>
  <si>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</si>
  <si>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</si>
  <si>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</si>
  <si>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</si>
  <si>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</si>
  <si>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</si>
  <si>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</si>
  <si>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</si>
  <si>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</si>
  <si>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</si>
  <si>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</si>
  <si>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</si>
  <si>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</si>
  <si>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</si>
  <si>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</si>
  <si>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</si>
  <si>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</si>
  <si>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</si>
  <si>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</si>
  <si>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</si>
  <si>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</si>
  <si>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</si>
  <si>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</si>
  <si>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</si>
  <si>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</si>
  <si>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</si>
  <si>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</si>
  <si>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</si>
  <si>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</si>
  <si>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</si>
  <si>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</si>
  <si>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</si>
  <si>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</si>
  <si>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</si>
  <si>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</si>
  <si>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</si>
  <si>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</si>
  <si>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</si>
  <si>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</si>
  <si>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</si>
  <si>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</si>
  <si>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</si>
  <si>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</si>
  <si>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</si>
  <si>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</si>
  <si>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</si>
  <si>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</si>
  <si>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</si>
  <si>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</si>
  <si>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</si>
  <si>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</si>
  <si>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</si>
  <si>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</si>
  <si>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</si>
  <si>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</si>
  <si>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</si>
  <si>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</si>
  <si>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</si>
  <si>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</si>
  <si>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</si>
  <si>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</si>
  <si>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</si>
  <si>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</si>
  <si>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</si>
  <si>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</si>
  <si>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</si>
  <si>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</si>
  <si>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</si>
  <si>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</si>
  <si>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</si>
  <si>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</si>
  <si>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</si>
  <si>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</si>
  <si>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</si>
  <si>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</si>
  <si>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</si>
  <si>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</si>
  <si>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</si>
  <si>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</si>
  <si>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</si>
  <si>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</si>
  <si>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</si>
  <si>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</si>
  <si>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</si>
  <si>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</si>
  <si>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</si>
  <si>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</si>
  <si>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</si>
  <si>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</si>
  <si>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</si>
  <si>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</si>
  <si>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</si>
  <si>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</si>
  <si>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</si>
  <si>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</si>
  <si>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</si>
  <si>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</si>
  <si>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</si>
  <si>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</si>
  <si>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</si>
  <si>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</si>
  <si>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</si>
  <si>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</si>
  <si>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</si>
  <si>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</si>
  <si>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</si>
  <si>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</si>
  <si>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</si>
  <si>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</si>
  <si>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</si>
  <si>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</si>
  <si>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</si>
  <si>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</si>
  <si>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</si>
  <si>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</si>
  <si>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NEO DE10523400</t>
  </si>
  <si>
    <t>NEO DE10524300</t>
  </si>
  <si>
    <t>NEO DE10625700</t>
  </si>
  <si>
    <t>NEO DE10510000</t>
  </si>
  <si>
    <t>NEO DE10551100</t>
  </si>
  <si>
    <t>G000000918</t>
  </si>
  <si>
    <t>FR7640621</t>
  </si>
  <si>
    <t>X310101CZ5011000</t>
  </si>
  <si>
    <t>X310102CZ5021000</t>
  </si>
  <si>
    <t>X310102CZ5022000</t>
  </si>
  <si>
    <t>X310202CZ5020000</t>
  </si>
  <si>
    <t>X310202CZ5022000</t>
  </si>
  <si>
    <t>X310202CZ5023000</t>
  </si>
  <si>
    <t>X310302CZ5020000</t>
  </si>
  <si>
    <t>X310322CZ5021000</t>
  </si>
  <si>
    <t>X310331CZ5010000</t>
  </si>
  <si>
    <t>X310332CZ5020000</t>
  </si>
  <si>
    <t>X310332CZ5021000</t>
  </si>
  <si>
    <t>X310402CZ5020000</t>
  </si>
  <si>
    <t>X310402CZ5022000</t>
  </si>
  <si>
    <t>X310501CZ5030000</t>
  </si>
  <si>
    <t>X310512CZ5020000</t>
  </si>
  <si>
    <t>X310512CZ5023000</t>
  </si>
  <si>
    <t>X310513CZ5043000</t>
  </si>
  <si>
    <t>CZ50GEQ001</t>
  </si>
  <si>
    <t>CZ50Z02185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</si>
</sst>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</cellStyleXfs>
  <cellXfs count="13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72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89.955085185182" createdVersion="7" refreshedVersion="7" minRefreshableVersion="3" recordCount="3630" xr:uid="{11839AE3-6158-4318-87AD-2C711D0BF451}">
  <cacheSource type="worksheet">
    <worksheetSource name="Proc"/>
  </cacheSource>
  <cacheFields count="19">
    <cacheField name="App" numFmtId="0">
      <sharedItems containsBlank="1" count="1522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08-20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7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3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7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4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4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4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4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4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4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4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4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4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4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4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4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4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4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4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4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4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4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4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4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4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4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4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4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4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4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4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4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4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4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4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4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4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4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4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4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4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4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4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4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4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4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4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4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4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4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4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3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3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3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3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3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3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3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3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3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3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3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3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3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3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3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3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3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3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2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2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2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2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2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2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2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2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2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2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1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1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1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1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1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1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1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9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9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9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8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7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7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7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7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7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7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7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7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7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7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7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7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7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7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7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7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7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6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6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6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6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6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6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6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6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6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6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6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6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6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6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5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5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5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5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4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4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4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4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4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4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4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4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4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4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4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4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4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4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4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36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36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36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3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3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3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3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3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3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3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3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3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3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3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3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3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3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3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3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3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3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3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3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3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3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3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3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3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3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2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2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2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2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2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2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2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2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2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2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2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2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2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2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2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2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2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2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2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2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2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2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2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2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2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2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2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2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2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2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2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2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2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2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2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2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2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2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2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1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1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1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1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1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1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1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1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1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1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1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1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11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1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1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1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1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1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1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1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1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1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1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1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1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1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1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1"/>
    <s v="Jay-R Lizardo"/>
    <m/>
  </r>
  <r>
    <x v="315"/>
    <x v="1"/>
    <x v="3"/>
    <s v="CLFF_1000$$$DE10685700"/>
    <s v="P000000765"/>
    <s v="P000001319"/>
    <s v="LFF (MDG-F)"/>
    <s v="DE10685700"/>
    <s v="Unavailable; to do later"/>
    <b v="0"/>
    <x v="0"/>
    <x v="3"/>
    <d v="2025-08-05T00:00:00"/>
    <m/>
    <m/>
    <x v="1"/>
    <n v="11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1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1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1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1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1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1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1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1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1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1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1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1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1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1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1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1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1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1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1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1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1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1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1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1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1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1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1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1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1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1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1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1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1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1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1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1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1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1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1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1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1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1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1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1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1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1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1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1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1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1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1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1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1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1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1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1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1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1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1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1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1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1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1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1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1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1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1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1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1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1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1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1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1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1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1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1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11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1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0"/>
    <n v="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0"/>
    <n v="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0"/>
    <n v="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0"/>
    <n v="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0"/>
    <n v="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0"/>
    <n v="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0"/>
    <n v="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0"/>
    <n v="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0"/>
    <n v="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0"/>
    <n v="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0"/>
    <n v="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0"/>
    <n v="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0"/>
    <n v="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0"/>
    <n v="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0"/>
    <n v="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0"/>
    <n v="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0"/>
    <n v="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0"/>
    <n v="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0"/>
    <n v="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0"/>
    <n v="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0"/>
    <n v="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0"/>
    <n v="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0"/>
    <n v="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0"/>
    <n v="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0"/>
    <n v="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0"/>
    <n v="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0"/>
    <n v="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0"/>
    <n v="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0"/>
    <n v="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0"/>
    <n v="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0"/>
    <n v="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0"/>
    <n v="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0"/>
    <n v="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0"/>
    <n v="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0"/>
    <n v="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0"/>
    <n v="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0"/>
    <n v="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0"/>
    <n v="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0"/>
    <n v="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0"/>
    <n v="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0"/>
    <n v="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0"/>
    <n v="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0"/>
    <n v="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0"/>
    <n v="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0"/>
    <n v="2"/>
    <s v="Roselle Delos Angeles"/>
    <m/>
  </r>
  <r>
    <x v="335"/>
    <x v="1"/>
    <x v="5"/>
    <s v="CLFF_1000$$$TW03TATA02"/>
    <s v="P000000808"/>
    <s v="DFLTPGCOH_002132"/>
    <s v="LFF (MDG-F)"/>
    <s v="TW03TATA02"/>
    <m/>
    <b v="0"/>
    <x v="3"/>
    <x v="3"/>
    <d v="2025-08-18T00:00:00"/>
    <m/>
    <m/>
    <x v="0"/>
    <n v="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0"/>
    <n v="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0"/>
    <n v="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0"/>
    <n v="1"/>
    <s v="Ruby Grace Garcia"/>
    <m/>
  </r>
  <r>
    <x v="339"/>
    <x v="1"/>
    <x v="5"/>
    <s v="CEMERAL_70007102171436"/>
    <s v="L000012407"/>
    <s v="L000011664"/>
    <s v="Non-LFF"/>
    <s v=""/>
    <m/>
    <b v="0"/>
    <x v="2"/>
    <x v="3"/>
    <d v="2025-08-19T00:00:00"/>
    <m/>
    <m/>
    <x v="0"/>
    <n v="1"/>
    <s v="Lakshmi Shree"/>
    <m/>
  </r>
  <r>
    <x v="340"/>
    <x v="1"/>
    <x v="5"/>
    <s v="CSCALA_1248$PSDO "/>
    <s v="L000013858"/>
    <s v="DFLTPGCOH_DIV-63_001248"/>
    <s v="Non-LFF"/>
    <s v=""/>
    <m/>
    <b v="0"/>
    <x v="2"/>
    <x v="3"/>
    <d v="2025-08-19T00:00:00"/>
    <m/>
    <m/>
    <x v="0"/>
    <n v="1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3"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0" firstHeaderRow="1" firstDataRow="1" firstDataCol="1" rowPageCount="1" colPageCount="1"/>
  <pivotFields count="19">
    <pivotField axis="axisRow" showAll="0" sortType="ascending">
      <items count="1523">
        <item m="1" x="907"/>
        <item x="0"/>
        <item m="1" x="977"/>
        <item m="1" x="1398"/>
        <item m="1" x="560"/>
        <item m="1" x="1415"/>
        <item m="1" x="937"/>
        <item m="1" x="1027"/>
        <item m="1" x="1448"/>
        <item m="1" x="1242"/>
        <item m="1" x="930"/>
        <item m="1" x="1514"/>
        <item m="1" x="1260"/>
        <item m="1" x="1504"/>
        <item m="1" x="878"/>
        <item m="1" x="779"/>
        <item m="1" x="483"/>
        <item m="1" x="744"/>
        <item m="1" x="1468"/>
        <item m="1" x="536"/>
        <item m="1" x="844"/>
        <item m="1" x="1212"/>
        <item m="1" x="927"/>
        <item m="1" x="1020"/>
        <item m="1" x="1316"/>
        <item m="1" x="1501"/>
        <item m="1" x="962"/>
        <item m="1" x="984"/>
        <item m="1" x="749"/>
        <item m="1" x="1150"/>
        <item m="1" x="909"/>
        <item m="1" x="1455"/>
        <item m="1" x="1112"/>
        <item m="1" x="545"/>
        <item m="1" x="653"/>
        <item m="1" x="1440"/>
        <item m="1" x="1204"/>
        <item m="1" x="458"/>
        <item m="1" x="1290"/>
        <item m="1" x="956"/>
        <item m="1" x="1251"/>
        <item m="1" x="837"/>
        <item m="1" x="1189"/>
        <item m="1" x="448"/>
        <item m="1" x="478"/>
        <item m="1" x="1517"/>
        <item m="1" x="1196"/>
        <item m="1" x="1264"/>
        <item m="1" x="1371"/>
        <item m="1" x="1140"/>
        <item m="1" x="1238"/>
        <item m="1" x="1077"/>
        <item m="1" x="532"/>
        <item m="1" x="723"/>
        <item m="1" x="1499"/>
        <item m="1" x="1067"/>
        <item m="1" x="1207"/>
        <item m="1" x="735"/>
        <item m="1" x="696"/>
        <item m="1" x="988"/>
        <item m="1" x="880"/>
        <item m="1" x="913"/>
        <item m="1" x="472"/>
        <item m="1" x="611"/>
        <item m="1" x="1273"/>
        <item m="1" x="1490"/>
        <item m="1" x="676"/>
        <item m="1" x="1081"/>
        <item m="1" x="1091"/>
        <item m="1" x="1268"/>
        <item m="1" x="1378"/>
        <item m="1" x="1256"/>
        <item m="1" x="551"/>
        <item m="1" x="1399"/>
        <item m="1" x="1129"/>
        <item m="1" x="1116"/>
        <item m="1" x="651"/>
        <item m="1" x="1004"/>
        <item m="1" x="1351"/>
        <item m="1" x="469"/>
        <item m="1" x="1048"/>
        <item m="1" x="1401"/>
        <item m="1" x="1239"/>
        <item m="1" x="974"/>
        <item m="1" x="1016"/>
        <item m="1" x="897"/>
        <item m="1" x="1132"/>
        <item m="1" x="944"/>
        <item m="1" x="1176"/>
        <item m="1" x="660"/>
        <item m="1" x="1489"/>
        <item m="1" x="1014"/>
        <item m="1" x="1300"/>
        <item m="1" x="377"/>
        <item m="1" x="1505"/>
        <item m="1" x="1041"/>
        <item m="1" x="1330"/>
        <item m="1" x="1243"/>
        <item m="1" x="1021"/>
        <item m="1" x="531"/>
        <item m="1" x="538"/>
        <item m="1" x="578"/>
        <item m="1" x="760"/>
        <item m="1" x="1184"/>
        <item m="1" x="945"/>
        <item m="1" x="1061"/>
        <item m="1" x="1124"/>
        <item m="1" x="1271"/>
        <item m="1" x="1354"/>
        <item m="1" x="916"/>
        <item m="1" x="637"/>
        <item m="1" x="480"/>
        <item m="1" x="623"/>
        <item m="1" x="1498"/>
        <item m="1" x="655"/>
        <item m="1" x="1336"/>
        <item m="1" x="1265"/>
        <item m="1" x="883"/>
        <item m="1" x="955"/>
        <item m="1" x="821"/>
        <item m="1" x="1078"/>
        <item m="1" x="1453"/>
        <item m="1" x="629"/>
        <item m="1" x="577"/>
        <item m="1" x="512"/>
        <item m="1" x="1178"/>
        <item m="1" x="1438"/>
        <item m="1" x="1366"/>
        <item m="1" x="1023"/>
        <item m="1" x="547"/>
        <item m="1" x="1272"/>
        <item m="1" x="724"/>
        <item m="1" x="978"/>
        <item m="1" x="1153"/>
        <item m="1" x="1261"/>
        <item m="1" x="381"/>
        <item m="1" x="1210"/>
        <item m="1" x="1173"/>
        <item m="1" x="614"/>
        <item m="1" x="1062"/>
        <item m="1" x="950"/>
        <item m="1" x="903"/>
        <item m="1" x="636"/>
        <item m="1" x="572"/>
        <item m="1" x="812"/>
        <item m="1" x="999"/>
        <item m="1" x="406"/>
        <item m="1" x="745"/>
        <item m="1" x="604"/>
        <item m="1" x="346"/>
        <item m="1" x="856"/>
        <item m="1" x="1057"/>
        <item m="1" x="939"/>
        <item m="1" x="985"/>
        <item m="1" x="1304"/>
        <item m="1" x="886"/>
        <item m="1" x="1412"/>
        <item m="1" x="1136"/>
        <item m="1" x="1075"/>
        <item m="1" x="589"/>
        <item m="1" x="1222"/>
        <item m="1" x="1500"/>
        <item m="1" x="1188"/>
        <item m="1" x="1172"/>
        <item m="1" x="459"/>
        <item m="1" x="507"/>
        <item m="1" x="1042"/>
        <item m="1" x="548"/>
        <item m="1" x="1485"/>
        <item m="1" x="1151"/>
        <item m="1" x="1076"/>
        <item m="1" x="1028"/>
        <item m="1" x="829"/>
        <item m="1" x="457"/>
        <item m="1" x="557"/>
        <item m="1" x="663"/>
        <item m="1" x="1396"/>
        <item m="1" x="1428"/>
        <item m="1" x="1127"/>
        <item m="1" x="854"/>
        <item m="1" x="942"/>
        <item m="1" x="452"/>
        <item m="1" x="492"/>
        <item m="1" x="831"/>
        <item m="1" x="1056"/>
        <item m="1" x="969"/>
        <item m="1" x="627"/>
        <item m="1" x="860"/>
        <item m="1" x="574"/>
        <item m="1" x="769"/>
        <item m="1" x="691"/>
        <item m="1" x="526"/>
        <item m="1" x="662"/>
        <item m="1" x="1032"/>
        <item m="1" x="442"/>
        <item m="1" x="681"/>
        <item m="1" x="473"/>
        <item m="1" x="1166"/>
        <item m="1" x="1355"/>
        <item m="1" x="965"/>
        <item m="1" x="609"/>
        <item m="1" x="1259"/>
        <item m="1" x="1104"/>
        <item m="1" x="621"/>
        <item m="1" x="622"/>
        <item m="1" x="807"/>
        <item m="1" x="497"/>
        <item m="1" x="686"/>
        <item m="1" x="481"/>
        <item m="1" x="667"/>
        <item m="1" x="1235"/>
        <item m="1" x="746"/>
        <item m="1" x="1113"/>
        <item m="1" x="1163"/>
        <item m="1" x="1297"/>
        <item m="1" x="1301"/>
        <item m="1" x="1018"/>
        <item m="1" x="859"/>
        <item m="1" x="898"/>
        <item m="1" x="1465"/>
        <item m="1" x="758"/>
        <item m="1" x="570"/>
        <item m="1" x="948"/>
        <item m="1" x="405"/>
        <item m="1" x="1469"/>
        <item m="1" x="932"/>
        <item m="1" x="366"/>
        <item m="1" x="1387"/>
        <item m="1" x="1430"/>
        <item m="1" x="1267"/>
        <item m="1" x="644"/>
        <item m="1" x="383"/>
        <item m="1" x="1317"/>
        <item m="1" x="708"/>
        <item m="1" x="344"/>
        <item m="1" x="1488"/>
        <item m="1" x="732"/>
        <item m="1" x="887"/>
        <item m="1" x="1332"/>
        <item m="1" x="419"/>
        <item m="1" x="1244"/>
        <item m="1" x="1052"/>
        <item m="1" x="917"/>
        <item m="1" x="787"/>
        <item m="1" x="534"/>
        <item m="1" x="1035"/>
        <item m="1" x="737"/>
        <item m="1" x="1275"/>
        <item m="1" x="597"/>
        <item m="1" x="1345"/>
        <item m="1" x="1352"/>
        <item m="1" x="1036"/>
        <item m="1" x="1226"/>
        <item m="1" x="643"/>
        <item m="1" x="940"/>
        <item m="1" x="1229"/>
        <item m="1" x="813"/>
        <item m="1" x="1103"/>
        <item m="1" x="742"/>
        <item m="1" x="527"/>
        <item m="1" x="731"/>
        <item m="1" x="1497"/>
        <item m="1" x="1439"/>
        <item m="1" x="584"/>
        <item m="1" x="1385"/>
        <item m="1" x="391"/>
        <item m="1" x="1407"/>
        <item m="1" x="426"/>
        <item m="1" x="728"/>
        <item m="1" x="826"/>
        <item m="1" x="773"/>
        <item m="1" x="1380"/>
        <item m="1" x="1283"/>
        <item m="1" x="524"/>
        <item m="1" x="1094"/>
        <item m="1" x="1302"/>
        <item m="1" x="1436"/>
        <item m="1" x="1343"/>
        <item m="1" x="429"/>
        <item m="1" x="1509"/>
        <item m="1" x="580"/>
        <item m="1" x="861"/>
        <item m="1" x="1305"/>
        <item m="1" x="428"/>
        <item m="1" x="1364"/>
        <item m="1" x="593"/>
        <item m="1" x="1237"/>
        <item m="1" x="1101"/>
        <item m="1" x="1079"/>
        <item m="1" x="658"/>
        <item m="1" x="620"/>
        <item m="1" x="1432"/>
        <item m="1" x="373"/>
        <item m="1" x="555"/>
        <item m="1" x="1214"/>
        <item m="1" x="1325"/>
        <item m="1" x="1252"/>
        <item m="1" x="1456"/>
        <item m="1" x="960"/>
        <item m="1" x="587"/>
        <item m="1" x="707"/>
        <item m="1" x="1026"/>
        <item m="1" x="768"/>
        <item m="1" x="1096"/>
        <item m="1" x="709"/>
        <item m="1" x="511"/>
        <item m="1" x="1164"/>
        <item m="1" x="566"/>
        <item m="1" x="446"/>
        <item m="1" x="1298"/>
        <item m="1" x="1445"/>
        <item m="1" x="1146"/>
        <item m="1" x="411"/>
        <item m="1" x="1337"/>
        <item m="1" x="1135"/>
        <item m="1" x="1245"/>
        <item m="1" x="1384"/>
        <item m="1" x="612"/>
        <item m="1" x="804"/>
        <item m="1" x="642"/>
        <item m="1" x="910"/>
        <item m="1" x="834"/>
        <item m="1" x="864"/>
        <item m="1" x="1400"/>
        <item m="1" x="846"/>
        <item m="1" x="1049"/>
        <item m="1" x="581"/>
        <item m="1" x="780"/>
        <item m="1" x="754"/>
        <item m="1" x="1097"/>
        <item m="1" x="1000"/>
        <item m="1" x="1228"/>
        <item m="1" x="750"/>
        <item m="1" x="1386"/>
        <item m="1" x="588"/>
        <item m="1" x="514"/>
        <item m="1" x="770"/>
        <item m="1" x="1311"/>
        <item m="1" x="421"/>
        <item m="1" x="422"/>
        <item m="1" x="718"/>
        <item m="1" x="1391"/>
        <item m="1" x="785"/>
        <item m="1" x="430"/>
        <item m="1" x="590"/>
        <item m="1" x="832"/>
        <item m="1" x="1143"/>
        <item m="1" x="1115"/>
        <item m="1" x="786"/>
        <item m="1" x="367"/>
        <item m="1" x="505"/>
        <item m="1" x="717"/>
        <item m="1" x="605"/>
        <item m="1" x="362"/>
        <item m="1" x="1315"/>
        <item m="1" x="1444"/>
        <item m="1" x="914"/>
        <item m="1" x="1344"/>
        <item m="1" x="1404"/>
        <item m="1" x="427"/>
        <item m="1" x="1442"/>
        <item m="1" x="1180"/>
        <item m="1" x="603"/>
        <item m="1" x="789"/>
        <item m="1" x="693"/>
        <item m="1" x="1055"/>
        <item m="1" x="626"/>
        <item m="1" x="842"/>
        <item m="1" x="1137"/>
        <item m="1" x="1262"/>
        <item m="1" x="765"/>
        <item m="1" x="893"/>
        <item m="1" x="705"/>
        <item m="1" x="631"/>
        <item m="1" x="1142"/>
        <item m="1" x="1257"/>
        <item m="1" x="1419"/>
        <item m="1" x="461"/>
        <item m="1" x="665"/>
        <item m="1" x="1105"/>
        <item m="1" x="506"/>
        <item m="1" x="793"/>
        <item m="1" x="1174"/>
        <item m="1" x="439"/>
        <item m="1" x="649"/>
        <item m="1" x="759"/>
        <item m="1" x="1365"/>
        <item m="1" x="598"/>
        <item m="1" x="868"/>
        <item m="1" x="1421"/>
        <item m="1" x="549"/>
        <item m="1" x="738"/>
        <item m="1" x="926"/>
        <item m="1" x="1263"/>
        <item m="1" x="561"/>
        <item m="1" x="817"/>
        <item m="1" x="659"/>
        <item m="1" x="1155"/>
        <item m="1" x="1341"/>
        <item m="1" x="467"/>
        <item m="1" x="687"/>
        <item m="1" x="1423"/>
        <item m="1" x="1388"/>
        <item m="1" x="488"/>
        <item m="1" x="805"/>
        <item m="1" x="1329"/>
        <item m="1" x="1460"/>
        <item m="1" x="1331"/>
        <item m="1" x="1306"/>
        <item m="1" x="437"/>
        <item m="1" x="613"/>
        <item m="1" x="695"/>
        <item m="1" x="684"/>
        <item m="1" x="911"/>
        <item m="1" x="399"/>
        <item m="1" x="1098"/>
        <item m="1" x="1169"/>
        <item m="1" x="351"/>
        <item m="1" x="1429"/>
        <item m="1" x="1291"/>
        <item m="1" x="1420"/>
        <item m="1" x="1450"/>
        <item m="1" x="1486"/>
        <item m="1" x="1424"/>
        <item m="1" x="788"/>
        <item m="1" x="1148"/>
        <item m="1" x="755"/>
        <item m="1" x="1161"/>
        <item m="1" x="1126"/>
        <item m="1" x="564"/>
        <item m="1" x="602"/>
        <item m="1" x="740"/>
        <item m="1" x="1205"/>
        <item m="1" x="725"/>
        <item m="1" x="471"/>
        <item m="1" x="1470"/>
        <item m="1" x="1220"/>
        <item m="1" x="1053"/>
        <item m="1" x="1085"/>
        <item m="1" x="1134"/>
        <item m="1" x="559"/>
        <item m="1" x="901"/>
        <item m="1" x="1246"/>
        <item m="1" x="397"/>
        <item m="1" x="640"/>
        <item m="1" x="540"/>
        <item m="1" x="537"/>
        <item m="1" x="541"/>
        <item m="1" x="342"/>
        <item m="1" x="563"/>
        <item m="1" x="1360"/>
        <item m="1" x="364"/>
        <item m="1" x="1010"/>
        <item m="1" x="1447"/>
        <item m="1" x="1258"/>
        <item m="1" x="518"/>
        <item m="1" x="1518"/>
        <item m="1" x="447"/>
        <item m="1" x="814"/>
        <item m="1" x="1037"/>
        <item m="1" x="493"/>
        <item m="1" x="946"/>
        <item m="1" x="1106"/>
        <item m="1" x="1374"/>
        <item m="1" x="1276"/>
        <item m="1" x="355"/>
        <item m="1" x="1038"/>
        <item m="1" x="438"/>
        <item m="1" x="674"/>
        <item m="1" x="646"/>
        <item m="1" x="408"/>
        <item m="1" x="1001"/>
        <item m="1" x="1008"/>
        <item m="1" x="1108"/>
        <item m="1" x="857"/>
        <item m="1" x="1357"/>
        <item m="1" x="766"/>
        <item m="1" x="1476"/>
        <item m="1" x="1111"/>
        <item m="1" x="1002"/>
        <item m="1" x="666"/>
        <item m="1" x="1074"/>
        <item m="1" x="1372"/>
        <item m="1" x="1437"/>
        <item m="1" x="1416"/>
        <item m="1" x="1346"/>
        <item m="1" x="1095"/>
        <item m="1" x="1208"/>
        <item m="1" x="721"/>
        <item m="1" x="1170"/>
        <item m="1" x="995"/>
        <item m="1" x="954"/>
        <item m="1" x="952"/>
        <item m="1" x="953"/>
        <item m="1" x="650"/>
        <item m="1" x="694"/>
        <item m="1" x="1307"/>
        <item m="1" x="872"/>
        <item m="1" x="714"/>
        <item m="1" x="756"/>
        <item m="1" x="802"/>
        <item m="1" x="1054"/>
        <item m="1" x="1392"/>
        <item m="1" x="1481"/>
        <item m="1" x="599"/>
        <item m="1" x="550"/>
        <item m="1" x="387"/>
        <item m="1" x="409"/>
        <item m="1" x="706"/>
        <item m="1" x="494"/>
        <item m="1" x="822"/>
        <item m="1" x="1358"/>
        <item m="1" x="699"/>
        <item m="1" x="491"/>
        <item m="1" x="1250"/>
        <item m="1" x="368"/>
        <item m="1" x="1376"/>
        <item m="1" x="1451"/>
        <item m="1" x="1515"/>
        <item m="1" x="1390"/>
        <item m="1" x="633"/>
        <item m="1" x="410"/>
        <item m="1" x="874"/>
        <item m="1" x="958"/>
        <item m="1" x="1154"/>
        <item m="1" x="1122"/>
        <item m="1" x="1158"/>
        <item m="1" x="935"/>
        <item m="1" x="973"/>
        <item m="1" x="1414"/>
        <item m="1" x="1177"/>
        <item m="1" x="1147"/>
        <item m="1" x="1086"/>
        <item m="1" x="1159"/>
        <item m="1" x="360"/>
        <item m="1" x="365"/>
        <item m="1" x="968"/>
        <item m="1" x="1353"/>
        <item m="1" x="923"/>
        <item m="1" x="1493"/>
        <item m="1" x="892"/>
        <item m="1" x="1068"/>
        <item m="1" x="1139"/>
        <item m="1" x="753"/>
        <item m="1" x="585"/>
        <item m="1" x="961"/>
        <item m="1" x="647"/>
        <item m="1" x="1502"/>
        <item m="1" x="1417"/>
        <item m="1" x="1230"/>
        <item m="1" x="487"/>
        <item m="1" x="414"/>
        <item m="1" x="987"/>
        <item m="1" x="1231"/>
        <item m="1" x="1520"/>
        <item m="1" x="866"/>
        <item m="1" x="1467"/>
        <item m="1" x="401"/>
        <item m="1" x="515"/>
        <item m="1" x="827"/>
        <item m="1" x="918"/>
        <item m="1" x="1347"/>
        <item m="1" x="671"/>
        <item m="1" x="1350"/>
        <item m="1" x="767"/>
        <item m="1" x="1339"/>
        <item m="1" x="1503"/>
        <item m="1" x="431"/>
        <item m="1" x="1487"/>
        <item m="1" x="378"/>
        <item m="1" x="1240"/>
        <item m="1" x="858"/>
        <item m="1" x="689"/>
        <item m="1" x="652"/>
        <item m="1" x="796"/>
        <item m="1" x="395"/>
        <item m="1" x="1480"/>
        <item m="1" x="479"/>
        <item m="1" x="500"/>
        <item m="1" x="1373"/>
        <item m="1" x="1452"/>
        <item m="1" x="966"/>
        <item m="1" x="1107"/>
        <item m="1" x="808"/>
        <item m="1" x="921"/>
        <item m="1" x="1070"/>
        <item m="1" x="1187"/>
        <item m="1" x="774"/>
        <item m="1" x="1050"/>
        <item m="1" x="869"/>
        <item m="1" x="1506"/>
        <item m="1" x="359"/>
        <item m="1" x="798"/>
        <item m="1" x="739"/>
        <item m="1" x="700"/>
        <item m="1" x="1494"/>
        <item m="1" x="1312"/>
        <item m="1" x="1443"/>
        <item m="1" x="456"/>
        <item m="1" x="1454"/>
        <item m="1" x="1441"/>
        <item m="1" x="1318"/>
        <item m="1" x="553"/>
        <item m="1" x="922"/>
        <item m="1" x="1015"/>
        <item m="1" x="761"/>
        <item m="1" x="1359"/>
        <item m="1" x="1145"/>
        <item m="1" x="1165"/>
        <item m="1" x="1059"/>
        <item m="1" x="402"/>
        <item m="1" x="1232"/>
        <item m="1" x="1394"/>
        <item m="1" x="799"/>
        <item m="1" x="1513"/>
        <item m="1" x="1007"/>
        <item m="1" x="594"/>
        <item m="1" x="727"/>
        <item m="1" x="763"/>
        <item m="1" x="1422"/>
        <item m="1" x="1406"/>
        <item m="1" x="466"/>
        <item m="1" x="468"/>
        <item m="1" x="382"/>
        <item m="1" x="1342"/>
        <item m="1" x="384"/>
        <item m="1" x="801"/>
        <item m="1" x="701"/>
        <item m="1" x="1157"/>
        <item m="1" x="1100"/>
        <item m="1" x="1449"/>
        <item m="1" x="1381"/>
        <item m="1" x="873"/>
        <item m="1" x="1087"/>
        <item m="1" x="1322"/>
        <item m="1" x="435"/>
        <item m="1" x="867"/>
        <item m="1" x="797"/>
        <item m="1" x="1491"/>
        <item m="1" x="1458"/>
        <item m="1" x="889"/>
        <item m="1" x="495"/>
        <item m="1" x="790"/>
        <item m="1" x="963"/>
        <item m="1" x="417"/>
        <item m="1" x="1253"/>
        <item m="1" x="847"/>
        <item m="1" x="657"/>
        <item m="1" x="751"/>
        <item m="1" x="1197"/>
        <item m="1" x="1496"/>
        <item m="1" x="575"/>
        <item m="1" x="1348"/>
        <item m="1" x="569"/>
        <item m="1" x="1133"/>
        <item m="1" x="905"/>
        <item m="1" x="836"/>
        <item m="1" x="558"/>
        <item m="1" x="625"/>
        <item m="1" x="413"/>
        <item m="1" x="1213"/>
        <item m="1" x="726"/>
        <item m="1" x="450"/>
        <item m="1" x="1064"/>
        <item m="1" x="1379"/>
        <item m="1" x="919"/>
        <item m="1" x="877"/>
        <item m="1" x="348"/>
        <item m="1" x="1484"/>
        <item m="1" x="734"/>
        <item m="1" x="794"/>
        <item m="1" x="1201"/>
        <item m="1" x="1478"/>
        <item m="1" x="1403"/>
        <item m="1" x="1254"/>
        <item m="1" x="1369"/>
        <item m="1" x="530"/>
        <item m="1" x="729"/>
        <item m="1" x="562"/>
        <item m="1" x="354"/>
        <item m="1" x="967"/>
        <item m="1" x="416"/>
        <item m="1" x="638"/>
        <item m="1" x="582"/>
        <item m="1" x="528"/>
        <item m="1" x="1483"/>
        <item m="1" x="579"/>
        <item m="1" x="1181"/>
        <item m="1" x="1393"/>
        <item m="1" x="519"/>
        <item m="1" x="423"/>
        <item m="1" x="1216"/>
        <item m="1" x="1192"/>
        <item m="1" x="1233"/>
        <item m="1" x="1152"/>
        <item m="1" x="496"/>
        <item m="1" x="852"/>
        <item m="1" x="1120"/>
        <item m="1" x="1370"/>
        <item m="1" x="964"/>
        <item m="1" x="1082"/>
        <item m="1" x="1426"/>
        <item m="1" x="838"/>
        <item m="1" x="682"/>
        <item m="1" x="915"/>
        <item m="1" x="862"/>
        <item m="1" x="792"/>
        <item m="1" x="1309"/>
        <item m="1" x="996"/>
        <item m="1" x="1092"/>
        <item m="1" x="343"/>
        <item m="1" x="888"/>
        <item m="1" x="490"/>
        <item m="1" x="757"/>
        <item m="1" x="895"/>
        <item m="1" x="425"/>
        <item m="1" x="542"/>
        <item m="1" x="997"/>
        <item m="1" x="1194"/>
        <item m="1" x="1464"/>
        <item m="1" x="1507"/>
        <item m="1" x="1117"/>
        <item m="1" x="465"/>
        <item m="1" x="393"/>
        <item m="1" x="979"/>
        <item m="1" x="601"/>
        <item m="1" x="875"/>
        <item m="1" x="503"/>
        <item m="1" x="606"/>
        <item m="1" x="1033"/>
        <item m="1" x="1389"/>
        <item m="1" x="1320"/>
        <item m="1" x="736"/>
        <item m="1" x="771"/>
        <item m="1" x="1047"/>
        <item m="1" x="1477"/>
        <item m="1" x="1203"/>
        <item m="1" x="369"/>
        <item m="1" x="1431"/>
        <item m="1" x="477"/>
        <item m="1" x="1123"/>
        <item m="1" x="1168"/>
        <item m="1" x="1171"/>
        <item m="1" x="1511"/>
        <item m="1" x="404"/>
        <item m="1" x="1182"/>
        <item m="1" x="1279"/>
        <item m="1" x="1051"/>
        <item m="1" x="1221"/>
        <item m="1" x="463"/>
        <item m="1" x="855"/>
        <item m="1" x="702"/>
        <item m="1" x="1314"/>
        <item m="1" x="1409"/>
        <item m="1" x="938"/>
        <item m="1" x="1377"/>
        <item m="1" x="1425"/>
        <item m="1" x="778"/>
        <item m="1" x="1281"/>
        <item m="1" x="1144"/>
        <item m="1" x="1427"/>
        <item m="1" x="1471"/>
        <item m="1" x="1209"/>
        <item m="1" x="819"/>
        <item m="1" x="624"/>
        <item m="1" x="1459"/>
        <item m="1" x="1006"/>
        <item m="1" x="980"/>
        <item m="1" x="989"/>
        <item m="1" x="1510"/>
        <item m="1" x="1234"/>
        <item m="1" x="929"/>
        <item m="1" x="1198"/>
        <item m="1" x="1175"/>
        <item m="1" x="791"/>
        <item m="1" x="692"/>
        <item m="1" x="1191"/>
        <item m="1" x="586"/>
        <item m="1" x="543"/>
        <item m="1" x="485"/>
        <item m="1" x="1472"/>
        <item m="1" x="1088"/>
        <item m="1" x="823"/>
        <item m="1" x="904"/>
        <item m="1" x="385"/>
        <item m="1" x="1461"/>
        <item m="1" x="1012"/>
        <item m="1" x="1160"/>
        <item m="1" x="608"/>
        <item m="1" x="1292"/>
        <item m="1" x="795"/>
        <item m="1" x="688"/>
        <item m="1" x="1516"/>
        <item m="1" x="818"/>
        <item m="1" x="1457"/>
        <item m="1" x="1043"/>
        <item m="1" x="719"/>
        <item m="1" x="510"/>
        <item m="1" x="453"/>
        <item m="1" x="747"/>
        <item m="1" x="444"/>
        <item m="1" x="415"/>
        <item m="1" x="432"/>
        <item m="1" x="711"/>
        <item m="1" x="556"/>
        <item m="1" x="863"/>
        <item m="1" x="920"/>
        <item m="1" x="1019"/>
        <item m="1" x="890"/>
        <item m="1" x="1223"/>
        <item m="1" x="1287"/>
        <item m="1" x="499"/>
        <item m="1" x="509"/>
        <item m="1" x="698"/>
        <item m="1" x="840"/>
        <item m="1" x="630"/>
        <item m="1" x="1183"/>
        <item m="1" x="933"/>
        <item m="1" x="850"/>
        <item m="1" x="983"/>
        <item m="1" x="1289"/>
        <item m="1" x="1227"/>
        <item m="1" x="1313"/>
        <item m="1" x="1069"/>
        <item m="1" x="489"/>
        <item m="1" x="1495"/>
        <item m="1" x="908"/>
        <item m="1" x="523"/>
        <item m="1" x="347"/>
        <item m="1" x="1492"/>
        <item m="1" x="976"/>
        <item m="1" x="943"/>
        <item m="1" x="715"/>
        <item m="1" x="595"/>
        <item m="1" x="679"/>
        <item m="1" x="833"/>
        <item m="1" x="1408"/>
        <item m="1" x="1327"/>
        <item m="1" x="703"/>
        <item m="1" x="776"/>
        <item m="1" x="783"/>
        <item m="1" x="1321"/>
        <item m="1" x="924"/>
        <item m="1" x="396"/>
        <item m="1" x="957"/>
        <item m="1" x="1236"/>
        <item m="1" x="1362"/>
        <item m="1" x="1255"/>
        <item m="1" x="1063"/>
        <item m="1" x="1361"/>
        <item m="1" x="375"/>
        <item m="1" x="1278"/>
        <item m="1" x="357"/>
        <item m="1" x="697"/>
        <item m="1" x="361"/>
        <item m="1" x="520"/>
        <item m="1" x="610"/>
        <item m="1" x="616"/>
        <item m="1" x="1034"/>
        <item m="1" x="1288"/>
        <item m="1" x="815"/>
        <item m="1" x="386"/>
        <item m="1" x="592"/>
        <item m="1" x="380"/>
        <item m="1" x="1375"/>
        <item m="1" x="600"/>
        <item m="1" x="936"/>
        <item m="1" x="1395"/>
        <item m="1" x="722"/>
        <item m="1" x="664"/>
        <item m="1" x="1060"/>
        <item m="1" x="617"/>
        <item m="1" x="925"/>
        <item m="1" x="1219"/>
        <item m="1" x="358"/>
        <item m="1" x="871"/>
        <item m="1" x="990"/>
        <item m="1" x="482"/>
        <item m="1" x="824"/>
        <item m="1" x="959"/>
        <item m="1" x="710"/>
        <item m="1" x="748"/>
        <item m="1" x="475"/>
        <item m="1" x="881"/>
        <item m="1" x="345"/>
        <item m="1" x="1017"/>
        <item m="1" x="1410"/>
        <item m="1" x="1131"/>
        <item m="1" x="1125"/>
        <item m="1" x="1024"/>
        <item m="1" x="350"/>
        <item m="1" x="1156"/>
        <item m="1" x="1199"/>
        <item m="1" x="1005"/>
        <item m="1" x="349"/>
        <item m="1" x="1356"/>
        <item m="1" x="1323"/>
        <item m="1" x="353"/>
        <item m="1" x="632"/>
        <item m="1" x="1022"/>
        <item m="1" x="1277"/>
        <item m="1" x="474"/>
        <item m="1" x="370"/>
        <item m="1" x="529"/>
        <item m="1" x="420"/>
        <item m="1" x="828"/>
        <item m="1" x="641"/>
        <item m="1" x="639"/>
        <item m="1" x="810"/>
        <item m="1" x="912"/>
        <item m="1" x="816"/>
        <item m="1" x="1013"/>
        <item m="1" x="865"/>
        <item m="1" x="730"/>
        <item m="1" x="845"/>
        <item m="1" x="1338"/>
        <item m="1" x="1433"/>
        <item m="1" x="690"/>
        <item m="1" x="1413"/>
        <item m="1" x="455"/>
        <item m="1" x="1402"/>
        <item m="1" x="1099"/>
        <item m="1" x="1270"/>
        <item m="1" x="1349"/>
        <item m="1" x="1029"/>
        <item m="1" x="1241"/>
        <item m="1" x="533"/>
        <item m="1" x="516"/>
        <item m="1" x="1138"/>
        <item m="1" x="1110"/>
        <item m="1" x="672"/>
        <item m="1" x="1508"/>
        <item m="1" x="1080"/>
        <item m="1" x="820"/>
        <item m="1" x="894"/>
        <item m="1" x="853"/>
        <item m="1" x="1363"/>
        <item m="1" x="1367"/>
        <item m="1" x="363"/>
        <item m="1" x="1247"/>
        <item m="1" x="1293"/>
        <item m="1" x="412"/>
        <item m="1" x="784"/>
        <item m="1" x="775"/>
        <item m="1" x="1282"/>
        <item m="1" x="981"/>
        <item m="1" x="1185"/>
        <item m="1" x="851"/>
        <item m="1" x="1202"/>
        <item m="1" x="390"/>
        <item m="1" x="513"/>
        <item m="1" x="1482"/>
        <item m="1" x="1102"/>
        <item m="1" x="1474"/>
        <item m="1" x="394"/>
        <item m="1" x="654"/>
        <item m="1" x="470"/>
        <item m="1" x="403"/>
        <item m="1" x="418"/>
        <item m="1" x="970"/>
        <item m="1" x="1003"/>
        <item m="1" x="675"/>
        <item m="1" x="1093"/>
        <item m="1" x="1411"/>
        <item m="1" x="762"/>
        <item m="1" x="841"/>
        <item m="1" x="991"/>
        <item m="1" x="1479"/>
        <item m="1" x="656"/>
        <item m="1" x="668"/>
        <item m="1" x="678"/>
        <item m="1" x="1299"/>
        <item m="1" x="1435"/>
        <item m="1" x="352"/>
        <item m="1" x="1179"/>
        <item m="1" x="1475"/>
        <item m="1" x="576"/>
        <item m="1" x="891"/>
        <item m="1" x="1512"/>
        <item m="1" x="1418"/>
        <item m="1" x="565"/>
        <item m="1" x="677"/>
        <item m="1" x="764"/>
        <item m="1" x="1089"/>
        <item m="1" x="1286"/>
        <item m="1" x="521"/>
        <item m="1" x="992"/>
        <item m="1" x="517"/>
        <item m="1" x="486"/>
        <item m="1" x="434"/>
        <item m="1" x="1405"/>
        <item m="1" x="998"/>
        <item m="1" x="1446"/>
        <item m="1" x="839"/>
        <item m="1" x="1463"/>
        <item m="1" x="1215"/>
        <item m="1" x="504"/>
        <item m="1" x="1319"/>
        <item m="1" x="1333"/>
        <item m="1" x="993"/>
        <item m="1" x="1368"/>
        <item m="1" x="1206"/>
        <item m="1" x="1071"/>
        <item m="1" x="388"/>
        <item m="1" x="1217"/>
        <item m="1" x="949"/>
        <item m="1" x="882"/>
        <item m="1" x="1225"/>
        <item m="1" x="809"/>
        <item m="1" x="443"/>
        <item m="1" x="615"/>
        <item m="1" x="392"/>
        <item m="1" x="741"/>
        <item m="1" x="1119"/>
        <item m="1" x="704"/>
        <item m="1" x="567"/>
        <item m="1" x="782"/>
        <item m="1" x="460"/>
        <item m="1" x="712"/>
        <item m="1" x="583"/>
        <item m="1" x="934"/>
        <item m="1" x="1521"/>
        <item m="1" x="975"/>
        <item m="1" x="571"/>
        <item m="1" x="848"/>
        <item m="1" x="554"/>
        <item m="1" x="607"/>
        <item m="1" x="899"/>
        <item m="1" x="1167"/>
        <item m="1" x="884"/>
        <item m="1" x="1334"/>
        <item m="1" x="896"/>
        <item m="1" x="1130"/>
        <item m="1" x="445"/>
        <item m="1" x="928"/>
        <item m="1" x="568"/>
        <item m="1" x="498"/>
        <item m="1" x="1224"/>
        <item m="1" x="539"/>
        <item m="1" x="1248"/>
        <item m="1" x="440"/>
        <item m="1" x="1065"/>
        <item m="1" x="1072"/>
        <item m="1" x="476"/>
        <item m="1" x="994"/>
        <item m="1" x="372"/>
        <item m="1" x="1195"/>
        <item m="1" x="900"/>
        <item m="1" x="1121"/>
        <item m="1" x="1090"/>
        <item m="1" x="1310"/>
        <item m="1" x="1083"/>
        <item m="1" x="661"/>
        <item m="1" x="1162"/>
        <item m="1" x="1296"/>
        <item m="1" x="986"/>
        <item m="1" x="1118"/>
        <item m="1" x="451"/>
        <item m="1" x="1284"/>
        <item m="1" x="941"/>
        <item m="1" x="806"/>
        <item m="1" x="1190"/>
        <item m="1" x="716"/>
        <item m="1" x="1039"/>
        <item m="1" x="573"/>
        <item m="1" x="669"/>
        <item m="1" x="1066"/>
        <item m="1" x="835"/>
        <item m="1" x="379"/>
        <item m="1" x="713"/>
        <item m="1" x="1193"/>
        <item m="1" x="1295"/>
        <item m="1" x="398"/>
        <item m="1" x="683"/>
        <item m="1" x="618"/>
        <item m="1" x="951"/>
        <item m="1" x="1044"/>
        <item m="1" x="484"/>
        <item m="1" x="1466"/>
        <item m="1" x="449"/>
        <item m="1" x="522"/>
        <item m="1" x="1303"/>
        <item m="1" x="811"/>
        <item m="1" x="825"/>
        <item m="1" x="879"/>
        <item m="1" x="454"/>
        <item m="1" x="733"/>
        <item m="1" x="1128"/>
        <item m="1" x="1040"/>
        <item m="1" x="830"/>
        <item m="1" x="777"/>
        <item m="1" x="407"/>
        <item m="1" x="645"/>
        <item m="1" x="1109"/>
        <item m="1" x="743"/>
        <item m="1" x="906"/>
        <item m="1" x="843"/>
        <item m="1" x="1025"/>
        <item m="1" x="389"/>
        <item m="1" x="870"/>
        <item m="1" x="544"/>
        <item m="1" x="947"/>
        <item m="1" x="1073"/>
        <item m="1" x="1149"/>
        <item m="1" x="1084"/>
        <item m="1" x="1045"/>
        <item m="1" x="971"/>
        <item m="1" x="1382"/>
        <item m="1" x="1274"/>
        <item m="1" x="525"/>
        <item m="1" x="1266"/>
        <item m="1" x="720"/>
        <item m="1" x="1030"/>
        <item m="1" x="436"/>
        <item m="1" x="1009"/>
        <item m="1" x="876"/>
        <item m="1" x="1308"/>
        <item m="1" x="462"/>
        <item m="1" x="1519"/>
        <item m="1" x="501"/>
        <item m="1" x="441"/>
        <item m="1" x="1011"/>
        <item m="1" x="1211"/>
        <item m="1" x="1114"/>
        <item m="1" x="400"/>
        <item m="1" x="552"/>
        <item m="1" x="1340"/>
        <item m="1" x="1280"/>
        <item m="1" x="535"/>
        <item m="1" x="508"/>
        <item m="1" x="803"/>
        <item m="1" x="424"/>
        <item m="1" x="1031"/>
        <item m="1" x="464"/>
        <item m="1" x="634"/>
        <item m="1" x="931"/>
        <item m="1" x="1462"/>
        <item m="1" x="502"/>
        <item m="1" x="772"/>
        <item m="1" x="619"/>
        <item m="1" x="781"/>
        <item m="1" x="1335"/>
        <item m="1" x="1218"/>
        <item m="1" x="680"/>
        <item m="1" x="433"/>
        <item m="1" x="1383"/>
        <item m="1" x="546"/>
        <item m="1" x="1328"/>
        <item m="1" x="885"/>
        <item m="1" x="1269"/>
        <item m="1" x="628"/>
        <item m="1" x="800"/>
        <item m="1" x="1285"/>
        <item m="1" x="1473"/>
        <item m="1" x="1249"/>
        <item m="1" x="648"/>
        <item m="1" x="591"/>
        <item m="1" x="1294"/>
        <item m="1" x="1058"/>
        <item m="1" x="902"/>
        <item m="1" x="1326"/>
        <item m="1" x="374"/>
        <item m="1" x="371"/>
        <item m="1" x="1046"/>
        <item m="1" x="1186"/>
        <item m="1" x="1141"/>
        <item m="1" x="1324"/>
        <item m="1" x="849"/>
        <item m="1" x="596"/>
        <item m="1" x="670"/>
        <item m="1" x="1200"/>
        <item m="1" x="752"/>
        <item m="1" x="982"/>
        <item m="1" x="1397"/>
        <item m="1" x="635"/>
        <item m="1" x="972"/>
        <item m="1" x="356"/>
        <item m="1" x="68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m="1" x="673"/>
        <item m="1" x="1434"/>
        <item m="1" x="376"/>
        <item m="1" x="34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6">
    <i>
      <x/>
    </i>
    <i r="1">
      <x v="1512"/>
    </i>
    <i r="2">
      <x v="8"/>
    </i>
    <i r="1">
      <x v="1516"/>
    </i>
    <i r="2">
      <x v="8"/>
    </i>
    <i r="1">
      <x v="1517"/>
    </i>
    <i r="2">
      <x v="8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4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60" totalsRowShown="0" totalsRowDxfId="24">
  <autoFilter ref="A1:C1260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3818" totalsRowShown="0">
  <autoFilter ref="A1:S3818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Non-LFF"/>
      </filters>
    </filterColumn>
  </autoFilter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4" totalsRowShown="0">
  <autoFilter ref="A1:B13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2" sqref="A22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35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9">
        <v>1292</v>
      </c>
    </row>
    <row r="5" spans="1:2">
      <c r="A5" s="111" t="s">
        <v>369</v>
      </c>
      <c r="B5" s="129">
        <v>1252</v>
      </c>
    </row>
    <row r="6" spans="1:2">
      <c r="A6" s="111" t="s">
        <v>404</v>
      </c>
      <c r="B6" s="129">
        <v>1</v>
      </c>
    </row>
    <row r="7" spans="1:2">
      <c r="A7" s="111" t="s">
        <v>370</v>
      </c>
      <c r="B7" s="129"/>
    </row>
    <row r="8" spans="1:2">
      <c r="A8" s="111" t="s">
        <v>403</v>
      </c>
      <c r="B8" s="129"/>
    </row>
    <row r="9" spans="1:2">
      <c r="A9" s="111" t="s">
        <v>398</v>
      </c>
      <c r="B9" s="129"/>
    </row>
    <row r="10" spans="1:2">
      <c r="A10" s="111" t="s">
        <v>377</v>
      </c>
      <c r="B10" s="129">
        <v>37</v>
      </c>
    </row>
    <row r="11" spans="1:2">
      <c r="A11" s="111" t="s">
        <v>375</v>
      </c>
      <c r="B11" s="129"/>
    </row>
    <row r="12" spans="1:2">
      <c r="A12" s="111" t="s">
        <v>405</v>
      </c>
      <c r="B12" s="129"/>
    </row>
    <row r="13" spans="1:2">
      <c r="A13" s="111" t="s">
        <v>692</v>
      </c>
      <c r="B13" s="129">
        <v>2</v>
      </c>
    </row>
    <row r="14" spans="1:2">
      <c r="A14" s="17" t="s">
        <v>568</v>
      </c>
      <c r="B14" s="129">
        <v>879</v>
      </c>
    </row>
    <row r="15" spans="1:2">
      <c r="A15" s="111" t="s">
        <v>369</v>
      </c>
      <c r="B15" s="129">
        <v>855</v>
      </c>
    </row>
    <row r="16" spans="1:2">
      <c r="A16" s="111" t="s">
        <v>370</v>
      </c>
      <c r="B16" s="129">
        <v>2</v>
      </c>
    </row>
    <row r="17" spans="1:2">
      <c r="A17" s="111" t="s">
        <v>398</v>
      </c>
      <c r="B17" s="129">
        <v>13</v>
      </c>
    </row>
    <row r="18" spans="1:2">
      <c r="A18" s="111" t="s">
        <v>377</v>
      </c>
      <c r="B18" s="129">
        <v>9</v>
      </c>
    </row>
    <row r="19" spans="1:2">
      <c r="A19" s="17" t="s">
        <v>569</v>
      </c>
      <c r="B19" s="129">
        <v>1304</v>
      </c>
    </row>
    <row r="20" spans="1:2">
      <c r="A20" s="111" t="s">
        <v>369</v>
      </c>
      <c r="B20" s="129">
        <v>1289</v>
      </c>
    </row>
    <row r="21" spans="1:2">
      <c r="A21" s="111" t="s">
        <v>398</v>
      </c>
      <c r="B21" s="129">
        <v>8</v>
      </c>
    </row>
    <row r="22" spans="1:2">
      <c r="A22" s="111" t="s">
        <v>377</v>
      </c>
      <c r="B22" s="129">
        <v>7</v>
      </c>
    </row>
    <row r="23" spans="1:2">
      <c r="A23" s="17" t="s">
        <v>570</v>
      </c>
      <c r="B23" s="129">
        <v>146</v>
      </c>
    </row>
    <row r="24" spans="1:2">
      <c r="A24" s="111" t="s">
        <v>369</v>
      </c>
      <c r="B24" s="129">
        <v>143</v>
      </c>
    </row>
    <row r="25" spans="1:2">
      <c r="A25" s="111" t="s">
        <v>370</v>
      </c>
      <c r="B25" s="129">
        <v>1</v>
      </c>
    </row>
    <row r="26" spans="1:2">
      <c r="A26" s="111" t="s">
        <v>377</v>
      </c>
      <c r="B26" s="129">
        <v>2</v>
      </c>
    </row>
    <row r="27" spans="1:2">
      <c r="A27" s="17" t="s">
        <v>381</v>
      </c>
      <c r="B27" s="129">
        <v>3621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B34" sqref="B34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3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9">
        <v>3</v>
      </c>
      <c r="C5"/>
      <c r="D5"/>
      <c r="E5"/>
    </row>
    <row r="6" spans="1:6">
      <c r="A6" s="111" t="s">
        <v>5711</v>
      </c>
      <c r="B6" s="129">
        <v>1</v>
      </c>
      <c r="C6" s="126"/>
      <c r="D6" s="124"/>
      <c r="E6" s="124"/>
    </row>
    <row r="7" spans="1:6">
      <c r="A7" s="112" t="s">
        <v>370</v>
      </c>
      <c r="B7" s="129">
        <v>1</v>
      </c>
      <c r="C7"/>
      <c r="D7"/>
      <c r="E7"/>
    </row>
    <row r="8" spans="1:6">
      <c r="A8" s="111" t="s">
        <v>5737</v>
      </c>
      <c r="B8" s="129">
        <v>1</v>
      </c>
      <c r="C8" s="56"/>
      <c r="D8" s="124"/>
      <c r="E8" s="124"/>
    </row>
    <row r="9" spans="1:6">
      <c r="A9" s="112" t="s">
        <v>370</v>
      </c>
      <c r="B9" s="129">
        <v>1</v>
      </c>
      <c r="C9"/>
      <c r="D9"/>
    </row>
    <row r="10" spans="1:6">
      <c r="A10" s="111" t="s">
        <v>5741</v>
      </c>
      <c r="B10" s="129">
        <v>1</v>
      </c>
      <c r="C10" s="53"/>
      <c r="D10" s="124"/>
      <c r="E10" s="124"/>
    </row>
    <row r="11" spans="1:6">
      <c r="A11" s="112" t="s">
        <v>370</v>
      </c>
      <c r="B11" s="129">
        <v>1</v>
      </c>
      <c r="C11"/>
      <c r="D11"/>
    </row>
    <row r="12" spans="1:6">
      <c r="A12" s="17" t="s">
        <v>4328</v>
      </c>
      <c r="B12" s="129">
        <v>189</v>
      </c>
      <c r="C12" s="126"/>
      <c r="D12"/>
    </row>
    <row r="13" spans="1:6">
      <c r="A13" s="111" t="s">
        <v>4414</v>
      </c>
      <c r="B13" s="129">
        <v>11</v>
      </c>
      <c r="C13"/>
      <c r="D13"/>
    </row>
    <row r="14" spans="1:6">
      <c r="A14" s="112" t="s">
        <v>369</v>
      </c>
      <c r="B14" s="129">
        <v>10</v>
      </c>
      <c r="C14" s="126"/>
      <c r="D14"/>
    </row>
    <row r="15" spans="1:6">
      <c r="A15" s="112" t="s">
        <v>692</v>
      </c>
      <c r="B15" s="129">
        <v>1</v>
      </c>
      <c r="C15"/>
      <c r="D15" s="124"/>
      <c r="E15" s="124"/>
    </row>
    <row r="16" spans="1:6">
      <c r="A16" s="111" t="s">
        <v>5480</v>
      </c>
      <c r="B16" s="129">
        <v>178</v>
      </c>
      <c r="C16"/>
      <c r="D16"/>
    </row>
    <row r="17" spans="1:5">
      <c r="A17" s="112" t="s">
        <v>369</v>
      </c>
      <c r="B17" s="129">
        <v>176</v>
      </c>
      <c r="C17"/>
      <c r="D17" s="124"/>
      <c r="E17" s="124"/>
    </row>
    <row r="18" spans="1:5">
      <c r="A18" s="112" t="s">
        <v>404</v>
      </c>
      <c r="B18" s="129">
        <v>1</v>
      </c>
      <c r="C18" s="126"/>
      <c r="D18"/>
    </row>
    <row r="19" spans="1:5">
      <c r="A19" s="112" t="s">
        <v>692</v>
      </c>
      <c r="B19" s="129">
        <v>1</v>
      </c>
      <c r="C19" s="47"/>
      <c r="D19"/>
    </row>
    <row r="20" spans="1:5">
      <c r="A20" s="17" t="s">
        <v>381</v>
      </c>
      <c r="B20" s="129">
        <v>192</v>
      </c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60"/>
  <sheetViews>
    <sheetView topLeftCell="A1235" workbookViewId="0">
      <selection activeCell="C1260" sqref="C1251:C1260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5574</v>
      </c>
      <c r="B1250">
        <v>1</v>
      </c>
      <c r="C1250" s="128" t="s">
        <v>4</v>
      </c>
    </row>
    <row r="1251" spans="1:3">
      <c r="A1251" t="s">
        <v>5577</v>
      </c>
      <c r="B1251">
        <v>2</v>
      </c>
      <c r="C1251" s="135" t="s">
        <v>4</v>
      </c>
    </row>
    <row r="1252" spans="1:3">
      <c r="A1252" t="s">
        <v>5672</v>
      </c>
      <c r="B1252">
        <v>93</v>
      </c>
      <c r="C1252" s="135" t="s">
        <v>4</v>
      </c>
    </row>
    <row r="1253" spans="1:3">
      <c r="A1253" t="s">
        <v>5673</v>
      </c>
      <c r="B1253">
        <v>1</v>
      </c>
      <c r="C1253" s="135" t="s">
        <v>4</v>
      </c>
    </row>
    <row r="1254" spans="1:3">
      <c r="A1254" t="s">
        <v>5675</v>
      </c>
      <c r="B1254">
        <v>6</v>
      </c>
      <c r="C1254" s="135" t="s">
        <v>4</v>
      </c>
    </row>
    <row r="1255" spans="1:3">
      <c r="A1255" t="s">
        <v>5686</v>
      </c>
      <c r="B1255">
        <v>12</v>
      </c>
      <c r="C1255" s="135" t="s">
        <v>4</v>
      </c>
    </row>
    <row r="1256" spans="1:3">
      <c r="A1256" t="s">
        <v>5699</v>
      </c>
      <c r="B1256">
        <v>1</v>
      </c>
      <c r="C1256" s="135" t="s">
        <v>4</v>
      </c>
    </row>
    <row r="1257" spans="1:3">
      <c r="A1257" t="s">
        <v>5703</v>
      </c>
      <c r="B1257">
        <v>5</v>
      </c>
      <c r="C1257" s="135" t="s">
        <v>4</v>
      </c>
    </row>
    <row r="1258" spans="1:3">
      <c r="A1258" t="s">
        <v>5713</v>
      </c>
      <c r="B1258">
        <v>12</v>
      </c>
      <c r="C1258" s="135" t="s">
        <v>4</v>
      </c>
    </row>
    <row r="1259" spans="1:3">
      <c r="A1259" t="s">
        <v>5724</v>
      </c>
      <c r="B1259">
        <v>8</v>
      </c>
      <c r="C1259" s="135" t="s">
        <v>4</v>
      </c>
    </row>
    <row r="1260" spans="1:3">
      <c r="A1260" t="s">
        <v>5734</v>
      </c>
      <c r="B1260">
        <v>2</v>
      </c>
      <c r="C1260" s="135" t="s">
        <v>4</v>
      </c>
    </row>
  </sheetData>
  <conditionalFormatting sqref="A2:A545 A548:A568 A570:A1036 A1038:A1232 A12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3818"/>
  <sheetViews>
    <sheetView tabSelected="1" topLeftCell="A3805" zoomScale="85" zoomScaleNormal="85" workbookViewId="0">
      <selection activeCell="E3824" sqref="E3824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177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152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152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152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152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152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152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152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152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152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152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152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148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145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145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145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145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145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145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145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145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145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145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145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145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145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145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145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145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145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145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145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145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145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145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145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145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145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145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145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145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145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145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145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145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145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145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145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145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145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145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145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145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145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144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144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144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144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144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144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144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144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144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144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144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144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144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144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144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144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144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144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144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144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144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144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144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144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144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144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144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144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144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144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144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144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144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144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144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144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144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144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144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144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144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144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144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144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144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144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144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144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144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144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144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144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144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144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144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144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144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144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144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143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143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143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143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143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142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142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140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140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139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136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136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136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136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136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136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136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136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136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136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136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136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136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136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136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136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136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136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136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136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136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135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135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135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135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135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130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130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130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125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125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125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125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125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125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125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125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125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125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125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125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125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125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125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125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125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125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121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121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121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116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115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115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115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115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115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115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115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115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115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115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115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115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101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101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100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100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100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90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75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75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75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75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75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75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75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75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75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75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75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75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75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75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75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75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75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75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75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75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72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72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72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72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71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71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71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71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71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71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71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71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71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71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71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71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71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71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71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71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71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71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71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71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71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71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71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71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71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71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71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71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71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71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70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70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70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70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70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70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70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70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70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70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70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70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70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70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70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70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70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70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66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66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66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66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66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66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66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66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66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66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66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66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66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66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66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66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66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66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66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66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66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66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66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66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66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66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66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66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66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66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66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66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66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66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66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66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66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66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66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66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66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66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66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66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66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66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66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66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66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66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66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66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66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66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66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66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66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66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66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66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66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66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66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66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66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66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66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66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66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66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66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66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66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66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66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66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66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66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66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66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66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66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66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66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66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66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66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66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66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66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66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66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60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60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55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55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50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50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50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50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50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50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50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50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50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50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50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50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50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50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50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50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50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50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50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50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50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50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50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50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50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50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50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50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50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50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50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50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50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50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50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50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50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50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50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50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50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50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50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50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50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50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50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50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50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50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50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50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50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50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50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50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50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50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50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50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50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50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50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50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50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50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50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50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50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50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50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50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50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50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50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50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50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50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50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50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50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50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50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50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50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50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50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50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50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50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50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50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50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50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50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50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50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50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50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50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50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50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50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50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50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47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47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47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47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48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45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45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40</v>
      </c>
      <c r="R2488" s="110" t="s">
        <v>1459</v>
      </c>
      <c r="S2488" s="94"/>
    </row>
    <row r="2489" spans="1:19" hidden="1">
      <c r="A2489" s="103" t="s">
        <v>4414</v>
      </c>
      <c r="B2489" s="94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40</v>
      </c>
      <c r="R2489" s="110" t="s">
        <v>1459</v>
      </c>
      <c r="S2489" s="94"/>
    </row>
    <row r="2490" spans="1:19" hidden="1">
      <c r="A2490" s="103" t="s">
        <v>4414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40</v>
      </c>
      <c r="R2490" s="110" t="s">
        <v>1459</v>
      </c>
      <c r="S2490" s="94"/>
    </row>
    <row r="2491" spans="1:19" hidden="1">
      <c r="A2491" s="103" t="s">
        <v>4414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40</v>
      </c>
      <c r="R2491" s="110" t="s">
        <v>1459</v>
      </c>
      <c r="S2491" s="94"/>
    </row>
    <row r="2492" spans="1:19" hidden="1">
      <c r="A2492" s="103" t="s">
        <v>4414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40</v>
      </c>
      <c r="R2492" s="110" t="s">
        <v>1459</v>
      </c>
      <c r="S2492" s="94"/>
    </row>
    <row r="2493" spans="1:19" hidden="1">
      <c r="A2493" s="103" t="s">
        <v>4414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40</v>
      </c>
      <c r="R2493" s="110" t="s">
        <v>1459</v>
      </c>
      <c r="S2493" s="94"/>
    </row>
    <row r="2494" spans="1:19" hidden="1">
      <c r="A2494" s="103" t="s">
        <v>4414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40</v>
      </c>
      <c r="R2494" s="110" t="s">
        <v>1459</v>
      </c>
      <c r="S2494" s="94"/>
    </row>
    <row r="2495" spans="1:19" hidden="1">
      <c r="A2495" s="103" t="s">
        <v>4414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40</v>
      </c>
      <c r="R2495" s="110" t="s">
        <v>1459</v>
      </c>
      <c r="S2495" s="94"/>
    </row>
    <row r="2496" spans="1:19" hidden="1">
      <c r="A2496" s="103" t="s">
        <v>4414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40</v>
      </c>
      <c r="R2496" s="110" t="s">
        <v>1459</v>
      </c>
      <c r="S2496" s="94"/>
    </row>
    <row r="2497" spans="1:19" hidden="1">
      <c r="A2497" s="103" t="s">
        <v>4414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40</v>
      </c>
      <c r="R2497" s="110" t="s">
        <v>1459</v>
      </c>
      <c r="S2497" s="94"/>
    </row>
    <row r="2498" spans="1:19" hidden="1">
      <c r="A2498" s="103" t="s">
        <v>4414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40</v>
      </c>
      <c r="R2498" s="110" t="s">
        <v>1459</v>
      </c>
      <c r="S2498" s="94"/>
    </row>
    <row r="2499" spans="1:19" hidden="1">
      <c r="A2499" t="s">
        <v>4417</v>
      </c>
      <c r="B2499" s="94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94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38</v>
      </c>
      <c r="R2500" s="110" t="s">
        <v>489</v>
      </c>
      <c r="S2500" s="94"/>
    </row>
    <row r="2501" spans="1:19" hidden="1">
      <c r="A2501" t="s">
        <v>4422</v>
      </c>
      <c r="B2501" s="94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38</v>
      </c>
      <c r="R2501" s="110" t="s">
        <v>489</v>
      </c>
      <c r="S2501" s="94"/>
    </row>
    <row r="2502" spans="1:19" hidden="1">
      <c r="A2502" t="s">
        <v>4424</v>
      </c>
      <c r="B2502" s="94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38</v>
      </c>
      <c r="R2502" s="110" t="s">
        <v>485</v>
      </c>
      <c r="S2502" s="94"/>
    </row>
    <row r="2503" spans="1:19" hidden="1">
      <c r="A2503" s="103" t="s">
        <v>4424</v>
      </c>
      <c r="B2503" s="94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38</v>
      </c>
      <c r="R2503" s="110" t="s">
        <v>485</v>
      </c>
      <c r="S2503" s="94"/>
    </row>
    <row r="2504" spans="1:19" hidden="1">
      <c r="A2504" s="103" t="s">
        <v>4424</v>
      </c>
      <c r="B2504" s="94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38</v>
      </c>
      <c r="R2504" s="110" t="s">
        <v>485</v>
      </c>
      <c r="S2504" s="94"/>
    </row>
    <row r="2505" spans="1:19" hidden="1">
      <c r="A2505" s="103" t="s">
        <v>4424</v>
      </c>
      <c r="B2505" s="94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38</v>
      </c>
      <c r="R2505" s="110" t="s">
        <v>485</v>
      </c>
      <c r="S2505" s="94"/>
    </row>
    <row r="2506" spans="1:19" hidden="1">
      <c r="A2506" s="103" t="s">
        <v>4424</v>
      </c>
      <c r="B2506" s="94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38</v>
      </c>
      <c r="R2506" s="110" t="s">
        <v>485</v>
      </c>
      <c r="S2506" s="94"/>
    </row>
    <row r="2507" spans="1:19" hidden="1">
      <c r="A2507" s="103" t="s">
        <v>4424</v>
      </c>
      <c r="B2507" s="94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38</v>
      </c>
      <c r="R2507" s="110" t="s">
        <v>485</v>
      </c>
      <c r="S2507" s="94"/>
    </row>
    <row r="2508" spans="1:19" hidden="1">
      <c r="A2508" s="103" t="s">
        <v>4424</v>
      </c>
      <c r="B2508" s="94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38</v>
      </c>
      <c r="R2508" s="110" t="s">
        <v>485</v>
      </c>
      <c r="S2508" s="94"/>
    </row>
    <row r="2509" spans="1:19" hidden="1">
      <c r="A2509" s="103" t="s">
        <v>4424</v>
      </c>
      <c r="B2509" s="94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38</v>
      </c>
      <c r="R2509" s="110" t="s">
        <v>485</v>
      </c>
      <c r="S2509" s="94"/>
    </row>
    <row r="2510" spans="1:19" hidden="1">
      <c r="A2510" s="103" t="s">
        <v>4424</v>
      </c>
      <c r="B2510" s="94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38</v>
      </c>
      <c r="R2510" s="110" t="s">
        <v>485</v>
      </c>
      <c r="S2510" s="94"/>
    </row>
    <row r="2511" spans="1:19" hidden="1">
      <c r="A2511" s="103" t="s">
        <v>4424</v>
      </c>
      <c r="B2511" s="94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38</v>
      </c>
      <c r="R2511" s="110" t="s">
        <v>485</v>
      </c>
      <c r="S2511" s="94"/>
    </row>
    <row r="2512" spans="1:19" hidden="1">
      <c r="A2512" s="103" t="s">
        <v>4424</v>
      </c>
      <c r="B2512" s="94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38</v>
      </c>
      <c r="R2512" s="110" t="s">
        <v>485</v>
      </c>
      <c r="S2512" s="94"/>
    </row>
    <row r="2513" spans="1:19" hidden="1">
      <c r="A2513" s="103" t="s">
        <v>4424</v>
      </c>
      <c r="B2513" s="94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38</v>
      </c>
      <c r="R2513" s="110" t="s">
        <v>485</v>
      </c>
      <c r="S2513" s="94"/>
    </row>
    <row r="2514" spans="1:19" hidden="1">
      <c r="A2514" s="103" t="s">
        <v>4424</v>
      </c>
      <c r="B2514" s="94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38</v>
      </c>
      <c r="R2514" s="110" t="s">
        <v>485</v>
      </c>
      <c r="S2514" s="94"/>
    </row>
    <row r="2515" spans="1:19" hidden="1">
      <c r="A2515" s="103" t="s">
        <v>4424</v>
      </c>
      <c r="B2515" s="94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38</v>
      </c>
      <c r="R2515" s="110" t="s">
        <v>485</v>
      </c>
      <c r="S2515" s="94"/>
    </row>
    <row r="2516" spans="1:19" hidden="1">
      <c r="A2516" s="103" t="s">
        <v>4424</v>
      </c>
      <c r="B2516" s="94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38</v>
      </c>
      <c r="R2516" s="110" t="s">
        <v>485</v>
      </c>
      <c r="S2516" s="94"/>
    </row>
    <row r="2517" spans="1:19" hidden="1">
      <c r="A2517" s="103" t="s">
        <v>4424</v>
      </c>
      <c r="B2517" s="94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38</v>
      </c>
      <c r="R2517" s="110" t="s">
        <v>485</v>
      </c>
      <c r="S2517" s="94"/>
    </row>
    <row r="2518" spans="1:19" hidden="1">
      <c r="A2518" s="103" t="s">
        <v>4424</v>
      </c>
      <c r="B2518" s="94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38</v>
      </c>
      <c r="R2518" s="110" t="s">
        <v>485</v>
      </c>
      <c r="S2518" s="94"/>
    </row>
    <row r="2519" spans="1:19" hidden="1">
      <c r="A2519" s="103" t="s">
        <v>4424</v>
      </c>
      <c r="B2519" s="94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38</v>
      </c>
      <c r="R2519" s="110" t="s">
        <v>485</v>
      </c>
      <c r="S2519" s="94"/>
    </row>
    <row r="2520" spans="1:19" hidden="1">
      <c r="A2520" s="103" t="s">
        <v>4424</v>
      </c>
      <c r="B2520" s="94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38</v>
      </c>
      <c r="R2520" s="110" t="s">
        <v>485</v>
      </c>
      <c r="S2520" s="94"/>
    </row>
    <row r="2521" spans="1:19" hidden="1">
      <c r="A2521" s="103" t="s">
        <v>4424</v>
      </c>
      <c r="B2521" s="94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38</v>
      </c>
      <c r="R2521" s="110" t="s">
        <v>485</v>
      </c>
      <c r="S2521" s="94"/>
    </row>
    <row r="2522" spans="1:19" hidden="1">
      <c r="A2522" s="103" t="s">
        <v>4424</v>
      </c>
      <c r="B2522" s="94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38</v>
      </c>
      <c r="R2522" s="110" t="s">
        <v>485</v>
      </c>
      <c r="S2522" s="94"/>
    </row>
    <row r="2523" spans="1:19" hidden="1">
      <c r="A2523" s="103" t="s">
        <v>4424</v>
      </c>
      <c r="B2523" s="94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38</v>
      </c>
      <c r="R2523" s="110" t="s">
        <v>485</v>
      </c>
      <c r="S2523" s="94"/>
    </row>
    <row r="2524" spans="1:19" hidden="1">
      <c r="A2524" s="103" t="s">
        <v>4424</v>
      </c>
      <c r="B2524" s="94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38</v>
      </c>
      <c r="R2524" s="110" t="s">
        <v>485</v>
      </c>
      <c r="S2524" s="94"/>
    </row>
    <row r="2525" spans="1:19" hidden="1">
      <c r="A2525" s="103" t="s">
        <v>4424</v>
      </c>
      <c r="B2525" s="94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38</v>
      </c>
      <c r="R2525" s="110" t="s">
        <v>485</v>
      </c>
      <c r="S2525" s="94"/>
    </row>
    <row r="2526" spans="1:19" hidden="1">
      <c r="A2526" s="103" t="s">
        <v>4424</v>
      </c>
      <c r="B2526" s="94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38</v>
      </c>
      <c r="R2526" s="110" t="s">
        <v>485</v>
      </c>
      <c r="S2526" s="94"/>
    </row>
    <row r="2527" spans="1:19" hidden="1">
      <c r="A2527" s="103" t="s">
        <v>4424</v>
      </c>
      <c r="B2527" s="94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38</v>
      </c>
      <c r="R2527" s="110" t="s">
        <v>485</v>
      </c>
      <c r="S2527" s="94"/>
    </row>
    <row r="2528" spans="1:19" hidden="1">
      <c r="A2528" s="103" t="s">
        <v>4424</v>
      </c>
      <c r="B2528" s="94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38</v>
      </c>
      <c r="R2528" s="110" t="s">
        <v>485</v>
      </c>
      <c r="S2528" s="94"/>
    </row>
    <row r="2529" spans="1:19" hidden="1">
      <c r="A2529" s="103" t="s">
        <v>4424</v>
      </c>
      <c r="B2529" s="94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38</v>
      </c>
      <c r="R2529" s="110" t="s">
        <v>485</v>
      </c>
      <c r="S2529" s="94"/>
    </row>
    <row r="2530" spans="1:19" hidden="1">
      <c r="A2530" s="103" t="s">
        <v>4424</v>
      </c>
      <c r="B2530" s="94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38</v>
      </c>
      <c r="R2530" s="110" t="s">
        <v>485</v>
      </c>
      <c r="S2530" s="94"/>
    </row>
    <row r="2531" spans="1:19" hidden="1">
      <c r="A2531" s="103" t="s">
        <v>4424</v>
      </c>
      <c r="B2531" s="94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38</v>
      </c>
      <c r="R2531" s="110" t="s">
        <v>485</v>
      </c>
      <c r="S2531" s="94"/>
    </row>
    <row r="2532" spans="1:19" hidden="1">
      <c r="A2532" s="103" t="s">
        <v>4424</v>
      </c>
      <c r="B2532" s="94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38</v>
      </c>
      <c r="R2532" s="110" t="s">
        <v>485</v>
      </c>
      <c r="S2532" s="94"/>
    </row>
    <row r="2533" spans="1:19" hidden="1">
      <c r="A2533" s="103" t="s">
        <v>4424</v>
      </c>
      <c r="B2533" s="94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38</v>
      </c>
      <c r="R2533" s="110" t="s">
        <v>485</v>
      </c>
      <c r="S2533" s="94"/>
    </row>
    <row r="2534" spans="1:19" hidden="1">
      <c r="A2534" s="103" t="s">
        <v>4424</v>
      </c>
      <c r="B2534" s="94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38</v>
      </c>
      <c r="R2534" s="110" t="s">
        <v>485</v>
      </c>
      <c r="S2534" s="94"/>
    </row>
    <row r="2535" spans="1:19" hidden="1">
      <c r="A2535" s="103" t="s">
        <v>4424</v>
      </c>
      <c r="B2535" s="94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38</v>
      </c>
      <c r="R2535" s="110" t="s">
        <v>485</v>
      </c>
      <c r="S2535" s="94"/>
    </row>
    <row r="2536" spans="1:19" hidden="1">
      <c r="A2536" s="103" t="s">
        <v>4424</v>
      </c>
      <c r="B2536" s="94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38</v>
      </c>
      <c r="R2536" s="110" t="s">
        <v>485</v>
      </c>
      <c r="S2536" s="94"/>
    </row>
    <row r="2537" spans="1:19" hidden="1">
      <c r="A2537" s="103" t="s">
        <v>4424</v>
      </c>
      <c r="B2537" s="94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38</v>
      </c>
      <c r="R2537" s="110" t="s">
        <v>485</v>
      </c>
      <c r="S2537" s="94"/>
    </row>
    <row r="2538" spans="1:19" hidden="1">
      <c r="A2538" s="103" t="s">
        <v>4424</v>
      </c>
      <c r="B2538" s="94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38</v>
      </c>
      <c r="R2538" s="110" t="s">
        <v>485</v>
      </c>
      <c r="S2538" s="94"/>
    </row>
    <row r="2539" spans="1:19" hidden="1">
      <c r="A2539" s="103" t="s">
        <v>4424</v>
      </c>
      <c r="B2539" s="94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38</v>
      </c>
      <c r="R2539" s="110" t="s">
        <v>485</v>
      </c>
      <c r="S2539" s="94"/>
    </row>
    <row r="2540" spans="1:19" hidden="1">
      <c r="A2540" s="103" t="s">
        <v>4424</v>
      </c>
      <c r="B2540" s="94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38</v>
      </c>
      <c r="R2540" s="110" t="s">
        <v>485</v>
      </c>
      <c r="S2540" s="94"/>
    </row>
    <row r="2541" spans="1:19" hidden="1">
      <c r="A2541" s="103" t="s">
        <v>4424</v>
      </c>
      <c r="B2541" s="94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38</v>
      </c>
      <c r="R2541" s="110" t="s">
        <v>485</v>
      </c>
      <c r="S2541" s="94"/>
    </row>
    <row r="2542" spans="1:19" hidden="1">
      <c r="A2542" s="103" t="s">
        <v>4424</v>
      </c>
      <c r="B2542" s="94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38</v>
      </c>
      <c r="R2542" s="110" t="s">
        <v>485</v>
      </c>
      <c r="S2542" s="94"/>
    </row>
    <row r="2543" spans="1:19" hidden="1">
      <c r="A2543" s="103" t="s">
        <v>4424</v>
      </c>
      <c r="B2543" s="94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38</v>
      </c>
      <c r="R2543" s="110" t="s">
        <v>485</v>
      </c>
      <c r="S2543" s="94"/>
    </row>
    <row r="2544" spans="1:19" hidden="1">
      <c r="A2544" s="103" t="s">
        <v>4424</v>
      </c>
      <c r="B2544" s="94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38</v>
      </c>
      <c r="R2544" s="110" t="s">
        <v>485</v>
      </c>
      <c r="S2544" s="94"/>
    </row>
    <row r="2545" spans="1:19" hidden="1">
      <c r="A2545" s="103" t="s">
        <v>4424</v>
      </c>
      <c r="B2545" s="94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38</v>
      </c>
      <c r="R2545" s="110" t="s">
        <v>485</v>
      </c>
      <c r="S2545" s="94"/>
    </row>
    <row r="2546" spans="1:19" hidden="1">
      <c r="A2546" s="103" t="s">
        <v>4424</v>
      </c>
      <c r="B2546" s="94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38</v>
      </c>
      <c r="R2546" s="110" t="s">
        <v>485</v>
      </c>
      <c r="S2546" s="94"/>
    </row>
    <row r="2547" spans="1:19" hidden="1">
      <c r="A2547" s="103" t="s">
        <v>4424</v>
      </c>
      <c r="B2547" s="94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38</v>
      </c>
      <c r="R2547" s="110" t="s">
        <v>485</v>
      </c>
      <c r="S2547" s="94"/>
    </row>
    <row r="2548" spans="1:19" hidden="1">
      <c r="A2548" s="103" t="s">
        <v>4424</v>
      </c>
      <c r="B2548" s="94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38</v>
      </c>
      <c r="R2548" s="110" t="s">
        <v>485</v>
      </c>
      <c r="S2548" s="94"/>
    </row>
    <row r="2549" spans="1:19" hidden="1">
      <c r="A2549" s="103" t="s">
        <v>4424</v>
      </c>
      <c r="B2549" s="94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38</v>
      </c>
      <c r="R2549" s="110" t="s">
        <v>485</v>
      </c>
      <c r="S2549" s="94"/>
    </row>
    <row r="2550" spans="1:19" hidden="1">
      <c r="A2550" s="103" t="s">
        <v>4424</v>
      </c>
      <c r="B2550" s="94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38</v>
      </c>
      <c r="R2550" s="110" t="s">
        <v>485</v>
      </c>
      <c r="S2550" s="94"/>
    </row>
    <row r="2551" spans="1:19" hidden="1">
      <c r="A2551" s="103" t="s">
        <v>4424</v>
      </c>
      <c r="B2551" s="94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38</v>
      </c>
      <c r="R2551" s="110" t="s">
        <v>485</v>
      </c>
      <c r="S2551" s="94"/>
    </row>
    <row r="2552" spans="1:19" hidden="1">
      <c r="A2552" s="103" t="s">
        <v>4424</v>
      </c>
      <c r="B2552" s="94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38</v>
      </c>
      <c r="R2552" s="110" t="s">
        <v>485</v>
      </c>
      <c r="S2552" s="94"/>
    </row>
    <row r="2553" spans="1:19" hidden="1">
      <c r="A2553" s="103" t="s">
        <v>4424</v>
      </c>
      <c r="B2553" s="94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38</v>
      </c>
      <c r="R2553" s="110" t="s">
        <v>485</v>
      </c>
      <c r="S2553" s="94"/>
    </row>
    <row r="2554" spans="1:19" hidden="1">
      <c r="A2554" s="103" t="s">
        <v>4424</v>
      </c>
      <c r="B2554" s="94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38</v>
      </c>
      <c r="R2554" s="110" t="s">
        <v>485</v>
      </c>
      <c r="S2554" s="94"/>
    </row>
    <row r="2555" spans="1:19" hidden="1">
      <c r="A2555" s="103" t="s">
        <v>4424</v>
      </c>
      <c r="B2555" s="94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38</v>
      </c>
      <c r="R2555" s="110" t="s">
        <v>485</v>
      </c>
      <c r="S2555" s="94"/>
    </row>
    <row r="2556" spans="1:19" hidden="1">
      <c r="A2556" s="103" t="s">
        <v>4424</v>
      </c>
      <c r="B2556" s="94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38</v>
      </c>
      <c r="R2556" s="110" t="s">
        <v>485</v>
      </c>
      <c r="S2556" s="94"/>
    </row>
    <row r="2557" spans="1:19" hidden="1">
      <c r="A2557" s="103" t="s">
        <v>4424</v>
      </c>
      <c r="B2557" s="94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38</v>
      </c>
      <c r="R2557" s="110" t="s">
        <v>485</v>
      </c>
      <c r="S2557" s="94"/>
    </row>
    <row r="2558" spans="1:19" hidden="1">
      <c r="A2558" s="103" t="s">
        <v>4424</v>
      </c>
      <c r="B2558" s="94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38</v>
      </c>
      <c r="R2558" s="110" t="s">
        <v>485</v>
      </c>
      <c r="S2558" s="94"/>
    </row>
    <row r="2559" spans="1:19" hidden="1">
      <c r="A2559" s="103" t="s">
        <v>4424</v>
      </c>
      <c r="B2559" s="94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38</v>
      </c>
      <c r="R2559" s="110" t="s">
        <v>485</v>
      </c>
      <c r="S2559" s="94"/>
    </row>
    <row r="2560" spans="1:19" hidden="1">
      <c r="A2560" s="103" t="s">
        <v>4424</v>
      </c>
      <c r="B2560" s="94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38</v>
      </c>
      <c r="R2560" s="110" t="s">
        <v>485</v>
      </c>
      <c r="S2560" s="94"/>
    </row>
    <row r="2561" spans="1:19" hidden="1">
      <c r="A2561" s="103" t="s">
        <v>4424</v>
      </c>
      <c r="B2561" s="94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38</v>
      </c>
      <c r="R2561" s="110" t="s">
        <v>485</v>
      </c>
      <c r="S2561" s="94"/>
    </row>
    <row r="2562" spans="1:19" hidden="1">
      <c r="A2562" s="103" t="s">
        <v>4424</v>
      </c>
      <c r="B2562" s="94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38</v>
      </c>
      <c r="R2562" s="110" t="s">
        <v>485</v>
      </c>
      <c r="S2562" s="94"/>
    </row>
    <row r="2563" spans="1:19" hidden="1">
      <c r="A2563" s="103" t="s">
        <v>4424</v>
      </c>
      <c r="B2563" s="94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38</v>
      </c>
      <c r="R2563" s="110" t="s">
        <v>485</v>
      </c>
      <c r="S2563" s="94"/>
    </row>
    <row r="2564" spans="1:19" hidden="1">
      <c r="A2564" s="103" t="s">
        <v>4424</v>
      </c>
      <c r="B2564" s="94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38</v>
      </c>
      <c r="R2564" s="110" t="s">
        <v>485</v>
      </c>
      <c r="S2564" s="94"/>
    </row>
    <row r="2565" spans="1:19" hidden="1">
      <c r="A2565" s="103" t="s">
        <v>4424</v>
      </c>
      <c r="B2565" s="94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38</v>
      </c>
      <c r="R2565" s="110" t="s">
        <v>485</v>
      </c>
      <c r="S2565" s="94"/>
    </row>
    <row r="2566" spans="1:19" hidden="1">
      <c r="A2566" s="103" t="s">
        <v>4424</v>
      </c>
      <c r="B2566" s="94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38</v>
      </c>
      <c r="R2566" s="110" t="s">
        <v>485</v>
      </c>
      <c r="S2566" s="94"/>
    </row>
    <row r="2567" spans="1:19" hidden="1">
      <c r="A2567" s="103" t="s">
        <v>4424</v>
      </c>
      <c r="B2567" s="94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38</v>
      </c>
      <c r="R2567" s="110" t="s">
        <v>485</v>
      </c>
      <c r="S2567" s="94"/>
    </row>
    <row r="2568" spans="1:19" hidden="1">
      <c r="A2568" s="103" t="s">
        <v>4424</v>
      </c>
      <c r="B2568" s="94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38</v>
      </c>
      <c r="R2568" s="110" t="s">
        <v>485</v>
      </c>
      <c r="S2568" s="94"/>
    </row>
    <row r="2569" spans="1:19" hidden="1">
      <c r="A2569" s="103" t="s">
        <v>4424</v>
      </c>
      <c r="B2569" s="94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38</v>
      </c>
      <c r="R2569" s="110" t="s">
        <v>485</v>
      </c>
      <c r="S2569" s="94"/>
    </row>
    <row r="2570" spans="1:19" hidden="1">
      <c r="A2570" s="103" t="s">
        <v>4424</v>
      </c>
      <c r="B2570" s="94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38</v>
      </c>
      <c r="R2570" s="110" t="s">
        <v>485</v>
      </c>
      <c r="S2570" s="94"/>
    </row>
    <row r="2571" spans="1:19" hidden="1">
      <c r="A2571" s="103" t="s">
        <v>4424</v>
      </c>
      <c r="B2571" s="94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38</v>
      </c>
      <c r="R2571" s="110" t="s">
        <v>485</v>
      </c>
      <c r="S2571" s="94"/>
    </row>
    <row r="2572" spans="1:19" hidden="1">
      <c r="A2572" s="103" t="s">
        <v>4424</v>
      </c>
      <c r="B2572" s="94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38</v>
      </c>
      <c r="R2572" s="110" t="s">
        <v>485</v>
      </c>
      <c r="S2572" s="94"/>
    </row>
    <row r="2573" spans="1:19" hidden="1">
      <c r="A2573" s="103" t="s">
        <v>4424</v>
      </c>
      <c r="B2573" s="94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38</v>
      </c>
      <c r="R2573" s="110" t="s">
        <v>485</v>
      </c>
      <c r="S2573" s="94"/>
    </row>
    <row r="2574" spans="1:19" hidden="1">
      <c r="A2574" s="103" t="s">
        <v>4424</v>
      </c>
      <c r="B2574" s="94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38</v>
      </c>
      <c r="R2574" s="110" t="s">
        <v>485</v>
      </c>
      <c r="S2574" s="94"/>
    </row>
    <row r="2575" spans="1:19" hidden="1">
      <c r="A2575" s="103" t="s">
        <v>4424</v>
      </c>
      <c r="B2575" s="94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38</v>
      </c>
      <c r="R2575" s="110" t="s">
        <v>485</v>
      </c>
      <c r="S2575" s="94"/>
    </row>
    <row r="2576" spans="1:19" hidden="1">
      <c r="A2576" s="103" t="s">
        <v>4424</v>
      </c>
      <c r="B2576" s="94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38</v>
      </c>
      <c r="R2576" s="110" t="s">
        <v>485</v>
      </c>
      <c r="S2576" s="94"/>
    </row>
    <row r="2577" spans="1:19" hidden="1">
      <c r="A2577" s="103" t="s">
        <v>4424</v>
      </c>
      <c r="B2577" s="94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38</v>
      </c>
      <c r="R2577" s="110" t="s">
        <v>485</v>
      </c>
      <c r="S2577" s="94"/>
    </row>
    <row r="2578" spans="1:19" hidden="1">
      <c r="A2578" s="103" t="s">
        <v>4424</v>
      </c>
      <c r="B2578" s="94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38</v>
      </c>
      <c r="R2578" s="110" t="s">
        <v>485</v>
      </c>
      <c r="S2578" s="94"/>
    </row>
    <row r="2579" spans="1:19" hidden="1">
      <c r="A2579" s="103" t="s">
        <v>4424</v>
      </c>
      <c r="B2579" s="94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38</v>
      </c>
      <c r="R2579" s="110" t="s">
        <v>485</v>
      </c>
      <c r="S2579" s="94"/>
    </row>
    <row r="2580" spans="1:19" hidden="1">
      <c r="A2580" s="103" t="s">
        <v>4424</v>
      </c>
      <c r="B2580" s="94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38</v>
      </c>
      <c r="R2580" s="110" t="s">
        <v>485</v>
      </c>
      <c r="S2580" s="94"/>
    </row>
    <row r="2581" spans="1:19" hidden="1">
      <c r="A2581" s="103" t="s">
        <v>4424</v>
      </c>
      <c r="B2581" s="94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38</v>
      </c>
      <c r="R2581" s="110" t="s">
        <v>485</v>
      </c>
      <c r="S2581" s="94"/>
    </row>
    <row r="2582" spans="1:19" hidden="1">
      <c r="A2582" s="103" t="s">
        <v>4424</v>
      </c>
      <c r="B2582" s="94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38</v>
      </c>
      <c r="R2582" s="110" t="s">
        <v>485</v>
      </c>
      <c r="S2582" s="94"/>
    </row>
    <row r="2583" spans="1:19" hidden="1">
      <c r="A2583" s="103" t="s">
        <v>4424</v>
      </c>
      <c r="B2583" s="94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38</v>
      </c>
      <c r="R2583" s="110" t="s">
        <v>485</v>
      </c>
      <c r="S2583" s="94"/>
    </row>
    <row r="2584" spans="1:19" hidden="1">
      <c r="A2584" s="103" t="s">
        <v>4424</v>
      </c>
      <c r="B2584" s="94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38</v>
      </c>
      <c r="R2584" s="110" t="s">
        <v>485</v>
      </c>
      <c r="S2584" s="94"/>
    </row>
    <row r="2585" spans="1:19" hidden="1">
      <c r="A2585" s="103" t="s">
        <v>4424</v>
      </c>
      <c r="B2585" s="94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38</v>
      </c>
      <c r="R2585" s="110" t="s">
        <v>485</v>
      </c>
      <c r="S2585" s="94"/>
    </row>
    <row r="2586" spans="1:19" hidden="1">
      <c r="A2586" s="103" t="s">
        <v>4424</v>
      </c>
      <c r="B2586" s="94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38</v>
      </c>
      <c r="R2586" s="110" t="s">
        <v>485</v>
      </c>
      <c r="S2586" s="94"/>
    </row>
    <row r="2587" spans="1:19" hidden="1">
      <c r="A2587" s="103" t="s">
        <v>4424</v>
      </c>
      <c r="B2587" s="94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38</v>
      </c>
      <c r="R2587" s="110" t="s">
        <v>485</v>
      </c>
      <c r="S2587" s="94"/>
    </row>
    <row r="2588" spans="1:19" hidden="1">
      <c r="A2588" s="103" t="s">
        <v>4424</v>
      </c>
      <c r="B2588" s="94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38</v>
      </c>
      <c r="R2588" s="110" t="s">
        <v>485</v>
      </c>
      <c r="S2588" s="94"/>
    </row>
    <row r="2589" spans="1:19" hidden="1">
      <c r="A2589" s="103" t="s">
        <v>4424</v>
      </c>
      <c r="B2589" s="94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38</v>
      </c>
      <c r="R2589" s="110" t="s">
        <v>485</v>
      </c>
      <c r="S2589" s="94"/>
    </row>
    <row r="2590" spans="1:19" hidden="1">
      <c r="A2590" s="103" t="s">
        <v>4424</v>
      </c>
      <c r="B2590" s="94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38</v>
      </c>
      <c r="R2590" s="110" t="s">
        <v>485</v>
      </c>
      <c r="S2590" s="94"/>
    </row>
    <row r="2591" spans="1:19" hidden="1">
      <c r="A2591" s="103" t="s">
        <v>4424</v>
      </c>
      <c r="B2591" s="94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38</v>
      </c>
      <c r="R2591" s="110" t="s">
        <v>485</v>
      </c>
      <c r="S2591" s="94"/>
    </row>
    <row r="2592" spans="1:19" hidden="1">
      <c r="A2592" s="103" t="s">
        <v>4424</v>
      </c>
      <c r="B2592" s="94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38</v>
      </c>
      <c r="R2592" s="110" t="s">
        <v>485</v>
      </c>
      <c r="S2592" s="94"/>
    </row>
    <row r="2593" spans="1:19" hidden="1">
      <c r="A2593" s="103" t="s">
        <v>4424</v>
      </c>
      <c r="B2593" s="94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38</v>
      </c>
      <c r="R2593" s="110" t="s">
        <v>485</v>
      </c>
      <c r="S2593" s="94"/>
    </row>
    <row r="2594" spans="1:19" hidden="1">
      <c r="A2594" s="103" t="s">
        <v>4424</v>
      </c>
      <c r="B2594" s="94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38</v>
      </c>
      <c r="R2594" s="110" t="s">
        <v>485</v>
      </c>
      <c r="S2594" s="94"/>
    </row>
    <row r="2595" spans="1:19" hidden="1">
      <c r="A2595" s="103" t="s">
        <v>4424</v>
      </c>
      <c r="B2595" s="94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38</v>
      </c>
      <c r="R2595" s="110" t="s">
        <v>485</v>
      </c>
      <c r="S2595" s="94"/>
    </row>
    <row r="2596" spans="1:19" hidden="1">
      <c r="A2596" s="103" t="s">
        <v>4424</v>
      </c>
      <c r="B2596" s="94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38</v>
      </c>
      <c r="R2596" s="110" t="s">
        <v>485</v>
      </c>
      <c r="S2596" s="94"/>
    </row>
    <row r="2597" spans="1:19" hidden="1">
      <c r="A2597" s="103" t="s">
        <v>4424</v>
      </c>
      <c r="B2597" s="94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38</v>
      </c>
      <c r="R2597" s="110" t="s">
        <v>485</v>
      </c>
      <c r="S2597" s="94"/>
    </row>
    <row r="2598" spans="1:19" hidden="1">
      <c r="A2598" s="103" t="s">
        <v>4424</v>
      </c>
      <c r="B2598" s="94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38</v>
      </c>
      <c r="R2598" s="110" t="s">
        <v>485</v>
      </c>
      <c r="S2598" s="94"/>
    </row>
    <row r="2599" spans="1:19" hidden="1">
      <c r="A2599" s="103" t="s">
        <v>4424</v>
      </c>
      <c r="B2599" s="94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38</v>
      </c>
      <c r="R2599" s="110" t="s">
        <v>485</v>
      </c>
      <c r="S2599" s="94"/>
    </row>
    <row r="2600" spans="1:19" hidden="1">
      <c r="A2600" s="103" t="s">
        <v>4424</v>
      </c>
      <c r="B2600" s="94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38</v>
      </c>
      <c r="R2600" s="110" t="s">
        <v>485</v>
      </c>
      <c r="S2600" s="94"/>
    </row>
    <row r="2601" spans="1:19" hidden="1">
      <c r="A2601" s="103" t="s">
        <v>4424</v>
      </c>
      <c r="B2601" s="94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38</v>
      </c>
      <c r="R2601" s="110" t="s">
        <v>485</v>
      </c>
      <c r="S2601" s="94"/>
    </row>
    <row r="2602" spans="1:19" hidden="1">
      <c r="A2602" s="103" t="s">
        <v>4424</v>
      </c>
      <c r="B2602" s="94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38</v>
      </c>
      <c r="R2602" s="110" t="s">
        <v>485</v>
      </c>
      <c r="S2602" s="94"/>
    </row>
    <row r="2603" spans="1:19" hidden="1">
      <c r="A2603" s="103" t="s">
        <v>4424</v>
      </c>
      <c r="B2603" s="94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38</v>
      </c>
      <c r="R2603" s="110" t="s">
        <v>485</v>
      </c>
      <c r="S2603" s="94"/>
    </row>
    <row r="2604" spans="1:19" hidden="1">
      <c r="A2604" s="103" t="s">
        <v>4424</v>
      </c>
      <c r="B2604" s="94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38</v>
      </c>
      <c r="R2604" s="110" t="s">
        <v>485</v>
      </c>
      <c r="S2604" s="94"/>
    </row>
    <row r="2605" spans="1:19" hidden="1">
      <c r="A2605" s="103" t="s">
        <v>4424</v>
      </c>
      <c r="B2605" s="94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38</v>
      </c>
      <c r="R2605" s="110" t="s">
        <v>485</v>
      </c>
      <c r="S2605" s="94"/>
    </row>
    <row r="2606" spans="1:19" hidden="1">
      <c r="A2606" s="103" t="s">
        <v>4424</v>
      </c>
      <c r="B2606" s="94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38</v>
      </c>
      <c r="R2606" s="110" t="s">
        <v>485</v>
      </c>
      <c r="S2606" s="94"/>
    </row>
    <row r="2607" spans="1:19" hidden="1">
      <c r="A2607" s="103" t="s">
        <v>4424</v>
      </c>
      <c r="B2607" s="94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38</v>
      </c>
      <c r="R2607" s="110" t="s">
        <v>485</v>
      </c>
      <c r="S2607" s="94"/>
    </row>
    <row r="2608" spans="1:19" hidden="1">
      <c r="A2608" s="103" t="s">
        <v>4424</v>
      </c>
      <c r="B2608" s="94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38</v>
      </c>
      <c r="R2608" s="110" t="s">
        <v>485</v>
      </c>
      <c r="S2608" s="94"/>
    </row>
    <row r="2609" spans="1:19" hidden="1">
      <c r="A2609" s="103" t="s">
        <v>4424</v>
      </c>
      <c r="B2609" s="94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38</v>
      </c>
      <c r="R2609" s="110" t="s">
        <v>485</v>
      </c>
      <c r="S2609" s="94"/>
    </row>
    <row r="2610" spans="1:19" hidden="1">
      <c r="A2610" s="103" t="s">
        <v>4424</v>
      </c>
      <c r="B2610" s="94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38</v>
      </c>
      <c r="R2610" s="110" t="s">
        <v>485</v>
      </c>
      <c r="S2610" s="94"/>
    </row>
    <row r="2611" spans="1:19" hidden="1">
      <c r="A2611" s="103" t="s">
        <v>4424</v>
      </c>
      <c r="B2611" s="94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38</v>
      </c>
      <c r="R2611" s="110" t="s">
        <v>485</v>
      </c>
      <c r="S2611" s="94"/>
    </row>
    <row r="2612" spans="1:19" hidden="1">
      <c r="A2612" s="103" t="s">
        <v>4424</v>
      </c>
      <c r="B2612" s="94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38</v>
      </c>
      <c r="R2612" s="110" t="s">
        <v>485</v>
      </c>
      <c r="S2612" s="94"/>
    </row>
    <row r="2613" spans="1:19" hidden="1">
      <c r="A2613" s="103" t="s">
        <v>4424</v>
      </c>
      <c r="B2613" s="94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38</v>
      </c>
      <c r="R2613" s="110" t="s">
        <v>485</v>
      </c>
      <c r="S2613" s="94"/>
    </row>
    <row r="2614" spans="1:19" hidden="1">
      <c r="A2614" s="103" t="s">
        <v>4424</v>
      </c>
      <c r="B2614" s="94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38</v>
      </c>
      <c r="R2614" s="110" t="s">
        <v>485</v>
      </c>
      <c r="S2614" s="94"/>
    </row>
    <row r="2615" spans="1:19" hidden="1">
      <c r="A2615" s="103" t="s">
        <v>4424</v>
      </c>
      <c r="B2615" s="94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38</v>
      </c>
      <c r="R2615" s="110" t="s">
        <v>485</v>
      </c>
      <c r="S2615" s="94"/>
    </row>
    <row r="2616" spans="1:19" hidden="1">
      <c r="A2616" s="103" t="s">
        <v>4424</v>
      </c>
      <c r="B2616" s="94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38</v>
      </c>
      <c r="R2616" s="110" t="s">
        <v>485</v>
      </c>
      <c r="S2616" s="94"/>
    </row>
    <row r="2617" spans="1:19" hidden="1">
      <c r="A2617" s="103" t="s">
        <v>4424</v>
      </c>
      <c r="B2617" s="94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38</v>
      </c>
      <c r="R2617" s="110" t="s">
        <v>485</v>
      </c>
      <c r="S2617" s="94"/>
    </row>
    <row r="2618" spans="1:19" hidden="1">
      <c r="A2618" s="103" t="s">
        <v>4424</v>
      </c>
      <c r="B2618" s="94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38</v>
      </c>
      <c r="R2618" s="110" t="s">
        <v>485</v>
      </c>
      <c r="S2618" s="94"/>
    </row>
    <row r="2619" spans="1:19" hidden="1">
      <c r="A2619" s="103" t="s">
        <v>4424</v>
      </c>
      <c r="B2619" s="94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38</v>
      </c>
      <c r="R2619" s="110" t="s">
        <v>485</v>
      </c>
      <c r="S2619" s="94"/>
    </row>
    <row r="2620" spans="1:19" hidden="1">
      <c r="A2620" s="103" t="s">
        <v>4424</v>
      </c>
      <c r="B2620" s="94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38</v>
      </c>
      <c r="R2620" s="110" t="s">
        <v>485</v>
      </c>
      <c r="S2620" s="94"/>
    </row>
    <row r="2621" spans="1:19" hidden="1">
      <c r="A2621" s="103" t="s">
        <v>4424</v>
      </c>
      <c r="B2621" s="94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38</v>
      </c>
      <c r="R2621" s="110" t="s">
        <v>485</v>
      </c>
      <c r="S2621" s="94"/>
    </row>
    <row r="2622" spans="1:19" hidden="1">
      <c r="A2622" s="103" t="s">
        <v>4424</v>
      </c>
      <c r="B2622" s="94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38</v>
      </c>
      <c r="R2622" s="110" t="s">
        <v>485</v>
      </c>
      <c r="S2622" s="94"/>
    </row>
    <row r="2623" spans="1:19" hidden="1">
      <c r="A2623" s="103" t="s">
        <v>4424</v>
      </c>
      <c r="B2623" s="94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38</v>
      </c>
      <c r="R2623" s="110" t="s">
        <v>485</v>
      </c>
      <c r="S2623" s="94"/>
    </row>
    <row r="2624" spans="1:19" hidden="1">
      <c r="A2624" s="103" t="s">
        <v>4424</v>
      </c>
      <c r="B2624" s="94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38</v>
      </c>
      <c r="R2624" s="110" t="s">
        <v>485</v>
      </c>
      <c r="S2624" s="94"/>
    </row>
    <row r="2625" spans="1:19" hidden="1">
      <c r="A2625" s="103" t="s">
        <v>4424</v>
      </c>
      <c r="B2625" s="94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38</v>
      </c>
      <c r="R2625" s="110" t="s">
        <v>485</v>
      </c>
      <c r="S2625" s="94"/>
    </row>
    <row r="2626" spans="1:19" hidden="1">
      <c r="A2626" s="103" t="s">
        <v>4424</v>
      </c>
      <c r="B2626" s="94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38</v>
      </c>
      <c r="R2626" s="110" t="s">
        <v>485</v>
      </c>
      <c r="S2626" s="94"/>
    </row>
    <row r="2627" spans="1:19" hidden="1">
      <c r="A2627" s="103" t="s">
        <v>4424</v>
      </c>
      <c r="B2627" s="94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38</v>
      </c>
      <c r="R2627" s="110" t="s">
        <v>485</v>
      </c>
      <c r="S2627" s="94"/>
    </row>
    <row r="2628" spans="1:19" hidden="1">
      <c r="A2628" s="103" t="s">
        <v>4424</v>
      </c>
      <c r="B2628" s="94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38</v>
      </c>
      <c r="R2628" s="110" t="s">
        <v>485</v>
      </c>
      <c r="S2628" s="94"/>
    </row>
    <row r="2629" spans="1:19" hidden="1">
      <c r="A2629" s="103" t="s">
        <v>4424</v>
      </c>
      <c r="B2629" s="94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38</v>
      </c>
      <c r="R2629" s="110" t="s">
        <v>485</v>
      </c>
      <c r="S2629" s="94"/>
    </row>
    <row r="2630" spans="1:19" hidden="1">
      <c r="A2630" s="103" t="s">
        <v>4424</v>
      </c>
      <c r="B2630" s="94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38</v>
      </c>
      <c r="R2630" s="110" t="s">
        <v>485</v>
      </c>
      <c r="S2630" s="94"/>
    </row>
    <row r="2631" spans="1:19" hidden="1">
      <c r="A2631" s="103" t="s">
        <v>4424</v>
      </c>
      <c r="B2631" s="94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38</v>
      </c>
      <c r="R2631" s="110" t="s">
        <v>485</v>
      </c>
      <c r="S2631" s="94"/>
    </row>
    <row r="2632" spans="1:19" hidden="1">
      <c r="A2632" s="103" t="s">
        <v>4424</v>
      </c>
      <c r="B2632" s="94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38</v>
      </c>
      <c r="R2632" s="110" t="s">
        <v>485</v>
      </c>
      <c r="S2632" s="94"/>
    </row>
    <row r="2633" spans="1:19" hidden="1">
      <c r="A2633" s="103" t="s">
        <v>4424</v>
      </c>
      <c r="B2633" s="94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38</v>
      </c>
      <c r="R2633" s="110" t="s">
        <v>485</v>
      </c>
      <c r="S2633" s="94"/>
    </row>
    <row r="2634" spans="1:19" hidden="1">
      <c r="A2634" s="103" t="s">
        <v>4424</v>
      </c>
      <c r="B2634" s="94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38</v>
      </c>
      <c r="R2634" s="110" t="s">
        <v>485</v>
      </c>
      <c r="S2634" s="94"/>
    </row>
    <row r="2635" spans="1:19" hidden="1">
      <c r="A2635" s="103" t="s">
        <v>4424</v>
      </c>
      <c r="B2635" s="94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38</v>
      </c>
      <c r="R2635" s="110" t="s">
        <v>485</v>
      </c>
      <c r="S2635" s="94"/>
    </row>
    <row r="2636" spans="1:19" hidden="1">
      <c r="A2636" s="103" t="s">
        <v>4424</v>
      </c>
      <c r="B2636" s="94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38</v>
      </c>
      <c r="R2636" s="110" t="s">
        <v>485</v>
      </c>
      <c r="S2636" s="94"/>
    </row>
    <row r="2637" spans="1:19" hidden="1">
      <c r="A2637" s="103" t="s">
        <v>4424</v>
      </c>
      <c r="B2637" s="94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38</v>
      </c>
      <c r="R2637" s="110" t="s">
        <v>485</v>
      </c>
      <c r="S2637" s="94"/>
    </row>
    <row r="2638" spans="1:19" hidden="1">
      <c r="A2638" s="103" t="s">
        <v>4424</v>
      </c>
      <c r="B2638" s="94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38</v>
      </c>
      <c r="R2638" s="110" t="s">
        <v>485</v>
      </c>
      <c r="S2638" s="94"/>
    </row>
    <row r="2639" spans="1:19" hidden="1">
      <c r="A2639" s="103" t="s">
        <v>4424</v>
      </c>
      <c r="B2639" s="94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38</v>
      </c>
      <c r="R2639" s="110" t="s">
        <v>485</v>
      </c>
      <c r="S2639" s="94"/>
    </row>
    <row r="2640" spans="1:19" hidden="1">
      <c r="A2640" s="103" t="s">
        <v>4424</v>
      </c>
      <c r="B2640" s="94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38</v>
      </c>
      <c r="R2640" s="110" t="s">
        <v>485</v>
      </c>
      <c r="S2640" s="94"/>
    </row>
    <row r="2641" spans="1:19" hidden="1">
      <c r="A2641" s="103" t="s">
        <v>4424</v>
      </c>
      <c r="B2641" s="94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38</v>
      </c>
      <c r="R2641" s="110" t="s">
        <v>485</v>
      </c>
      <c r="S2641" s="94"/>
    </row>
    <row r="2642" spans="1:19" hidden="1">
      <c r="A2642" s="103" t="s">
        <v>4424</v>
      </c>
      <c r="B2642" s="94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38</v>
      </c>
      <c r="R2642" s="110" t="s">
        <v>485</v>
      </c>
      <c r="S2642" s="94"/>
    </row>
    <row r="2643" spans="1:19" hidden="1">
      <c r="A2643" s="103" t="s">
        <v>4424</v>
      </c>
      <c r="B2643" s="94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38</v>
      </c>
      <c r="R2643" s="110" t="s">
        <v>485</v>
      </c>
      <c r="S2643" s="94"/>
    </row>
    <row r="2644" spans="1:19" hidden="1">
      <c r="A2644" s="103" t="s">
        <v>4424</v>
      </c>
      <c r="B2644" s="94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38</v>
      </c>
      <c r="R2644" s="110" t="s">
        <v>485</v>
      </c>
      <c r="S2644" s="94"/>
    </row>
    <row r="2645" spans="1:19" hidden="1">
      <c r="A2645" s="103" t="s">
        <v>4424</v>
      </c>
      <c r="B2645" s="94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38</v>
      </c>
      <c r="R2645" s="110" t="s">
        <v>485</v>
      </c>
      <c r="S2645" s="94"/>
    </row>
    <row r="2646" spans="1:19" hidden="1">
      <c r="A2646" s="103" t="s">
        <v>4424</v>
      </c>
      <c r="B2646" s="94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38</v>
      </c>
      <c r="R2646" s="110" t="s">
        <v>485</v>
      </c>
      <c r="S2646" s="94"/>
    </row>
    <row r="2647" spans="1:19" hidden="1">
      <c r="A2647" s="103" t="s">
        <v>4424</v>
      </c>
      <c r="B2647" s="94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38</v>
      </c>
      <c r="R2647" s="110" t="s">
        <v>485</v>
      </c>
      <c r="S2647" s="94"/>
    </row>
    <row r="2648" spans="1:19" hidden="1">
      <c r="A2648" s="103" t="s">
        <v>4424</v>
      </c>
      <c r="B2648" s="94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38</v>
      </c>
      <c r="R2648" s="110" t="s">
        <v>485</v>
      </c>
      <c r="S2648" s="94"/>
    </row>
    <row r="2649" spans="1:19" hidden="1">
      <c r="A2649" s="103" t="s">
        <v>4424</v>
      </c>
      <c r="B2649" s="94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38</v>
      </c>
      <c r="R2649" s="110" t="s">
        <v>485</v>
      </c>
      <c r="S2649" s="94"/>
    </row>
    <row r="2650" spans="1:19" hidden="1">
      <c r="A2650" s="103" t="s">
        <v>4424</v>
      </c>
      <c r="B2650" s="94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38</v>
      </c>
      <c r="R2650" s="110" t="s">
        <v>485</v>
      </c>
      <c r="S2650" s="94"/>
    </row>
    <row r="2651" spans="1:19" hidden="1">
      <c r="A2651" s="103" t="s">
        <v>4424</v>
      </c>
      <c r="B2651" s="94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38</v>
      </c>
      <c r="R2651" s="110" t="s">
        <v>485</v>
      </c>
      <c r="S2651" s="94"/>
    </row>
    <row r="2652" spans="1:19" hidden="1">
      <c r="A2652" s="103" t="s">
        <v>4424</v>
      </c>
      <c r="B2652" s="94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38</v>
      </c>
      <c r="R2652" s="110" t="s">
        <v>485</v>
      </c>
      <c r="S2652" s="94"/>
    </row>
    <row r="2653" spans="1:19" hidden="1">
      <c r="A2653" s="103" t="s">
        <v>4424</v>
      </c>
      <c r="B2653" s="94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38</v>
      </c>
      <c r="R2653" s="110" t="s">
        <v>485</v>
      </c>
      <c r="S2653" s="94"/>
    </row>
    <row r="2654" spans="1:19" hidden="1">
      <c r="A2654" s="103" t="s">
        <v>4424</v>
      </c>
      <c r="B2654" s="94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38</v>
      </c>
      <c r="R2654" s="110" t="s">
        <v>485</v>
      </c>
      <c r="S2654" s="94"/>
    </row>
    <row r="2655" spans="1:19" hidden="1">
      <c r="A2655" s="103" t="s">
        <v>4424</v>
      </c>
      <c r="B2655" s="94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38</v>
      </c>
      <c r="R2655" s="110" t="s">
        <v>485</v>
      </c>
      <c r="S2655" s="94"/>
    </row>
    <row r="2656" spans="1:19" hidden="1">
      <c r="A2656" s="103" t="s">
        <v>4424</v>
      </c>
      <c r="B2656" s="94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38</v>
      </c>
      <c r="R2656" s="110" t="s">
        <v>485</v>
      </c>
      <c r="S2656" s="94"/>
    </row>
    <row r="2657" spans="1:19" hidden="1">
      <c r="A2657" s="103" t="s">
        <v>4424</v>
      </c>
      <c r="B2657" s="94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38</v>
      </c>
      <c r="R2657" s="110" t="s">
        <v>485</v>
      </c>
      <c r="S2657" s="94"/>
    </row>
    <row r="2658" spans="1:19" hidden="1">
      <c r="A2658" s="103" t="s">
        <v>4424</v>
      </c>
      <c r="B2658" s="94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38</v>
      </c>
      <c r="R2658" s="110" t="s">
        <v>485</v>
      </c>
      <c r="S2658" s="94"/>
    </row>
    <row r="2659" spans="1:19" hidden="1">
      <c r="A2659" s="103" t="s">
        <v>4424</v>
      </c>
      <c r="B2659" s="94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38</v>
      </c>
      <c r="R2659" s="110" t="s">
        <v>485</v>
      </c>
      <c r="S2659" s="94"/>
    </row>
    <row r="2660" spans="1:19" hidden="1">
      <c r="A2660" s="103" t="s">
        <v>4424</v>
      </c>
      <c r="B2660" s="94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38</v>
      </c>
      <c r="R2660" s="110" t="s">
        <v>485</v>
      </c>
      <c r="S2660" s="94"/>
    </row>
    <row r="2661" spans="1:19" hidden="1">
      <c r="A2661" s="103" t="s">
        <v>4424</v>
      </c>
      <c r="B2661" s="94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38</v>
      </c>
      <c r="R2661" s="110" t="s">
        <v>485</v>
      </c>
      <c r="S2661" s="94"/>
    </row>
    <row r="2662" spans="1:19" hidden="1">
      <c r="A2662" s="103" t="s">
        <v>4424</v>
      </c>
      <c r="B2662" s="94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38</v>
      </c>
      <c r="R2662" s="110" t="s">
        <v>485</v>
      </c>
      <c r="S2662" s="94"/>
    </row>
    <row r="2663" spans="1:19" hidden="1">
      <c r="A2663" s="103" t="s">
        <v>4424</v>
      </c>
      <c r="B2663" s="94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38</v>
      </c>
      <c r="R2663" s="110" t="s">
        <v>485</v>
      </c>
      <c r="S2663" s="94"/>
    </row>
    <row r="2664" spans="1:19" hidden="1">
      <c r="A2664" s="103" t="s">
        <v>4424</v>
      </c>
      <c r="B2664" s="94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38</v>
      </c>
      <c r="R2664" s="110" t="s">
        <v>485</v>
      </c>
      <c r="S2664" s="94"/>
    </row>
    <row r="2665" spans="1:19" hidden="1">
      <c r="A2665" s="103" t="s">
        <v>4424</v>
      </c>
      <c r="B2665" s="94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38</v>
      </c>
      <c r="R2665" s="110" t="s">
        <v>485</v>
      </c>
      <c r="S2665" s="94"/>
    </row>
    <row r="2666" spans="1:19" hidden="1">
      <c r="A2666" s="103" t="s">
        <v>4424</v>
      </c>
      <c r="B2666" s="94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38</v>
      </c>
      <c r="R2666" s="110" t="s">
        <v>485</v>
      </c>
      <c r="S2666" s="94"/>
    </row>
    <row r="2667" spans="1:19" hidden="1">
      <c r="A2667" s="103" t="s">
        <v>4424</v>
      </c>
      <c r="B2667" s="94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38</v>
      </c>
      <c r="R2667" s="110" t="s">
        <v>485</v>
      </c>
      <c r="S2667" s="94"/>
    </row>
    <row r="2668" spans="1:19" hidden="1">
      <c r="A2668" s="103" t="s">
        <v>4424</v>
      </c>
      <c r="B2668" s="94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38</v>
      </c>
      <c r="R2668" s="110" t="s">
        <v>485</v>
      </c>
      <c r="S2668" s="94"/>
    </row>
    <row r="2669" spans="1:19" hidden="1">
      <c r="A2669" s="103" t="s">
        <v>4424</v>
      </c>
      <c r="B2669" s="94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38</v>
      </c>
      <c r="R2669" s="110" t="s">
        <v>485</v>
      </c>
      <c r="S2669" s="94"/>
    </row>
    <row r="2670" spans="1:19" hidden="1">
      <c r="A2670" s="103" t="s">
        <v>4424</v>
      </c>
      <c r="B2670" s="94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38</v>
      </c>
      <c r="R2670" s="110" t="s">
        <v>485</v>
      </c>
      <c r="S2670" s="94"/>
    </row>
    <row r="2671" spans="1:19" hidden="1">
      <c r="A2671" s="103" t="s">
        <v>4424</v>
      </c>
      <c r="B2671" s="94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38</v>
      </c>
      <c r="R2671" s="110" t="s">
        <v>485</v>
      </c>
      <c r="S2671" s="94"/>
    </row>
    <row r="2672" spans="1:19" hidden="1">
      <c r="A2672" s="103" t="s">
        <v>4424</v>
      </c>
      <c r="B2672" s="94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38</v>
      </c>
      <c r="R2672" s="110" t="s">
        <v>485</v>
      </c>
      <c r="S2672" s="94"/>
    </row>
    <row r="2673" spans="1:19" hidden="1">
      <c r="A2673" s="103" t="s">
        <v>4424</v>
      </c>
      <c r="B2673" s="94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38</v>
      </c>
      <c r="R2673" s="110" t="s">
        <v>485</v>
      </c>
      <c r="S2673" s="94"/>
    </row>
    <row r="2674" spans="1:19" hidden="1">
      <c r="A2674" s="103" t="s">
        <v>4424</v>
      </c>
      <c r="B2674" s="94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38</v>
      </c>
      <c r="R2674" s="110" t="s">
        <v>485</v>
      </c>
      <c r="S2674" s="94"/>
    </row>
    <row r="2675" spans="1:19" hidden="1">
      <c r="A2675" s="103" t="s">
        <v>4424</v>
      </c>
      <c r="B2675" s="94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38</v>
      </c>
      <c r="R2675" s="110" t="s">
        <v>485</v>
      </c>
      <c r="S2675" s="94"/>
    </row>
    <row r="2676" spans="1:19" hidden="1">
      <c r="A2676" s="103" t="s">
        <v>4424</v>
      </c>
      <c r="B2676" s="94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38</v>
      </c>
      <c r="R2676" s="110" t="s">
        <v>485</v>
      </c>
      <c r="S2676" s="94"/>
    </row>
    <row r="2677" spans="1:19" hidden="1">
      <c r="A2677" s="103" t="s">
        <v>4424</v>
      </c>
      <c r="B2677" s="94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38</v>
      </c>
      <c r="R2677" s="110" t="s">
        <v>485</v>
      </c>
      <c r="S2677" s="94"/>
    </row>
    <row r="2678" spans="1:19" hidden="1">
      <c r="A2678" s="103" t="s">
        <v>4424</v>
      </c>
      <c r="B2678" s="94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38</v>
      </c>
      <c r="R2678" s="110" t="s">
        <v>485</v>
      </c>
      <c r="S2678" s="94"/>
    </row>
    <row r="2679" spans="1:19" hidden="1">
      <c r="A2679" s="103" t="s">
        <v>4424</v>
      </c>
      <c r="B2679" s="94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38</v>
      </c>
      <c r="R2679" s="110" t="s">
        <v>485</v>
      </c>
      <c r="S2679" s="94"/>
    </row>
    <row r="2680" spans="1:19" hidden="1">
      <c r="A2680" s="103" t="s">
        <v>4424</v>
      </c>
      <c r="B2680" s="94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38</v>
      </c>
      <c r="R2680" s="110" t="s">
        <v>485</v>
      </c>
      <c r="S2680" s="94"/>
    </row>
    <row r="2681" spans="1:19" hidden="1">
      <c r="A2681" s="103" t="s">
        <v>4424</v>
      </c>
      <c r="B2681" s="94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38</v>
      </c>
      <c r="R2681" s="110" t="s">
        <v>485</v>
      </c>
      <c r="S2681" s="94"/>
    </row>
    <row r="2682" spans="1:19" hidden="1">
      <c r="A2682" s="103" t="s">
        <v>4424</v>
      </c>
      <c r="B2682" s="94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38</v>
      </c>
      <c r="R2682" s="110" t="s">
        <v>485</v>
      </c>
      <c r="S2682" s="94"/>
    </row>
    <row r="2683" spans="1:19" hidden="1">
      <c r="A2683" s="103" t="s">
        <v>4424</v>
      </c>
      <c r="B2683" s="94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38</v>
      </c>
      <c r="R2683" s="110" t="s">
        <v>485</v>
      </c>
      <c r="S2683" s="94"/>
    </row>
    <row r="2684" spans="1:19" hidden="1">
      <c r="A2684" s="103" t="s">
        <v>4424</v>
      </c>
      <c r="B2684" s="94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38</v>
      </c>
      <c r="R2684" s="110" t="s">
        <v>485</v>
      </c>
      <c r="S2684" s="94"/>
    </row>
    <row r="2685" spans="1:19" hidden="1">
      <c r="A2685" s="103" t="s">
        <v>4424</v>
      </c>
      <c r="B2685" s="94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38</v>
      </c>
      <c r="R2685" s="110" t="s">
        <v>485</v>
      </c>
      <c r="S2685" s="94"/>
    </row>
    <row r="2686" spans="1:19" hidden="1">
      <c r="A2686" s="103" t="s">
        <v>4424</v>
      </c>
      <c r="B2686" s="94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38</v>
      </c>
      <c r="R2686" s="110" t="s">
        <v>485</v>
      </c>
      <c r="S2686" s="94"/>
    </row>
    <row r="2687" spans="1:19" hidden="1">
      <c r="A2687" s="103" t="s">
        <v>4424</v>
      </c>
      <c r="B2687" s="94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38</v>
      </c>
      <c r="R2687" s="110" t="s">
        <v>485</v>
      </c>
      <c r="S2687" s="94"/>
    </row>
    <row r="2688" spans="1:19" hidden="1">
      <c r="A2688" s="103" t="s">
        <v>4424</v>
      </c>
      <c r="B2688" s="94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38</v>
      </c>
      <c r="R2688" s="110" t="s">
        <v>485</v>
      </c>
      <c r="S2688" s="94"/>
    </row>
    <row r="2689" spans="1:19" hidden="1">
      <c r="A2689" s="103" t="s">
        <v>4424</v>
      </c>
      <c r="B2689" s="94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38</v>
      </c>
      <c r="R2689" s="110" t="s">
        <v>485</v>
      </c>
      <c r="S2689" s="94"/>
    </row>
    <row r="2690" spans="1:19" hidden="1">
      <c r="A2690" s="103" t="s">
        <v>4424</v>
      </c>
      <c r="B2690" s="94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38</v>
      </c>
      <c r="R2690" s="110" t="s">
        <v>485</v>
      </c>
      <c r="S2690" s="94"/>
    </row>
    <row r="2691" spans="1:19" hidden="1">
      <c r="A2691" s="103" t="s">
        <v>4424</v>
      </c>
      <c r="B2691" s="94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38</v>
      </c>
      <c r="R2691" s="110" t="s">
        <v>485</v>
      </c>
      <c r="S2691" s="94"/>
    </row>
    <row r="2692" spans="1:19" hidden="1">
      <c r="A2692" s="103" t="s">
        <v>4424</v>
      </c>
      <c r="B2692" s="94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38</v>
      </c>
      <c r="R2692" s="110" t="s">
        <v>485</v>
      </c>
      <c r="S2692" s="94"/>
    </row>
    <row r="2693" spans="1:19" hidden="1">
      <c r="A2693" s="103" t="s">
        <v>4424</v>
      </c>
      <c r="B2693" s="94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38</v>
      </c>
      <c r="R2693" s="110" t="s">
        <v>485</v>
      </c>
      <c r="S2693" s="94"/>
    </row>
    <row r="2694" spans="1:19" hidden="1">
      <c r="A2694" s="103" t="s">
        <v>4424</v>
      </c>
      <c r="B2694" s="94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38</v>
      </c>
      <c r="R2694" s="110" t="s">
        <v>485</v>
      </c>
      <c r="S2694" s="94"/>
    </row>
    <row r="2695" spans="1:19" hidden="1">
      <c r="A2695" s="103" t="s">
        <v>4424</v>
      </c>
      <c r="B2695" s="94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38</v>
      </c>
      <c r="R2695" s="110" t="s">
        <v>485</v>
      </c>
      <c r="S2695" s="94"/>
    </row>
    <row r="2696" spans="1:19" hidden="1">
      <c r="A2696" s="103" t="s">
        <v>4424</v>
      </c>
      <c r="B2696" s="94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38</v>
      </c>
      <c r="R2696" s="110" t="s">
        <v>485</v>
      </c>
      <c r="S2696" s="94"/>
    </row>
    <row r="2697" spans="1:19" hidden="1">
      <c r="A2697" s="103" t="s">
        <v>4424</v>
      </c>
      <c r="B2697" s="94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38</v>
      </c>
      <c r="R2697" s="110" t="s">
        <v>485</v>
      </c>
      <c r="S2697" s="94"/>
    </row>
    <row r="2698" spans="1:19" hidden="1">
      <c r="A2698" s="103" t="s">
        <v>4424</v>
      </c>
      <c r="B2698" s="94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38</v>
      </c>
      <c r="R2698" s="110" t="s">
        <v>485</v>
      </c>
      <c r="S2698" s="94"/>
    </row>
    <row r="2699" spans="1:19" hidden="1">
      <c r="A2699" s="103" t="s">
        <v>4424</v>
      </c>
      <c r="B2699" s="94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38</v>
      </c>
      <c r="R2699" s="110" t="s">
        <v>485</v>
      </c>
      <c r="S2699" s="94"/>
    </row>
    <row r="2700" spans="1:19" hidden="1">
      <c r="A2700" s="103" t="s">
        <v>4424</v>
      </c>
      <c r="B2700" s="94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38</v>
      </c>
      <c r="R2700" s="110" t="s">
        <v>485</v>
      </c>
      <c r="S2700" s="94"/>
    </row>
    <row r="2701" spans="1:19" hidden="1">
      <c r="A2701" s="103" t="s">
        <v>4424</v>
      </c>
      <c r="B2701" s="94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38</v>
      </c>
      <c r="R2701" s="110" t="s">
        <v>485</v>
      </c>
      <c r="S2701" s="94"/>
    </row>
    <row r="2702" spans="1:19" hidden="1">
      <c r="A2702" s="103" t="s">
        <v>4424</v>
      </c>
      <c r="B2702" s="94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38</v>
      </c>
      <c r="R2702" s="110" t="s">
        <v>485</v>
      </c>
      <c r="S2702" s="94"/>
    </row>
    <row r="2703" spans="1:19" hidden="1">
      <c r="A2703" s="103" t="s">
        <v>4424</v>
      </c>
      <c r="B2703" s="94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38</v>
      </c>
      <c r="R2703" s="110" t="s">
        <v>485</v>
      </c>
      <c r="S2703" s="94"/>
    </row>
    <row r="2704" spans="1:19" hidden="1">
      <c r="A2704" s="103" t="s">
        <v>4424</v>
      </c>
      <c r="B2704" s="94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38</v>
      </c>
      <c r="R2704" s="110" t="s">
        <v>485</v>
      </c>
      <c r="S2704" s="94"/>
    </row>
    <row r="2705" spans="1:19" hidden="1">
      <c r="A2705" s="103" t="s">
        <v>4424</v>
      </c>
      <c r="B2705" s="94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38</v>
      </c>
      <c r="R2705" s="110" t="s">
        <v>485</v>
      </c>
      <c r="S2705" s="94"/>
    </row>
    <row r="2706" spans="1:19" hidden="1">
      <c r="A2706" s="103" t="s">
        <v>4424</v>
      </c>
      <c r="B2706" s="94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38</v>
      </c>
      <c r="R2706" s="110" t="s">
        <v>485</v>
      </c>
      <c r="S2706" s="94"/>
    </row>
    <row r="2707" spans="1:19" hidden="1">
      <c r="A2707" s="103" t="s">
        <v>4424</v>
      </c>
      <c r="B2707" s="94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38</v>
      </c>
      <c r="R2707" s="110" t="s">
        <v>485</v>
      </c>
      <c r="S2707" s="94"/>
    </row>
    <row r="2708" spans="1:19" hidden="1">
      <c r="A2708" s="103" t="s">
        <v>4424</v>
      </c>
      <c r="B2708" s="94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38</v>
      </c>
      <c r="R2708" s="110" t="s">
        <v>485</v>
      </c>
      <c r="S2708" s="94"/>
    </row>
    <row r="2709" spans="1:19" hidden="1">
      <c r="A2709" s="103" t="s">
        <v>4424</v>
      </c>
      <c r="B2709" s="94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38</v>
      </c>
      <c r="R2709" s="110" t="s">
        <v>485</v>
      </c>
      <c r="S2709" s="94"/>
    </row>
    <row r="2710" spans="1:19" hidden="1">
      <c r="A2710" s="103" t="s">
        <v>4424</v>
      </c>
      <c r="B2710" s="94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38</v>
      </c>
      <c r="R2710" s="110" t="s">
        <v>485</v>
      </c>
      <c r="S2710" s="94"/>
    </row>
    <row r="2711" spans="1:19" hidden="1">
      <c r="A2711" s="103" t="s">
        <v>4424</v>
      </c>
      <c r="B2711" s="94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38</v>
      </c>
      <c r="R2711" s="110" t="s">
        <v>485</v>
      </c>
      <c r="S2711" s="94"/>
    </row>
    <row r="2712" spans="1:19" hidden="1">
      <c r="A2712" s="103" t="s">
        <v>4424</v>
      </c>
      <c r="B2712" s="94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38</v>
      </c>
      <c r="R2712" s="110" t="s">
        <v>485</v>
      </c>
      <c r="S2712" s="94"/>
    </row>
    <row r="2713" spans="1:19" hidden="1">
      <c r="A2713" s="103" t="s">
        <v>4424</v>
      </c>
      <c r="B2713" s="94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38</v>
      </c>
      <c r="R2713" s="110" t="s">
        <v>485</v>
      </c>
      <c r="S2713" s="94"/>
    </row>
    <row r="2714" spans="1:19" hidden="1">
      <c r="A2714" s="103" t="s">
        <v>4424</v>
      </c>
      <c r="B2714" s="94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38</v>
      </c>
      <c r="R2714" s="110" t="s">
        <v>485</v>
      </c>
      <c r="S2714" s="94"/>
    </row>
    <row r="2715" spans="1:19" hidden="1">
      <c r="A2715" s="103" t="s">
        <v>4424</v>
      </c>
      <c r="B2715" s="94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38</v>
      </c>
      <c r="R2715" s="110" t="s">
        <v>485</v>
      </c>
      <c r="S2715" s="94"/>
    </row>
    <row r="2716" spans="1:19" hidden="1">
      <c r="A2716" s="103" t="s">
        <v>4424</v>
      </c>
      <c r="B2716" s="94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38</v>
      </c>
      <c r="R2716" s="110" t="s">
        <v>485</v>
      </c>
      <c r="S2716" s="94"/>
    </row>
    <row r="2717" spans="1:19" hidden="1">
      <c r="A2717" s="103" t="s">
        <v>4424</v>
      </c>
      <c r="B2717" s="94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38</v>
      </c>
      <c r="R2717" s="110" t="s">
        <v>485</v>
      </c>
      <c r="S2717" s="94"/>
    </row>
    <row r="2718" spans="1:19" hidden="1">
      <c r="A2718" s="103" t="s">
        <v>4424</v>
      </c>
      <c r="B2718" s="94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38</v>
      </c>
      <c r="R2718" s="110" t="s">
        <v>485</v>
      </c>
      <c r="S2718" s="94"/>
    </row>
    <row r="2719" spans="1:19" hidden="1">
      <c r="A2719" s="103" t="s">
        <v>4424</v>
      </c>
      <c r="B2719" s="94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38</v>
      </c>
      <c r="R2719" s="110" t="s">
        <v>485</v>
      </c>
      <c r="S2719" s="94"/>
    </row>
    <row r="2720" spans="1:19" hidden="1">
      <c r="A2720" s="103" t="s">
        <v>4424</v>
      </c>
      <c r="B2720" s="94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38</v>
      </c>
      <c r="R2720" s="110" t="s">
        <v>485</v>
      </c>
      <c r="S2720" s="94"/>
    </row>
    <row r="2721" spans="1:19" hidden="1">
      <c r="A2721" s="103" t="s">
        <v>4424</v>
      </c>
      <c r="B2721" s="94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38</v>
      </c>
      <c r="R2721" s="110" t="s">
        <v>485</v>
      </c>
      <c r="S2721" s="94"/>
    </row>
    <row r="2722" spans="1:19" hidden="1">
      <c r="A2722" s="103" t="s">
        <v>4424</v>
      </c>
      <c r="B2722" s="94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38</v>
      </c>
      <c r="R2722" s="110" t="s">
        <v>485</v>
      </c>
      <c r="S2722" s="94"/>
    </row>
    <row r="2723" spans="1:19" hidden="1">
      <c r="A2723" s="103" t="s">
        <v>4424</v>
      </c>
      <c r="B2723" s="94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38</v>
      </c>
      <c r="R2723" s="110" t="s">
        <v>485</v>
      </c>
      <c r="S2723" s="94"/>
    </row>
    <row r="2724" spans="1:19" hidden="1">
      <c r="A2724" s="103" t="s">
        <v>4424</v>
      </c>
      <c r="B2724" s="94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38</v>
      </c>
      <c r="R2724" s="110" t="s">
        <v>485</v>
      </c>
      <c r="S2724" s="94"/>
    </row>
    <row r="2725" spans="1:19" hidden="1">
      <c r="A2725" s="103" t="s">
        <v>4424</v>
      </c>
      <c r="B2725" s="94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38</v>
      </c>
      <c r="R2725" s="110" t="s">
        <v>485</v>
      </c>
      <c r="S2725" s="94"/>
    </row>
    <row r="2726" spans="1:19" hidden="1">
      <c r="A2726" s="103" t="s">
        <v>4424</v>
      </c>
      <c r="B2726" s="94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38</v>
      </c>
      <c r="R2726" s="110" t="s">
        <v>485</v>
      </c>
      <c r="S2726" s="94"/>
    </row>
    <row r="2727" spans="1:19" hidden="1">
      <c r="A2727" s="103" t="s">
        <v>4424</v>
      </c>
      <c r="B2727" s="94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38</v>
      </c>
      <c r="R2727" s="110" t="s">
        <v>485</v>
      </c>
      <c r="S2727" s="94"/>
    </row>
    <row r="2728" spans="1:19" hidden="1">
      <c r="A2728" s="103" t="s">
        <v>4424</v>
      </c>
      <c r="B2728" s="94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38</v>
      </c>
      <c r="R2728" s="110" t="s">
        <v>485</v>
      </c>
      <c r="S2728" s="94"/>
    </row>
    <row r="2729" spans="1:19" hidden="1">
      <c r="A2729" s="103" t="s">
        <v>4424</v>
      </c>
      <c r="B2729" s="94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38</v>
      </c>
      <c r="R2729" s="110" t="s">
        <v>485</v>
      </c>
      <c r="S2729" s="94"/>
    </row>
    <row r="2730" spans="1:19" hidden="1">
      <c r="A2730" s="103" t="s">
        <v>4424</v>
      </c>
      <c r="B2730" s="94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38</v>
      </c>
      <c r="R2730" s="110" t="s">
        <v>485</v>
      </c>
      <c r="S2730" s="94"/>
    </row>
    <row r="2731" spans="1:19" hidden="1">
      <c r="A2731" s="103" t="s">
        <v>4424</v>
      </c>
      <c r="B2731" s="94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38</v>
      </c>
      <c r="R2731" s="110" t="s">
        <v>485</v>
      </c>
      <c r="S2731" s="94"/>
    </row>
    <row r="2732" spans="1:19" hidden="1">
      <c r="A2732" s="103" t="s">
        <v>4424</v>
      </c>
      <c r="B2732" s="94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38</v>
      </c>
      <c r="R2732" s="110" t="s">
        <v>485</v>
      </c>
      <c r="S2732" s="94"/>
    </row>
    <row r="2733" spans="1:19" hidden="1">
      <c r="A2733" s="103" t="s">
        <v>4424</v>
      </c>
      <c r="B2733" s="94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38</v>
      </c>
      <c r="R2733" s="110" t="s">
        <v>485</v>
      </c>
      <c r="S2733" s="94"/>
    </row>
    <row r="2734" spans="1:19" hidden="1">
      <c r="A2734" s="103" t="s">
        <v>4424</v>
      </c>
      <c r="B2734" s="94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38</v>
      </c>
      <c r="R2734" s="110" t="s">
        <v>485</v>
      </c>
      <c r="S2734" s="94"/>
    </row>
    <row r="2735" spans="1:19" hidden="1">
      <c r="A2735" s="103" t="s">
        <v>4424</v>
      </c>
      <c r="B2735" s="94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38</v>
      </c>
      <c r="R2735" s="110" t="s">
        <v>485</v>
      </c>
      <c r="S2735" s="94"/>
    </row>
    <row r="2736" spans="1:19" hidden="1">
      <c r="A2736" s="103" t="s">
        <v>4424</v>
      </c>
      <c r="B2736" s="94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38</v>
      </c>
      <c r="R2736" s="110" t="s">
        <v>485</v>
      </c>
      <c r="S2736" s="94"/>
    </row>
    <row r="2737" spans="1:19" hidden="1">
      <c r="A2737" s="103" t="s">
        <v>4424</v>
      </c>
      <c r="B2737" s="94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38</v>
      </c>
      <c r="R2737" s="110" t="s">
        <v>485</v>
      </c>
      <c r="S2737" s="94"/>
    </row>
    <row r="2738" spans="1:19" hidden="1">
      <c r="A2738" s="103" t="s">
        <v>4424</v>
      </c>
      <c r="B2738" s="94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38</v>
      </c>
      <c r="R2738" s="110" t="s">
        <v>485</v>
      </c>
      <c r="S2738" s="94"/>
    </row>
    <row r="2739" spans="1:19" hidden="1">
      <c r="A2739" s="103" t="s">
        <v>4424</v>
      </c>
      <c r="B2739" s="94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38</v>
      </c>
      <c r="R2739" s="110" t="s">
        <v>485</v>
      </c>
      <c r="S2739" s="94"/>
    </row>
    <row r="2740" spans="1:19" hidden="1">
      <c r="A2740" s="103" t="s">
        <v>4424</v>
      </c>
      <c r="B2740" s="94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38</v>
      </c>
      <c r="R2740" s="110" t="s">
        <v>485</v>
      </c>
      <c r="S2740" s="94"/>
    </row>
    <row r="2741" spans="1:19" hidden="1">
      <c r="A2741" s="103" t="s">
        <v>4424</v>
      </c>
      <c r="B2741" s="94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38</v>
      </c>
      <c r="R2741" s="110" t="s">
        <v>485</v>
      </c>
      <c r="S2741" s="94"/>
    </row>
    <row r="2742" spans="1:19" hidden="1">
      <c r="A2742" s="103" t="s">
        <v>4424</v>
      </c>
      <c r="B2742" s="94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38</v>
      </c>
      <c r="R2742" s="110" t="s">
        <v>485</v>
      </c>
      <c r="S2742" s="94"/>
    </row>
    <row r="2743" spans="1:19" hidden="1">
      <c r="A2743" s="103" t="s">
        <v>4424</v>
      </c>
      <c r="B2743" s="94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38</v>
      </c>
      <c r="R2743" s="110" t="s">
        <v>485</v>
      </c>
      <c r="S2743" s="94"/>
    </row>
    <row r="2744" spans="1:19" hidden="1">
      <c r="A2744" s="103" t="s">
        <v>4424</v>
      </c>
      <c r="B2744" s="94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38</v>
      </c>
      <c r="R2744" s="110" t="s">
        <v>485</v>
      </c>
      <c r="S2744" s="94"/>
    </row>
    <row r="2745" spans="1:19" hidden="1">
      <c r="A2745" s="103" t="s">
        <v>4424</v>
      </c>
      <c r="B2745" s="94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38</v>
      </c>
      <c r="R2745" s="110" t="s">
        <v>485</v>
      </c>
      <c r="S2745" s="94"/>
    </row>
    <row r="2746" spans="1:19" hidden="1">
      <c r="A2746" s="103" t="s">
        <v>4424</v>
      </c>
      <c r="B2746" s="94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38</v>
      </c>
      <c r="R2746" s="110" t="s">
        <v>485</v>
      </c>
      <c r="S2746" s="94"/>
    </row>
    <row r="2747" spans="1:19" hidden="1">
      <c r="A2747" s="103" t="s">
        <v>4424</v>
      </c>
      <c r="B2747" s="94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38</v>
      </c>
      <c r="R2747" s="110" t="s">
        <v>485</v>
      </c>
      <c r="S2747" s="94"/>
    </row>
    <row r="2748" spans="1:19" hidden="1">
      <c r="A2748" s="103" t="s">
        <v>4424</v>
      </c>
      <c r="B2748" s="94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38</v>
      </c>
      <c r="R2748" s="110" t="s">
        <v>485</v>
      </c>
      <c r="S2748" s="94"/>
    </row>
    <row r="2749" spans="1:19" hidden="1">
      <c r="A2749" s="103" t="s">
        <v>4424</v>
      </c>
      <c r="B2749" s="94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38</v>
      </c>
      <c r="R2749" s="110" t="s">
        <v>485</v>
      </c>
      <c r="S2749" s="94"/>
    </row>
    <row r="2750" spans="1:19" hidden="1">
      <c r="A2750" s="103" t="s">
        <v>4424</v>
      </c>
      <c r="B2750" s="94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38</v>
      </c>
      <c r="R2750" s="110" t="s">
        <v>485</v>
      </c>
      <c r="S2750" s="94"/>
    </row>
    <row r="2751" spans="1:19" hidden="1">
      <c r="A2751" s="103" t="s">
        <v>4424</v>
      </c>
      <c r="B2751" s="94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38</v>
      </c>
      <c r="R2751" s="110" t="s">
        <v>485</v>
      </c>
      <c r="S2751" s="94"/>
    </row>
    <row r="2752" spans="1:19" hidden="1">
      <c r="A2752" s="103" t="s">
        <v>4424</v>
      </c>
      <c r="B2752" s="94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38</v>
      </c>
      <c r="R2752" s="110" t="s">
        <v>485</v>
      </c>
      <c r="S2752" s="94"/>
    </row>
    <row r="2753" spans="1:19" hidden="1">
      <c r="A2753" s="103" t="s">
        <v>4424</v>
      </c>
      <c r="B2753" s="94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38</v>
      </c>
      <c r="R2753" s="110" t="s">
        <v>485</v>
      </c>
      <c r="S2753" s="94"/>
    </row>
    <row r="2754" spans="1:19" hidden="1">
      <c r="A2754" s="103" t="s">
        <v>4424</v>
      </c>
      <c r="B2754" s="94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38</v>
      </c>
      <c r="R2754" s="110" t="s">
        <v>485</v>
      </c>
      <c r="S2754" s="94"/>
    </row>
    <row r="2755" spans="1:19" hidden="1">
      <c r="A2755" s="103" t="s">
        <v>4424</v>
      </c>
      <c r="B2755" s="94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38</v>
      </c>
      <c r="R2755" s="110" t="s">
        <v>485</v>
      </c>
      <c r="S2755" s="94"/>
    </row>
    <row r="2756" spans="1:19" hidden="1">
      <c r="A2756" s="103" t="s">
        <v>4424</v>
      </c>
      <c r="B2756" s="94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38</v>
      </c>
      <c r="R2756" s="110" t="s">
        <v>485</v>
      </c>
      <c r="S2756" s="94"/>
    </row>
    <row r="2757" spans="1:19" hidden="1">
      <c r="A2757" s="103" t="s">
        <v>4424</v>
      </c>
      <c r="B2757" s="94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38</v>
      </c>
      <c r="R2757" s="110" t="s">
        <v>485</v>
      </c>
      <c r="S2757" s="94"/>
    </row>
    <row r="2758" spans="1:19" hidden="1">
      <c r="A2758" s="103" t="s">
        <v>4424</v>
      </c>
      <c r="B2758" s="94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38</v>
      </c>
      <c r="R2758" s="110" t="s">
        <v>485</v>
      </c>
      <c r="S2758" s="94"/>
    </row>
    <row r="2759" spans="1:19" hidden="1">
      <c r="A2759" s="103" t="s">
        <v>4424</v>
      </c>
      <c r="B2759" s="94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38</v>
      </c>
      <c r="R2759" s="110" t="s">
        <v>485</v>
      </c>
      <c r="S2759" s="94"/>
    </row>
    <row r="2760" spans="1:19" hidden="1">
      <c r="A2760" s="103" t="s">
        <v>4424</v>
      </c>
      <c r="B2760" s="94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38</v>
      </c>
      <c r="R2760" s="110" t="s">
        <v>485</v>
      </c>
      <c r="S2760" s="94"/>
    </row>
    <row r="2761" spans="1:19" hidden="1">
      <c r="A2761" s="103" t="s">
        <v>4424</v>
      </c>
      <c r="B2761" s="94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38</v>
      </c>
      <c r="R2761" s="110" t="s">
        <v>485</v>
      </c>
      <c r="S2761" s="94"/>
    </row>
    <row r="2762" spans="1:19" hidden="1">
      <c r="A2762" s="103" t="s">
        <v>4424</v>
      </c>
      <c r="B2762" s="94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38</v>
      </c>
      <c r="R2762" s="110" t="s">
        <v>485</v>
      </c>
      <c r="S2762" s="94"/>
    </row>
    <row r="2763" spans="1:19" hidden="1">
      <c r="A2763" s="103" t="s">
        <v>4424</v>
      </c>
      <c r="B2763" s="94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38</v>
      </c>
      <c r="R2763" s="110" t="s">
        <v>485</v>
      </c>
      <c r="S2763" s="94"/>
    </row>
    <row r="2764" spans="1:19" hidden="1">
      <c r="A2764" s="103" t="s">
        <v>4424</v>
      </c>
      <c r="B2764" s="94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38</v>
      </c>
      <c r="R2764" s="110" t="s">
        <v>485</v>
      </c>
      <c r="S2764" s="94"/>
    </row>
    <row r="2765" spans="1:19" hidden="1">
      <c r="A2765" s="103" t="s">
        <v>4424</v>
      </c>
      <c r="B2765" s="94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38</v>
      </c>
      <c r="R2765" s="110" t="s">
        <v>485</v>
      </c>
      <c r="S2765" s="94"/>
    </row>
    <row r="2766" spans="1:19" hidden="1">
      <c r="A2766" s="103" t="s">
        <v>4424</v>
      </c>
      <c r="B2766" s="94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38</v>
      </c>
      <c r="R2766" s="110" t="s">
        <v>485</v>
      </c>
      <c r="S2766" s="94"/>
    </row>
    <row r="2767" spans="1:19" hidden="1">
      <c r="A2767" s="103" t="s">
        <v>4424</v>
      </c>
      <c r="B2767" s="94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38</v>
      </c>
      <c r="R2767" s="110" t="s">
        <v>485</v>
      </c>
      <c r="S2767" s="94"/>
    </row>
    <row r="2768" spans="1:19" hidden="1">
      <c r="A2768" s="103" t="s">
        <v>4424</v>
      </c>
      <c r="B2768" s="94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38</v>
      </c>
      <c r="R2768" s="110" t="s">
        <v>485</v>
      </c>
      <c r="S2768" s="94"/>
    </row>
    <row r="2769" spans="1:19" hidden="1">
      <c r="A2769" s="103" t="s">
        <v>4424</v>
      </c>
      <c r="B2769" s="94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38</v>
      </c>
      <c r="R2769" s="110" t="s">
        <v>485</v>
      </c>
      <c r="S2769" s="94"/>
    </row>
    <row r="2770" spans="1:19" hidden="1">
      <c r="A2770" s="103" t="s">
        <v>4424</v>
      </c>
      <c r="B2770" s="94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38</v>
      </c>
      <c r="R2770" s="110" t="s">
        <v>485</v>
      </c>
      <c r="S2770" s="94"/>
    </row>
    <row r="2771" spans="1:19" hidden="1">
      <c r="A2771" s="103" t="s">
        <v>4424</v>
      </c>
      <c r="B2771" s="94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38</v>
      </c>
      <c r="R2771" s="110" t="s">
        <v>485</v>
      </c>
      <c r="S2771" s="94"/>
    </row>
    <row r="2772" spans="1:19" hidden="1">
      <c r="A2772" s="103" t="s">
        <v>4424</v>
      </c>
      <c r="B2772" s="94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38</v>
      </c>
      <c r="R2772" s="110" t="s">
        <v>485</v>
      </c>
      <c r="S2772" s="94"/>
    </row>
    <row r="2773" spans="1:19" hidden="1">
      <c r="A2773" s="103" t="s">
        <v>4424</v>
      </c>
      <c r="B2773" s="94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38</v>
      </c>
      <c r="R2773" s="110" t="s">
        <v>485</v>
      </c>
      <c r="S2773" s="94"/>
    </row>
    <row r="2774" spans="1:19" hidden="1">
      <c r="A2774" s="103" t="s">
        <v>4424</v>
      </c>
      <c r="B2774" s="94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38</v>
      </c>
      <c r="R2774" s="110" t="s">
        <v>485</v>
      </c>
      <c r="S2774" s="94"/>
    </row>
    <row r="2775" spans="1:19" hidden="1">
      <c r="A2775" s="103" t="s">
        <v>4424</v>
      </c>
      <c r="B2775" s="94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38</v>
      </c>
      <c r="R2775" s="110" t="s">
        <v>485</v>
      </c>
      <c r="S2775" s="94"/>
    </row>
    <row r="2776" spans="1:19" hidden="1">
      <c r="A2776" s="103" t="s">
        <v>4424</v>
      </c>
      <c r="B2776" s="94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38</v>
      </c>
      <c r="R2776" s="110" t="s">
        <v>485</v>
      </c>
      <c r="S2776" s="94"/>
    </row>
    <row r="2777" spans="1:19" hidden="1">
      <c r="A2777" s="103" t="s">
        <v>4424</v>
      </c>
      <c r="B2777" s="94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38</v>
      </c>
      <c r="R2777" s="110" t="s">
        <v>485</v>
      </c>
      <c r="S2777" s="94"/>
    </row>
    <row r="2778" spans="1:19" hidden="1">
      <c r="A2778" s="103" t="s">
        <v>4424</v>
      </c>
      <c r="B2778" s="94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38</v>
      </c>
      <c r="R2778" s="110" t="s">
        <v>485</v>
      </c>
      <c r="S2778" s="94"/>
    </row>
    <row r="2779" spans="1:19" hidden="1">
      <c r="A2779" s="103" t="s">
        <v>4424</v>
      </c>
      <c r="B2779" s="94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38</v>
      </c>
      <c r="R2779" s="110" t="s">
        <v>485</v>
      </c>
      <c r="S2779" s="94"/>
    </row>
    <row r="2780" spans="1:19" hidden="1">
      <c r="A2780" s="103" t="s">
        <v>4424</v>
      </c>
      <c r="B2780" s="94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38</v>
      </c>
      <c r="R2780" s="110" t="s">
        <v>485</v>
      </c>
      <c r="S2780" s="94"/>
    </row>
    <row r="2781" spans="1:19" hidden="1">
      <c r="A2781" s="103" t="s">
        <v>4424</v>
      </c>
      <c r="B2781" s="94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38</v>
      </c>
      <c r="R2781" s="110" t="s">
        <v>485</v>
      </c>
      <c r="S2781" s="94"/>
    </row>
    <row r="2782" spans="1:19" hidden="1">
      <c r="A2782" s="103" t="s">
        <v>4424</v>
      </c>
      <c r="B2782" s="94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38</v>
      </c>
      <c r="R2782" s="110" t="s">
        <v>485</v>
      </c>
      <c r="S2782" s="94"/>
    </row>
    <row r="2783" spans="1:19" hidden="1">
      <c r="A2783" s="103" t="s">
        <v>4424</v>
      </c>
      <c r="B2783" s="94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38</v>
      </c>
      <c r="R2783" s="110" t="s">
        <v>485</v>
      </c>
      <c r="S2783" s="94"/>
    </row>
    <row r="2784" spans="1:19" hidden="1">
      <c r="A2784" s="103" t="s">
        <v>4424</v>
      </c>
      <c r="B2784" s="94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38</v>
      </c>
      <c r="R2784" s="110" t="s">
        <v>485</v>
      </c>
      <c r="S2784" s="94"/>
    </row>
    <row r="2785" spans="1:19" hidden="1">
      <c r="A2785" s="103" t="s">
        <v>4424</v>
      </c>
      <c r="B2785" s="94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38</v>
      </c>
      <c r="R2785" s="110" t="s">
        <v>485</v>
      </c>
      <c r="S2785" s="94"/>
    </row>
    <row r="2786" spans="1:19" hidden="1">
      <c r="A2786" s="103" t="s">
        <v>4424</v>
      </c>
      <c r="B2786" s="94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38</v>
      </c>
      <c r="R2786" s="110" t="s">
        <v>485</v>
      </c>
      <c r="S2786" s="94"/>
    </row>
    <row r="2787" spans="1:19" hidden="1">
      <c r="A2787" s="103" t="s">
        <v>4424</v>
      </c>
      <c r="B2787" s="94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38</v>
      </c>
      <c r="R2787" s="110" t="s">
        <v>485</v>
      </c>
      <c r="S2787" s="94"/>
    </row>
    <row r="2788" spans="1:19" hidden="1">
      <c r="A2788" s="103" t="s">
        <v>4424</v>
      </c>
      <c r="B2788" s="94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38</v>
      </c>
      <c r="R2788" s="110" t="s">
        <v>485</v>
      </c>
      <c r="S2788" s="94"/>
    </row>
    <row r="2789" spans="1:19" hidden="1">
      <c r="A2789" s="103" t="s">
        <v>4424</v>
      </c>
      <c r="B2789" s="94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38</v>
      </c>
      <c r="R2789" s="110" t="s">
        <v>485</v>
      </c>
      <c r="S2789" s="94"/>
    </row>
    <row r="2790" spans="1:19" hidden="1">
      <c r="A2790" s="103" t="s">
        <v>4424</v>
      </c>
      <c r="B2790" s="94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38</v>
      </c>
      <c r="R2790" s="110" t="s">
        <v>485</v>
      </c>
      <c r="S2790" s="94"/>
    </row>
    <row r="2791" spans="1:19" hidden="1">
      <c r="A2791" s="103" t="s">
        <v>4424</v>
      </c>
      <c r="B2791" s="94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38</v>
      </c>
      <c r="R2791" s="110" t="s">
        <v>485</v>
      </c>
      <c r="S2791" s="94"/>
    </row>
    <row r="2792" spans="1:19" hidden="1">
      <c r="A2792" s="103" t="s">
        <v>4424</v>
      </c>
      <c r="B2792" s="94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38</v>
      </c>
      <c r="R2792" s="110" t="s">
        <v>485</v>
      </c>
      <c r="S2792" s="94"/>
    </row>
    <row r="2793" spans="1:19" hidden="1">
      <c r="A2793" s="103" t="s">
        <v>4424</v>
      </c>
      <c r="B2793" s="94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38</v>
      </c>
      <c r="R2793" s="110" t="s">
        <v>485</v>
      </c>
      <c r="S2793" s="94"/>
    </row>
    <row r="2794" spans="1:19" hidden="1">
      <c r="A2794" s="103" t="s">
        <v>4424</v>
      </c>
      <c r="B2794" s="94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38</v>
      </c>
      <c r="R2794" s="110" t="s">
        <v>485</v>
      </c>
      <c r="S2794" s="94"/>
    </row>
    <row r="2795" spans="1:19" hidden="1">
      <c r="A2795" s="103" t="s">
        <v>4424</v>
      </c>
      <c r="B2795" s="94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38</v>
      </c>
      <c r="R2795" s="110" t="s">
        <v>485</v>
      </c>
      <c r="S2795" s="94"/>
    </row>
    <row r="2796" spans="1:19" hidden="1">
      <c r="A2796" s="103" t="s">
        <v>4424</v>
      </c>
      <c r="B2796" s="94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38</v>
      </c>
      <c r="R2796" s="110" t="s">
        <v>485</v>
      </c>
      <c r="S2796" s="94"/>
    </row>
    <row r="2797" spans="1:19" hidden="1">
      <c r="A2797" s="103" t="s">
        <v>4424</v>
      </c>
      <c r="B2797" s="94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38</v>
      </c>
      <c r="R2797" s="110" t="s">
        <v>485</v>
      </c>
      <c r="S2797" s="94"/>
    </row>
    <row r="2798" spans="1:19" hidden="1">
      <c r="A2798" s="103" t="s">
        <v>4424</v>
      </c>
      <c r="B2798" s="94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38</v>
      </c>
      <c r="R2798" s="110" t="s">
        <v>485</v>
      </c>
      <c r="S2798" s="94"/>
    </row>
    <row r="2799" spans="1:19" hidden="1">
      <c r="A2799" s="103" t="s">
        <v>4424</v>
      </c>
      <c r="B2799" s="94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38</v>
      </c>
      <c r="R2799" s="110" t="s">
        <v>485</v>
      </c>
      <c r="S2799" s="94"/>
    </row>
    <row r="2800" spans="1:19" hidden="1">
      <c r="A2800" s="103" t="s">
        <v>4424</v>
      </c>
      <c r="B2800" s="94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38</v>
      </c>
      <c r="R2800" s="110" t="s">
        <v>485</v>
      </c>
      <c r="S2800" s="94"/>
    </row>
    <row r="2801" spans="1:19" hidden="1">
      <c r="A2801" s="103" t="s">
        <v>4424</v>
      </c>
      <c r="B2801" s="94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38</v>
      </c>
      <c r="R2801" s="110" t="s">
        <v>485</v>
      </c>
      <c r="S2801" s="94"/>
    </row>
    <row r="2802" spans="1:19" hidden="1">
      <c r="A2802" s="103" t="s">
        <v>4424</v>
      </c>
      <c r="B2802" s="94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38</v>
      </c>
      <c r="R2802" s="110" t="s">
        <v>485</v>
      </c>
      <c r="S2802" s="94"/>
    </row>
    <row r="2803" spans="1:19" hidden="1">
      <c r="A2803" s="103" t="s">
        <v>4424</v>
      </c>
      <c r="B2803" s="94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38</v>
      </c>
      <c r="R2803" s="110" t="s">
        <v>485</v>
      </c>
      <c r="S2803" s="94"/>
    </row>
    <row r="2804" spans="1:19" hidden="1">
      <c r="A2804" s="103" t="s">
        <v>4424</v>
      </c>
      <c r="B2804" s="94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38</v>
      </c>
      <c r="R2804" s="110" t="s">
        <v>485</v>
      </c>
      <c r="S2804" s="94"/>
    </row>
    <row r="2805" spans="1:19" hidden="1">
      <c r="A2805" s="103" t="s">
        <v>4424</v>
      </c>
      <c r="B2805" s="94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38</v>
      </c>
      <c r="R2805" s="110" t="s">
        <v>485</v>
      </c>
      <c r="S2805" s="94"/>
    </row>
    <row r="2806" spans="1:19" hidden="1">
      <c r="A2806" s="103" t="s">
        <v>4424</v>
      </c>
      <c r="B2806" s="94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38</v>
      </c>
      <c r="R2806" s="110" t="s">
        <v>485</v>
      </c>
      <c r="S2806" s="94"/>
    </row>
    <row r="2807" spans="1:19" hidden="1">
      <c r="A2807" s="103" t="s">
        <v>4424</v>
      </c>
      <c r="B2807" s="94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38</v>
      </c>
      <c r="R2807" s="110" t="s">
        <v>485</v>
      </c>
      <c r="S2807" s="94"/>
    </row>
    <row r="2808" spans="1:19" hidden="1">
      <c r="A2808" s="103" t="s">
        <v>4424</v>
      </c>
      <c r="B2808" s="94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38</v>
      </c>
      <c r="R2808" s="110" t="s">
        <v>485</v>
      </c>
      <c r="S2808" s="94"/>
    </row>
    <row r="2809" spans="1:19" hidden="1">
      <c r="A2809" s="103" t="s">
        <v>4424</v>
      </c>
      <c r="B2809" s="94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38</v>
      </c>
      <c r="R2809" s="110" t="s">
        <v>485</v>
      </c>
      <c r="S2809" s="94"/>
    </row>
    <row r="2810" spans="1:19" hidden="1">
      <c r="A2810" s="103" t="s">
        <v>4424</v>
      </c>
      <c r="B2810" s="94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38</v>
      </c>
      <c r="R2810" s="110" t="s">
        <v>485</v>
      </c>
      <c r="S2810" s="94"/>
    </row>
    <row r="2811" spans="1:19" hidden="1">
      <c r="A2811" s="103" t="s">
        <v>4424</v>
      </c>
      <c r="B2811" s="94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38</v>
      </c>
      <c r="R2811" s="110" t="s">
        <v>485</v>
      </c>
      <c r="S2811" s="94"/>
    </row>
    <row r="2812" spans="1:19" hidden="1">
      <c r="A2812" s="103" t="s">
        <v>4424</v>
      </c>
      <c r="B2812" s="94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38</v>
      </c>
      <c r="R2812" s="110" t="s">
        <v>485</v>
      </c>
      <c r="S2812" s="94"/>
    </row>
    <row r="2813" spans="1:19" hidden="1">
      <c r="A2813" t="s">
        <v>4757</v>
      </c>
      <c r="B2813" s="94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38</v>
      </c>
      <c r="R2813" s="110" t="s">
        <v>410</v>
      </c>
      <c r="S2813" s="94"/>
    </row>
    <row r="2814" spans="1:19" hidden="1">
      <c r="A2814" s="103" t="s">
        <v>4757</v>
      </c>
      <c r="B2814" s="94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38</v>
      </c>
      <c r="R2814" s="110" t="s">
        <v>410</v>
      </c>
      <c r="S2814" s="94"/>
    </row>
    <row r="2815" spans="1:19" hidden="1">
      <c r="A2815" s="103" t="s">
        <v>4757</v>
      </c>
      <c r="B2815" s="94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38</v>
      </c>
      <c r="R2815" s="110" t="s">
        <v>410</v>
      </c>
      <c r="S2815" s="94"/>
    </row>
    <row r="2816" spans="1:19" hidden="1">
      <c r="A2816" s="103" t="s">
        <v>4757</v>
      </c>
      <c r="B2816" s="94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38</v>
      </c>
      <c r="R2816" s="110" t="s">
        <v>410</v>
      </c>
      <c r="S2816" s="94"/>
    </row>
    <row r="2817" spans="1:19" hidden="1">
      <c r="A2817" s="103" t="s">
        <v>4757</v>
      </c>
      <c r="B2817" s="94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38</v>
      </c>
      <c r="R2817" s="110" t="s">
        <v>410</v>
      </c>
      <c r="S2817" s="94"/>
    </row>
    <row r="2818" spans="1:19" hidden="1">
      <c r="A2818" s="103" t="s">
        <v>4757</v>
      </c>
      <c r="B2818" s="94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38</v>
      </c>
      <c r="R2818" s="110" t="s">
        <v>410</v>
      </c>
      <c r="S2818" s="94"/>
    </row>
    <row r="2819" spans="1:19" hidden="1">
      <c r="A2819" s="103" t="s">
        <v>4757</v>
      </c>
      <c r="B2819" s="94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38</v>
      </c>
      <c r="R2819" s="110" t="s">
        <v>410</v>
      </c>
      <c r="S2819" s="94"/>
    </row>
    <row r="2820" spans="1:19" hidden="1">
      <c r="A2820" s="103" t="s">
        <v>4757</v>
      </c>
      <c r="B2820" s="94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38</v>
      </c>
      <c r="R2820" s="110" t="s">
        <v>410</v>
      </c>
      <c r="S2820" s="94"/>
    </row>
    <row r="2821" spans="1:19" hidden="1">
      <c r="A2821" t="s">
        <v>4767</v>
      </c>
      <c r="B2821" s="94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38</v>
      </c>
      <c r="R2821" s="94" t="s">
        <v>515</v>
      </c>
      <c r="S2821" s="94"/>
    </row>
    <row r="2822" spans="1:19" hidden="1">
      <c r="A2822" s="103" t="s">
        <v>4767</v>
      </c>
      <c r="B2822" s="94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38</v>
      </c>
      <c r="R2822" s="94" t="s">
        <v>515</v>
      </c>
      <c r="S2822" s="94"/>
    </row>
    <row r="2823" spans="1:19" hidden="1">
      <c r="A2823" s="103" t="s">
        <v>4767</v>
      </c>
      <c r="B2823" s="94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38</v>
      </c>
      <c r="R2823" s="94" t="s">
        <v>515</v>
      </c>
      <c r="S2823" s="94"/>
    </row>
    <row r="2824" spans="1:19" hidden="1">
      <c r="A2824" s="103" t="s">
        <v>4767</v>
      </c>
      <c r="B2824" s="94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38</v>
      </c>
      <c r="R2824" s="94" t="s">
        <v>515</v>
      </c>
      <c r="S2824" s="94"/>
    </row>
    <row r="2825" spans="1:19" hidden="1">
      <c r="A2825" s="103" t="s">
        <v>4767</v>
      </c>
      <c r="B2825" s="94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38</v>
      </c>
      <c r="R2825" s="94" t="s">
        <v>515</v>
      </c>
      <c r="S2825" s="94"/>
    </row>
    <row r="2826" spans="1:19" hidden="1">
      <c r="A2826" s="103" t="s">
        <v>4767</v>
      </c>
      <c r="B2826" s="94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38</v>
      </c>
      <c r="R2826" s="94" t="s">
        <v>515</v>
      </c>
      <c r="S2826" s="94"/>
    </row>
    <row r="2827" spans="1:19" hidden="1">
      <c r="A2827" s="103" t="s">
        <v>4767</v>
      </c>
      <c r="B2827" s="94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38</v>
      </c>
      <c r="R2827" s="94" t="s">
        <v>515</v>
      </c>
      <c r="S2827" s="94"/>
    </row>
    <row r="2828" spans="1:19" hidden="1">
      <c r="A2828" s="103" t="s">
        <v>4767</v>
      </c>
      <c r="B2828" s="94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38</v>
      </c>
      <c r="R2828" s="94" t="s">
        <v>515</v>
      </c>
      <c r="S2828" s="94"/>
    </row>
    <row r="2829" spans="1:19" hidden="1">
      <c r="A2829" s="103" t="s">
        <v>4767</v>
      </c>
      <c r="B2829" s="94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38</v>
      </c>
      <c r="R2829" s="94" t="s">
        <v>515</v>
      </c>
      <c r="S2829" s="94"/>
    </row>
    <row r="2830" spans="1:19" hidden="1">
      <c r="A2830" s="103" t="s">
        <v>4767</v>
      </c>
      <c r="B2830" s="94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38</v>
      </c>
      <c r="R2830" s="94" t="s">
        <v>515</v>
      </c>
      <c r="S2830" s="94"/>
    </row>
    <row r="2831" spans="1:19" hidden="1">
      <c r="A2831" s="103" t="s">
        <v>4767</v>
      </c>
      <c r="B2831" s="94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38</v>
      </c>
      <c r="R2831" s="94" t="s">
        <v>515</v>
      </c>
      <c r="S2831" s="94"/>
    </row>
    <row r="2832" spans="1:19" hidden="1">
      <c r="A2832" s="103" t="s">
        <v>4767</v>
      </c>
      <c r="B2832" s="94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38</v>
      </c>
      <c r="R2832" s="94" t="s">
        <v>515</v>
      </c>
      <c r="S2832" s="94"/>
    </row>
    <row r="2833" spans="1:19" hidden="1">
      <c r="A2833" t="s">
        <v>4784</v>
      </c>
      <c r="B2833" s="94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38</v>
      </c>
      <c r="R2833" s="110" t="s">
        <v>780</v>
      </c>
      <c r="S2833" s="94"/>
    </row>
    <row r="2834" spans="1:19" hidden="1">
      <c r="A2834" s="103" t="s">
        <v>4784</v>
      </c>
      <c r="B2834" s="94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38</v>
      </c>
      <c r="R2834" s="110" t="s">
        <v>780</v>
      </c>
      <c r="S2834" s="94"/>
    </row>
    <row r="2835" spans="1:19" hidden="1">
      <c r="A2835" t="s">
        <v>4788</v>
      </c>
      <c r="B2835" s="94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36</v>
      </c>
      <c r="R2835" s="110" t="s">
        <v>1459</v>
      </c>
      <c r="S2835" s="94"/>
    </row>
    <row r="2836" spans="1:19" hidden="1">
      <c r="A2836" s="114" t="s">
        <v>4790</v>
      </c>
      <c r="B2836" s="94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36</v>
      </c>
      <c r="R2836" s="115" t="s">
        <v>489</v>
      </c>
      <c r="S2836" s="94"/>
    </row>
    <row r="2837" spans="1:19" hidden="1">
      <c r="A2837" s="114" t="s">
        <v>4790</v>
      </c>
      <c r="B2837" s="94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36</v>
      </c>
      <c r="R2837" s="115" t="s">
        <v>489</v>
      </c>
      <c r="S2837" s="94"/>
    </row>
    <row r="2838" spans="1:19" hidden="1">
      <c r="A2838" s="114" t="s">
        <v>4790</v>
      </c>
      <c r="B2838" s="94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36</v>
      </c>
      <c r="R2838" s="115" t="s">
        <v>489</v>
      </c>
      <c r="S2838" s="94"/>
    </row>
    <row r="2839" spans="1:19" hidden="1">
      <c r="A2839" s="114" t="s">
        <v>4790</v>
      </c>
      <c r="B2839" s="94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36</v>
      </c>
      <c r="R2839" s="115" t="s">
        <v>489</v>
      </c>
      <c r="S2839" s="94"/>
    </row>
    <row r="2840" spans="1:19" hidden="1">
      <c r="A2840" s="114" t="s">
        <v>4790</v>
      </c>
      <c r="B2840" s="94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36</v>
      </c>
      <c r="R2840" s="115" t="s">
        <v>489</v>
      </c>
      <c r="S2840" s="94"/>
    </row>
    <row r="2841" spans="1:19" hidden="1">
      <c r="A2841" s="114" t="s">
        <v>4790</v>
      </c>
      <c r="B2841" s="94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36</v>
      </c>
      <c r="R2841" s="115" t="s">
        <v>489</v>
      </c>
      <c r="S2841" s="94"/>
    </row>
    <row r="2842" spans="1:19" hidden="1">
      <c r="A2842" s="114" t="s">
        <v>4790</v>
      </c>
      <c r="B2842" s="94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36</v>
      </c>
      <c r="R2842" s="115" t="s">
        <v>489</v>
      </c>
      <c r="S2842" s="94"/>
    </row>
    <row r="2843" spans="1:19" hidden="1">
      <c r="A2843" t="s">
        <v>4798</v>
      </c>
      <c r="B2843" s="94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36</v>
      </c>
      <c r="R2843" s="115" t="s">
        <v>489</v>
      </c>
      <c r="S2843" s="94"/>
    </row>
    <row r="2844" spans="1:19" hidden="1">
      <c r="A2844" t="s">
        <v>4801</v>
      </c>
      <c r="B2844" s="94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36</v>
      </c>
      <c r="R2844" s="115" t="s">
        <v>515</v>
      </c>
      <c r="S2844" s="94"/>
    </row>
    <row r="2845" spans="1:19" hidden="1">
      <c r="A2845" t="s">
        <v>4810</v>
      </c>
      <c r="B2845" s="94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35</v>
      </c>
      <c r="R2845" s="115" t="s">
        <v>489</v>
      </c>
      <c r="S2845" s="94"/>
    </row>
    <row r="2846" spans="1:19" hidden="1">
      <c r="A2846" s="117" t="s">
        <v>4810</v>
      </c>
      <c r="B2846" s="94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35</v>
      </c>
      <c r="R2846" s="115" t="s">
        <v>489</v>
      </c>
      <c r="S2846" s="94"/>
    </row>
    <row r="2847" spans="1:19" hidden="1">
      <c r="A2847" s="117" t="s">
        <v>4810</v>
      </c>
      <c r="B2847" s="94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35</v>
      </c>
      <c r="R2847" s="115" t="s">
        <v>489</v>
      </c>
      <c r="S2847" s="94"/>
    </row>
    <row r="2848" spans="1:19" hidden="1">
      <c r="A2848" t="s">
        <v>4814</v>
      </c>
      <c r="B2848" s="94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34</v>
      </c>
      <c r="R2848" s="115" t="s">
        <v>4822</v>
      </c>
      <c r="S2848" s="94"/>
    </row>
    <row r="2849" spans="1:19" hidden="1">
      <c r="A2849" t="s">
        <v>4816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34</v>
      </c>
      <c r="R2849" s="115" t="s">
        <v>4821</v>
      </c>
      <c r="S2849" s="94"/>
    </row>
    <row r="2850" spans="1:19" hidden="1">
      <c r="A2850" s="117" t="s">
        <v>4816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34</v>
      </c>
      <c r="R2850" s="115" t="s">
        <v>4821</v>
      </c>
      <c r="S2850" s="94"/>
    </row>
    <row r="2851" spans="1:19" hidden="1">
      <c r="A2851" s="117" t="s">
        <v>4816</v>
      </c>
      <c r="B2851" s="94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34</v>
      </c>
      <c r="R2851" s="115" t="s">
        <v>4821</v>
      </c>
      <c r="S2851" s="94"/>
    </row>
    <row r="2852" spans="1:19" hidden="1">
      <c r="A2852" t="s">
        <v>4818</v>
      </c>
      <c r="B2852" s="94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34</v>
      </c>
      <c r="R2852" s="115" t="s">
        <v>481</v>
      </c>
      <c r="S2852" s="94"/>
    </row>
    <row r="2853" spans="1:19" hidden="1">
      <c r="A2853" s="117" t="s">
        <v>4818</v>
      </c>
      <c r="B2853" s="94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34</v>
      </c>
      <c r="R2853" s="115" t="s">
        <v>481</v>
      </c>
      <c r="S2853" s="94"/>
    </row>
    <row r="2854" spans="1:19" hidden="1">
      <c r="A2854" t="s">
        <v>4825</v>
      </c>
      <c r="B2854" s="94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33</v>
      </c>
      <c r="R2854" s="115" t="s">
        <v>410</v>
      </c>
      <c r="S2854" s="94"/>
    </row>
    <row r="2855" spans="1:19" hidden="1">
      <c r="A2855" t="s">
        <v>4827</v>
      </c>
      <c r="B2855" s="94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33</v>
      </c>
      <c r="R2855" s="115" t="s">
        <v>4821</v>
      </c>
      <c r="S2855" s="94"/>
    </row>
    <row r="2856" spans="1:19" hidden="1">
      <c r="A2856" t="s">
        <v>4832</v>
      </c>
      <c r="B2856" s="94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31</v>
      </c>
      <c r="R2856" s="115" t="s">
        <v>410</v>
      </c>
      <c r="S2856" s="94"/>
    </row>
    <row r="2857" spans="1:19" hidden="1">
      <c r="A2857" t="s">
        <v>4836</v>
      </c>
      <c r="B2857" s="120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30</v>
      </c>
      <c r="R2857" s="115" t="s">
        <v>410</v>
      </c>
      <c r="S2857" s="120"/>
    </row>
    <row r="2858" spans="1:19" hidden="1">
      <c r="A2858" t="s">
        <v>4840</v>
      </c>
      <c r="B2858" s="120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30</v>
      </c>
      <c r="R2858" s="115" t="s">
        <v>780</v>
      </c>
      <c r="S2858" s="120"/>
    </row>
    <row r="2859" spans="1:19" hidden="1">
      <c r="A2859" s="119" t="s">
        <v>4840</v>
      </c>
      <c r="B2859" s="120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30</v>
      </c>
      <c r="R2859" s="115" t="s">
        <v>780</v>
      </c>
      <c r="S2859" s="120"/>
    </row>
    <row r="2860" spans="1:19" hidden="1">
      <c r="A2860" t="s">
        <v>4844</v>
      </c>
      <c r="B2860" s="120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29</v>
      </c>
      <c r="R2860" s="115" t="s">
        <v>856</v>
      </c>
      <c r="S2860" s="120"/>
    </row>
    <row r="2861" spans="1:19" hidden="1">
      <c r="A2861" t="s">
        <v>4846</v>
      </c>
      <c r="B2861" s="120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29</v>
      </c>
      <c r="R2861" s="115" t="s">
        <v>856</v>
      </c>
      <c r="S2861" s="120"/>
    </row>
    <row r="2862" spans="1:19" hidden="1">
      <c r="A2862" t="s">
        <v>4848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29</v>
      </c>
      <c r="R2862" s="115" t="s">
        <v>489</v>
      </c>
      <c r="S2862" s="120"/>
    </row>
    <row r="2863" spans="1:19" hidden="1">
      <c r="A2863" t="s">
        <v>4850</v>
      </c>
      <c r="B2863" s="120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20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27</v>
      </c>
      <c r="R2864" s="115" t="s">
        <v>515</v>
      </c>
      <c r="S2864" s="120"/>
    </row>
    <row r="2865" spans="1:19" hidden="1">
      <c r="A2865" s="121" t="s">
        <v>4855</v>
      </c>
      <c r="B2865" s="120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27</v>
      </c>
      <c r="R2865" s="115" t="s">
        <v>515</v>
      </c>
      <c r="S2865" s="120"/>
    </row>
    <row r="2866" spans="1:19" hidden="1">
      <c r="A2866" s="121" t="s">
        <v>4855</v>
      </c>
      <c r="B2866" s="120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27</v>
      </c>
      <c r="R2866" s="115" t="s">
        <v>515</v>
      </c>
      <c r="S2866" s="120"/>
    </row>
    <row r="2867" spans="1:19" hidden="1">
      <c r="A2867" s="121" t="s">
        <v>4855</v>
      </c>
      <c r="B2867" s="120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27</v>
      </c>
      <c r="R2867" s="115" t="s">
        <v>515</v>
      </c>
      <c r="S2867" s="120"/>
    </row>
    <row r="2868" spans="1:19" hidden="1">
      <c r="A2868" t="s">
        <v>4856</v>
      </c>
      <c r="B2868" s="120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27</v>
      </c>
      <c r="R2868" s="115" t="s">
        <v>415</v>
      </c>
      <c r="S2868" s="120"/>
    </row>
    <row r="2869" spans="1:19" hidden="1">
      <c r="A2869" t="s">
        <v>4859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27</v>
      </c>
      <c r="R2869" s="115" t="s">
        <v>410</v>
      </c>
      <c r="S2869" s="123"/>
    </row>
    <row r="2870" spans="1:19" hidden="1">
      <c r="A2870" t="s">
        <v>4860</v>
      </c>
      <c r="B2870" s="125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27</v>
      </c>
      <c r="R2870" s="115" t="s">
        <v>856</v>
      </c>
      <c r="S2870" s="125"/>
    </row>
    <row r="2871" spans="1:19" hidden="1">
      <c r="A2871" t="s">
        <v>4864</v>
      </c>
      <c r="B2871" s="125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24</v>
      </c>
      <c r="R2871" s="115" t="s">
        <v>415</v>
      </c>
      <c r="S2871" s="125"/>
    </row>
    <row r="2872" spans="1:19" hidden="1">
      <c r="A2872" t="s">
        <v>4868</v>
      </c>
      <c r="B2872" s="125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24</v>
      </c>
      <c r="R2872" s="115" t="s">
        <v>515</v>
      </c>
      <c r="S2872" s="125"/>
    </row>
    <row r="2873" spans="1:19" hidden="1">
      <c r="A2873" s="124" t="s">
        <v>4868</v>
      </c>
      <c r="B2873" s="125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24</v>
      </c>
      <c r="R2873" s="115" t="s">
        <v>515</v>
      </c>
      <c r="S2873" s="125"/>
    </row>
    <row r="2874" spans="1:19" hidden="1">
      <c r="A2874" s="124" t="s">
        <v>4868</v>
      </c>
      <c r="B2874" s="125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24</v>
      </c>
      <c r="R2874" s="115" t="s">
        <v>515</v>
      </c>
      <c r="S2874" s="125"/>
    </row>
    <row r="2875" spans="1:19" hidden="1">
      <c r="A2875" s="124" t="s">
        <v>4868</v>
      </c>
      <c r="B2875" s="125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24</v>
      </c>
      <c r="R2875" s="115" t="s">
        <v>515</v>
      </c>
      <c r="S2875" s="125"/>
    </row>
    <row r="2876" spans="1:19" hidden="1">
      <c r="A2876" s="124" t="s">
        <v>4868</v>
      </c>
      <c r="B2876" s="125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24</v>
      </c>
      <c r="R2876" s="115" t="s">
        <v>515</v>
      </c>
      <c r="S2876" s="125"/>
    </row>
    <row r="2877" spans="1:19" hidden="1">
      <c r="A2877" s="124" t="s">
        <v>4868</v>
      </c>
      <c r="B2877" s="125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24</v>
      </c>
      <c r="R2877" s="115" t="s">
        <v>515</v>
      </c>
      <c r="S2877" s="125"/>
    </row>
    <row r="2878" spans="1:19" hidden="1">
      <c r="A2878" s="124" t="s">
        <v>4868</v>
      </c>
      <c r="B2878" s="125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24</v>
      </c>
      <c r="R2878" s="115" t="s">
        <v>515</v>
      </c>
      <c r="S2878" s="125"/>
    </row>
    <row r="2879" spans="1:19" hidden="1">
      <c r="A2879" s="124" t="s">
        <v>4868</v>
      </c>
      <c r="B2879" s="125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24</v>
      </c>
      <c r="R2879" s="115" t="s">
        <v>515</v>
      </c>
      <c r="S2879" s="125"/>
    </row>
    <row r="2880" spans="1:19" hidden="1">
      <c r="A2880" s="124" t="s">
        <v>4868</v>
      </c>
      <c r="B2880" s="125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24</v>
      </c>
      <c r="R2880" s="115" t="s">
        <v>515</v>
      </c>
      <c r="S2880" s="125"/>
    </row>
    <row r="2881" spans="1:19" hidden="1">
      <c r="A2881" s="124" t="s">
        <v>4868</v>
      </c>
      <c r="B2881" s="125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24</v>
      </c>
      <c r="R2881" s="115" t="s">
        <v>515</v>
      </c>
      <c r="S2881" s="125"/>
    </row>
    <row r="2882" spans="1:19" hidden="1">
      <c r="A2882" s="124" t="s">
        <v>4868</v>
      </c>
      <c r="B2882" s="125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24</v>
      </c>
      <c r="R2882" s="115" t="s">
        <v>515</v>
      </c>
      <c r="S2882" s="125"/>
    </row>
    <row r="2883" spans="1:19" hidden="1">
      <c r="A2883" s="124" t="s">
        <v>4868</v>
      </c>
      <c r="B2883" s="125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24</v>
      </c>
      <c r="R2883" s="115" t="s">
        <v>515</v>
      </c>
      <c r="S2883" s="125"/>
    </row>
    <row r="2884" spans="1:19" hidden="1">
      <c r="A2884" s="124" t="s">
        <v>4868</v>
      </c>
      <c r="B2884" s="125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24</v>
      </c>
      <c r="R2884" s="115" t="s">
        <v>515</v>
      </c>
      <c r="S2884" s="125"/>
    </row>
    <row r="2885" spans="1:19" hidden="1">
      <c r="A2885" s="124" t="s">
        <v>4868</v>
      </c>
      <c r="B2885" s="125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24</v>
      </c>
      <c r="R2885" s="115" t="s">
        <v>515</v>
      </c>
      <c r="S2885" s="125"/>
    </row>
    <row r="2886" spans="1:19" hidden="1">
      <c r="A2886" s="124" t="s">
        <v>4868</v>
      </c>
      <c r="B2886" s="125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24</v>
      </c>
      <c r="R2886" s="115" t="s">
        <v>515</v>
      </c>
      <c r="S2886" s="125"/>
    </row>
    <row r="2887" spans="1:19" hidden="1">
      <c r="A2887" s="124" t="s">
        <v>4868</v>
      </c>
      <c r="B2887" s="125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24</v>
      </c>
      <c r="R2887" s="115" t="s">
        <v>515</v>
      </c>
      <c r="S2887" s="125"/>
    </row>
    <row r="2888" spans="1:19" hidden="1">
      <c r="A2888" s="124" t="s">
        <v>4868</v>
      </c>
      <c r="B2888" s="125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24</v>
      </c>
      <c r="R2888" s="115" t="s">
        <v>515</v>
      </c>
      <c r="S2888" s="125"/>
    </row>
    <row r="2889" spans="1:19" hidden="1">
      <c r="A2889" s="124" t="s">
        <v>4868</v>
      </c>
      <c r="B2889" s="125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24</v>
      </c>
      <c r="R2889" s="115" t="s">
        <v>515</v>
      </c>
      <c r="S2889" s="125"/>
    </row>
    <row r="2890" spans="1:19" hidden="1">
      <c r="A2890" t="s">
        <v>4894</v>
      </c>
      <c r="B2890" s="125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24</v>
      </c>
      <c r="R2890" s="115" t="s">
        <v>489</v>
      </c>
      <c r="S2890" s="125"/>
    </row>
    <row r="2891" spans="1:19" hidden="1">
      <c r="A2891" s="124" t="s">
        <v>4894</v>
      </c>
      <c r="B2891" s="125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24</v>
      </c>
      <c r="R2891" s="115" t="s">
        <v>489</v>
      </c>
      <c r="S2891" s="125"/>
    </row>
    <row r="2892" spans="1:19" hidden="1">
      <c r="A2892" s="124" t="s">
        <v>4894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24</v>
      </c>
      <c r="R2892" s="115" t="s">
        <v>489</v>
      </c>
      <c r="S2892" s="125"/>
    </row>
    <row r="2893" spans="1:19" hidden="1">
      <c r="A2893" s="124" t="s">
        <v>4894</v>
      </c>
      <c r="B2893" s="125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24</v>
      </c>
      <c r="R2893" s="115" t="s">
        <v>489</v>
      </c>
      <c r="S2893" s="125"/>
    </row>
    <row r="2894" spans="1:19" hidden="1">
      <c r="A2894" s="124" t="s">
        <v>4894</v>
      </c>
      <c r="B2894" s="125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24</v>
      </c>
      <c r="R2894" s="115" t="s">
        <v>489</v>
      </c>
      <c r="S2894" s="125"/>
    </row>
    <row r="2895" spans="1:19" hidden="1">
      <c r="A2895" s="124" t="s">
        <v>4894</v>
      </c>
      <c r="B2895" s="125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24</v>
      </c>
      <c r="R2895" s="115" t="s">
        <v>489</v>
      </c>
      <c r="S2895" s="125"/>
    </row>
    <row r="2896" spans="1:19" hidden="1">
      <c r="A2896" s="124" t="s">
        <v>4894</v>
      </c>
      <c r="B2896" s="125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24</v>
      </c>
      <c r="R2896" s="115" t="s">
        <v>489</v>
      </c>
      <c r="S2896" s="125"/>
    </row>
    <row r="2897" spans="1:19" hidden="1">
      <c r="A2897" t="s">
        <v>4897</v>
      </c>
      <c r="B2897" s="125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24</v>
      </c>
      <c r="R2897" s="115" t="s">
        <v>972</v>
      </c>
      <c r="S2897" s="125"/>
    </row>
    <row r="2898" spans="1:19" hidden="1">
      <c r="A2898" s="124" t="s">
        <v>4897</v>
      </c>
      <c r="B2898" s="125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24</v>
      </c>
      <c r="R2898" s="115" t="s">
        <v>972</v>
      </c>
      <c r="S2898" s="125"/>
    </row>
    <row r="2899" spans="1:19" hidden="1">
      <c r="A2899" s="124" t="s">
        <v>4897</v>
      </c>
      <c r="B2899" s="125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24</v>
      </c>
      <c r="R2899" s="115" t="s">
        <v>972</v>
      </c>
      <c r="S2899" s="125"/>
    </row>
    <row r="2900" spans="1:19" hidden="1">
      <c r="A2900" t="s">
        <v>4904</v>
      </c>
      <c r="B2900" s="125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23</v>
      </c>
      <c r="R2900" s="115" t="s">
        <v>515</v>
      </c>
      <c r="S2900" s="125"/>
    </row>
    <row r="2901" spans="1:19" hidden="1">
      <c r="A2901" t="s">
        <v>4904</v>
      </c>
      <c r="B2901" s="125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23</v>
      </c>
      <c r="R2901" s="115" t="s">
        <v>515</v>
      </c>
      <c r="S2901" s="125"/>
    </row>
    <row r="2902" spans="1:19" hidden="1">
      <c r="A2902" t="s">
        <v>4905</v>
      </c>
      <c r="B2902" s="125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21</v>
      </c>
      <c r="R2902" s="115" t="s">
        <v>515</v>
      </c>
      <c r="S2902" s="125"/>
    </row>
    <row r="2903" spans="1:19" hidden="1">
      <c r="A2903" s="124" t="s">
        <v>4905</v>
      </c>
      <c r="B2903" s="125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21</v>
      </c>
      <c r="R2903" s="115" t="s">
        <v>515</v>
      </c>
      <c r="S2903" s="125"/>
    </row>
    <row r="2904" spans="1:19" hidden="1">
      <c r="A2904" s="124" t="s">
        <v>4905</v>
      </c>
      <c r="B2904" s="125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21</v>
      </c>
      <c r="R2904" s="115" t="s">
        <v>515</v>
      </c>
      <c r="S2904" s="125"/>
    </row>
    <row r="2905" spans="1:19" hidden="1">
      <c r="A2905" t="s">
        <v>4908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21</v>
      </c>
      <c r="R2905" s="115" t="s">
        <v>489</v>
      </c>
      <c r="S2905" s="125"/>
    </row>
    <row r="2906" spans="1:19" hidden="1">
      <c r="A2906" s="124" t="s">
        <v>4908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21</v>
      </c>
      <c r="R2906" s="115" t="s">
        <v>489</v>
      </c>
      <c r="S2906" s="125"/>
    </row>
    <row r="2907" spans="1:19" hidden="1">
      <c r="A2907" t="s">
        <v>4909</v>
      </c>
      <c r="B2907" s="125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21</v>
      </c>
      <c r="R2907" s="115" t="s">
        <v>972</v>
      </c>
      <c r="S2907" s="125"/>
    </row>
    <row r="2908" spans="1:19" hidden="1">
      <c r="A2908" t="s">
        <v>4919</v>
      </c>
      <c r="B2908" s="125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21</v>
      </c>
      <c r="R2908" s="115" t="s">
        <v>764</v>
      </c>
      <c r="S2908" s="125"/>
    </row>
    <row r="2909" spans="1:19" hidden="1">
      <c r="A2909" s="124" t="s">
        <v>4919</v>
      </c>
      <c r="B2909" s="125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21</v>
      </c>
      <c r="R2909" s="115" t="s">
        <v>764</v>
      </c>
      <c r="S2909" s="125"/>
    </row>
    <row r="2910" spans="1:19" hidden="1">
      <c r="A2910" s="124" t="s">
        <v>4919</v>
      </c>
      <c r="B2910" s="125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21</v>
      </c>
      <c r="R2910" s="115" t="s">
        <v>764</v>
      </c>
      <c r="S2910" s="125"/>
    </row>
    <row r="2911" spans="1:19" hidden="1">
      <c r="A2911" t="s">
        <v>4921</v>
      </c>
      <c r="B2911" s="125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21</v>
      </c>
      <c r="R2911" s="115" t="s">
        <v>410</v>
      </c>
      <c r="S2911" s="125"/>
    </row>
    <row r="2912" spans="1:19" hidden="1">
      <c r="A2912" t="s">
        <v>4935</v>
      </c>
      <c r="B2912" s="125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19</v>
      </c>
      <c r="R2912" s="115" t="s">
        <v>972</v>
      </c>
      <c r="S2912" s="125"/>
    </row>
    <row r="2913" spans="1:19" hidden="1">
      <c r="A2913" s="124" t="s">
        <v>4935</v>
      </c>
      <c r="B2913" s="125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19</v>
      </c>
      <c r="R2913" s="115" t="s">
        <v>972</v>
      </c>
      <c r="S2913" s="125"/>
    </row>
    <row r="2914" spans="1:19" hidden="1">
      <c r="A2914" s="124" t="s">
        <v>4935</v>
      </c>
      <c r="B2914" s="125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19</v>
      </c>
      <c r="R2914" s="115" t="s">
        <v>972</v>
      </c>
      <c r="S2914" s="125"/>
    </row>
    <row r="2915" spans="1:19" hidden="1">
      <c r="A2915" s="124" t="s">
        <v>4935</v>
      </c>
      <c r="B2915" s="125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19</v>
      </c>
      <c r="R2915" s="115" t="s">
        <v>972</v>
      </c>
      <c r="S2915" s="125"/>
    </row>
    <row r="2916" spans="1:19" hidden="1">
      <c r="A2916" s="124" t="s">
        <v>4935</v>
      </c>
      <c r="B2916" s="125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19</v>
      </c>
      <c r="R2916" s="115" t="s">
        <v>972</v>
      </c>
      <c r="S2916" s="125"/>
    </row>
    <row r="2917" spans="1:19" hidden="1">
      <c r="A2917" s="124" t="s">
        <v>4935</v>
      </c>
      <c r="B2917" s="125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19</v>
      </c>
      <c r="R2917" s="115" t="s">
        <v>972</v>
      </c>
      <c r="S2917" s="125"/>
    </row>
    <row r="2918" spans="1:19" hidden="1">
      <c r="A2918" s="124" t="s">
        <v>4935</v>
      </c>
      <c r="B2918" s="125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19</v>
      </c>
      <c r="R2918" s="115" t="s">
        <v>972</v>
      </c>
      <c r="S2918" s="125"/>
    </row>
    <row r="2919" spans="1:19" hidden="1">
      <c r="A2919" t="s">
        <v>4936</v>
      </c>
      <c r="B2919" s="125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19</v>
      </c>
      <c r="R2919" s="115" t="s">
        <v>515</v>
      </c>
      <c r="S2919" s="125"/>
    </row>
    <row r="2920" spans="1:19" hidden="1">
      <c r="A2920" s="124" t="s">
        <v>4936</v>
      </c>
      <c r="B2920" s="125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18</v>
      </c>
      <c r="R2920" s="115" t="s">
        <v>415</v>
      </c>
      <c r="S2920" s="125"/>
    </row>
    <row r="2921" spans="1:19" hidden="1">
      <c r="A2921" s="124" t="s">
        <v>4936</v>
      </c>
      <c r="B2921" s="125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18</v>
      </c>
      <c r="R2921" s="115" t="s">
        <v>415</v>
      </c>
      <c r="S2921" s="125"/>
    </row>
    <row r="2922" spans="1:19" hidden="1">
      <c r="A2922" s="124" t="s">
        <v>4936</v>
      </c>
      <c r="B2922" s="125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18</v>
      </c>
      <c r="R2922" s="115" t="s">
        <v>415</v>
      </c>
      <c r="S2922" s="125"/>
    </row>
    <row r="2923" spans="1:19" hidden="1">
      <c r="A2923" s="124" t="s">
        <v>4936</v>
      </c>
      <c r="B2923" s="125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18</v>
      </c>
      <c r="R2923" s="115" t="s">
        <v>415</v>
      </c>
      <c r="S2923" s="125"/>
    </row>
    <row r="2924" spans="1:19" hidden="1">
      <c r="A2924" s="124" t="s">
        <v>4936</v>
      </c>
      <c r="B2924" s="125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18</v>
      </c>
      <c r="R2924" s="115" t="s">
        <v>415</v>
      </c>
      <c r="S2924" s="125"/>
    </row>
    <row r="2925" spans="1:19" hidden="1">
      <c r="A2925" s="124" t="s">
        <v>4936</v>
      </c>
      <c r="B2925" s="125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18</v>
      </c>
      <c r="R2925" s="115" t="s">
        <v>415</v>
      </c>
      <c r="S2925" s="125"/>
    </row>
    <row r="2926" spans="1:19" hidden="1">
      <c r="A2926" s="124" t="s">
        <v>4936</v>
      </c>
      <c r="B2926" s="125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18</v>
      </c>
      <c r="R2926" s="115" t="s">
        <v>415</v>
      </c>
      <c r="S2926" s="125"/>
    </row>
    <row r="2927" spans="1:19" hidden="1">
      <c r="A2927" s="124" t="s">
        <v>4936</v>
      </c>
      <c r="B2927" s="125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18</v>
      </c>
      <c r="R2927" s="115" t="s">
        <v>415</v>
      </c>
      <c r="S2927" s="125"/>
    </row>
    <row r="2928" spans="1:19" hidden="1">
      <c r="A2928" s="124" t="s">
        <v>4936</v>
      </c>
      <c r="B2928" s="125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18</v>
      </c>
      <c r="R2928" s="115" t="s">
        <v>415</v>
      </c>
      <c r="S2928" s="125"/>
    </row>
    <row r="2929" spans="1:19" hidden="1">
      <c r="A2929" s="124" t="s">
        <v>4936</v>
      </c>
      <c r="B2929" s="125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18</v>
      </c>
      <c r="R2929" s="115" t="s">
        <v>415</v>
      </c>
      <c r="S2929" s="125"/>
    </row>
    <row r="2930" spans="1:19" hidden="1">
      <c r="A2930" s="124" t="s">
        <v>4936</v>
      </c>
      <c r="B2930" s="125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18</v>
      </c>
      <c r="R2930" s="115" t="s">
        <v>415</v>
      </c>
      <c r="S2930" s="125"/>
    </row>
    <row r="2931" spans="1:19" hidden="1">
      <c r="A2931" s="124" t="s">
        <v>4936</v>
      </c>
      <c r="B2931" s="125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18</v>
      </c>
      <c r="R2931" s="115" t="s">
        <v>415</v>
      </c>
      <c r="S2931" s="125"/>
    </row>
    <row r="2932" spans="1:19" hidden="1">
      <c r="A2932" s="124" t="s">
        <v>4936</v>
      </c>
      <c r="B2932" s="125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18</v>
      </c>
      <c r="R2932" s="115" t="s">
        <v>415</v>
      </c>
      <c r="S2932" s="125"/>
    </row>
    <row r="2933" spans="1:19" hidden="1">
      <c r="A2933" s="124" t="s">
        <v>4936</v>
      </c>
      <c r="B2933" s="125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18</v>
      </c>
      <c r="R2933" s="115" t="s">
        <v>415</v>
      </c>
      <c r="S2933" s="125"/>
    </row>
    <row r="2934" spans="1:19" hidden="1">
      <c r="A2934" s="124" t="s">
        <v>4936</v>
      </c>
      <c r="B2934" s="125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18</v>
      </c>
      <c r="R2934" s="115" t="s">
        <v>415</v>
      </c>
      <c r="S2934" s="125"/>
    </row>
    <row r="2935" spans="1:19" hidden="1">
      <c r="A2935" s="124" t="s">
        <v>4936</v>
      </c>
      <c r="B2935" s="125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18</v>
      </c>
      <c r="R2935" s="115" t="s">
        <v>415</v>
      </c>
      <c r="S2935" s="125"/>
    </row>
    <row r="2936" spans="1:19" hidden="1">
      <c r="A2936" s="124" t="s">
        <v>4936</v>
      </c>
      <c r="B2936" s="125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18</v>
      </c>
      <c r="R2936" s="115" t="s">
        <v>415</v>
      </c>
      <c r="S2936" s="125"/>
    </row>
    <row r="2937" spans="1:19" hidden="1">
      <c r="A2937" t="s">
        <v>5260</v>
      </c>
      <c r="B2937" s="125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25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16</v>
      </c>
      <c r="R2937" s="115" t="s">
        <v>1013</v>
      </c>
      <c r="S2937" s="125"/>
    </row>
    <row r="2938" spans="1:19" hidden="1">
      <c r="A2938" s="124" t="s">
        <v>5260</v>
      </c>
      <c r="B2938" s="125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25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16</v>
      </c>
      <c r="R2938" s="115" t="s">
        <v>1013</v>
      </c>
      <c r="S2938" s="125"/>
    </row>
    <row r="2939" spans="1:19" hidden="1">
      <c r="A2939" s="124" t="s">
        <v>5260</v>
      </c>
      <c r="B2939" s="125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25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16</v>
      </c>
      <c r="R2939" s="115" t="s">
        <v>1013</v>
      </c>
      <c r="S2939" s="125"/>
    </row>
    <row r="2940" spans="1:19" hidden="1">
      <c r="A2940" s="124" t="s">
        <v>5260</v>
      </c>
      <c r="B2940" s="125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25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16</v>
      </c>
      <c r="R2940" s="115" t="s">
        <v>1013</v>
      </c>
      <c r="S2940" s="125"/>
    </row>
    <row r="2941" spans="1:19" hidden="1">
      <c r="A2941" s="124" t="s">
        <v>5260</v>
      </c>
      <c r="B2941" s="125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25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16</v>
      </c>
      <c r="R2941" s="115" t="s">
        <v>1013</v>
      </c>
      <c r="S2941" s="125"/>
    </row>
    <row r="2942" spans="1:19" hidden="1">
      <c r="A2942" s="124" t="s">
        <v>5260</v>
      </c>
      <c r="B2942" s="125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25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16</v>
      </c>
      <c r="R2942" s="115" t="s">
        <v>1013</v>
      </c>
      <c r="S2942" s="125"/>
    </row>
    <row r="2943" spans="1:19" hidden="1">
      <c r="A2943" s="124" t="s">
        <v>5260</v>
      </c>
      <c r="B2943" s="125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25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16</v>
      </c>
      <c r="R2943" s="115" t="s">
        <v>1013</v>
      </c>
      <c r="S2943" s="125"/>
    </row>
    <row r="2944" spans="1:19" hidden="1">
      <c r="A2944" s="124" t="s">
        <v>5260</v>
      </c>
      <c r="B2944" s="125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25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16</v>
      </c>
      <c r="R2944" s="115" t="s">
        <v>1013</v>
      </c>
      <c r="S2944" s="125"/>
    </row>
    <row r="2945" spans="1:19" hidden="1">
      <c r="A2945" s="124" t="s">
        <v>5260</v>
      </c>
      <c r="B2945" s="125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25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16</v>
      </c>
      <c r="R2945" s="115" t="s">
        <v>1013</v>
      </c>
      <c r="S2945" s="125"/>
    </row>
    <row r="2946" spans="1:19" hidden="1">
      <c r="A2946" s="124" t="s">
        <v>5260</v>
      </c>
      <c r="B2946" s="125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25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16</v>
      </c>
      <c r="R2946" s="115" t="s">
        <v>1013</v>
      </c>
      <c r="S2946" s="125"/>
    </row>
    <row r="2947" spans="1:19" hidden="1">
      <c r="A2947" s="124" t="s">
        <v>5260</v>
      </c>
      <c r="B2947" s="125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25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16</v>
      </c>
      <c r="R2947" s="115" t="s">
        <v>1013</v>
      </c>
      <c r="S2947" s="125"/>
    </row>
    <row r="2948" spans="1:19" hidden="1">
      <c r="A2948" s="124" t="s">
        <v>5260</v>
      </c>
      <c r="B2948" s="125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25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16</v>
      </c>
      <c r="R2948" s="115" t="s">
        <v>1013</v>
      </c>
      <c r="S2948" s="125"/>
    </row>
    <row r="2949" spans="1:19" hidden="1">
      <c r="A2949" s="124" t="s">
        <v>5260</v>
      </c>
      <c r="B2949" s="125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25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16</v>
      </c>
      <c r="R2949" s="115" t="s">
        <v>1013</v>
      </c>
      <c r="S2949" s="125"/>
    </row>
    <row r="2950" spans="1:19" hidden="1">
      <c r="A2950" s="124" t="s">
        <v>5260</v>
      </c>
      <c r="B2950" s="125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25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16</v>
      </c>
      <c r="R2950" s="115" t="s">
        <v>1013</v>
      </c>
      <c r="S2950" s="125"/>
    </row>
    <row r="2951" spans="1:19" hidden="1">
      <c r="A2951" s="124" t="s">
        <v>5260</v>
      </c>
      <c r="B2951" s="125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25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16</v>
      </c>
      <c r="R2951" s="115" t="s">
        <v>1013</v>
      </c>
      <c r="S2951" s="125"/>
    </row>
    <row r="2952" spans="1:19" hidden="1">
      <c r="A2952" s="124" t="s">
        <v>5260</v>
      </c>
      <c r="B2952" s="125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25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16</v>
      </c>
      <c r="R2952" s="115" t="s">
        <v>1013</v>
      </c>
      <c r="S2952" s="125"/>
    </row>
    <row r="2953" spans="1:19" hidden="1">
      <c r="A2953" s="124" t="s">
        <v>5260</v>
      </c>
      <c r="B2953" s="125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25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16</v>
      </c>
      <c r="R2953" s="115" t="s">
        <v>1013</v>
      </c>
      <c r="S2953" s="125"/>
    </row>
    <row r="2954" spans="1:19" hidden="1">
      <c r="A2954" s="124" t="s">
        <v>5260</v>
      </c>
      <c r="B2954" s="125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25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16</v>
      </c>
      <c r="R2954" s="115" t="s">
        <v>1013</v>
      </c>
      <c r="S2954" s="125"/>
    </row>
    <row r="2955" spans="1:19" hidden="1">
      <c r="A2955" s="124" t="s">
        <v>5260</v>
      </c>
      <c r="B2955" s="125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25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16</v>
      </c>
      <c r="R2955" s="115" t="s">
        <v>1013</v>
      </c>
      <c r="S2955" s="125"/>
    </row>
    <row r="2956" spans="1:19" hidden="1">
      <c r="A2956" s="124" t="s">
        <v>5260</v>
      </c>
      <c r="B2956" s="125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25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16</v>
      </c>
      <c r="R2956" s="115" t="s">
        <v>1013</v>
      </c>
      <c r="S2956" s="125"/>
    </row>
    <row r="2957" spans="1:19" hidden="1">
      <c r="A2957" s="124" t="s">
        <v>5260</v>
      </c>
      <c r="B2957" s="125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25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16</v>
      </c>
      <c r="R2957" s="115" t="s">
        <v>1013</v>
      </c>
      <c r="S2957" s="125"/>
    </row>
    <row r="2958" spans="1:19" hidden="1">
      <c r="A2958" s="124" t="s">
        <v>5260</v>
      </c>
      <c r="B2958" s="125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25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16</v>
      </c>
      <c r="R2958" s="115" t="s">
        <v>1013</v>
      </c>
      <c r="S2958" s="125"/>
    </row>
    <row r="2959" spans="1:19" hidden="1">
      <c r="A2959" s="124" t="s">
        <v>5260</v>
      </c>
      <c r="B2959" s="125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25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16</v>
      </c>
      <c r="R2959" s="115" t="s">
        <v>1013</v>
      </c>
      <c r="S2959" s="125"/>
    </row>
    <row r="2960" spans="1:19" hidden="1">
      <c r="A2960" s="124" t="s">
        <v>5260</v>
      </c>
      <c r="B2960" s="125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25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16</v>
      </c>
      <c r="R2960" s="115" t="s">
        <v>1013</v>
      </c>
      <c r="S2960" s="125"/>
    </row>
    <row r="2961" spans="1:19" hidden="1">
      <c r="A2961" s="124" t="s">
        <v>5260</v>
      </c>
      <c r="B2961" s="125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25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16</v>
      </c>
      <c r="R2961" s="115" t="s">
        <v>1013</v>
      </c>
      <c r="S2961" s="125"/>
    </row>
    <row r="2962" spans="1:19" hidden="1">
      <c r="A2962" s="124" t="s">
        <v>5260</v>
      </c>
      <c r="B2962" s="125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25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16</v>
      </c>
      <c r="R2962" s="115" t="s">
        <v>1013</v>
      </c>
      <c r="S2962" s="125"/>
    </row>
    <row r="2963" spans="1:19" hidden="1">
      <c r="A2963" s="124" t="s">
        <v>5260</v>
      </c>
      <c r="B2963" s="125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25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16</v>
      </c>
      <c r="R2963" s="115" t="s">
        <v>1013</v>
      </c>
      <c r="S2963" s="125"/>
    </row>
    <row r="2964" spans="1:19" hidden="1">
      <c r="A2964" s="124" t="s">
        <v>5260</v>
      </c>
      <c r="B2964" s="125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25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16</v>
      </c>
      <c r="R2964" s="115" t="s">
        <v>1013</v>
      </c>
      <c r="S2964" s="125"/>
    </row>
    <row r="2965" spans="1:19" hidden="1">
      <c r="A2965" s="124" t="s">
        <v>5260</v>
      </c>
      <c r="B2965" s="125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25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16</v>
      </c>
      <c r="R2965" s="115" t="s">
        <v>1013</v>
      </c>
      <c r="S2965" s="125"/>
    </row>
    <row r="2966" spans="1:19" hidden="1">
      <c r="A2966" s="124" t="s">
        <v>5260</v>
      </c>
      <c r="B2966" s="125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25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16</v>
      </c>
      <c r="R2966" s="115" t="s">
        <v>1013</v>
      </c>
      <c r="S2966" s="125"/>
    </row>
    <row r="2967" spans="1:19" hidden="1">
      <c r="A2967" s="124" t="s">
        <v>5260</v>
      </c>
      <c r="B2967" s="125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25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16</v>
      </c>
      <c r="R2967" s="115" t="s">
        <v>1013</v>
      </c>
      <c r="S2967" s="125"/>
    </row>
    <row r="2968" spans="1:19" hidden="1">
      <c r="A2968" s="124" t="s">
        <v>5260</v>
      </c>
      <c r="B2968" s="125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25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16</v>
      </c>
      <c r="R2968" s="115" t="s">
        <v>1013</v>
      </c>
      <c r="S2968" s="125"/>
    </row>
    <row r="2969" spans="1:19" hidden="1">
      <c r="A2969" s="124" t="s">
        <v>5260</v>
      </c>
      <c r="B2969" s="125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25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16</v>
      </c>
      <c r="R2969" s="115" t="s">
        <v>1013</v>
      </c>
      <c r="S2969" s="125"/>
    </row>
    <row r="2970" spans="1:19" hidden="1">
      <c r="A2970" s="124" t="s">
        <v>5260</v>
      </c>
      <c r="B2970" s="125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25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16</v>
      </c>
      <c r="R2970" s="115" t="s">
        <v>1013</v>
      </c>
      <c r="S2970" s="125"/>
    </row>
    <row r="2971" spans="1:19" hidden="1">
      <c r="A2971" s="124" t="s">
        <v>5260</v>
      </c>
      <c r="B2971" s="125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25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16</v>
      </c>
      <c r="R2971" s="115" t="s">
        <v>1013</v>
      </c>
      <c r="S2971" s="125"/>
    </row>
    <row r="2972" spans="1:19" hidden="1">
      <c r="A2972" s="124" t="s">
        <v>5260</v>
      </c>
      <c r="B2972" s="125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25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16</v>
      </c>
      <c r="R2972" s="115" t="s">
        <v>1013</v>
      </c>
      <c r="S2972" s="125"/>
    </row>
    <row r="2973" spans="1:19" hidden="1">
      <c r="A2973" s="124" t="s">
        <v>5260</v>
      </c>
      <c r="B2973" s="125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25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16</v>
      </c>
      <c r="R2973" s="115" t="s">
        <v>1013</v>
      </c>
      <c r="S2973" s="125"/>
    </row>
    <row r="2974" spans="1:19" hidden="1">
      <c r="A2974" s="124" t="s">
        <v>5260</v>
      </c>
      <c r="B2974" s="125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25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16</v>
      </c>
      <c r="R2974" s="115" t="s">
        <v>1013</v>
      </c>
      <c r="S2974" s="125"/>
    </row>
    <row r="2975" spans="1:19" hidden="1">
      <c r="A2975" s="124" t="s">
        <v>5260</v>
      </c>
      <c r="B2975" s="125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25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16</v>
      </c>
      <c r="R2975" s="115" t="s">
        <v>1013</v>
      </c>
      <c r="S2975" s="125"/>
    </row>
    <row r="2976" spans="1:19" hidden="1">
      <c r="A2976" s="124" t="s">
        <v>5260</v>
      </c>
      <c r="B2976" s="125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25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16</v>
      </c>
      <c r="R2976" s="115" t="s">
        <v>1013</v>
      </c>
      <c r="S2976" s="125"/>
    </row>
    <row r="2977" spans="1:19" hidden="1">
      <c r="A2977" s="124" t="s">
        <v>5260</v>
      </c>
      <c r="B2977" s="125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25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16</v>
      </c>
      <c r="R2977" s="115" t="s">
        <v>1013</v>
      </c>
      <c r="S2977" s="125"/>
    </row>
    <row r="2978" spans="1:19" hidden="1">
      <c r="A2978" s="124" t="s">
        <v>5260</v>
      </c>
      <c r="B2978" s="125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25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16</v>
      </c>
      <c r="R2978" s="115" t="s">
        <v>1013</v>
      </c>
      <c r="S2978" s="125"/>
    </row>
    <row r="2979" spans="1:19" hidden="1">
      <c r="A2979" s="124" t="s">
        <v>5260</v>
      </c>
      <c r="B2979" s="125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25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16</v>
      </c>
      <c r="R2979" s="115" t="s">
        <v>1013</v>
      </c>
      <c r="S2979" s="125"/>
    </row>
    <row r="2980" spans="1:19" hidden="1">
      <c r="A2980" s="124" t="s">
        <v>5260</v>
      </c>
      <c r="B2980" s="125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25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16</v>
      </c>
      <c r="R2980" s="115" t="s">
        <v>1013</v>
      </c>
      <c r="S2980" s="125"/>
    </row>
    <row r="2981" spans="1:19" hidden="1">
      <c r="A2981" s="124" t="s">
        <v>5260</v>
      </c>
      <c r="B2981" s="125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25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16</v>
      </c>
      <c r="R2981" s="115" t="s">
        <v>1013</v>
      </c>
      <c r="S2981" s="125"/>
    </row>
    <row r="2982" spans="1:19" hidden="1">
      <c r="A2982" s="124" t="s">
        <v>5260</v>
      </c>
      <c r="B2982" s="125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25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16</v>
      </c>
      <c r="R2982" s="115" t="s">
        <v>1013</v>
      </c>
      <c r="S2982" s="125"/>
    </row>
    <row r="2983" spans="1:19" hidden="1">
      <c r="A2983" s="124" t="s">
        <v>5260</v>
      </c>
      <c r="B2983" s="125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25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16</v>
      </c>
      <c r="R2983" s="115" t="s">
        <v>1013</v>
      </c>
      <c r="S2983" s="125"/>
    </row>
    <row r="2984" spans="1:19" hidden="1">
      <c r="A2984" s="124" t="s">
        <v>5260</v>
      </c>
      <c r="B2984" s="125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25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16</v>
      </c>
      <c r="R2984" s="115" t="s">
        <v>1013</v>
      </c>
      <c r="S2984" s="125"/>
    </row>
    <row r="2985" spans="1:19" hidden="1">
      <c r="A2985" s="124" t="s">
        <v>5260</v>
      </c>
      <c r="B2985" s="125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25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16</v>
      </c>
      <c r="R2985" s="115" t="s">
        <v>1013</v>
      </c>
      <c r="S2985" s="125"/>
    </row>
    <row r="2986" spans="1:19" hidden="1">
      <c r="A2986" s="124" t="s">
        <v>5260</v>
      </c>
      <c r="B2986" s="125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25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16</v>
      </c>
      <c r="R2986" s="115" t="s">
        <v>1013</v>
      </c>
      <c r="S2986" s="125"/>
    </row>
    <row r="2987" spans="1:19" hidden="1">
      <c r="A2987" s="124" t="s">
        <v>5260</v>
      </c>
      <c r="B2987" s="125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25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16</v>
      </c>
      <c r="R2987" s="115" t="s">
        <v>1013</v>
      </c>
      <c r="S2987" s="125"/>
    </row>
    <row r="2988" spans="1:19" hidden="1">
      <c r="A2988" s="124" t="s">
        <v>5260</v>
      </c>
      <c r="B2988" s="125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25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16</v>
      </c>
      <c r="R2988" s="115" t="s">
        <v>1013</v>
      </c>
      <c r="S2988" s="125"/>
    </row>
    <row r="2989" spans="1:19" hidden="1">
      <c r="A2989" s="124" t="s">
        <v>5260</v>
      </c>
      <c r="B2989" s="125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25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16</v>
      </c>
      <c r="R2989" s="115" t="s">
        <v>1013</v>
      </c>
      <c r="S2989" s="125"/>
    </row>
    <row r="2990" spans="1:19" hidden="1">
      <c r="A2990" s="124" t="s">
        <v>5260</v>
      </c>
      <c r="B2990" s="125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25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16</v>
      </c>
      <c r="R2990" s="115" t="s">
        <v>1013</v>
      </c>
      <c r="S2990" s="125"/>
    </row>
    <row r="2991" spans="1:19" hidden="1">
      <c r="A2991" s="124" t="s">
        <v>5260</v>
      </c>
      <c r="B2991" s="125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25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16</v>
      </c>
      <c r="R2991" s="115" t="s">
        <v>1013</v>
      </c>
      <c r="S2991" s="125"/>
    </row>
    <row r="2992" spans="1:19" hidden="1">
      <c r="A2992" s="124" t="s">
        <v>5260</v>
      </c>
      <c r="B2992" s="125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25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16</v>
      </c>
      <c r="R2992" s="115" t="s">
        <v>1013</v>
      </c>
      <c r="S2992" s="125"/>
    </row>
    <row r="2993" spans="1:19" hidden="1">
      <c r="A2993" s="124" t="s">
        <v>5260</v>
      </c>
      <c r="B2993" s="125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25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16</v>
      </c>
      <c r="R2993" s="115" t="s">
        <v>1013</v>
      </c>
      <c r="S2993" s="125"/>
    </row>
    <row r="2994" spans="1:19" hidden="1">
      <c r="A2994" s="124" t="s">
        <v>5260</v>
      </c>
      <c r="B2994" s="125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25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16</v>
      </c>
      <c r="R2994" s="115" t="s">
        <v>1013</v>
      </c>
      <c r="S2994" s="125"/>
    </row>
    <row r="2995" spans="1:19" hidden="1">
      <c r="A2995" s="124" t="s">
        <v>5260</v>
      </c>
      <c r="B2995" s="125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25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16</v>
      </c>
      <c r="R2995" s="115" t="s">
        <v>1013</v>
      </c>
      <c r="S2995" s="125"/>
    </row>
    <row r="2996" spans="1:19" hidden="1">
      <c r="A2996" s="124" t="s">
        <v>5260</v>
      </c>
      <c r="B2996" s="125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25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16</v>
      </c>
      <c r="R2996" s="115" t="s">
        <v>1013</v>
      </c>
      <c r="S2996" s="125"/>
    </row>
    <row r="2997" spans="1:19" hidden="1">
      <c r="A2997" s="124" t="s">
        <v>5260</v>
      </c>
      <c r="B2997" s="125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25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16</v>
      </c>
      <c r="R2997" s="115" t="s">
        <v>1013</v>
      </c>
      <c r="S2997" s="125"/>
    </row>
    <row r="2998" spans="1:19" hidden="1">
      <c r="A2998" s="124" t="s">
        <v>5260</v>
      </c>
      <c r="B2998" s="125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25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16</v>
      </c>
      <c r="R2998" s="115" t="s">
        <v>1013</v>
      </c>
      <c r="S2998" s="125"/>
    </row>
    <row r="2999" spans="1:19" hidden="1">
      <c r="A2999" s="124" t="s">
        <v>5260</v>
      </c>
      <c r="B2999" s="125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25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16</v>
      </c>
      <c r="R2999" s="115" t="s">
        <v>1013</v>
      </c>
      <c r="S2999" s="125"/>
    </row>
    <row r="3000" spans="1:19" hidden="1">
      <c r="A3000" s="124" t="s">
        <v>5260</v>
      </c>
      <c r="B3000" s="125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25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16</v>
      </c>
      <c r="R3000" s="115" t="s">
        <v>1013</v>
      </c>
      <c r="S3000" s="125"/>
    </row>
    <row r="3001" spans="1:19" hidden="1">
      <c r="A3001" s="124" t="s">
        <v>5260</v>
      </c>
      <c r="B3001" s="125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25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16</v>
      </c>
      <c r="R3001" s="115" t="s">
        <v>1013</v>
      </c>
      <c r="S3001" s="125"/>
    </row>
    <row r="3002" spans="1:19" hidden="1">
      <c r="A3002" s="124" t="s">
        <v>5260</v>
      </c>
      <c r="B3002" s="125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25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16</v>
      </c>
      <c r="R3002" s="115" t="s">
        <v>1013</v>
      </c>
      <c r="S3002" s="125"/>
    </row>
    <row r="3003" spans="1:19" hidden="1">
      <c r="A3003" s="124" t="s">
        <v>5260</v>
      </c>
      <c r="B3003" s="125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25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16</v>
      </c>
      <c r="R3003" s="115" t="s">
        <v>1013</v>
      </c>
      <c r="S3003" s="125"/>
    </row>
    <row r="3004" spans="1:19" hidden="1">
      <c r="A3004" s="124" t="s">
        <v>5260</v>
      </c>
      <c r="B3004" s="125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25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16</v>
      </c>
      <c r="R3004" s="115" t="s">
        <v>1013</v>
      </c>
      <c r="S3004" s="125"/>
    </row>
    <row r="3005" spans="1:19" hidden="1">
      <c r="A3005" s="124" t="s">
        <v>5260</v>
      </c>
      <c r="B3005" s="125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25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16</v>
      </c>
      <c r="R3005" s="115" t="s">
        <v>1013</v>
      </c>
      <c r="S3005" s="125"/>
    </row>
    <row r="3006" spans="1:19" hidden="1">
      <c r="A3006" s="124" t="s">
        <v>5260</v>
      </c>
      <c r="B3006" s="125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25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16</v>
      </c>
      <c r="R3006" s="115" t="s">
        <v>1013</v>
      </c>
      <c r="S3006" s="125"/>
    </row>
    <row r="3007" spans="1:19" hidden="1">
      <c r="A3007" s="124" t="s">
        <v>5260</v>
      </c>
      <c r="B3007" s="125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25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16</v>
      </c>
      <c r="R3007" s="115" t="s">
        <v>1013</v>
      </c>
      <c r="S3007" s="125"/>
    </row>
    <row r="3008" spans="1:19" hidden="1">
      <c r="A3008" s="124" t="s">
        <v>5260</v>
      </c>
      <c r="B3008" s="125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25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16</v>
      </c>
      <c r="R3008" s="115" t="s">
        <v>1013</v>
      </c>
      <c r="S3008" s="125"/>
    </row>
    <row r="3009" spans="1:19" hidden="1">
      <c r="A3009" s="124" t="s">
        <v>5260</v>
      </c>
      <c r="B3009" s="125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25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16</v>
      </c>
      <c r="R3009" s="115" t="s">
        <v>1013</v>
      </c>
      <c r="S3009" s="125"/>
    </row>
    <row r="3010" spans="1:19" hidden="1">
      <c r="A3010" s="124" t="s">
        <v>5260</v>
      </c>
      <c r="B3010" s="125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25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16</v>
      </c>
      <c r="R3010" s="115" t="s">
        <v>1013</v>
      </c>
      <c r="S3010" s="125"/>
    </row>
    <row r="3011" spans="1:19" hidden="1">
      <c r="A3011" s="124" t="s">
        <v>5260</v>
      </c>
      <c r="B3011" s="125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25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16</v>
      </c>
      <c r="R3011" s="115" t="s">
        <v>1013</v>
      </c>
      <c r="S3011" s="125"/>
    </row>
    <row r="3012" spans="1:19" hidden="1">
      <c r="A3012" s="124" t="s">
        <v>5260</v>
      </c>
      <c r="B3012" s="125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25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16</v>
      </c>
      <c r="R3012" s="115" t="s">
        <v>1013</v>
      </c>
      <c r="S3012" s="125"/>
    </row>
    <row r="3013" spans="1:19" hidden="1">
      <c r="A3013" s="124" t="s">
        <v>5260</v>
      </c>
      <c r="B3013" s="125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25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16</v>
      </c>
      <c r="R3013" s="115" t="s">
        <v>1013</v>
      </c>
      <c r="S3013" s="125"/>
    </row>
    <row r="3014" spans="1:19" hidden="1">
      <c r="A3014" s="124" t="s">
        <v>5260</v>
      </c>
      <c r="B3014" s="125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25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16</v>
      </c>
      <c r="R3014" s="115" t="s">
        <v>1013</v>
      </c>
      <c r="S3014" s="125"/>
    </row>
    <row r="3015" spans="1:19" hidden="1">
      <c r="A3015" s="124" t="s">
        <v>5260</v>
      </c>
      <c r="B3015" s="125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25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16</v>
      </c>
      <c r="R3015" s="115" t="s">
        <v>1013</v>
      </c>
      <c r="S3015" s="125"/>
    </row>
    <row r="3016" spans="1:19" hidden="1">
      <c r="A3016" s="124" t="s">
        <v>5260</v>
      </c>
      <c r="B3016" s="125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25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16</v>
      </c>
      <c r="R3016" s="115" t="s">
        <v>1013</v>
      </c>
      <c r="S3016" s="125"/>
    </row>
    <row r="3017" spans="1:19" hidden="1">
      <c r="A3017" s="124" t="s">
        <v>5260</v>
      </c>
      <c r="B3017" s="125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25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16</v>
      </c>
      <c r="R3017" s="115" t="s">
        <v>1013</v>
      </c>
      <c r="S3017" s="125"/>
    </row>
    <row r="3018" spans="1:19" hidden="1">
      <c r="A3018" s="124" t="s">
        <v>5260</v>
      </c>
      <c r="B3018" s="125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25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16</v>
      </c>
      <c r="R3018" s="115" t="s">
        <v>1013</v>
      </c>
      <c r="S3018" s="125"/>
    </row>
    <row r="3019" spans="1:19" hidden="1">
      <c r="A3019" s="124" t="s">
        <v>5260</v>
      </c>
      <c r="B3019" s="125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25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16</v>
      </c>
      <c r="R3019" s="115" t="s">
        <v>1013</v>
      </c>
      <c r="S3019" s="125"/>
    </row>
    <row r="3020" spans="1:19" hidden="1">
      <c r="A3020" s="124" t="s">
        <v>5260</v>
      </c>
      <c r="B3020" s="125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25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16</v>
      </c>
      <c r="R3020" s="115" t="s">
        <v>1013</v>
      </c>
      <c r="S3020" s="125"/>
    </row>
    <row r="3021" spans="1:19" hidden="1">
      <c r="A3021" s="124" t="s">
        <v>5260</v>
      </c>
      <c r="B3021" s="125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25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16</v>
      </c>
      <c r="R3021" s="115" t="s">
        <v>1013</v>
      </c>
      <c r="S3021" s="125"/>
    </row>
    <row r="3022" spans="1:19" hidden="1">
      <c r="A3022" s="124" t="s">
        <v>5260</v>
      </c>
      <c r="B3022" s="125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25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16</v>
      </c>
      <c r="R3022" s="115" t="s">
        <v>1013</v>
      </c>
      <c r="S3022" s="125"/>
    </row>
    <row r="3023" spans="1:19" hidden="1">
      <c r="A3023" s="124" t="s">
        <v>5260</v>
      </c>
      <c r="B3023" s="125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25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16</v>
      </c>
      <c r="R3023" s="115" t="s">
        <v>1013</v>
      </c>
      <c r="S3023" s="125"/>
    </row>
    <row r="3024" spans="1:19" hidden="1">
      <c r="A3024" s="124" t="s">
        <v>5260</v>
      </c>
      <c r="B3024" s="125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25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16</v>
      </c>
      <c r="R3024" s="115" t="s">
        <v>1013</v>
      </c>
      <c r="S3024" s="125"/>
    </row>
    <row r="3025" spans="1:19" hidden="1">
      <c r="A3025" s="124" t="s">
        <v>5260</v>
      </c>
      <c r="B3025" s="125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25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16</v>
      </c>
      <c r="R3025" s="115" t="s">
        <v>1013</v>
      </c>
      <c r="S3025" s="125"/>
    </row>
    <row r="3026" spans="1:19" hidden="1">
      <c r="A3026" s="124" t="s">
        <v>5260</v>
      </c>
      <c r="B3026" s="125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25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16</v>
      </c>
      <c r="R3026" s="115" t="s">
        <v>1013</v>
      </c>
      <c r="S3026" s="125"/>
    </row>
    <row r="3027" spans="1:19" hidden="1">
      <c r="A3027" s="124" t="s">
        <v>5260</v>
      </c>
      <c r="B3027" s="125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25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16</v>
      </c>
      <c r="R3027" s="115" t="s">
        <v>1013</v>
      </c>
      <c r="S3027" s="125"/>
    </row>
    <row r="3028" spans="1:19" hidden="1">
      <c r="A3028" s="124" t="s">
        <v>5260</v>
      </c>
      <c r="B3028" s="125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25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16</v>
      </c>
      <c r="R3028" s="115" t="s">
        <v>1013</v>
      </c>
      <c r="S3028" s="125"/>
    </row>
    <row r="3029" spans="1:19" hidden="1">
      <c r="A3029" s="124" t="s">
        <v>5260</v>
      </c>
      <c r="B3029" s="125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25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16</v>
      </c>
      <c r="R3029" s="115" t="s">
        <v>1013</v>
      </c>
      <c r="S3029" s="125"/>
    </row>
    <row r="3030" spans="1:19" hidden="1">
      <c r="A3030" s="124" t="s">
        <v>5260</v>
      </c>
      <c r="B3030" s="125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25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16</v>
      </c>
      <c r="R3030" s="115" t="s">
        <v>1013</v>
      </c>
      <c r="S3030" s="125"/>
    </row>
    <row r="3031" spans="1:19" hidden="1">
      <c r="A3031" s="124" t="s">
        <v>5260</v>
      </c>
      <c r="B3031" s="125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25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16</v>
      </c>
      <c r="R3031" s="115" t="s">
        <v>1013</v>
      </c>
      <c r="S3031" s="125"/>
    </row>
    <row r="3032" spans="1:19" hidden="1">
      <c r="A3032" s="124" t="s">
        <v>5260</v>
      </c>
      <c r="B3032" s="125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25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16</v>
      </c>
      <c r="R3032" s="115" t="s">
        <v>1013</v>
      </c>
      <c r="S3032" s="125"/>
    </row>
    <row r="3033" spans="1:19" hidden="1">
      <c r="A3033" s="124" t="s">
        <v>5260</v>
      </c>
      <c r="B3033" s="125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25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16</v>
      </c>
      <c r="R3033" s="115" t="s">
        <v>1013</v>
      </c>
      <c r="S3033" s="125"/>
    </row>
    <row r="3034" spans="1:19" hidden="1">
      <c r="A3034" s="124" t="s">
        <v>5260</v>
      </c>
      <c r="B3034" s="125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25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16</v>
      </c>
      <c r="R3034" s="115" t="s">
        <v>1013</v>
      </c>
      <c r="S3034" s="125"/>
    </row>
    <row r="3035" spans="1:19" hidden="1">
      <c r="A3035" s="124" t="s">
        <v>5260</v>
      </c>
      <c r="B3035" s="125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25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16</v>
      </c>
      <c r="R3035" s="115" t="s">
        <v>1013</v>
      </c>
      <c r="S3035" s="125"/>
    </row>
    <row r="3036" spans="1:19" hidden="1">
      <c r="A3036" s="124" t="s">
        <v>5260</v>
      </c>
      <c r="B3036" s="125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25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16</v>
      </c>
      <c r="R3036" s="115" t="s">
        <v>1013</v>
      </c>
      <c r="S3036" s="125"/>
    </row>
    <row r="3037" spans="1:19" hidden="1">
      <c r="A3037" s="124" t="s">
        <v>5260</v>
      </c>
      <c r="B3037" s="125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25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16</v>
      </c>
      <c r="R3037" s="115" t="s">
        <v>1013</v>
      </c>
      <c r="S3037" s="125"/>
    </row>
    <row r="3038" spans="1:19" hidden="1">
      <c r="A3038" s="124" t="s">
        <v>5260</v>
      </c>
      <c r="B3038" s="125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25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16</v>
      </c>
      <c r="R3038" s="115" t="s">
        <v>1013</v>
      </c>
      <c r="S3038" s="125"/>
    </row>
    <row r="3039" spans="1:19" hidden="1">
      <c r="A3039" s="124" t="s">
        <v>5260</v>
      </c>
      <c r="B3039" s="125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25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16</v>
      </c>
      <c r="R3039" s="115" t="s">
        <v>1013</v>
      </c>
      <c r="S3039" s="125"/>
    </row>
    <row r="3040" spans="1:19" hidden="1">
      <c r="A3040" s="124" t="s">
        <v>5260</v>
      </c>
      <c r="B3040" s="125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25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16</v>
      </c>
      <c r="R3040" s="115" t="s">
        <v>1013</v>
      </c>
      <c r="S3040" s="125"/>
    </row>
    <row r="3041" spans="1:19" hidden="1">
      <c r="A3041" s="124" t="s">
        <v>5260</v>
      </c>
      <c r="B3041" s="125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25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16</v>
      </c>
      <c r="R3041" s="115" t="s">
        <v>1013</v>
      </c>
      <c r="S3041" s="125"/>
    </row>
    <row r="3042" spans="1:19" hidden="1">
      <c r="A3042" s="124" t="s">
        <v>5260</v>
      </c>
      <c r="B3042" s="125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25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16</v>
      </c>
      <c r="R3042" s="115" t="s">
        <v>1013</v>
      </c>
      <c r="S3042" s="125"/>
    </row>
    <row r="3043" spans="1:19" hidden="1">
      <c r="A3043" s="124" t="s">
        <v>5260</v>
      </c>
      <c r="B3043" s="125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25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16</v>
      </c>
      <c r="R3043" s="115" t="s">
        <v>1013</v>
      </c>
      <c r="S3043" s="125"/>
    </row>
    <row r="3044" spans="1:19" hidden="1">
      <c r="A3044" s="124" t="s">
        <v>5260</v>
      </c>
      <c r="B3044" s="125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25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16</v>
      </c>
      <c r="R3044" s="115" t="s">
        <v>1013</v>
      </c>
      <c r="S3044" s="125"/>
    </row>
    <row r="3045" spans="1:19" hidden="1">
      <c r="A3045" s="124" t="s">
        <v>5260</v>
      </c>
      <c r="B3045" s="125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25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16</v>
      </c>
      <c r="R3045" s="115" t="s">
        <v>1013</v>
      </c>
      <c r="S3045" s="125"/>
    </row>
    <row r="3046" spans="1:19" hidden="1">
      <c r="A3046" s="124" t="s">
        <v>5260</v>
      </c>
      <c r="B3046" s="125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25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16</v>
      </c>
      <c r="R3046" s="115" t="s">
        <v>1013</v>
      </c>
      <c r="S3046" s="125"/>
    </row>
    <row r="3047" spans="1:19" hidden="1">
      <c r="A3047" s="124" t="s">
        <v>5260</v>
      </c>
      <c r="B3047" s="125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25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16</v>
      </c>
      <c r="R3047" s="115" t="s">
        <v>1013</v>
      </c>
      <c r="S3047" s="125"/>
    </row>
    <row r="3048" spans="1:19" hidden="1">
      <c r="A3048" s="124" t="s">
        <v>5260</v>
      </c>
      <c r="B3048" s="125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25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16</v>
      </c>
      <c r="R3048" s="115" t="s">
        <v>1013</v>
      </c>
      <c r="S3048" s="125"/>
    </row>
    <row r="3049" spans="1:19" hidden="1">
      <c r="A3049" s="124" t="s">
        <v>5260</v>
      </c>
      <c r="B3049" s="125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25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16</v>
      </c>
      <c r="R3049" s="115" t="s">
        <v>1013</v>
      </c>
      <c r="S3049" s="125"/>
    </row>
    <row r="3050" spans="1:19" hidden="1">
      <c r="A3050" s="124" t="s">
        <v>5260</v>
      </c>
      <c r="B3050" s="125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25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16</v>
      </c>
      <c r="R3050" s="115" t="s">
        <v>1013</v>
      </c>
      <c r="S3050" s="125"/>
    </row>
    <row r="3051" spans="1:19" hidden="1">
      <c r="A3051" s="124" t="s">
        <v>5260</v>
      </c>
      <c r="B3051" s="125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25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16</v>
      </c>
      <c r="R3051" s="115" t="s">
        <v>1013</v>
      </c>
      <c r="S3051" s="125"/>
    </row>
    <row r="3052" spans="1:19" hidden="1">
      <c r="A3052" s="124" t="s">
        <v>5260</v>
      </c>
      <c r="B3052" s="125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25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16</v>
      </c>
      <c r="R3052" s="115" t="s">
        <v>1013</v>
      </c>
      <c r="S3052" s="125"/>
    </row>
    <row r="3053" spans="1:19" hidden="1">
      <c r="A3053" s="124" t="s">
        <v>5260</v>
      </c>
      <c r="B3053" s="125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25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16</v>
      </c>
      <c r="R3053" s="115" t="s">
        <v>1013</v>
      </c>
      <c r="S3053" s="125"/>
    </row>
    <row r="3054" spans="1:19" hidden="1">
      <c r="A3054" s="124" t="s">
        <v>5260</v>
      </c>
      <c r="B3054" s="125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25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16</v>
      </c>
      <c r="R3054" s="115" t="s">
        <v>1013</v>
      </c>
      <c r="S3054" s="125"/>
    </row>
    <row r="3055" spans="1:19" hidden="1">
      <c r="A3055" s="124" t="s">
        <v>5260</v>
      </c>
      <c r="B3055" s="125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25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16</v>
      </c>
      <c r="R3055" s="115" t="s">
        <v>1013</v>
      </c>
      <c r="S3055" s="125"/>
    </row>
    <row r="3056" spans="1:19" hidden="1">
      <c r="A3056" s="124" t="s">
        <v>5260</v>
      </c>
      <c r="B3056" s="125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25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16</v>
      </c>
      <c r="R3056" s="115" t="s">
        <v>1013</v>
      </c>
      <c r="S3056" s="125"/>
    </row>
    <row r="3057" spans="1:19" hidden="1">
      <c r="A3057" s="124" t="s">
        <v>5260</v>
      </c>
      <c r="B3057" s="125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25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16</v>
      </c>
      <c r="R3057" s="115" t="s">
        <v>1013</v>
      </c>
      <c r="S3057" s="125"/>
    </row>
    <row r="3058" spans="1:19" hidden="1">
      <c r="A3058" s="124" t="s">
        <v>5260</v>
      </c>
      <c r="B3058" s="125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25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16</v>
      </c>
      <c r="R3058" s="115" t="s">
        <v>1013</v>
      </c>
      <c r="S3058" s="125"/>
    </row>
    <row r="3059" spans="1:19" hidden="1">
      <c r="A3059" s="124" t="s">
        <v>5260</v>
      </c>
      <c r="B3059" s="125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25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16</v>
      </c>
      <c r="R3059" s="115" t="s">
        <v>1013</v>
      </c>
      <c r="S3059" s="125"/>
    </row>
    <row r="3060" spans="1:19" hidden="1">
      <c r="A3060" s="124" t="s">
        <v>5260</v>
      </c>
      <c r="B3060" s="125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25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16</v>
      </c>
      <c r="R3060" s="115" t="s">
        <v>1013</v>
      </c>
      <c r="S3060" s="125"/>
    </row>
    <row r="3061" spans="1:19" hidden="1">
      <c r="A3061" s="124" t="s">
        <v>5260</v>
      </c>
      <c r="B3061" s="125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25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16</v>
      </c>
      <c r="R3061" s="115" t="s">
        <v>1013</v>
      </c>
      <c r="S3061" s="125"/>
    </row>
    <row r="3062" spans="1:19" hidden="1">
      <c r="A3062" s="124" t="s">
        <v>5260</v>
      </c>
      <c r="B3062" s="125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25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16</v>
      </c>
      <c r="R3062" s="115" t="s">
        <v>1013</v>
      </c>
      <c r="S3062" s="125"/>
    </row>
    <row r="3063" spans="1:19" hidden="1">
      <c r="A3063" s="124" t="s">
        <v>5260</v>
      </c>
      <c r="B3063" s="125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25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16</v>
      </c>
      <c r="R3063" s="115" t="s">
        <v>1013</v>
      </c>
      <c r="S3063" s="125"/>
    </row>
    <row r="3064" spans="1:19" hidden="1">
      <c r="A3064" s="124" t="s">
        <v>5260</v>
      </c>
      <c r="B3064" s="125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25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16</v>
      </c>
      <c r="R3064" s="115" t="s">
        <v>1013</v>
      </c>
      <c r="S3064" s="125"/>
    </row>
    <row r="3065" spans="1:19" hidden="1">
      <c r="A3065" s="124" t="s">
        <v>5260</v>
      </c>
      <c r="B3065" s="125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25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16</v>
      </c>
      <c r="R3065" s="115" t="s">
        <v>1013</v>
      </c>
      <c r="S3065" s="125"/>
    </row>
    <row r="3066" spans="1:19" hidden="1">
      <c r="A3066" s="124" t="s">
        <v>5260</v>
      </c>
      <c r="B3066" s="125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25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16</v>
      </c>
      <c r="R3066" s="115" t="s">
        <v>1013</v>
      </c>
      <c r="S3066" s="125"/>
    </row>
    <row r="3067" spans="1:19" hidden="1">
      <c r="A3067" s="124" t="s">
        <v>5260</v>
      </c>
      <c r="B3067" s="125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25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16</v>
      </c>
      <c r="R3067" s="115" t="s">
        <v>1013</v>
      </c>
      <c r="S3067" s="125"/>
    </row>
    <row r="3068" spans="1:19" hidden="1">
      <c r="A3068" s="124" t="s">
        <v>5260</v>
      </c>
      <c r="B3068" s="125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25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16</v>
      </c>
      <c r="R3068" s="115" t="s">
        <v>1013</v>
      </c>
      <c r="S3068" s="125"/>
    </row>
    <row r="3069" spans="1:19" hidden="1">
      <c r="A3069" s="124" t="s">
        <v>5260</v>
      </c>
      <c r="B3069" s="125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25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16</v>
      </c>
      <c r="R3069" s="115" t="s">
        <v>1013</v>
      </c>
      <c r="S3069" s="125"/>
    </row>
    <row r="3070" spans="1:19" hidden="1">
      <c r="A3070" s="124" t="s">
        <v>5260</v>
      </c>
      <c r="B3070" s="125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25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16</v>
      </c>
      <c r="R3070" s="115" t="s">
        <v>1013</v>
      </c>
      <c r="S3070" s="125"/>
    </row>
    <row r="3071" spans="1:19" hidden="1">
      <c r="A3071" s="124" t="s">
        <v>5260</v>
      </c>
      <c r="B3071" s="125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25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16</v>
      </c>
      <c r="R3071" s="115" t="s">
        <v>1013</v>
      </c>
      <c r="S3071" s="125"/>
    </row>
    <row r="3072" spans="1:19" hidden="1">
      <c r="A3072" s="124" t="s">
        <v>5260</v>
      </c>
      <c r="B3072" s="125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25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16</v>
      </c>
      <c r="R3072" s="115" t="s">
        <v>1013</v>
      </c>
      <c r="S3072" s="125"/>
    </row>
    <row r="3073" spans="1:19" hidden="1">
      <c r="A3073" s="124" t="s">
        <v>5260</v>
      </c>
      <c r="B3073" s="125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25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16</v>
      </c>
      <c r="R3073" s="115" t="s">
        <v>1013</v>
      </c>
      <c r="S3073" s="125"/>
    </row>
    <row r="3074" spans="1:19" hidden="1">
      <c r="A3074" s="124" t="s">
        <v>5260</v>
      </c>
      <c r="B3074" s="125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25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16</v>
      </c>
      <c r="R3074" s="115" t="s">
        <v>1013</v>
      </c>
      <c r="S3074" s="125"/>
    </row>
    <row r="3075" spans="1:19" hidden="1">
      <c r="A3075" s="124" t="s">
        <v>5260</v>
      </c>
      <c r="B3075" s="125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25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16</v>
      </c>
      <c r="R3075" s="115" t="s">
        <v>1013</v>
      </c>
      <c r="S3075" s="125"/>
    </row>
    <row r="3076" spans="1:19" hidden="1">
      <c r="A3076" s="124" t="s">
        <v>5260</v>
      </c>
      <c r="B3076" s="125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25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16</v>
      </c>
      <c r="R3076" s="115" t="s">
        <v>1013</v>
      </c>
      <c r="S3076" s="125"/>
    </row>
    <row r="3077" spans="1:19" hidden="1">
      <c r="A3077" s="124" t="s">
        <v>5260</v>
      </c>
      <c r="B3077" s="125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25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16</v>
      </c>
      <c r="R3077" s="115" t="s">
        <v>1013</v>
      </c>
      <c r="S3077" s="125"/>
    </row>
    <row r="3078" spans="1:19" hidden="1">
      <c r="A3078" s="124" t="s">
        <v>5260</v>
      </c>
      <c r="B3078" s="125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25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16</v>
      </c>
      <c r="R3078" s="115" t="s">
        <v>1013</v>
      </c>
      <c r="S3078" s="125"/>
    </row>
    <row r="3079" spans="1:19" hidden="1">
      <c r="A3079" s="124" t="s">
        <v>5260</v>
      </c>
      <c r="B3079" s="125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25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16</v>
      </c>
      <c r="R3079" s="115" t="s">
        <v>1013</v>
      </c>
      <c r="S3079" s="125"/>
    </row>
    <row r="3080" spans="1:19" hidden="1">
      <c r="A3080" s="124" t="s">
        <v>5260</v>
      </c>
      <c r="B3080" s="125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25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16</v>
      </c>
      <c r="R3080" s="115" t="s">
        <v>1013</v>
      </c>
      <c r="S3080" s="125"/>
    </row>
    <row r="3081" spans="1:19" hidden="1">
      <c r="A3081" s="124" t="s">
        <v>5260</v>
      </c>
      <c r="B3081" s="125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25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16</v>
      </c>
      <c r="R3081" s="115" t="s">
        <v>1013</v>
      </c>
      <c r="S3081" s="125"/>
    </row>
    <row r="3082" spans="1:19" hidden="1">
      <c r="A3082" s="124" t="s">
        <v>5260</v>
      </c>
      <c r="B3082" s="125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25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16</v>
      </c>
      <c r="R3082" s="115" t="s">
        <v>1013</v>
      </c>
      <c r="S3082" s="125"/>
    </row>
    <row r="3083" spans="1:19" hidden="1">
      <c r="A3083" s="124" t="s">
        <v>5260</v>
      </c>
      <c r="B3083" s="125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25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16</v>
      </c>
      <c r="R3083" s="115" t="s">
        <v>1013</v>
      </c>
      <c r="S3083" s="125"/>
    </row>
    <row r="3084" spans="1:19" hidden="1">
      <c r="A3084" s="124" t="s">
        <v>5260</v>
      </c>
      <c r="B3084" s="125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25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16</v>
      </c>
      <c r="R3084" s="115" t="s">
        <v>1013</v>
      </c>
      <c r="S3084" s="125"/>
    </row>
    <row r="3085" spans="1:19" hidden="1">
      <c r="A3085" s="124" t="s">
        <v>5260</v>
      </c>
      <c r="B3085" s="125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25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16</v>
      </c>
      <c r="R3085" s="115" t="s">
        <v>1013</v>
      </c>
      <c r="S3085" s="125"/>
    </row>
    <row r="3086" spans="1:19" hidden="1">
      <c r="A3086" s="124" t="s">
        <v>5260</v>
      </c>
      <c r="B3086" s="125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25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16</v>
      </c>
      <c r="R3086" s="115" t="s">
        <v>1013</v>
      </c>
      <c r="S3086" s="125"/>
    </row>
    <row r="3087" spans="1:19" hidden="1">
      <c r="A3087" s="124" t="s">
        <v>5260</v>
      </c>
      <c r="B3087" s="125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25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16</v>
      </c>
      <c r="R3087" s="115" t="s">
        <v>1013</v>
      </c>
      <c r="S3087" s="125"/>
    </row>
    <row r="3088" spans="1:19" hidden="1">
      <c r="A3088" s="124" t="s">
        <v>5260</v>
      </c>
      <c r="B3088" s="125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25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16</v>
      </c>
      <c r="R3088" s="115" t="s">
        <v>1013</v>
      </c>
      <c r="S3088" s="125"/>
    </row>
    <row r="3089" spans="1:19" hidden="1">
      <c r="A3089" s="124" t="s">
        <v>5260</v>
      </c>
      <c r="B3089" s="125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25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16</v>
      </c>
      <c r="R3089" s="115" t="s">
        <v>1013</v>
      </c>
      <c r="S3089" s="125"/>
    </row>
    <row r="3090" spans="1:19" hidden="1">
      <c r="A3090" s="124" t="s">
        <v>5260</v>
      </c>
      <c r="B3090" s="125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25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16</v>
      </c>
      <c r="R3090" s="115" t="s">
        <v>1013</v>
      </c>
      <c r="S3090" s="125"/>
    </row>
    <row r="3091" spans="1:19" hidden="1">
      <c r="A3091" s="124" t="s">
        <v>5260</v>
      </c>
      <c r="B3091" s="125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25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16</v>
      </c>
      <c r="R3091" s="115" t="s">
        <v>1013</v>
      </c>
      <c r="S3091" s="125"/>
    </row>
    <row r="3092" spans="1:19" hidden="1">
      <c r="A3092" s="124" t="s">
        <v>5260</v>
      </c>
      <c r="B3092" s="125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25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16</v>
      </c>
      <c r="R3092" s="115" t="s">
        <v>1013</v>
      </c>
      <c r="S3092" s="125"/>
    </row>
    <row r="3093" spans="1:19" hidden="1">
      <c r="A3093" s="124" t="s">
        <v>5260</v>
      </c>
      <c r="B3093" s="125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25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16</v>
      </c>
      <c r="R3093" s="115" t="s">
        <v>1013</v>
      </c>
      <c r="S3093" s="125"/>
    </row>
    <row r="3094" spans="1:19" hidden="1">
      <c r="A3094" s="124" t="s">
        <v>5260</v>
      </c>
      <c r="B3094" s="125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25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16</v>
      </c>
      <c r="R3094" s="115" t="s">
        <v>1013</v>
      </c>
      <c r="S3094" s="125"/>
    </row>
    <row r="3095" spans="1:19" hidden="1">
      <c r="A3095" s="124" t="s">
        <v>5260</v>
      </c>
      <c r="B3095" s="125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25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16</v>
      </c>
      <c r="R3095" s="115" t="s">
        <v>1013</v>
      </c>
      <c r="S3095" s="125"/>
    </row>
    <row r="3096" spans="1:19" hidden="1">
      <c r="A3096" s="124" t="s">
        <v>5260</v>
      </c>
      <c r="B3096" s="125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25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16</v>
      </c>
      <c r="R3096" s="115" t="s">
        <v>1013</v>
      </c>
      <c r="S3096" s="125"/>
    </row>
    <row r="3097" spans="1:19" hidden="1">
      <c r="A3097" s="124" t="s">
        <v>5260</v>
      </c>
      <c r="B3097" s="125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25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16</v>
      </c>
      <c r="R3097" s="115" t="s">
        <v>1013</v>
      </c>
      <c r="S3097" s="125"/>
    </row>
    <row r="3098" spans="1:19" hidden="1">
      <c r="A3098" s="124" t="s">
        <v>5260</v>
      </c>
      <c r="B3098" s="125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25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16</v>
      </c>
      <c r="R3098" s="115" t="s">
        <v>1013</v>
      </c>
      <c r="S3098" s="125"/>
    </row>
    <row r="3099" spans="1:19" hidden="1">
      <c r="A3099" s="124" t="s">
        <v>5260</v>
      </c>
      <c r="B3099" s="125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25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16</v>
      </c>
      <c r="R3099" s="115" t="s">
        <v>1013</v>
      </c>
      <c r="S3099" s="125"/>
    </row>
    <row r="3100" spans="1:19" hidden="1">
      <c r="A3100" s="124" t="s">
        <v>5260</v>
      </c>
      <c r="B3100" s="125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25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16</v>
      </c>
      <c r="R3100" s="115" t="s">
        <v>1013</v>
      </c>
      <c r="S3100" s="125"/>
    </row>
    <row r="3101" spans="1:19" hidden="1">
      <c r="A3101" s="124" t="s">
        <v>5260</v>
      </c>
      <c r="B3101" s="125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25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16</v>
      </c>
      <c r="R3101" s="115" t="s">
        <v>1013</v>
      </c>
      <c r="S3101" s="125"/>
    </row>
    <row r="3102" spans="1:19" hidden="1">
      <c r="A3102" s="124" t="s">
        <v>5260</v>
      </c>
      <c r="B3102" s="125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25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16</v>
      </c>
      <c r="R3102" s="115" t="s">
        <v>1013</v>
      </c>
      <c r="S3102" s="125"/>
    </row>
    <row r="3103" spans="1:19" hidden="1">
      <c r="A3103" s="124" t="s">
        <v>5260</v>
      </c>
      <c r="B3103" s="125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25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16</v>
      </c>
      <c r="R3103" s="115" t="s">
        <v>1013</v>
      </c>
      <c r="S3103" s="125"/>
    </row>
    <row r="3104" spans="1:19" hidden="1">
      <c r="A3104" s="124" t="s">
        <v>5260</v>
      </c>
      <c r="B3104" s="125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25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16</v>
      </c>
      <c r="R3104" s="115" t="s">
        <v>1013</v>
      </c>
      <c r="S3104" s="125"/>
    </row>
    <row r="3105" spans="1:19" hidden="1">
      <c r="A3105" s="124" t="s">
        <v>5260</v>
      </c>
      <c r="B3105" s="125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25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16</v>
      </c>
      <c r="R3105" s="115" t="s">
        <v>1013</v>
      </c>
      <c r="S3105" s="125"/>
    </row>
    <row r="3106" spans="1:19" hidden="1">
      <c r="A3106" s="124" t="s">
        <v>5260</v>
      </c>
      <c r="B3106" s="125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25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16</v>
      </c>
      <c r="R3106" s="115" t="s">
        <v>1013</v>
      </c>
      <c r="S3106" s="125"/>
    </row>
    <row r="3107" spans="1:19" hidden="1">
      <c r="A3107" s="124" t="s">
        <v>5260</v>
      </c>
      <c r="B3107" s="125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25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16</v>
      </c>
      <c r="R3107" s="115" t="s">
        <v>1013</v>
      </c>
      <c r="S3107" s="125"/>
    </row>
    <row r="3108" spans="1:19" hidden="1">
      <c r="A3108" s="124" t="s">
        <v>5260</v>
      </c>
      <c r="B3108" s="125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25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16</v>
      </c>
      <c r="R3108" s="115" t="s">
        <v>1013</v>
      </c>
      <c r="S3108" s="125"/>
    </row>
    <row r="3109" spans="1:19" hidden="1">
      <c r="A3109" s="124" t="s">
        <v>5260</v>
      </c>
      <c r="B3109" s="125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25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16</v>
      </c>
      <c r="R3109" s="115" t="s">
        <v>1013</v>
      </c>
      <c r="S3109" s="125"/>
    </row>
    <row r="3110" spans="1:19" hidden="1">
      <c r="A3110" s="124" t="s">
        <v>5260</v>
      </c>
      <c r="B3110" s="125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25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16</v>
      </c>
      <c r="R3110" s="115" t="s">
        <v>1013</v>
      </c>
      <c r="S3110" s="125"/>
    </row>
    <row r="3111" spans="1:19" hidden="1">
      <c r="A3111" s="124" t="s">
        <v>5260</v>
      </c>
      <c r="B3111" s="125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25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16</v>
      </c>
      <c r="R3111" s="115" t="s">
        <v>1013</v>
      </c>
      <c r="S3111" s="125"/>
    </row>
    <row r="3112" spans="1:19" hidden="1">
      <c r="A3112" s="124" t="s">
        <v>5260</v>
      </c>
      <c r="B3112" s="125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25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16</v>
      </c>
      <c r="R3112" s="115" t="s">
        <v>1013</v>
      </c>
      <c r="S3112" s="125"/>
    </row>
    <row r="3113" spans="1:19" hidden="1">
      <c r="A3113" s="124" t="s">
        <v>5260</v>
      </c>
      <c r="B3113" s="125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25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16</v>
      </c>
      <c r="R3113" s="115" t="s">
        <v>1013</v>
      </c>
      <c r="S3113" s="125"/>
    </row>
    <row r="3114" spans="1:19" hidden="1">
      <c r="A3114" s="124" t="s">
        <v>5260</v>
      </c>
      <c r="B3114" s="125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25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16</v>
      </c>
      <c r="R3114" s="115" t="s">
        <v>1013</v>
      </c>
      <c r="S3114" s="125"/>
    </row>
    <row r="3115" spans="1:19" hidden="1">
      <c r="A3115" s="124" t="s">
        <v>5260</v>
      </c>
      <c r="B3115" s="125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25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16</v>
      </c>
      <c r="R3115" s="115" t="s">
        <v>1013</v>
      </c>
      <c r="S3115" s="125"/>
    </row>
    <row r="3116" spans="1:19" hidden="1">
      <c r="A3116" s="124" t="s">
        <v>5260</v>
      </c>
      <c r="B3116" s="125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25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16</v>
      </c>
      <c r="R3116" s="115" t="s">
        <v>1013</v>
      </c>
      <c r="S3116" s="125"/>
    </row>
    <row r="3117" spans="1:19" hidden="1">
      <c r="A3117" s="124" t="s">
        <v>5260</v>
      </c>
      <c r="B3117" s="125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25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16</v>
      </c>
      <c r="R3117" s="115" t="s">
        <v>1013</v>
      </c>
      <c r="S3117" s="125"/>
    </row>
    <row r="3118" spans="1:19" hidden="1">
      <c r="A3118" s="124" t="s">
        <v>5260</v>
      </c>
      <c r="B3118" s="125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25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16</v>
      </c>
      <c r="R3118" s="115" t="s">
        <v>1013</v>
      </c>
      <c r="S3118" s="125"/>
    </row>
    <row r="3119" spans="1:19" hidden="1">
      <c r="A3119" s="124" t="s">
        <v>5260</v>
      </c>
      <c r="B3119" s="125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25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16</v>
      </c>
      <c r="R3119" s="115" t="s">
        <v>1013</v>
      </c>
      <c r="S3119" s="125"/>
    </row>
    <row r="3120" spans="1:19" hidden="1">
      <c r="A3120" s="124" t="s">
        <v>5260</v>
      </c>
      <c r="B3120" s="125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25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16</v>
      </c>
      <c r="R3120" s="115" t="s">
        <v>1013</v>
      </c>
      <c r="S3120" s="125"/>
    </row>
    <row r="3121" spans="1:19" hidden="1">
      <c r="A3121" s="124" t="s">
        <v>5260</v>
      </c>
      <c r="B3121" s="125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25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16</v>
      </c>
      <c r="R3121" s="115" t="s">
        <v>1013</v>
      </c>
      <c r="S3121" s="125"/>
    </row>
    <row r="3122" spans="1:19" hidden="1">
      <c r="A3122" s="124" t="s">
        <v>5260</v>
      </c>
      <c r="B3122" s="125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25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16</v>
      </c>
      <c r="R3122" s="115" t="s">
        <v>1013</v>
      </c>
      <c r="S3122" s="125"/>
    </row>
    <row r="3123" spans="1:19" hidden="1">
      <c r="A3123" s="124" t="s">
        <v>5260</v>
      </c>
      <c r="B3123" s="125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25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16</v>
      </c>
      <c r="R3123" s="115" t="s">
        <v>1013</v>
      </c>
      <c r="S3123" s="125"/>
    </row>
    <row r="3124" spans="1:19" hidden="1">
      <c r="A3124" s="124" t="s">
        <v>5260</v>
      </c>
      <c r="B3124" s="125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25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16</v>
      </c>
      <c r="R3124" s="115" t="s">
        <v>1013</v>
      </c>
      <c r="S3124" s="125"/>
    </row>
    <row r="3125" spans="1:19" hidden="1">
      <c r="A3125" s="124" t="s">
        <v>5260</v>
      </c>
      <c r="B3125" s="125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25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16</v>
      </c>
      <c r="R3125" s="115" t="s">
        <v>1013</v>
      </c>
      <c r="S3125" s="125"/>
    </row>
    <row r="3126" spans="1:19" hidden="1">
      <c r="A3126" s="124" t="s">
        <v>5260</v>
      </c>
      <c r="B3126" s="125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25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16</v>
      </c>
      <c r="R3126" s="115" t="s">
        <v>1013</v>
      </c>
      <c r="S3126" s="125"/>
    </row>
    <row r="3127" spans="1:19" hidden="1">
      <c r="A3127" s="124" t="s">
        <v>5260</v>
      </c>
      <c r="B3127" s="125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25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16</v>
      </c>
      <c r="R3127" s="115" t="s">
        <v>1013</v>
      </c>
      <c r="S3127" s="125"/>
    </row>
    <row r="3128" spans="1:19" hidden="1">
      <c r="A3128" s="124" t="s">
        <v>5260</v>
      </c>
      <c r="B3128" s="125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25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16</v>
      </c>
      <c r="R3128" s="115" t="s">
        <v>1013</v>
      </c>
      <c r="S3128" s="125"/>
    </row>
    <row r="3129" spans="1:19" hidden="1">
      <c r="A3129" s="124" t="s">
        <v>5260</v>
      </c>
      <c r="B3129" s="125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25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16</v>
      </c>
      <c r="R3129" s="115" t="s">
        <v>1013</v>
      </c>
      <c r="S3129" s="125"/>
    </row>
    <row r="3130" spans="1:19" hidden="1">
      <c r="A3130" s="124" t="s">
        <v>5260</v>
      </c>
      <c r="B3130" s="125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25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16</v>
      </c>
      <c r="R3130" s="115" t="s">
        <v>1013</v>
      </c>
      <c r="S3130" s="125"/>
    </row>
    <row r="3131" spans="1:19" hidden="1">
      <c r="A3131" s="124" t="s">
        <v>5260</v>
      </c>
      <c r="B3131" s="125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25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16</v>
      </c>
      <c r="R3131" s="115" t="s">
        <v>1013</v>
      </c>
      <c r="S3131" s="125"/>
    </row>
    <row r="3132" spans="1:19" hidden="1">
      <c r="A3132" s="124" t="s">
        <v>5260</v>
      </c>
      <c r="B3132" s="125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25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16</v>
      </c>
      <c r="R3132" s="115" t="s">
        <v>1013</v>
      </c>
      <c r="S3132" s="125"/>
    </row>
    <row r="3133" spans="1:19" hidden="1">
      <c r="A3133" s="124" t="s">
        <v>5260</v>
      </c>
      <c r="B3133" s="125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25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16</v>
      </c>
      <c r="R3133" s="115" t="s">
        <v>1013</v>
      </c>
      <c r="S3133" s="125"/>
    </row>
    <row r="3134" spans="1:19" hidden="1">
      <c r="A3134" s="124" t="s">
        <v>5260</v>
      </c>
      <c r="B3134" s="125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25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16</v>
      </c>
      <c r="R3134" s="115" t="s">
        <v>1013</v>
      </c>
      <c r="S3134" s="125"/>
    </row>
    <row r="3135" spans="1:19" hidden="1">
      <c r="A3135" s="124" t="s">
        <v>5260</v>
      </c>
      <c r="B3135" s="125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25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16</v>
      </c>
      <c r="R3135" s="115" t="s">
        <v>1013</v>
      </c>
      <c r="S3135" s="125"/>
    </row>
    <row r="3136" spans="1:19" hidden="1">
      <c r="A3136" s="124" t="s">
        <v>5260</v>
      </c>
      <c r="B3136" s="125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25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16</v>
      </c>
      <c r="R3136" s="115" t="s">
        <v>1013</v>
      </c>
      <c r="S3136" s="125"/>
    </row>
    <row r="3137" spans="1:19" hidden="1">
      <c r="A3137" s="124" t="s">
        <v>5260</v>
      </c>
      <c r="B3137" s="125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25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16</v>
      </c>
      <c r="R3137" s="115" t="s">
        <v>1013</v>
      </c>
      <c r="S3137" s="125"/>
    </row>
    <row r="3138" spans="1:19" hidden="1">
      <c r="A3138" s="124" t="s">
        <v>5260</v>
      </c>
      <c r="B3138" s="125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25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16</v>
      </c>
      <c r="R3138" s="115" t="s">
        <v>1013</v>
      </c>
      <c r="S3138" s="125"/>
    </row>
    <row r="3139" spans="1:19" hidden="1">
      <c r="A3139" s="124" t="s">
        <v>5260</v>
      </c>
      <c r="B3139" s="125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25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16</v>
      </c>
      <c r="R3139" s="115" t="s">
        <v>1013</v>
      </c>
      <c r="S3139" s="125"/>
    </row>
    <row r="3140" spans="1:19" hidden="1">
      <c r="A3140" s="124" t="s">
        <v>5260</v>
      </c>
      <c r="B3140" s="125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25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16</v>
      </c>
      <c r="R3140" s="115" t="s">
        <v>1013</v>
      </c>
      <c r="S3140" s="125"/>
    </row>
    <row r="3141" spans="1:19" hidden="1">
      <c r="A3141" s="124" t="s">
        <v>5260</v>
      </c>
      <c r="B3141" s="125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25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16</v>
      </c>
      <c r="R3141" s="115" t="s">
        <v>1013</v>
      </c>
      <c r="S3141" s="125"/>
    </row>
    <row r="3142" spans="1:19" hidden="1">
      <c r="A3142" s="124" t="s">
        <v>5260</v>
      </c>
      <c r="B3142" s="125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25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16</v>
      </c>
      <c r="R3142" s="115" t="s">
        <v>1013</v>
      </c>
      <c r="S3142" s="125"/>
    </row>
    <row r="3143" spans="1:19" hidden="1">
      <c r="A3143" s="124" t="s">
        <v>5260</v>
      </c>
      <c r="B3143" s="125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25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16</v>
      </c>
      <c r="R3143" s="115" t="s">
        <v>1013</v>
      </c>
      <c r="S3143" s="125"/>
    </row>
    <row r="3144" spans="1:19" hidden="1">
      <c r="A3144" s="124" t="s">
        <v>5260</v>
      </c>
      <c r="B3144" s="125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25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16</v>
      </c>
      <c r="R3144" s="115" t="s">
        <v>1013</v>
      </c>
      <c r="S3144" s="125"/>
    </row>
    <row r="3145" spans="1:19" hidden="1">
      <c r="A3145" s="124" t="s">
        <v>5260</v>
      </c>
      <c r="B3145" s="125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25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16</v>
      </c>
      <c r="R3145" s="115" t="s">
        <v>1013</v>
      </c>
      <c r="S3145" s="125"/>
    </row>
    <row r="3146" spans="1:19" hidden="1">
      <c r="A3146" s="124" t="s">
        <v>5260</v>
      </c>
      <c r="B3146" s="125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25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16</v>
      </c>
      <c r="R3146" s="115" t="s">
        <v>1013</v>
      </c>
      <c r="S3146" s="125"/>
    </row>
    <row r="3147" spans="1:19" hidden="1">
      <c r="A3147" s="124" t="s">
        <v>5260</v>
      </c>
      <c r="B3147" s="125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25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16</v>
      </c>
      <c r="R3147" s="115" t="s">
        <v>1013</v>
      </c>
      <c r="S3147" s="125"/>
    </row>
    <row r="3148" spans="1:19" hidden="1">
      <c r="A3148" s="124" t="s">
        <v>5260</v>
      </c>
      <c r="B3148" s="125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25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16</v>
      </c>
      <c r="R3148" s="115" t="s">
        <v>1013</v>
      </c>
      <c r="S3148" s="125"/>
    </row>
    <row r="3149" spans="1:19" hidden="1">
      <c r="A3149" s="124" t="s">
        <v>5260</v>
      </c>
      <c r="B3149" s="125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25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16</v>
      </c>
      <c r="R3149" s="115" t="s">
        <v>1013</v>
      </c>
      <c r="S3149" s="125"/>
    </row>
    <row r="3150" spans="1:19" hidden="1">
      <c r="A3150" s="124" t="s">
        <v>5260</v>
      </c>
      <c r="B3150" s="125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25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16</v>
      </c>
      <c r="R3150" s="115" t="s">
        <v>1013</v>
      </c>
      <c r="S3150" s="125"/>
    </row>
    <row r="3151" spans="1:19" hidden="1">
      <c r="A3151" s="124" t="s">
        <v>5260</v>
      </c>
      <c r="B3151" s="125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25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16</v>
      </c>
      <c r="R3151" s="115" t="s">
        <v>1013</v>
      </c>
      <c r="S3151" s="125"/>
    </row>
    <row r="3152" spans="1:19" hidden="1">
      <c r="A3152" s="124" t="s">
        <v>5260</v>
      </c>
      <c r="B3152" s="125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25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16</v>
      </c>
      <c r="R3152" s="115" t="s">
        <v>1013</v>
      </c>
      <c r="S3152" s="125"/>
    </row>
    <row r="3153" spans="1:19" hidden="1">
      <c r="A3153" s="124" t="s">
        <v>5260</v>
      </c>
      <c r="B3153" s="125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25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16</v>
      </c>
      <c r="R3153" s="115" t="s">
        <v>1013</v>
      </c>
      <c r="S3153" s="125"/>
    </row>
    <row r="3154" spans="1:19" hidden="1">
      <c r="A3154" s="124" t="s">
        <v>5260</v>
      </c>
      <c r="B3154" s="125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25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16</v>
      </c>
      <c r="R3154" s="115" t="s">
        <v>1013</v>
      </c>
      <c r="S3154" s="125"/>
    </row>
    <row r="3155" spans="1:19" hidden="1">
      <c r="A3155" s="124" t="s">
        <v>5260</v>
      </c>
      <c r="B3155" s="125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25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16</v>
      </c>
      <c r="R3155" s="115" t="s">
        <v>1013</v>
      </c>
      <c r="S3155" s="125"/>
    </row>
    <row r="3156" spans="1:19" hidden="1">
      <c r="A3156" s="124" t="s">
        <v>5260</v>
      </c>
      <c r="B3156" s="125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25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16</v>
      </c>
      <c r="R3156" s="115" t="s">
        <v>1013</v>
      </c>
      <c r="S3156" s="125"/>
    </row>
    <row r="3157" spans="1:19" hidden="1">
      <c r="A3157" s="124" t="s">
        <v>5260</v>
      </c>
      <c r="B3157" s="125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25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16</v>
      </c>
      <c r="R3157" s="115" t="s">
        <v>1013</v>
      </c>
      <c r="S3157" s="125"/>
    </row>
    <row r="3158" spans="1:19" hidden="1">
      <c r="A3158" s="124" t="s">
        <v>5260</v>
      </c>
      <c r="B3158" s="125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25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16</v>
      </c>
      <c r="R3158" s="115" t="s">
        <v>1013</v>
      </c>
      <c r="S3158" s="125"/>
    </row>
    <row r="3159" spans="1:19" hidden="1">
      <c r="A3159" s="124" t="s">
        <v>5260</v>
      </c>
      <c r="B3159" s="125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25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16</v>
      </c>
      <c r="R3159" s="115" t="s">
        <v>1013</v>
      </c>
      <c r="S3159" s="125"/>
    </row>
    <row r="3160" spans="1:19" hidden="1">
      <c r="A3160" s="124" t="s">
        <v>5260</v>
      </c>
      <c r="B3160" s="125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25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16</v>
      </c>
      <c r="R3160" s="115" t="s">
        <v>1013</v>
      </c>
      <c r="S3160" s="125"/>
    </row>
    <row r="3161" spans="1:19" hidden="1">
      <c r="A3161" s="124" t="s">
        <v>5260</v>
      </c>
      <c r="B3161" s="125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25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16</v>
      </c>
      <c r="R3161" s="115" t="s">
        <v>1013</v>
      </c>
      <c r="S3161" s="125"/>
    </row>
    <row r="3162" spans="1:19" hidden="1">
      <c r="A3162" s="124" t="s">
        <v>5260</v>
      </c>
      <c r="B3162" s="125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25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16</v>
      </c>
      <c r="R3162" s="115" t="s">
        <v>1013</v>
      </c>
      <c r="S3162" s="125"/>
    </row>
    <row r="3163" spans="1:19" hidden="1">
      <c r="A3163" s="124" t="s">
        <v>5260</v>
      </c>
      <c r="B3163" s="125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25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16</v>
      </c>
      <c r="R3163" s="115" t="s">
        <v>1013</v>
      </c>
      <c r="S3163" s="125"/>
    </row>
    <row r="3164" spans="1:19" hidden="1">
      <c r="A3164" s="124" t="s">
        <v>5260</v>
      </c>
      <c r="B3164" s="125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25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16</v>
      </c>
      <c r="R3164" s="115" t="s">
        <v>1013</v>
      </c>
      <c r="S3164" s="125"/>
    </row>
    <row r="3165" spans="1:19" hidden="1">
      <c r="A3165" s="124" t="s">
        <v>5260</v>
      </c>
      <c r="B3165" s="125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25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16</v>
      </c>
      <c r="R3165" s="115" t="s">
        <v>1013</v>
      </c>
      <c r="S3165" s="125"/>
    </row>
    <row r="3166" spans="1:19" hidden="1">
      <c r="A3166" s="124" t="s">
        <v>5260</v>
      </c>
      <c r="B3166" s="125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25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16</v>
      </c>
      <c r="R3166" s="115" t="s">
        <v>1013</v>
      </c>
      <c r="S3166" s="125"/>
    </row>
    <row r="3167" spans="1:19" hidden="1">
      <c r="A3167" s="124" t="s">
        <v>5260</v>
      </c>
      <c r="B3167" s="125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25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16</v>
      </c>
      <c r="R3167" s="115" t="s">
        <v>1013</v>
      </c>
      <c r="S3167" s="125"/>
    </row>
    <row r="3168" spans="1:19" hidden="1">
      <c r="A3168" s="124" t="s">
        <v>5260</v>
      </c>
      <c r="B3168" s="125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25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16</v>
      </c>
      <c r="R3168" s="115" t="s">
        <v>1013</v>
      </c>
      <c r="S3168" s="125"/>
    </row>
    <row r="3169" spans="1:19" hidden="1">
      <c r="A3169" s="124" t="s">
        <v>5260</v>
      </c>
      <c r="B3169" s="125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25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16</v>
      </c>
      <c r="R3169" s="115" t="s">
        <v>1013</v>
      </c>
      <c r="S3169" s="125"/>
    </row>
    <row r="3170" spans="1:19" hidden="1">
      <c r="A3170" s="124" t="s">
        <v>5260</v>
      </c>
      <c r="B3170" s="125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25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16</v>
      </c>
      <c r="R3170" s="115" t="s">
        <v>1013</v>
      </c>
      <c r="S3170" s="125"/>
    </row>
    <row r="3171" spans="1:19" hidden="1">
      <c r="A3171" s="124" t="s">
        <v>5260</v>
      </c>
      <c r="B3171" s="125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25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16</v>
      </c>
      <c r="R3171" s="115" t="s">
        <v>1013</v>
      </c>
      <c r="S3171" s="125"/>
    </row>
    <row r="3172" spans="1:19" hidden="1">
      <c r="A3172" s="124" t="s">
        <v>5260</v>
      </c>
      <c r="B3172" s="125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25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16</v>
      </c>
      <c r="R3172" s="115" t="s">
        <v>1013</v>
      </c>
      <c r="S3172" s="125"/>
    </row>
    <row r="3173" spans="1:19" hidden="1">
      <c r="A3173" s="124" t="s">
        <v>5260</v>
      </c>
      <c r="B3173" s="125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25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16</v>
      </c>
      <c r="R3173" s="115" t="s">
        <v>1013</v>
      </c>
      <c r="S3173" s="125"/>
    </row>
    <row r="3174" spans="1:19" hidden="1">
      <c r="A3174" s="124" t="s">
        <v>5260</v>
      </c>
      <c r="B3174" s="125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25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16</v>
      </c>
      <c r="R3174" s="115" t="s">
        <v>1013</v>
      </c>
      <c r="S3174" s="125"/>
    </row>
    <row r="3175" spans="1:19" hidden="1">
      <c r="A3175" s="124" t="s">
        <v>5260</v>
      </c>
      <c r="B3175" s="125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25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16</v>
      </c>
      <c r="R3175" s="115" t="s">
        <v>1013</v>
      </c>
      <c r="S3175" s="125"/>
    </row>
    <row r="3176" spans="1:19" hidden="1">
      <c r="A3176" s="124" t="s">
        <v>5260</v>
      </c>
      <c r="B3176" s="125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25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16</v>
      </c>
      <c r="R3176" s="115" t="s">
        <v>1013</v>
      </c>
      <c r="S3176" s="125"/>
    </row>
    <row r="3177" spans="1:19" hidden="1">
      <c r="A3177" s="124" t="s">
        <v>5260</v>
      </c>
      <c r="B3177" s="125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25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16</v>
      </c>
      <c r="R3177" s="115" t="s">
        <v>1013</v>
      </c>
      <c r="S3177" s="125"/>
    </row>
    <row r="3178" spans="1:19" hidden="1">
      <c r="A3178" s="124" t="s">
        <v>5260</v>
      </c>
      <c r="B3178" s="125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25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16</v>
      </c>
      <c r="R3178" s="115" t="s">
        <v>1013</v>
      </c>
      <c r="S3178" s="125"/>
    </row>
    <row r="3179" spans="1:19" hidden="1">
      <c r="A3179" s="124" t="s">
        <v>5260</v>
      </c>
      <c r="B3179" s="125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25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16</v>
      </c>
      <c r="R3179" s="115" t="s">
        <v>1013</v>
      </c>
      <c r="S3179" s="125"/>
    </row>
    <row r="3180" spans="1:19" hidden="1">
      <c r="A3180" s="124" t="s">
        <v>5260</v>
      </c>
      <c r="B3180" s="125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25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16</v>
      </c>
      <c r="R3180" s="115" t="s">
        <v>1013</v>
      </c>
      <c r="S3180" s="125"/>
    </row>
    <row r="3181" spans="1:19" hidden="1">
      <c r="A3181" s="124" t="s">
        <v>5260</v>
      </c>
      <c r="B3181" s="125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25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16</v>
      </c>
      <c r="R3181" s="115" t="s">
        <v>1013</v>
      </c>
      <c r="S3181" s="125"/>
    </row>
    <row r="3182" spans="1:19" hidden="1">
      <c r="A3182" s="124" t="s">
        <v>5260</v>
      </c>
      <c r="B3182" s="125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25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16</v>
      </c>
      <c r="R3182" s="115" t="s">
        <v>1013</v>
      </c>
      <c r="S3182" s="125"/>
    </row>
    <row r="3183" spans="1:19" hidden="1">
      <c r="A3183" s="124" t="s">
        <v>5260</v>
      </c>
      <c r="B3183" s="125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25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16</v>
      </c>
      <c r="R3183" s="115" t="s">
        <v>1013</v>
      </c>
      <c r="S3183" s="125"/>
    </row>
    <row r="3184" spans="1:19" hidden="1">
      <c r="A3184" s="124" t="s">
        <v>5260</v>
      </c>
      <c r="B3184" s="125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25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16</v>
      </c>
      <c r="R3184" s="115" t="s">
        <v>1013</v>
      </c>
      <c r="S3184" s="125"/>
    </row>
    <row r="3185" spans="1:19" hidden="1">
      <c r="A3185" s="124" t="s">
        <v>5260</v>
      </c>
      <c r="B3185" s="125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25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16</v>
      </c>
      <c r="R3185" s="115" t="s">
        <v>1013</v>
      </c>
      <c r="S3185" s="125"/>
    </row>
    <row r="3186" spans="1:19" hidden="1">
      <c r="A3186" s="124" t="s">
        <v>5260</v>
      </c>
      <c r="B3186" s="125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25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16</v>
      </c>
      <c r="R3186" s="115" t="s">
        <v>1013</v>
      </c>
      <c r="S3186" s="125"/>
    </row>
    <row r="3187" spans="1:19" hidden="1">
      <c r="A3187" s="124" t="s">
        <v>5260</v>
      </c>
      <c r="B3187" s="125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25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16</v>
      </c>
      <c r="R3187" s="115" t="s">
        <v>1013</v>
      </c>
      <c r="S3187" s="125"/>
    </row>
    <row r="3188" spans="1:19" hidden="1">
      <c r="A3188" s="124" t="s">
        <v>5260</v>
      </c>
      <c r="B3188" s="125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25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16</v>
      </c>
      <c r="R3188" s="115" t="s">
        <v>1013</v>
      </c>
      <c r="S3188" s="125"/>
    </row>
    <row r="3189" spans="1:19" hidden="1">
      <c r="A3189" s="124" t="s">
        <v>5260</v>
      </c>
      <c r="B3189" s="125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25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16</v>
      </c>
      <c r="R3189" s="115" t="s">
        <v>1013</v>
      </c>
      <c r="S3189" s="125"/>
    </row>
    <row r="3190" spans="1:19" hidden="1">
      <c r="A3190" s="124" t="s">
        <v>5260</v>
      </c>
      <c r="B3190" s="125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25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16</v>
      </c>
      <c r="R3190" s="115" t="s">
        <v>1013</v>
      </c>
      <c r="S3190" s="125"/>
    </row>
    <row r="3191" spans="1:19" hidden="1">
      <c r="A3191" s="124" t="s">
        <v>5260</v>
      </c>
      <c r="B3191" s="125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25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16</v>
      </c>
      <c r="R3191" s="115" t="s">
        <v>1013</v>
      </c>
      <c r="S3191" s="125"/>
    </row>
    <row r="3192" spans="1:19" hidden="1">
      <c r="A3192" s="124" t="s">
        <v>5260</v>
      </c>
      <c r="B3192" s="125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25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16</v>
      </c>
      <c r="R3192" s="115" t="s">
        <v>1013</v>
      </c>
      <c r="S3192" s="125"/>
    </row>
    <row r="3193" spans="1:19" hidden="1">
      <c r="A3193" s="124" t="s">
        <v>5260</v>
      </c>
      <c r="B3193" s="125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25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16</v>
      </c>
      <c r="R3193" s="115" t="s">
        <v>1013</v>
      </c>
      <c r="S3193" s="125"/>
    </row>
    <row r="3194" spans="1:19" hidden="1">
      <c r="A3194" s="124" t="s">
        <v>5260</v>
      </c>
      <c r="B3194" s="125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25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16</v>
      </c>
      <c r="R3194" s="115" t="s">
        <v>1013</v>
      </c>
      <c r="S3194" s="125"/>
    </row>
    <row r="3195" spans="1:19" hidden="1">
      <c r="A3195" s="124" t="s">
        <v>5260</v>
      </c>
      <c r="B3195" s="125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25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16</v>
      </c>
      <c r="R3195" s="115" t="s">
        <v>1013</v>
      </c>
      <c r="S3195" s="125"/>
    </row>
    <row r="3196" spans="1:19" hidden="1">
      <c r="A3196" s="124" t="s">
        <v>5260</v>
      </c>
      <c r="B3196" s="125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25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16</v>
      </c>
      <c r="R3196" s="115" t="s">
        <v>1013</v>
      </c>
      <c r="S3196" s="125"/>
    </row>
    <row r="3197" spans="1:19" hidden="1">
      <c r="A3197" s="124" t="s">
        <v>5260</v>
      </c>
      <c r="B3197" s="125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25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16</v>
      </c>
      <c r="R3197" s="115" t="s">
        <v>1013</v>
      </c>
      <c r="S3197" s="125"/>
    </row>
    <row r="3198" spans="1:19" hidden="1">
      <c r="A3198" s="124" t="s">
        <v>5260</v>
      </c>
      <c r="B3198" s="125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25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16</v>
      </c>
      <c r="R3198" s="115" t="s">
        <v>1013</v>
      </c>
      <c r="S3198" s="125"/>
    </row>
    <row r="3199" spans="1:19" hidden="1">
      <c r="A3199" s="124" t="s">
        <v>5260</v>
      </c>
      <c r="B3199" s="125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25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16</v>
      </c>
      <c r="R3199" s="115" t="s">
        <v>1013</v>
      </c>
      <c r="S3199" s="125"/>
    </row>
    <row r="3200" spans="1:19" hidden="1">
      <c r="A3200" s="124" t="s">
        <v>5260</v>
      </c>
      <c r="B3200" s="125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25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16</v>
      </c>
      <c r="R3200" s="115" t="s">
        <v>1013</v>
      </c>
      <c r="S3200" s="125"/>
    </row>
    <row r="3201" spans="1:19" hidden="1">
      <c r="A3201" s="124" t="s">
        <v>5260</v>
      </c>
      <c r="B3201" s="125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25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16</v>
      </c>
      <c r="R3201" s="115" t="s">
        <v>1013</v>
      </c>
      <c r="S3201" s="125"/>
    </row>
    <row r="3202" spans="1:19" hidden="1">
      <c r="A3202" s="124" t="s">
        <v>5260</v>
      </c>
      <c r="B3202" s="125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25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16</v>
      </c>
      <c r="R3202" s="115" t="s">
        <v>1013</v>
      </c>
      <c r="S3202" s="125"/>
    </row>
    <row r="3203" spans="1:19" hidden="1">
      <c r="A3203" s="124" t="s">
        <v>5260</v>
      </c>
      <c r="B3203" s="125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25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16</v>
      </c>
      <c r="R3203" s="115" t="s">
        <v>1013</v>
      </c>
      <c r="S3203" s="125"/>
    </row>
    <row r="3204" spans="1:19" hidden="1">
      <c r="A3204" s="124" t="s">
        <v>5260</v>
      </c>
      <c r="B3204" s="125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25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16</v>
      </c>
      <c r="R3204" s="115" t="s">
        <v>1013</v>
      </c>
      <c r="S3204" s="125"/>
    </row>
    <row r="3205" spans="1:19" hidden="1">
      <c r="A3205" s="124" t="s">
        <v>5260</v>
      </c>
      <c r="B3205" s="125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25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16</v>
      </c>
      <c r="R3205" s="115" t="s">
        <v>1013</v>
      </c>
      <c r="S3205" s="125"/>
    </row>
    <row r="3206" spans="1:19" hidden="1">
      <c r="A3206" s="124" t="s">
        <v>5260</v>
      </c>
      <c r="B3206" s="125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25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16</v>
      </c>
      <c r="R3206" s="115" t="s">
        <v>1013</v>
      </c>
      <c r="S3206" s="125"/>
    </row>
    <row r="3207" spans="1:19" hidden="1">
      <c r="A3207" s="124" t="s">
        <v>5260</v>
      </c>
      <c r="B3207" s="125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25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16</v>
      </c>
      <c r="R3207" s="115" t="s">
        <v>1013</v>
      </c>
      <c r="S3207" s="125"/>
    </row>
    <row r="3208" spans="1:19" hidden="1">
      <c r="A3208" s="124" t="s">
        <v>5260</v>
      </c>
      <c r="B3208" s="125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25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16</v>
      </c>
      <c r="R3208" s="115" t="s">
        <v>1013</v>
      </c>
      <c r="S3208" s="125"/>
    </row>
    <row r="3209" spans="1:19" hidden="1">
      <c r="A3209" s="124" t="s">
        <v>5260</v>
      </c>
      <c r="B3209" s="125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25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16</v>
      </c>
      <c r="R3209" s="115" t="s">
        <v>1013</v>
      </c>
      <c r="S3209" s="125"/>
    </row>
    <row r="3210" spans="1:19" hidden="1">
      <c r="A3210" s="124" t="s">
        <v>5260</v>
      </c>
      <c r="B3210" s="125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25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16</v>
      </c>
      <c r="R3210" s="115" t="s">
        <v>1013</v>
      </c>
      <c r="S3210" s="125"/>
    </row>
    <row r="3211" spans="1:19" hidden="1">
      <c r="A3211" s="124" t="s">
        <v>5260</v>
      </c>
      <c r="B3211" s="125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25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16</v>
      </c>
      <c r="R3211" s="115" t="s">
        <v>1013</v>
      </c>
      <c r="S3211" s="125"/>
    </row>
    <row r="3212" spans="1:19" hidden="1">
      <c r="A3212" s="124" t="s">
        <v>5260</v>
      </c>
      <c r="B3212" s="125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25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16</v>
      </c>
      <c r="R3212" s="115" t="s">
        <v>1013</v>
      </c>
      <c r="S3212" s="125"/>
    </row>
    <row r="3213" spans="1:19" hidden="1">
      <c r="A3213" s="124" t="s">
        <v>5260</v>
      </c>
      <c r="B3213" s="125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25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16</v>
      </c>
      <c r="R3213" s="115" t="s">
        <v>1013</v>
      </c>
      <c r="S3213" s="125"/>
    </row>
    <row r="3214" spans="1:19" hidden="1">
      <c r="A3214" s="124" t="s">
        <v>5260</v>
      </c>
      <c r="B3214" s="125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25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16</v>
      </c>
      <c r="R3214" s="115" t="s">
        <v>1013</v>
      </c>
      <c r="S3214" s="125"/>
    </row>
    <row r="3215" spans="1:19" hidden="1">
      <c r="A3215" s="124" t="s">
        <v>5260</v>
      </c>
      <c r="B3215" s="125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25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16</v>
      </c>
      <c r="R3215" s="115" t="s">
        <v>1013</v>
      </c>
      <c r="S3215" s="125"/>
    </row>
    <row r="3216" spans="1:19" hidden="1">
      <c r="A3216" s="124" t="s">
        <v>5260</v>
      </c>
      <c r="B3216" s="125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25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16</v>
      </c>
      <c r="R3216" s="115" t="s">
        <v>1013</v>
      </c>
      <c r="S3216" s="125"/>
    </row>
    <row r="3217" spans="1:19" hidden="1">
      <c r="A3217" s="124" t="s">
        <v>5260</v>
      </c>
      <c r="B3217" s="125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25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16</v>
      </c>
      <c r="R3217" s="115" t="s">
        <v>1013</v>
      </c>
      <c r="S3217" s="125"/>
    </row>
    <row r="3218" spans="1:19" hidden="1">
      <c r="A3218" s="124" t="s">
        <v>5260</v>
      </c>
      <c r="B3218" s="125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25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16</v>
      </c>
      <c r="R3218" s="115" t="s">
        <v>1013</v>
      </c>
      <c r="S3218" s="125"/>
    </row>
    <row r="3219" spans="1:19" hidden="1">
      <c r="A3219" s="124" t="s">
        <v>5260</v>
      </c>
      <c r="B3219" s="125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25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16</v>
      </c>
      <c r="R3219" s="115" t="s">
        <v>1013</v>
      </c>
      <c r="S3219" s="125"/>
    </row>
    <row r="3220" spans="1:19" hidden="1">
      <c r="A3220" s="124" t="s">
        <v>5260</v>
      </c>
      <c r="B3220" s="125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25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16</v>
      </c>
      <c r="R3220" s="115" t="s">
        <v>1013</v>
      </c>
      <c r="S3220" s="125"/>
    </row>
    <row r="3221" spans="1:19" hidden="1">
      <c r="A3221" s="124" t="s">
        <v>5260</v>
      </c>
      <c r="B3221" s="125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25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16</v>
      </c>
      <c r="R3221" s="115" t="s">
        <v>1013</v>
      </c>
      <c r="S3221" s="125"/>
    </row>
    <row r="3222" spans="1:19" hidden="1">
      <c r="A3222" s="124" t="s">
        <v>5260</v>
      </c>
      <c r="B3222" s="125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25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16</v>
      </c>
      <c r="R3222" s="115" t="s">
        <v>1013</v>
      </c>
      <c r="S3222" s="125"/>
    </row>
    <row r="3223" spans="1:19" hidden="1">
      <c r="A3223" s="124" t="s">
        <v>5260</v>
      </c>
      <c r="B3223" s="125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25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16</v>
      </c>
      <c r="R3223" s="115" t="s">
        <v>1013</v>
      </c>
      <c r="S3223" s="125"/>
    </row>
    <row r="3224" spans="1:19" hidden="1">
      <c r="A3224" s="124" t="s">
        <v>5260</v>
      </c>
      <c r="B3224" s="125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25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16</v>
      </c>
      <c r="R3224" s="115" t="s">
        <v>1013</v>
      </c>
      <c r="S3224" s="125"/>
    </row>
    <row r="3225" spans="1:19" hidden="1">
      <c r="A3225" s="124" t="s">
        <v>5260</v>
      </c>
      <c r="B3225" s="125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25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16</v>
      </c>
      <c r="R3225" s="115" t="s">
        <v>1013</v>
      </c>
      <c r="S3225" s="125"/>
    </row>
    <row r="3226" spans="1:19" hidden="1">
      <c r="A3226" s="124" t="s">
        <v>5260</v>
      </c>
      <c r="B3226" s="125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25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16</v>
      </c>
      <c r="R3226" s="115" t="s">
        <v>1013</v>
      </c>
      <c r="S3226" s="125"/>
    </row>
    <row r="3227" spans="1:19" hidden="1">
      <c r="A3227" s="124" t="s">
        <v>5260</v>
      </c>
      <c r="B3227" s="125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25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16</v>
      </c>
      <c r="R3227" s="115" t="s">
        <v>1013</v>
      </c>
      <c r="S3227" s="125"/>
    </row>
    <row r="3228" spans="1:19" hidden="1">
      <c r="A3228" s="124" t="s">
        <v>5260</v>
      </c>
      <c r="B3228" s="125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25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16</v>
      </c>
      <c r="R3228" s="115" t="s">
        <v>1013</v>
      </c>
      <c r="S3228" s="125"/>
    </row>
    <row r="3229" spans="1:19" hidden="1">
      <c r="A3229" s="124" t="s">
        <v>5260</v>
      </c>
      <c r="B3229" s="125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25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16</v>
      </c>
      <c r="R3229" s="115" t="s">
        <v>1013</v>
      </c>
      <c r="S3229" s="125"/>
    </row>
    <row r="3230" spans="1:19" hidden="1">
      <c r="A3230" s="124" t="s">
        <v>5260</v>
      </c>
      <c r="B3230" s="125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25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16</v>
      </c>
      <c r="R3230" s="115" t="s">
        <v>1013</v>
      </c>
      <c r="S3230" s="125"/>
    </row>
    <row r="3231" spans="1:19" hidden="1">
      <c r="A3231" s="124" t="s">
        <v>5260</v>
      </c>
      <c r="B3231" s="125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25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16</v>
      </c>
      <c r="R3231" s="115" t="s">
        <v>1013</v>
      </c>
      <c r="S3231" s="125"/>
    </row>
    <row r="3232" spans="1:19" hidden="1">
      <c r="A3232" t="s">
        <v>5273</v>
      </c>
      <c r="B3232" s="125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25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15</v>
      </c>
      <c r="R3232" s="115" t="s">
        <v>489</v>
      </c>
      <c r="S3232" s="125"/>
    </row>
    <row r="3233" spans="1:19" hidden="1">
      <c r="A3233" s="124" t="s">
        <v>5273</v>
      </c>
      <c r="B3233" s="125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25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15</v>
      </c>
      <c r="R3233" s="115" t="s">
        <v>489</v>
      </c>
      <c r="S3233" s="125"/>
    </row>
    <row r="3234" spans="1:19" hidden="1">
      <c r="A3234" s="124" t="s">
        <v>5273</v>
      </c>
      <c r="B3234" s="125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25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15</v>
      </c>
      <c r="R3234" s="115" t="s">
        <v>489</v>
      </c>
      <c r="S3234" s="125"/>
    </row>
    <row r="3235" spans="1:19" hidden="1">
      <c r="A3235" s="124" t="s">
        <v>5273</v>
      </c>
      <c r="B3235" s="125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25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15</v>
      </c>
      <c r="R3235" s="115" t="s">
        <v>489</v>
      </c>
      <c r="S3235" s="125"/>
    </row>
    <row r="3236" spans="1:19" hidden="1">
      <c r="A3236" s="124" t="s">
        <v>5273</v>
      </c>
      <c r="B3236" s="125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25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15</v>
      </c>
      <c r="R3236" s="115" t="s">
        <v>489</v>
      </c>
      <c r="S3236" s="125"/>
    </row>
    <row r="3237" spans="1:19" hidden="1">
      <c r="A3237" s="124" t="s">
        <v>5273</v>
      </c>
      <c r="B3237" s="125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25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15</v>
      </c>
      <c r="R3237" s="115" t="s">
        <v>489</v>
      </c>
      <c r="S3237" s="125"/>
    </row>
    <row r="3238" spans="1:19" hidden="1">
      <c r="A3238" s="124" t="s">
        <v>5273</v>
      </c>
      <c r="B3238" s="125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25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15</v>
      </c>
      <c r="R3238" s="115" t="s">
        <v>489</v>
      </c>
      <c r="S3238" s="125"/>
    </row>
    <row r="3239" spans="1:19" hidden="1">
      <c r="A3239" s="124" t="s">
        <v>5273</v>
      </c>
      <c r="B3239" s="125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25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15</v>
      </c>
      <c r="R3239" s="115" t="s">
        <v>489</v>
      </c>
      <c r="S3239" s="125"/>
    </row>
    <row r="3240" spans="1:19" hidden="1">
      <c r="A3240" s="124" t="s">
        <v>5273</v>
      </c>
      <c r="B3240" s="125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25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15</v>
      </c>
      <c r="R3240" s="115" t="s">
        <v>489</v>
      </c>
      <c r="S3240" s="125"/>
    </row>
    <row r="3241" spans="1:19" hidden="1">
      <c r="A3241" s="124" t="s">
        <v>5273</v>
      </c>
      <c r="B3241" s="125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25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15</v>
      </c>
      <c r="R3241" s="115" t="s">
        <v>489</v>
      </c>
      <c r="S3241" s="125"/>
    </row>
    <row r="3242" spans="1:19" hidden="1">
      <c r="A3242" s="124" t="s">
        <v>5273</v>
      </c>
      <c r="B3242" s="125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25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15</v>
      </c>
      <c r="R3242" s="115" t="s">
        <v>489</v>
      </c>
      <c r="S3242" s="125"/>
    </row>
    <row r="3243" spans="1:19" hidden="1">
      <c r="A3243" t="s">
        <v>5480</v>
      </c>
      <c r="B3243" s="125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25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15</v>
      </c>
      <c r="R3243" s="115" t="s">
        <v>1459</v>
      </c>
      <c r="S3243" s="125"/>
    </row>
    <row r="3244" spans="1:19" hidden="1">
      <c r="A3244" s="124" t="s">
        <v>5480</v>
      </c>
      <c r="B3244" s="125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25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15</v>
      </c>
      <c r="R3244" s="115" t="s">
        <v>1459</v>
      </c>
      <c r="S3244" s="125"/>
    </row>
    <row r="3245" spans="1:19" hidden="1">
      <c r="A3245" s="124" t="s">
        <v>5480</v>
      </c>
      <c r="B3245" s="125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25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15</v>
      </c>
      <c r="R3245" s="115" t="s">
        <v>1459</v>
      </c>
      <c r="S3245" s="125"/>
    </row>
    <row r="3246" spans="1:19" hidden="1">
      <c r="A3246" s="124" t="s">
        <v>5480</v>
      </c>
      <c r="B3246" s="125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25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15</v>
      </c>
      <c r="R3246" s="115" t="s">
        <v>1459</v>
      </c>
      <c r="S3246" s="125"/>
    </row>
    <row r="3247" spans="1:19" hidden="1">
      <c r="A3247" s="124" t="s">
        <v>5480</v>
      </c>
      <c r="B3247" s="125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25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15</v>
      </c>
      <c r="R3247" s="115" t="s">
        <v>1459</v>
      </c>
      <c r="S3247" s="125"/>
    </row>
    <row r="3248" spans="1:19" hidden="1">
      <c r="A3248" s="124" t="s">
        <v>5480</v>
      </c>
      <c r="B3248" s="125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25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15</v>
      </c>
      <c r="R3248" s="115" t="s">
        <v>1459</v>
      </c>
      <c r="S3248" s="125"/>
    </row>
    <row r="3249" spans="1:19" hidden="1">
      <c r="A3249" s="124" t="s">
        <v>5480</v>
      </c>
      <c r="B3249" s="125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25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15</v>
      </c>
      <c r="R3249" s="115" t="s">
        <v>1459</v>
      </c>
      <c r="S3249" s="125"/>
    </row>
    <row r="3250" spans="1:19" hidden="1">
      <c r="A3250" s="124" t="s">
        <v>5480</v>
      </c>
      <c r="B3250" s="125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25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15</v>
      </c>
      <c r="R3250" s="115" t="s">
        <v>1459</v>
      </c>
      <c r="S3250" s="125"/>
    </row>
    <row r="3251" spans="1:19" hidden="1">
      <c r="A3251" s="124" t="s">
        <v>5480</v>
      </c>
      <c r="B3251" s="125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25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15</v>
      </c>
      <c r="R3251" s="115" t="s">
        <v>1459</v>
      </c>
      <c r="S3251" s="125"/>
    </row>
    <row r="3252" spans="1:19" hidden="1">
      <c r="A3252" s="124" t="s">
        <v>5480</v>
      </c>
      <c r="B3252" s="125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25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15</v>
      </c>
      <c r="R3252" s="115" t="s">
        <v>1459</v>
      </c>
      <c r="S3252" s="125"/>
    </row>
    <row r="3253" spans="1:19" hidden="1">
      <c r="A3253" s="124" t="s">
        <v>5480</v>
      </c>
      <c r="B3253" s="125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25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15</v>
      </c>
      <c r="R3253" s="115" t="s">
        <v>1459</v>
      </c>
      <c r="S3253" s="125"/>
    </row>
    <row r="3254" spans="1:19" hidden="1">
      <c r="A3254" s="124" t="s">
        <v>5480</v>
      </c>
      <c r="B3254" s="125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25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15</v>
      </c>
      <c r="R3254" s="115" t="s">
        <v>1459</v>
      </c>
      <c r="S3254" s="125"/>
    </row>
    <row r="3255" spans="1:19" hidden="1">
      <c r="A3255" s="124" t="s">
        <v>5480</v>
      </c>
      <c r="B3255" s="125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25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15</v>
      </c>
      <c r="R3255" s="115" t="s">
        <v>1459</v>
      </c>
      <c r="S3255" s="125"/>
    </row>
    <row r="3256" spans="1:19" hidden="1">
      <c r="A3256" s="124" t="s">
        <v>5480</v>
      </c>
      <c r="B3256" s="125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25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15</v>
      </c>
      <c r="R3256" s="115" t="s">
        <v>1459</v>
      </c>
      <c r="S3256" s="125"/>
    </row>
    <row r="3257" spans="1:19" hidden="1">
      <c r="A3257" s="124" t="s">
        <v>5480</v>
      </c>
      <c r="B3257" s="125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25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15</v>
      </c>
      <c r="R3257" s="115" t="s">
        <v>1459</v>
      </c>
      <c r="S3257" s="125"/>
    </row>
    <row r="3258" spans="1:19" hidden="1">
      <c r="A3258" s="124" t="s">
        <v>5480</v>
      </c>
      <c r="B3258" s="125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25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15</v>
      </c>
      <c r="R3258" s="115" t="s">
        <v>1459</v>
      </c>
      <c r="S3258" s="125"/>
    </row>
    <row r="3259" spans="1:19" hidden="1">
      <c r="A3259" s="124" t="s">
        <v>5480</v>
      </c>
      <c r="B3259" s="125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25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15</v>
      </c>
      <c r="R3259" s="115" t="s">
        <v>1459</v>
      </c>
      <c r="S3259" s="125"/>
    </row>
    <row r="3260" spans="1:19" hidden="1">
      <c r="A3260" s="124" t="s">
        <v>5480</v>
      </c>
      <c r="B3260" s="125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25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15</v>
      </c>
      <c r="R3260" s="115" t="s">
        <v>1459</v>
      </c>
      <c r="S3260" s="125"/>
    </row>
    <row r="3261" spans="1:19" hidden="1">
      <c r="A3261" s="124" t="s">
        <v>5480</v>
      </c>
      <c r="B3261" s="125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25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15</v>
      </c>
      <c r="R3261" s="115" t="s">
        <v>1459</v>
      </c>
      <c r="S3261" s="125"/>
    </row>
    <row r="3262" spans="1:19" hidden="1">
      <c r="A3262" s="124" t="s">
        <v>5480</v>
      </c>
      <c r="B3262" s="125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25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15</v>
      </c>
      <c r="R3262" s="115" t="s">
        <v>1459</v>
      </c>
      <c r="S3262" s="125"/>
    </row>
    <row r="3263" spans="1:19" hidden="1">
      <c r="A3263" s="124" t="s">
        <v>5480</v>
      </c>
      <c r="B3263" s="125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25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15</v>
      </c>
      <c r="R3263" s="115" t="s">
        <v>1459</v>
      </c>
      <c r="S3263" s="125"/>
    </row>
    <row r="3264" spans="1:19" hidden="1">
      <c r="A3264" s="124" t="s">
        <v>5480</v>
      </c>
      <c r="B3264" s="125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25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15</v>
      </c>
      <c r="R3264" s="115" t="s">
        <v>1459</v>
      </c>
      <c r="S3264" s="125"/>
    </row>
    <row r="3265" spans="1:19" hidden="1">
      <c r="A3265" s="124" t="s">
        <v>5480</v>
      </c>
      <c r="B3265" s="125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25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15</v>
      </c>
      <c r="R3265" s="115" t="s">
        <v>1459</v>
      </c>
      <c r="S3265" s="125"/>
    </row>
    <row r="3266" spans="1:19" hidden="1">
      <c r="A3266" s="124" t="s">
        <v>5480</v>
      </c>
      <c r="B3266" s="125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25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15</v>
      </c>
      <c r="R3266" s="115" t="s">
        <v>1459</v>
      </c>
      <c r="S3266" s="125"/>
    </row>
    <row r="3267" spans="1:19" hidden="1">
      <c r="A3267" s="124" t="s">
        <v>5480</v>
      </c>
      <c r="B3267" s="125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25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15</v>
      </c>
      <c r="R3267" s="115" t="s">
        <v>1459</v>
      </c>
      <c r="S3267" s="125"/>
    </row>
    <row r="3268" spans="1:19" hidden="1">
      <c r="A3268" s="124" t="s">
        <v>5480</v>
      </c>
      <c r="B3268" s="125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25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15</v>
      </c>
      <c r="R3268" s="115" t="s">
        <v>1459</v>
      </c>
      <c r="S3268" s="125"/>
    </row>
    <row r="3269" spans="1:19" hidden="1">
      <c r="A3269" s="124" t="s">
        <v>5480</v>
      </c>
      <c r="B3269" s="125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25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15</v>
      </c>
      <c r="R3269" s="115" t="s">
        <v>1459</v>
      </c>
      <c r="S3269" s="125"/>
    </row>
    <row r="3270" spans="1:19" hidden="1">
      <c r="A3270" s="124" t="s">
        <v>5480</v>
      </c>
      <c r="B3270" s="125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25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15</v>
      </c>
      <c r="R3270" s="115" t="s">
        <v>1459</v>
      </c>
      <c r="S3270" s="125"/>
    </row>
    <row r="3271" spans="1:19" hidden="1">
      <c r="A3271" s="124" t="s">
        <v>5480</v>
      </c>
      <c r="B3271" s="125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25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15</v>
      </c>
      <c r="R3271" s="115" t="s">
        <v>1459</v>
      </c>
      <c r="S3271" s="125"/>
    </row>
    <row r="3272" spans="1:19" hidden="1">
      <c r="A3272" s="124" t="s">
        <v>5480</v>
      </c>
      <c r="B3272" s="125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25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15</v>
      </c>
      <c r="R3272" s="115" t="s">
        <v>1459</v>
      </c>
      <c r="S3272" s="125"/>
    </row>
    <row r="3273" spans="1:19" hidden="1">
      <c r="A3273" s="124" t="s">
        <v>5480</v>
      </c>
      <c r="B3273" s="125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25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15</v>
      </c>
      <c r="R3273" s="115" t="s">
        <v>1459</v>
      </c>
      <c r="S3273" s="125"/>
    </row>
    <row r="3274" spans="1:19" hidden="1">
      <c r="A3274" s="124" t="s">
        <v>5480</v>
      </c>
      <c r="B3274" s="125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25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15</v>
      </c>
      <c r="R3274" s="115" t="s">
        <v>1459</v>
      </c>
      <c r="S3274" s="125"/>
    </row>
    <row r="3275" spans="1:19" hidden="1">
      <c r="A3275" s="124" t="s">
        <v>5480</v>
      </c>
      <c r="B3275" s="125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25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15</v>
      </c>
      <c r="R3275" s="115" t="s">
        <v>1459</v>
      </c>
      <c r="S3275" s="125"/>
    </row>
    <row r="3276" spans="1:19" hidden="1">
      <c r="A3276" s="124" t="s">
        <v>5480</v>
      </c>
      <c r="B3276" s="125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25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15</v>
      </c>
      <c r="R3276" s="115" t="s">
        <v>1459</v>
      </c>
      <c r="S3276" s="125"/>
    </row>
    <row r="3277" spans="1:19" hidden="1">
      <c r="A3277" s="124" t="s">
        <v>5480</v>
      </c>
      <c r="B3277" s="125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25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15</v>
      </c>
      <c r="R3277" s="115" t="s">
        <v>1459</v>
      </c>
      <c r="S3277" s="125"/>
    </row>
    <row r="3278" spans="1:19" hidden="1">
      <c r="A3278" s="124" t="s">
        <v>5480</v>
      </c>
      <c r="B3278" s="125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25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15</v>
      </c>
      <c r="R3278" s="115" t="s">
        <v>1459</v>
      </c>
      <c r="S3278" s="125"/>
    </row>
    <row r="3279" spans="1:19" hidden="1">
      <c r="A3279" s="124" t="s">
        <v>5480</v>
      </c>
      <c r="B3279" s="125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25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15</v>
      </c>
      <c r="R3279" s="115" t="s">
        <v>1459</v>
      </c>
      <c r="S3279" s="125"/>
    </row>
    <row r="3280" spans="1:19" hidden="1">
      <c r="A3280" s="124" t="s">
        <v>5480</v>
      </c>
      <c r="B3280" s="125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25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15</v>
      </c>
      <c r="R3280" s="115" t="s">
        <v>1459</v>
      </c>
      <c r="S3280" s="125"/>
    </row>
    <row r="3281" spans="1:19" hidden="1">
      <c r="A3281" s="124" t="s">
        <v>5480</v>
      </c>
      <c r="B3281" s="125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25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15</v>
      </c>
      <c r="R3281" s="115" t="s">
        <v>1459</v>
      </c>
      <c r="S3281" s="125"/>
    </row>
    <row r="3282" spans="1:19" hidden="1">
      <c r="A3282" s="124" t="s">
        <v>5480</v>
      </c>
      <c r="B3282" s="125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25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15</v>
      </c>
      <c r="R3282" s="115" t="s">
        <v>1459</v>
      </c>
      <c r="S3282" s="125"/>
    </row>
    <row r="3283" spans="1:19" hidden="1">
      <c r="A3283" s="124" t="s">
        <v>5480</v>
      </c>
      <c r="B3283" s="125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29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25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15</v>
      </c>
      <c r="R3283" s="115" t="s">
        <v>1459</v>
      </c>
      <c r="S3283" s="125"/>
    </row>
    <row r="3284" spans="1:19" hidden="1">
      <c r="A3284" s="124" t="s">
        <v>5480</v>
      </c>
      <c r="B3284" s="125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25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15</v>
      </c>
      <c r="R3284" s="115" t="s">
        <v>1459</v>
      </c>
      <c r="S3284" s="125"/>
    </row>
    <row r="3285" spans="1:19" hidden="1">
      <c r="A3285" s="124" t="s">
        <v>5480</v>
      </c>
      <c r="B3285" s="125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25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15</v>
      </c>
      <c r="R3285" s="115" t="s">
        <v>1459</v>
      </c>
      <c r="S3285" s="125"/>
    </row>
    <row r="3286" spans="1:19" hidden="1">
      <c r="A3286" s="124" t="s">
        <v>5480</v>
      </c>
      <c r="B3286" s="125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25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15</v>
      </c>
      <c r="R3286" s="115" t="s">
        <v>1459</v>
      </c>
      <c r="S3286" s="125"/>
    </row>
    <row r="3287" spans="1:19" hidden="1">
      <c r="A3287" s="124" t="s">
        <v>5480</v>
      </c>
      <c r="B3287" s="125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25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15</v>
      </c>
      <c r="R3287" s="115" t="s">
        <v>1459</v>
      </c>
      <c r="S3287" s="125"/>
    </row>
    <row r="3288" spans="1:19" hidden="1">
      <c r="A3288" s="124" t="s">
        <v>5480</v>
      </c>
      <c r="B3288" s="125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25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15</v>
      </c>
      <c r="R3288" s="115" t="s">
        <v>1459</v>
      </c>
      <c r="S3288" s="125"/>
    </row>
    <row r="3289" spans="1:19" hidden="1">
      <c r="A3289" s="124" t="s">
        <v>5480</v>
      </c>
      <c r="B3289" s="125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25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15</v>
      </c>
      <c r="R3289" s="115" t="s">
        <v>1459</v>
      </c>
      <c r="S3289" s="125"/>
    </row>
    <row r="3290" spans="1:19" hidden="1">
      <c r="A3290" s="124" t="s">
        <v>5480</v>
      </c>
      <c r="B3290" s="125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25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15</v>
      </c>
      <c r="R3290" s="115" t="s">
        <v>1459</v>
      </c>
      <c r="S3290" s="125"/>
    </row>
    <row r="3291" spans="1:19" hidden="1">
      <c r="A3291" s="124" t="s">
        <v>5480</v>
      </c>
      <c r="B3291" s="125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25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15</v>
      </c>
      <c r="R3291" s="115" t="s">
        <v>1459</v>
      </c>
      <c r="S3291" s="125"/>
    </row>
    <row r="3292" spans="1:19" hidden="1">
      <c r="A3292" s="124" t="s">
        <v>5480</v>
      </c>
      <c r="B3292" s="125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25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15</v>
      </c>
      <c r="R3292" s="115" t="s">
        <v>1459</v>
      </c>
      <c r="S3292" s="125"/>
    </row>
    <row r="3293" spans="1:19" hidden="1">
      <c r="A3293" s="124" t="s">
        <v>5480</v>
      </c>
      <c r="B3293" s="125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25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15</v>
      </c>
      <c r="R3293" s="115" t="s">
        <v>1459</v>
      </c>
      <c r="S3293" s="125"/>
    </row>
    <row r="3294" spans="1:19" hidden="1">
      <c r="A3294" s="124" t="s">
        <v>5480</v>
      </c>
      <c r="B3294" s="125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25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15</v>
      </c>
      <c r="R3294" s="115" t="s">
        <v>1459</v>
      </c>
      <c r="S3294" s="125"/>
    </row>
    <row r="3295" spans="1:19" hidden="1">
      <c r="A3295" s="124" t="s">
        <v>5480</v>
      </c>
      <c r="B3295" s="125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25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15</v>
      </c>
      <c r="R3295" s="115" t="s">
        <v>1459</v>
      </c>
      <c r="S3295" s="125"/>
    </row>
    <row r="3296" spans="1:19" hidden="1">
      <c r="A3296" s="124" t="s">
        <v>5480</v>
      </c>
      <c r="B3296" s="125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25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15</v>
      </c>
      <c r="R3296" s="115" t="s">
        <v>1459</v>
      </c>
      <c r="S3296" s="125"/>
    </row>
    <row r="3297" spans="1:19" hidden="1">
      <c r="A3297" s="124" t="s">
        <v>5480</v>
      </c>
      <c r="B3297" s="125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25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15</v>
      </c>
      <c r="R3297" s="115" t="s">
        <v>1459</v>
      </c>
      <c r="S3297" s="125"/>
    </row>
    <row r="3298" spans="1:19" hidden="1">
      <c r="A3298" s="124" t="s">
        <v>5480</v>
      </c>
      <c r="B3298" s="125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25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15</v>
      </c>
      <c r="R3298" s="115" t="s">
        <v>1459</v>
      </c>
      <c r="S3298" s="125"/>
    </row>
    <row r="3299" spans="1:19" hidden="1">
      <c r="A3299" s="124" t="s">
        <v>5480</v>
      </c>
      <c r="B3299" s="125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25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15</v>
      </c>
      <c r="R3299" s="115" t="s">
        <v>1459</v>
      </c>
      <c r="S3299" s="125"/>
    </row>
    <row r="3300" spans="1:19" hidden="1">
      <c r="A3300" s="124" t="s">
        <v>5480</v>
      </c>
      <c r="B3300" s="125" t="str">
        <f>IFERROR(VLOOKUP(Proc[[#This Row],[App]],Table2[],3,0),"open")</f>
        <v>open</v>
      </c>
      <c r="C3300" s="124" t="s">
        <v>404</v>
      </c>
      <c r="D3300" t="s">
        <v>5328</v>
      </c>
      <c r="E3300" t="s">
        <v>4412</v>
      </c>
      <c r="F3300" s="129" t="s">
        <v>5572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0</v>
      </c>
      <c r="K3300" s="125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15</v>
      </c>
      <c r="R3300" s="115" t="s">
        <v>1459</v>
      </c>
      <c r="S3300" s="125"/>
    </row>
    <row r="3301" spans="1:19" hidden="1">
      <c r="A3301" s="124" t="s">
        <v>5480</v>
      </c>
      <c r="B3301" s="125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25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15</v>
      </c>
      <c r="R3301" s="115" t="s">
        <v>1459</v>
      </c>
      <c r="S3301" s="125"/>
    </row>
    <row r="3302" spans="1:19" hidden="1">
      <c r="A3302" s="124" t="s">
        <v>5480</v>
      </c>
      <c r="B3302" s="125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25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15</v>
      </c>
      <c r="R3302" s="115" t="s">
        <v>1459</v>
      </c>
      <c r="S3302" s="125"/>
    </row>
    <row r="3303" spans="1:19" hidden="1">
      <c r="A3303" s="124" t="s">
        <v>5480</v>
      </c>
      <c r="B3303" s="125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25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15</v>
      </c>
      <c r="R3303" s="115" t="s">
        <v>1459</v>
      </c>
      <c r="S3303" s="125"/>
    </row>
    <row r="3304" spans="1:19" hidden="1">
      <c r="A3304" s="124" t="s">
        <v>5480</v>
      </c>
      <c r="B3304" s="125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25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15</v>
      </c>
      <c r="R3304" s="115" t="s">
        <v>1459</v>
      </c>
      <c r="S3304" s="125"/>
    </row>
    <row r="3305" spans="1:19" hidden="1">
      <c r="A3305" s="124" t="s">
        <v>5480</v>
      </c>
      <c r="B3305" s="125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25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15</v>
      </c>
      <c r="R3305" s="115" t="s">
        <v>1459</v>
      </c>
      <c r="S3305" s="125"/>
    </row>
    <row r="3306" spans="1:19" hidden="1">
      <c r="A3306" s="124" t="s">
        <v>5480</v>
      </c>
      <c r="B3306" s="125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25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15</v>
      </c>
      <c r="R3306" s="115" t="s">
        <v>1459</v>
      </c>
      <c r="S3306" s="125"/>
    </row>
    <row r="3307" spans="1:19" hidden="1">
      <c r="A3307" s="124" t="s">
        <v>5480</v>
      </c>
      <c r="B3307" s="125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25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15</v>
      </c>
      <c r="R3307" s="115" t="s">
        <v>1459</v>
      </c>
      <c r="S3307" s="125"/>
    </row>
    <row r="3308" spans="1:19" hidden="1">
      <c r="A3308" s="124" t="s">
        <v>5480</v>
      </c>
      <c r="B3308" s="125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25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15</v>
      </c>
      <c r="R3308" s="115" t="s">
        <v>1459</v>
      </c>
      <c r="S3308" s="125"/>
    </row>
    <row r="3309" spans="1:19" hidden="1">
      <c r="A3309" s="124" t="s">
        <v>5480</v>
      </c>
      <c r="B3309" s="125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25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15</v>
      </c>
      <c r="R3309" s="115" t="s">
        <v>1459</v>
      </c>
      <c r="S3309" s="125"/>
    </row>
    <row r="3310" spans="1:19" hidden="1">
      <c r="A3310" s="124" t="s">
        <v>5480</v>
      </c>
      <c r="B3310" s="125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25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15</v>
      </c>
      <c r="R3310" s="115" t="s">
        <v>1459</v>
      </c>
      <c r="S3310" s="125"/>
    </row>
    <row r="3311" spans="1:19" hidden="1">
      <c r="A3311" s="124" t="s">
        <v>5480</v>
      </c>
      <c r="B3311" s="125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25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15</v>
      </c>
      <c r="R3311" s="115" t="s">
        <v>1459</v>
      </c>
      <c r="S3311" s="125"/>
    </row>
    <row r="3312" spans="1:19" hidden="1">
      <c r="A3312" s="124" t="s">
        <v>5480</v>
      </c>
      <c r="B3312" s="125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25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15</v>
      </c>
      <c r="R3312" s="115" t="s">
        <v>1459</v>
      </c>
      <c r="S3312" s="125"/>
    </row>
    <row r="3313" spans="1:19" hidden="1">
      <c r="A3313" s="124" t="s">
        <v>5480</v>
      </c>
      <c r="B3313" s="125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25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15</v>
      </c>
      <c r="R3313" s="115" t="s">
        <v>1459</v>
      </c>
      <c r="S3313" s="125"/>
    </row>
    <row r="3314" spans="1:19" hidden="1">
      <c r="A3314" s="124" t="s">
        <v>5480</v>
      </c>
      <c r="B3314" s="125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25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15</v>
      </c>
      <c r="R3314" s="115" t="s">
        <v>1459</v>
      </c>
      <c r="S3314" s="125"/>
    </row>
    <row r="3315" spans="1:19" hidden="1">
      <c r="A3315" s="124" t="s">
        <v>5480</v>
      </c>
      <c r="B3315" s="125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25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15</v>
      </c>
      <c r="R3315" s="115" t="s">
        <v>1459</v>
      </c>
      <c r="S3315" s="125"/>
    </row>
    <row r="3316" spans="1:19" hidden="1">
      <c r="A3316" s="124" t="s">
        <v>5480</v>
      </c>
      <c r="B3316" s="125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25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15</v>
      </c>
      <c r="R3316" s="115" t="s">
        <v>1459</v>
      </c>
      <c r="S3316" s="125"/>
    </row>
    <row r="3317" spans="1:19" hidden="1">
      <c r="A3317" s="124" t="s">
        <v>5480</v>
      </c>
      <c r="B3317" s="125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25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15</v>
      </c>
      <c r="R3317" s="115" t="s">
        <v>1459</v>
      </c>
      <c r="S3317" s="125"/>
    </row>
    <row r="3318" spans="1:19" hidden="1">
      <c r="A3318" s="124" t="s">
        <v>5480</v>
      </c>
      <c r="B3318" s="125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25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15</v>
      </c>
      <c r="R3318" s="115" t="s">
        <v>1459</v>
      </c>
      <c r="S3318" s="125"/>
    </row>
    <row r="3319" spans="1:19" hidden="1">
      <c r="A3319" s="124" t="s">
        <v>5480</v>
      </c>
      <c r="B3319" s="125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25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15</v>
      </c>
      <c r="R3319" s="115" t="s">
        <v>1459</v>
      </c>
      <c r="S3319" s="125"/>
    </row>
    <row r="3320" spans="1:19" hidden="1">
      <c r="A3320" s="124" t="s">
        <v>5480</v>
      </c>
      <c r="B3320" s="125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25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15</v>
      </c>
      <c r="R3320" s="115" t="s">
        <v>1459</v>
      </c>
      <c r="S3320" s="125"/>
    </row>
    <row r="3321" spans="1:19" hidden="1">
      <c r="A3321" s="124" t="s">
        <v>5480</v>
      </c>
      <c r="B3321" s="125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25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15</v>
      </c>
      <c r="R3321" s="115" t="s">
        <v>1459</v>
      </c>
      <c r="S3321" s="125"/>
    </row>
    <row r="3322" spans="1:19" hidden="1">
      <c r="A3322" s="124" t="s">
        <v>5480</v>
      </c>
      <c r="B3322" s="125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25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15</v>
      </c>
      <c r="R3322" s="115" t="s">
        <v>1459</v>
      </c>
      <c r="S3322" s="125"/>
    </row>
    <row r="3323" spans="1:19" hidden="1">
      <c r="A3323" s="124" t="s">
        <v>5480</v>
      </c>
      <c r="B3323" s="125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25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15</v>
      </c>
      <c r="R3323" s="115" t="s">
        <v>1459</v>
      </c>
      <c r="S3323" s="125"/>
    </row>
    <row r="3324" spans="1:19" hidden="1">
      <c r="A3324" s="124" t="s">
        <v>5480</v>
      </c>
      <c r="B3324" s="125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25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15</v>
      </c>
      <c r="R3324" s="115" t="s">
        <v>1459</v>
      </c>
      <c r="S3324" s="125"/>
    </row>
    <row r="3325" spans="1:19" hidden="1">
      <c r="A3325" s="124" t="s">
        <v>5480</v>
      </c>
      <c r="B3325" s="125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25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15</v>
      </c>
      <c r="R3325" s="115" t="s">
        <v>1459</v>
      </c>
      <c r="S3325" s="125"/>
    </row>
    <row r="3326" spans="1:19" hidden="1">
      <c r="A3326" s="124" t="s">
        <v>5480</v>
      </c>
      <c r="B3326" s="125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25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15</v>
      </c>
      <c r="R3326" s="115" t="s">
        <v>1459</v>
      </c>
      <c r="S3326" s="125"/>
    </row>
    <row r="3327" spans="1:19" hidden="1">
      <c r="A3327" s="124" t="s">
        <v>5480</v>
      </c>
      <c r="B3327" s="125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25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15</v>
      </c>
      <c r="R3327" s="115" t="s">
        <v>1459</v>
      </c>
      <c r="S3327" s="125"/>
    </row>
    <row r="3328" spans="1:19" hidden="1">
      <c r="A3328" s="124" t="s">
        <v>5480</v>
      </c>
      <c r="B3328" s="125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25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15</v>
      </c>
      <c r="R3328" s="115" t="s">
        <v>1459</v>
      </c>
      <c r="S3328" s="125"/>
    </row>
    <row r="3329" spans="1:19" hidden="1">
      <c r="A3329" s="124" t="s">
        <v>5480</v>
      </c>
      <c r="B3329" s="125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25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15</v>
      </c>
      <c r="R3329" s="115" t="s">
        <v>1459</v>
      </c>
      <c r="S3329" s="125"/>
    </row>
    <row r="3330" spans="1:19" hidden="1">
      <c r="A3330" s="124" t="s">
        <v>5480</v>
      </c>
      <c r="B3330" s="125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25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15</v>
      </c>
      <c r="R3330" s="115" t="s">
        <v>1459</v>
      </c>
      <c r="S3330" s="125"/>
    </row>
    <row r="3331" spans="1:19" hidden="1">
      <c r="A3331" s="124" t="s">
        <v>5480</v>
      </c>
      <c r="B3331" s="125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25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15</v>
      </c>
      <c r="R3331" s="115" t="s">
        <v>1459</v>
      </c>
      <c r="S3331" s="125"/>
    </row>
    <row r="3332" spans="1:19" hidden="1">
      <c r="A3332" s="124" t="s">
        <v>5480</v>
      </c>
      <c r="B3332" s="125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25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15</v>
      </c>
      <c r="R3332" s="115" t="s">
        <v>1459</v>
      </c>
      <c r="S3332" s="125"/>
    </row>
    <row r="3333" spans="1:19" hidden="1">
      <c r="A3333" s="124" t="s">
        <v>5480</v>
      </c>
      <c r="B3333" s="125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25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15</v>
      </c>
      <c r="R3333" s="115" t="s">
        <v>1459</v>
      </c>
      <c r="S3333" s="125"/>
    </row>
    <row r="3334" spans="1:19" hidden="1">
      <c r="A3334" s="124" t="s">
        <v>5480</v>
      </c>
      <c r="B3334" s="125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25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15</v>
      </c>
      <c r="R3334" s="115" t="s">
        <v>1459</v>
      </c>
      <c r="S3334" s="125"/>
    </row>
    <row r="3335" spans="1:19" hidden="1">
      <c r="A3335" s="124" t="s">
        <v>5480</v>
      </c>
      <c r="B3335" s="125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25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15</v>
      </c>
      <c r="R3335" s="115" t="s">
        <v>1459</v>
      </c>
      <c r="S3335" s="125"/>
    </row>
    <row r="3336" spans="1:19" hidden="1">
      <c r="A3336" s="124" t="s">
        <v>5480</v>
      </c>
      <c r="B3336" s="125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25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15</v>
      </c>
      <c r="R3336" s="115" t="s">
        <v>1459</v>
      </c>
      <c r="S3336" s="125"/>
    </row>
    <row r="3337" spans="1:19" hidden="1">
      <c r="A3337" s="124" t="s">
        <v>5480</v>
      </c>
      <c r="B3337" s="125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25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15</v>
      </c>
      <c r="R3337" s="115" t="s">
        <v>1459</v>
      </c>
      <c r="S3337" s="125"/>
    </row>
    <row r="3338" spans="1:19" hidden="1">
      <c r="A3338" s="124" t="s">
        <v>5480</v>
      </c>
      <c r="B3338" s="125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25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15</v>
      </c>
      <c r="R3338" s="115" t="s">
        <v>1459</v>
      </c>
      <c r="S3338" s="125"/>
    </row>
    <row r="3339" spans="1:19" hidden="1">
      <c r="A3339" s="124" t="s">
        <v>5480</v>
      </c>
      <c r="B3339" s="125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25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15</v>
      </c>
      <c r="R3339" s="115" t="s">
        <v>1459</v>
      </c>
      <c r="S3339" s="125"/>
    </row>
    <row r="3340" spans="1:19" hidden="1">
      <c r="A3340" s="124" t="s">
        <v>5480</v>
      </c>
      <c r="B3340" s="125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25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15</v>
      </c>
      <c r="R3340" s="115" t="s">
        <v>1459</v>
      </c>
      <c r="S3340" s="125"/>
    </row>
    <row r="3341" spans="1:19" hidden="1">
      <c r="A3341" s="124" t="s">
        <v>5480</v>
      </c>
      <c r="B3341" s="125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25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15</v>
      </c>
      <c r="R3341" s="115" t="s">
        <v>1459</v>
      </c>
      <c r="S3341" s="125"/>
    </row>
    <row r="3342" spans="1:19" hidden="1">
      <c r="A3342" s="124" t="s">
        <v>5480</v>
      </c>
      <c r="B3342" s="125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25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15</v>
      </c>
      <c r="R3342" s="115" t="s">
        <v>1459</v>
      </c>
      <c r="S3342" s="125"/>
    </row>
    <row r="3343" spans="1:19" hidden="1">
      <c r="A3343" s="124" t="s">
        <v>5480</v>
      </c>
      <c r="B3343" s="125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25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15</v>
      </c>
      <c r="R3343" s="115" t="s">
        <v>1459</v>
      </c>
      <c r="S3343" s="125"/>
    </row>
    <row r="3344" spans="1:19" hidden="1">
      <c r="A3344" s="124" t="s">
        <v>5480</v>
      </c>
      <c r="B3344" s="125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25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15</v>
      </c>
      <c r="R3344" s="115" t="s">
        <v>1459</v>
      </c>
      <c r="S3344" s="125"/>
    </row>
    <row r="3345" spans="1:19" hidden="1">
      <c r="A3345" s="124" t="s">
        <v>5480</v>
      </c>
      <c r="B3345" s="125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25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15</v>
      </c>
      <c r="R3345" s="115" t="s">
        <v>1459</v>
      </c>
      <c r="S3345" s="125"/>
    </row>
    <row r="3346" spans="1:19" hidden="1">
      <c r="A3346" s="124" t="s">
        <v>5480</v>
      </c>
      <c r="B3346" s="125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25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15</v>
      </c>
      <c r="R3346" s="115" t="s">
        <v>1459</v>
      </c>
      <c r="S3346" s="125"/>
    </row>
    <row r="3347" spans="1:19" hidden="1">
      <c r="A3347" s="124" t="s">
        <v>5480</v>
      </c>
      <c r="B3347" s="125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25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15</v>
      </c>
      <c r="R3347" s="115" t="s">
        <v>1459</v>
      </c>
      <c r="S3347" s="125"/>
    </row>
    <row r="3348" spans="1:19" hidden="1">
      <c r="A3348" s="124" t="s">
        <v>5480</v>
      </c>
      <c r="B3348" s="125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25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15</v>
      </c>
      <c r="R3348" s="115" t="s">
        <v>1459</v>
      </c>
      <c r="S3348" s="125"/>
    </row>
    <row r="3349" spans="1:19" hidden="1">
      <c r="A3349" s="124" t="s">
        <v>5480</v>
      </c>
      <c r="B3349" s="125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25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15</v>
      </c>
      <c r="R3349" s="115" t="s">
        <v>1459</v>
      </c>
      <c r="S3349" s="125"/>
    </row>
    <row r="3350" spans="1:19" hidden="1">
      <c r="A3350" s="124" t="s">
        <v>5480</v>
      </c>
      <c r="B3350" s="125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25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15</v>
      </c>
      <c r="R3350" s="115" t="s">
        <v>1459</v>
      </c>
      <c r="S3350" s="125"/>
    </row>
    <row r="3351" spans="1:19" hidden="1">
      <c r="A3351" s="124" t="s">
        <v>5480</v>
      </c>
      <c r="B3351" s="125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25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15</v>
      </c>
      <c r="R3351" s="115" t="s">
        <v>1459</v>
      </c>
      <c r="S3351" s="125"/>
    </row>
    <row r="3352" spans="1:19" hidden="1">
      <c r="A3352" s="124" t="s">
        <v>5480</v>
      </c>
      <c r="B3352" s="125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25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15</v>
      </c>
      <c r="R3352" s="115" t="s">
        <v>1459</v>
      </c>
      <c r="S3352" s="125"/>
    </row>
    <row r="3353" spans="1:19" hidden="1">
      <c r="A3353" s="124" t="s">
        <v>5480</v>
      </c>
      <c r="B3353" s="125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25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15</v>
      </c>
      <c r="R3353" s="115" t="s">
        <v>1459</v>
      </c>
      <c r="S3353" s="125"/>
    </row>
    <row r="3354" spans="1:19" hidden="1">
      <c r="A3354" s="124" t="s">
        <v>5480</v>
      </c>
      <c r="B3354" s="125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25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15</v>
      </c>
      <c r="R3354" s="115" t="s">
        <v>1459</v>
      </c>
      <c r="S3354" s="125"/>
    </row>
    <row r="3355" spans="1:19" hidden="1">
      <c r="A3355" s="124" t="s">
        <v>5480</v>
      </c>
      <c r="B3355" s="125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25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15</v>
      </c>
      <c r="R3355" s="115" t="s">
        <v>1459</v>
      </c>
      <c r="S3355" s="125"/>
    </row>
    <row r="3356" spans="1:19" hidden="1">
      <c r="A3356" s="124" t="s">
        <v>5480</v>
      </c>
      <c r="B3356" s="125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25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15</v>
      </c>
      <c r="R3356" s="115" t="s">
        <v>1459</v>
      </c>
      <c r="S3356" s="125"/>
    </row>
    <row r="3357" spans="1:19" hidden="1">
      <c r="A3357" s="124" t="s">
        <v>5480</v>
      </c>
      <c r="B3357" s="125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25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15</v>
      </c>
      <c r="R3357" s="115" t="s">
        <v>1459</v>
      </c>
      <c r="S3357" s="125"/>
    </row>
    <row r="3358" spans="1:19" hidden="1">
      <c r="A3358" s="124" t="s">
        <v>5480</v>
      </c>
      <c r="B3358" s="125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25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15</v>
      </c>
      <c r="R3358" s="115" t="s">
        <v>1459</v>
      </c>
      <c r="S3358" s="125"/>
    </row>
    <row r="3359" spans="1:19" hidden="1">
      <c r="A3359" s="124" t="s">
        <v>5480</v>
      </c>
      <c r="B3359" s="125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25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15</v>
      </c>
      <c r="R3359" s="115" t="s">
        <v>1459</v>
      </c>
      <c r="S3359" s="125"/>
    </row>
    <row r="3360" spans="1:19" hidden="1">
      <c r="A3360" s="124" t="s">
        <v>5480</v>
      </c>
      <c r="B3360" s="125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25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15</v>
      </c>
      <c r="R3360" s="115" t="s">
        <v>1459</v>
      </c>
      <c r="S3360" s="125"/>
    </row>
    <row r="3361" spans="1:19" hidden="1">
      <c r="A3361" s="124" t="s">
        <v>5480</v>
      </c>
      <c r="B3361" s="125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25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15</v>
      </c>
      <c r="R3361" s="115" t="s">
        <v>1459</v>
      </c>
      <c r="S3361" s="125"/>
    </row>
    <row r="3362" spans="1:19" hidden="1">
      <c r="A3362" s="124" t="s">
        <v>5480</v>
      </c>
      <c r="B3362" s="125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25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15</v>
      </c>
      <c r="R3362" s="115" t="s">
        <v>1459</v>
      </c>
      <c r="S3362" s="125"/>
    </row>
    <row r="3363" spans="1:19" hidden="1">
      <c r="A3363" s="124" t="s">
        <v>5480</v>
      </c>
      <c r="B3363" s="125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25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15</v>
      </c>
      <c r="R3363" s="115" t="s">
        <v>1459</v>
      </c>
      <c r="S3363" s="125"/>
    </row>
    <row r="3364" spans="1:19" hidden="1">
      <c r="A3364" s="124" t="s">
        <v>5480</v>
      </c>
      <c r="B3364" s="125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25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15</v>
      </c>
      <c r="R3364" s="115" t="s">
        <v>1459</v>
      </c>
      <c r="S3364" s="125"/>
    </row>
    <row r="3365" spans="1:19" hidden="1">
      <c r="A3365" s="124" t="s">
        <v>5480</v>
      </c>
      <c r="B3365" s="125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25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15</v>
      </c>
      <c r="R3365" s="115" t="s">
        <v>1459</v>
      </c>
      <c r="S3365" s="125"/>
    </row>
    <row r="3366" spans="1:19" hidden="1">
      <c r="A3366" s="124" t="s">
        <v>5480</v>
      </c>
      <c r="B3366" s="125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25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15</v>
      </c>
      <c r="R3366" s="115" t="s">
        <v>1459</v>
      </c>
      <c r="S3366" s="125"/>
    </row>
    <row r="3367" spans="1:19" hidden="1">
      <c r="A3367" s="124" t="s">
        <v>5480</v>
      </c>
      <c r="B3367" s="125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25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15</v>
      </c>
      <c r="R3367" s="115" t="s">
        <v>1459</v>
      </c>
      <c r="S3367" s="125"/>
    </row>
    <row r="3368" spans="1:19" hidden="1">
      <c r="A3368" s="124" t="s">
        <v>5480</v>
      </c>
      <c r="B3368" s="125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25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15</v>
      </c>
      <c r="R3368" s="115" t="s">
        <v>1459</v>
      </c>
      <c r="S3368" s="125"/>
    </row>
    <row r="3369" spans="1:19" hidden="1">
      <c r="A3369" s="124" t="s">
        <v>5480</v>
      </c>
      <c r="B3369" s="125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25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15</v>
      </c>
      <c r="R3369" s="115" t="s">
        <v>1459</v>
      </c>
      <c r="S3369" s="125"/>
    </row>
    <row r="3370" spans="1:19" hidden="1">
      <c r="A3370" s="124" t="s">
        <v>5480</v>
      </c>
      <c r="B3370" s="125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25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15</v>
      </c>
      <c r="R3370" s="115" t="s">
        <v>1459</v>
      </c>
      <c r="S3370" s="125"/>
    </row>
    <row r="3371" spans="1:19" hidden="1">
      <c r="A3371" s="124" t="s">
        <v>5480</v>
      </c>
      <c r="B3371" s="125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25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15</v>
      </c>
      <c r="R3371" s="115" t="s">
        <v>1459</v>
      </c>
      <c r="S3371" s="125"/>
    </row>
    <row r="3372" spans="1:19" hidden="1">
      <c r="A3372" s="124" t="s">
        <v>5480</v>
      </c>
      <c r="B3372" s="125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25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15</v>
      </c>
      <c r="R3372" s="115" t="s">
        <v>1459</v>
      </c>
      <c r="S3372" s="125"/>
    </row>
    <row r="3373" spans="1:19" hidden="1">
      <c r="A3373" s="124" t="s">
        <v>5480</v>
      </c>
      <c r="B3373" s="125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25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15</v>
      </c>
      <c r="R3373" s="115" t="s">
        <v>1459</v>
      </c>
      <c r="S3373" s="125"/>
    </row>
    <row r="3374" spans="1:19" hidden="1">
      <c r="A3374" s="124" t="s">
        <v>5480</v>
      </c>
      <c r="B3374" s="125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25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15</v>
      </c>
      <c r="R3374" s="115" t="s">
        <v>1459</v>
      </c>
      <c r="S3374" s="125"/>
    </row>
    <row r="3375" spans="1:19" hidden="1">
      <c r="A3375" s="124" t="s">
        <v>5480</v>
      </c>
      <c r="B3375" s="125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25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15</v>
      </c>
      <c r="R3375" s="115" t="s">
        <v>1459</v>
      </c>
      <c r="S3375" s="125"/>
    </row>
    <row r="3376" spans="1:19" hidden="1">
      <c r="A3376" s="124" t="s">
        <v>5480</v>
      </c>
      <c r="B3376" s="125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25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15</v>
      </c>
      <c r="R3376" s="115" t="s">
        <v>1459</v>
      </c>
      <c r="S3376" s="125"/>
    </row>
    <row r="3377" spans="1:19" hidden="1">
      <c r="A3377" s="124" t="s">
        <v>5480</v>
      </c>
      <c r="B3377" s="125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25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15</v>
      </c>
      <c r="R3377" s="115" t="s">
        <v>1459</v>
      </c>
      <c r="S3377" s="125"/>
    </row>
    <row r="3378" spans="1:19" hidden="1">
      <c r="A3378" s="124" t="s">
        <v>5480</v>
      </c>
      <c r="B3378" s="125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25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15</v>
      </c>
      <c r="R3378" s="115" t="s">
        <v>1459</v>
      </c>
      <c r="S3378" s="125"/>
    </row>
    <row r="3379" spans="1:19" hidden="1">
      <c r="A3379" s="124" t="s">
        <v>5480</v>
      </c>
      <c r="B3379" s="125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25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15</v>
      </c>
      <c r="R3379" s="115" t="s">
        <v>1459</v>
      </c>
      <c r="S3379" s="125"/>
    </row>
    <row r="3380" spans="1:19" hidden="1">
      <c r="A3380" s="124" t="s">
        <v>5480</v>
      </c>
      <c r="B3380" s="125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25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15</v>
      </c>
      <c r="R3380" s="115" t="s">
        <v>1459</v>
      </c>
      <c r="S3380" s="125"/>
    </row>
    <row r="3381" spans="1:19" hidden="1">
      <c r="A3381" s="124" t="s">
        <v>5480</v>
      </c>
      <c r="B3381" s="125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25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15</v>
      </c>
      <c r="R3381" s="115" t="s">
        <v>1459</v>
      </c>
      <c r="S3381" s="125"/>
    </row>
    <row r="3382" spans="1:19" hidden="1">
      <c r="A3382" s="124" t="s">
        <v>5480</v>
      </c>
      <c r="B3382" s="125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25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15</v>
      </c>
      <c r="R3382" s="115" t="s">
        <v>1459</v>
      </c>
      <c r="S3382" s="125"/>
    </row>
    <row r="3383" spans="1:19" hidden="1">
      <c r="A3383" s="124" t="s">
        <v>5480</v>
      </c>
      <c r="B3383" s="125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25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15</v>
      </c>
      <c r="R3383" s="115" t="s">
        <v>1459</v>
      </c>
      <c r="S3383" s="125"/>
    </row>
    <row r="3384" spans="1:19" hidden="1">
      <c r="A3384" s="124" t="s">
        <v>5480</v>
      </c>
      <c r="B3384" s="125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25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15</v>
      </c>
      <c r="R3384" s="115" t="s">
        <v>1459</v>
      </c>
      <c r="S3384" s="125"/>
    </row>
    <row r="3385" spans="1:19" hidden="1">
      <c r="A3385" s="124" t="s">
        <v>5480</v>
      </c>
      <c r="B3385" s="125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25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15</v>
      </c>
      <c r="R3385" s="115" t="s">
        <v>1459</v>
      </c>
      <c r="S3385" s="125"/>
    </row>
    <row r="3386" spans="1:19" hidden="1">
      <c r="A3386" s="124" t="s">
        <v>5480</v>
      </c>
      <c r="B3386" s="125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25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15</v>
      </c>
      <c r="R3386" s="115" t="s">
        <v>1459</v>
      </c>
      <c r="S3386" s="125"/>
    </row>
    <row r="3387" spans="1:19" hidden="1">
      <c r="A3387" s="124" t="s">
        <v>5480</v>
      </c>
      <c r="B3387" s="125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25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15</v>
      </c>
      <c r="R3387" s="115" t="s">
        <v>1459</v>
      </c>
      <c r="S3387" s="125"/>
    </row>
    <row r="3388" spans="1:19" hidden="1">
      <c r="A3388" s="124" t="s">
        <v>5480</v>
      </c>
      <c r="B3388" s="125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25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15</v>
      </c>
      <c r="R3388" s="115" t="s">
        <v>1459</v>
      </c>
      <c r="S3388" s="125"/>
    </row>
    <row r="3389" spans="1:19" hidden="1">
      <c r="A3389" s="124" t="s">
        <v>5480</v>
      </c>
      <c r="B3389" s="125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25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15</v>
      </c>
      <c r="R3389" s="115" t="s">
        <v>1459</v>
      </c>
      <c r="S3389" s="125"/>
    </row>
    <row r="3390" spans="1:19" hidden="1">
      <c r="A3390" s="124" t="s">
        <v>5480</v>
      </c>
      <c r="B3390" s="125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25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15</v>
      </c>
      <c r="R3390" s="115" t="s">
        <v>1459</v>
      </c>
      <c r="S3390" s="125"/>
    </row>
    <row r="3391" spans="1:19" hidden="1">
      <c r="A3391" s="124" t="s">
        <v>5480</v>
      </c>
      <c r="B3391" s="125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25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15</v>
      </c>
      <c r="R3391" s="115" t="s">
        <v>1459</v>
      </c>
      <c r="S3391" s="125"/>
    </row>
    <row r="3392" spans="1:19" hidden="1">
      <c r="A3392" s="124" t="s">
        <v>5480</v>
      </c>
      <c r="B3392" s="125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25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15</v>
      </c>
      <c r="R3392" s="115" t="s">
        <v>1459</v>
      </c>
      <c r="S3392" s="125"/>
    </row>
    <row r="3393" spans="1:19" hidden="1">
      <c r="A3393" s="124" t="s">
        <v>5480</v>
      </c>
      <c r="B3393" s="125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25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15</v>
      </c>
      <c r="R3393" s="115" t="s">
        <v>1459</v>
      </c>
      <c r="S3393" s="125"/>
    </row>
    <row r="3394" spans="1:19" hidden="1">
      <c r="A3394" s="124" t="s">
        <v>5480</v>
      </c>
      <c r="B3394" s="125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25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15</v>
      </c>
      <c r="R3394" s="115" t="s">
        <v>1459</v>
      </c>
      <c r="S3394" s="125"/>
    </row>
    <row r="3395" spans="1:19" hidden="1">
      <c r="A3395" s="124" t="s">
        <v>5480</v>
      </c>
      <c r="B3395" s="125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25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15</v>
      </c>
      <c r="R3395" s="115" t="s">
        <v>1459</v>
      </c>
      <c r="S3395" s="125"/>
    </row>
    <row r="3396" spans="1:19" hidden="1">
      <c r="A3396" s="124" t="s">
        <v>5480</v>
      </c>
      <c r="B3396" s="125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25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15</v>
      </c>
      <c r="R3396" s="115" t="s">
        <v>1459</v>
      </c>
      <c r="S3396" s="125"/>
    </row>
    <row r="3397" spans="1:19" hidden="1">
      <c r="A3397" s="124" t="s">
        <v>5480</v>
      </c>
      <c r="B3397" s="125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25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15</v>
      </c>
      <c r="R3397" s="115" t="s">
        <v>1459</v>
      </c>
      <c r="S3397" s="125"/>
    </row>
    <row r="3398" spans="1:19" hidden="1">
      <c r="A3398" s="124" t="s">
        <v>5480</v>
      </c>
      <c r="B3398" s="125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25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15</v>
      </c>
      <c r="R3398" s="115" t="s">
        <v>1459</v>
      </c>
      <c r="S3398" s="125"/>
    </row>
    <row r="3399" spans="1:19" hidden="1">
      <c r="A3399" s="124" t="s">
        <v>5480</v>
      </c>
      <c r="B3399" s="125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25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15</v>
      </c>
      <c r="R3399" s="115" t="s">
        <v>1459</v>
      </c>
      <c r="S3399" s="125"/>
    </row>
    <row r="3400" spans="1:19" hidden="1">
      <c r="A3400" s="124" t="s">
        <v>5480</v>
      </c>
      <c r="B3400" s="125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25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15</v>
      </c>
      <c r="R3400" s="115" t="s">
        <v>1459</v>
      </c>
      <c r="S3400" s="125"/>
    </row>
    <row r="3401" spans="1:19" hidden="1">
      <c r="A3401" s="124" t="s">
        <v>5480</v>
      </c>
      <c r="B3401" s="125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25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15</v>
      </c>
      <c r="R3401" s="115" t="s">
        <v>1459</v>
      </c>
      <c r="S3401" s="125"/>
    </row>
    <row r="3402" spans="1:19" hidden="1">
      <c r="A3402" s="124" t="s">
        <v>5480</v>
      </c>
      <c r="B3402" s="125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25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15</v>
      </c>
      <c r="R3402" s="115" t="s">
        <v>1459</v>
      </c>
      <c r="S3402" s="125"/>
    </row>
    <row r="3403" spans="1:19" hidden="1">
      <c r="A3403" s="124" t="s">
        <v>5480</v>
      </c>
      <c r="B3403" s="125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25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15</v>
      </c>
      <c r="R3403" s="115" t="s">
        <v>1459</v>
      </c>
      <c r="S3403" s="125"/>
    </row>
    <row r="3404" spans="1:19" hidden="1">
      <c r="A3404" s="124" t="s">
        <v>5480</v>
      </c>
      <c r="B3404" s="125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25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15</v>
      </c>
      <c r="R3404" s="115" t="s">
        <v>1459</v>
      </c>
      <c r="S3404" s="125"/>
    </row>
    <row r="3405" spans="1:19" hidden="1">
      <c r="A3405" s="124" t="s">
        <v>5480</v>
      </c>
      <c r="B3405" s="125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25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15</v>
      </c>
      <c r="R3405" s="115" t="s">
        <v>1459</v>
      </c>
      <c r="S3405" s="125"/>
    </row>
    <row r="3406" spans="1:19" hidden="1">
      <c r="A3406" s="124" t="s">
        <v>5480</v>
      </c>
      <c r="B3406" s="125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25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15</v>
      </c>
      <c r="R3406" s="115" t="s">
        <v>1459</v>
      </c>
      <c r="S3406" s="125"/>
    </row>
    <row r="3407" spans="1:19" hidden="1">
      <c r="A3407" s="124" t="s">
        <v>5480</v>
      </c>
      <c r="B3407" s="125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25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15</v>
      </c>
      <c r="R3407" s="115" t="s">
        <v>1459</v>
      </c>
      <c r="S3407" s="125"/>
    </row>
    <row r="3408" spans="1:19" hidden="1">
      <c r="A3408" s="124" t="s">
        <v>5480</v>
      </c>
      <c r="B3408" s="125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25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15</v>
      </c>
      <c r="R3408" s="115" t="s">
        <v>1459</v>
      </c>
      <c r="S3408" s="125"/>
    </row>
    <row r="3409" spans="1:19" hidden="1">
      <c r="A3409" s="124" t="s">
        <v>5480</v>
      </c>
      <c r="B3409" s="125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25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15</v>
      </c>
      <c r="R3409" s="115" t="s">
        <v>1459</v>
      </c>
      <c r="S3409" s="125"/>
    </row>
    <row r="3410" spans="1:19" hidden="1">
      <c r="A3410" s="124" t="s">
        <v>5480</v>
      </c>
      <c r="B3410" s="125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25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15</v>
      </c>
      <c r="R3410" s="115" t="s">
        <v>1459</v>
      </c>
      <c r="S3410" s="125"/>
    </row>
    <row r="3411" spans="1:19" hidden="1">
      <c r="A3411" s="124" t="s">
        <v>5480</v>
      </c>
      <c r="B3411" s="125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25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15</v>
      </c>
      <c r="R3411" s="115" t="s">
        <v>1459</v>
      </c>
      <c r="S3411" s="125"/>
    </row>
    <row r="3412" spans="1:19" hidden="1">
      <c r="A3412" s="124" t="s">
        <v>5480</v>
      </c>
      <c r="B3412" s="125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25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15</v>
      </c>
      <c r="R3412" s="115" t="s">
        <v>1459</v>
      </c>
      <c r="S3412" s="125"/>
    </row>
    <row r="3413" spans="1:19" hidden="1">
      <c r="A3413" s="124" t="s">
        <v>5480</v>
      </c>
      <c r="B3413" s="125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25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15</v>
      </c>
      <c r="R3413" s="115" t="s">
        <v>1459</v>
      </c>
      <c r="S3413" s="125"/>
    </row>
    <row r="3414" spans="1:19" hidden="1">
      <c r="A3414" s="124" t="s">
        <v>5480</v>
      </c>
      <c r="B3414" s="125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25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15</v>
      </c>
      <c r="R3414" s="115" t="s">
        <v>1459</v>
      </c>
      <c r="S3414" s="125"/>
    </row>
    <row r="3415" spans="1:19" hidden="1">
      <c r="A3415" s="124" t="s">
        <v>5480</v>
      </c>
      <c r="B3415" s="125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25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15</v>
      </c>
      <c r="R3415" s="115" t="s">
        <v>1459</v>
      </c>
      <c r="S3415" s="125"/>
    </row>
    <row r="3416" spans="1:19" hidden="1">
      <c r="A3416" s="124" t="s">
        <v>5480</v>
      </c>
      <c r="B3416" s="125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25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15</v>
      </c>
      <c r="R3416" s="115" t="s">
        <v>1459</v>
      </c>
      <c r="S3416" s="125"/>
    </row>
    <row r="3417" spans="1:19" hidden="1">
      <c r="A3417" s="124" t="s">
        <v>5480</v>
      </c>
      <c r="B3417" s="125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25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15</v>
      </c>
      <c r="R3417" s="115" t="s">
        <v>1459</v>
      </c>
      <c r="S3417" s="125"/>
    </row>
    <row r="3418" spans="1:19" hidden="1">
      <c r="A3418" s="124" t="s">
        <v>5480</v>
      </c>
      <c r="B3418" s="125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25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15</v>
      </c>
      <c r="R3418" s="115" t="s">
        <v>1459</v>
      </c>
      <c r="S3418" s="125"/>
    </row>
    <row r="3419" spans="1:19" hidden="1">
      <c r="A3419" s="124" t="s">
        <v>5480</v>
      </c>
      <c r="B3419" s="125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25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15</v>
      </c>
      <c r="R3419" s="115" t="s">
        <v>1459</v>
      </c>
      <c r="S3419" s="125"/>
    </row>
    <row r="3420" spans="1:19" hidden="1">
      <c r="A3420" s="124" t="s">
        <v>5480</v>
      </c>
      <c r="B3420" s="125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25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15</v>
      </c>
      <c r="R3420" s="115" t="s">
        <v>1459</v>
      </c>
      <c r="S3420" s="125"/>
    </row>
    <row r="3421" spans="1:19" hidden="1">
      <c r="A3421" t="s">
        <v>5495</v>
      </c>
      <c r="B3421" s="125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25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15</v>
      </c>
      <c r="R3421" s="115" t="s">
        <v>1013</v>
      </c>
      <c r="S3421" s="125"/>
    </row>
    <row r="3422" spans="1:19" hidden="1">
      <c r="A3422" s="124" t="s">
        <v>5495</v>
      </c>
      <c r="B3422" s="125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25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15</v>
      </c>
      <c r="R3422" s="115" t="s">
        <v>1013</v>
      </c>
      <c r="S3422" s="125"/>
    </row>
    <row r="3423" spans="1:19" hidden="1">
      <c r="A3423" s="124" t="s">
        <v>5495</v>
      </c>
      <c r="B3423" s="125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25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15</v>
      </c>
      <c r="R3423" s="115" t="s">
        <v>1013</v>
      </c>
      <c r="S3423" s="125"/>
    </row>
    <row r="3424" spans="1:19" hidden="1">
      <c r="A3424" s="124" t="s">
        <v>5495</v>
      </c>
      <c r="B3424" s="125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25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15</v>
      </c>
      <c r="R3424" s="115" t="s">
        <v>1013</v>
      </c>
      <c r="S3424" s="125"/>
    </row>
    <row r="3425" spans="1:19" hidden="1">
      <c r="A3425" s="124" t="s">
        <v>5495</v>
      </c>
      <c r="B3425" s="125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25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15</v>
      </c>
      <c r="R3425" s="115" t="s">
        <v>1013</v>
      </c>
      <c r="S3425" s="125"/>
    </row>
    <row r="3426" spans="1:19" hidden="1">
      <c r="A3426" s="124" t="s">
        <v>5495</v>
      </c>
      <c r="B3426" s="125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25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15</v>
      </c>
      <c r="R3426" s="115" t="s">
        <v>1013</v>
      </c>
      <c r="S3426" s="125"/>
    </row>
    <row r="3427" spans="1:19" hidden="1">
      <c r="A3427" s="124" t="s">
        <v>5495</v>
      </c>
      <c r="B3427" s="125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25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15</v>
      </c>
      <c r="R3427" s="115" t="s">
        <v>1013</v>
      </c>
      <c r="S3427" s="125"/>
    </row>
    <row r="3428" spans="1:19" hidden="1">
      <c r="A3428" s="124" t="s">
        <v>5495</v>
      </c>
      <c r="B3428" s="125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25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15</v>
      </c>
      <c r="R3428" s="115" t="s">
        <v>1013</v>
      </c>
      <c r="S3428" s="125"/>
    </row>
    <row r="3429" spans="1:19" hidden="1">
      <c r="A3429" s="124" t="s">
        <v>5495</v>
      </c>
      <c r="B3429" s="125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25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15</v>
      </c>
      <c r="R3429" s="115" t="s">
        <v>1013</v>
      </c>
      <c r="S3429" s="125"/>
    </row>
    <row r="3430" spans="1:19" hidden="1">
      <c r="A3430" s="124" t="s">
        <v>5495</v>
      </c>
      <c r="B3430" s="125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25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15</v>
      </c>
      <c r="R3430" s="115" t="s">
        <v>1013</v>
      </c>
      <c r="S3430" s="125"/>
    </row>
    <row r="3431" spans="1:19" hidden="1">
      <c r="A3431" s="124" t="s">
        <v>5495</v>
      </c>
      <c r="B3431" s="125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25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15</v>
      </c>
      <c r="R3431" s="115" t="s">
        <v>1013</v>
      </c>
      <c r="S3431" s="125"/>
    </row>
    <row r="3432" spans="1:19" hidden="1">
      <c r="A3432" s="124" t="s">
        <v>5495</v>
      </c>
      <c r="B3432" s="125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25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15</v>
      </c>
      <c r="R3432" s="115" t="s">
        <v>1013</v>
      </c>
      <c r="S3432" s="125"/>
    </row>
    <row r="3433" spans="1:19" hidden="1">
      <c r="A3433" s="124" t="s">
        <v>5495</v>
      </c>
      <c r="B3433" s="125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25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15</v>
      </c>
      <c r="R3433" s="115" t="s">
        <v>1013</v>
      </c>
      <c r="S3433" s="125"/>
    </row>
    <row r="3434" spans="1:19" hidden="1">
      <c r="A3434" t="s">
        <v>5501</v>
      </c>
      <c r="B3434" s="125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25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</v>
      </c>
      <c r="R3434" s="115" t="s">
        <v>5503</v>
      </c>
      <c r="S3434" s="125"/>
    </row>
    <row r="3435" spans="1:19" hidden="1">
      <c r="A3435" s="124" t="s">
        <v>5501</v>
      </c>
      <c r="B3435" s="125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25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</v>
      </c>
      <c r="R3435" s="115" t="s">
        <v>5503</v>
      </c>
      <c r="S3435" s="125"/>
    </row>
    <row r="3436" spans="1:19" hidden="1">
      <c r="A3436" t="s">
        <v>5504</v>
      </c>
      <c r="B3436" s="125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25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</v>
      </c>
      <c r="R3436" s="115" t="s">
        <v>489</v>
      </c>
      <c r="S3436" s="125"/>
    </row>
    <row r="3437" spans="1:19" hidden="1">
      <c r="A3437" s="124" t="s">
        <v>5504</v>
      </c>
      <c r="B3437" s="125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25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</v>
      </c>
      <c r="R3437" s="115" t="s">
        <v>489</v>
      </c>
      <c r="S3437" s="125"/>
    </row>
    <row r="3438" spans="1:19" hidden="1">
      <c r="A3438" s="124" t="s">
        <v>5504</v>
      </c>
      <c r="B3438" s="125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25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</v>
      </c>
      <c r="R3438" s="115" t="s">
        <v>489</v>
      </c>
      <c r="S3438" s="125"/>
    </row>
    <row r="3439" spans="1:19" hidden="1">
      <c r="A3439" s="124" t="s">
        <v>5504</v>
      </c>
      <c r="B3439" s="125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25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</v>
      </c>
      <c r="R3439" s="115" t="s">
        <v>489</v>
      </c>
      <c r="S3439" s="125"/>
    </row>
    <row r="3440" spans="1:19" hidden="1">
      <c r="A3440" s="124" t="s">
        <v>5504</v>
      </c>
      <c r="B3440" s="125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25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</v>
      </c>
      <c r="R3440" s="115" t="s">
        <v>489</v>
      </c>
      <c r="S3440" s="125"/>
    </row>
    <row r="3441" spans="1:19" hidden="1">
      <c r="A3441" s="124" t="s">
        <v>5504</v>
      </c>
      <c r="B3441" s="125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25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</v>
      </c>
      <c r="R3441" s="115" t="s">
        <v>489</v>
      </c>
      <c r="S3441" s="125"/>
    </row>
    <row r="3442" spans="1:19" hidden="1">
      <c r="A3442" s="124" t="s">
        <v>5504</v>
      </c>
      <c r="B3442" s="125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25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</v>
      </c>
      <c r="R3442" s="115" t="s">
        <v>489</v>
      </c>
      <c r="S3442" s="125"/>
    </row>
    <row r="3443" spans="1:19" hidden="1">
      <c r="A3443" s="124" t="s">
        <v>5504</v>
      </c>
      <c r="B3443" s="125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25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</v>
      </c>
      <c r="R3443" s="115" t="s">
        <v>489</v>
      </c>
      <c r="S3443" s="125"/>
    </row>
    <row r="3444" spans="1:19" hidden="1">
      <c r="A3444" s="124" t="s">
        <v>5504</v>
      </c>
      <c r="B3444" s="125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25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</v>
      </c>
      <c r="R3444" s="115" t="s">
        <v>489</v>
      </c>
      <c r="S3444" s="125"/>
    </row>
    <row r="3445" spans="1:19" hidden="1">
      <c r="A3445" s="124" t="s">
        <v>5504</v>
      </c>
      <c r="B3445" s="125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25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</v>
      </c>
      <c r="R3445" s="115" t="s">
        <v>489</v>
      </c>
      <c r="S3445" s="125"/>
    </row>
    <row r="3446" spans="1:19" hidden="1">
      <c r="A3446" s="124" t="s">
        <v>5504</v>
      </c>
      <c r="B3446" s="125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25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</v>
      </c>
      <c r="R3446" s="115" t="s">
        <v>489</v>
      </c>
      <c r="S3446" s="125"/>
    </row>
    <row r="3447" spans="1:19" hidden="1">
      <c r="A3447" s="124" t="s">
        <v>5504</v>
      </c>
      <c r="B3447" s="125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25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</v>
      </c>
      <c r="R3447" s="115" t="s">
        <v>489</v>
      </c>
      <c r="S3447" s="125"/>
    </row>
    <row r="3448" spans="1:19" hidden="1">
      <c r="A3448" s="124" t="s">
        <v>5504</v>
      </c>
      <c r="B3448" s="125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25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</v>
      </c>
      <c r="R3448" s="115" t="s">
        <v>489</v>
      </c>
      <c r="S3448" s="125"/>
    </row>
    <row r="3449" spans="1:19" hidden="1">
      <c r="A3449" s="124" t="s">
        <v>5504</v>
      </c>
      <c r="B3449" s="125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25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</v>
      </c>
      <c r="R3449" s="115" t="s">
        <v>489</v>
      </c>
      <c r="S3449" s="125"/>
    </row>
    <row r="3450" spans="1:19" hidden="1">
      <c r="A3450" s="124" t="s">
        <v>5504</v>
      </c>
      <c r="B3450" s="125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25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</v>
      </c>
      <c r="R3450" s="115" t="s">
        <v>489</v>
      </c>
      <c r="S3450" s="125"/>
    </row>
    <row r="3451" spans="1:19" hidden="1">
      <c r="A3451" s="124" t="s">
        <v>5504</v>
      </c>
      <c r="B3451" s="125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25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</v>
      </c>
      <c r="R3451" s="115" t="s">
        <v>489</v>
      </c>
      <c r="S3451" s="125"/>
    </row>
    <row r="3452" spans="1:19" hidden="1">
      <c r="A3452" s="124" t="s">
        <v>5504</v>
      </c>
      <c r="B3452" s="125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25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</v>
      </c>
      <c r="R3452" s="115" t="s">
        <v>489</v>
      </c>
      <c r="S3452" s="125"/>
    </row>
    <row r="3453" spans="1:19" hidden="1">
      <c r="A3453" s="124" t="s">
        <v>5504</v>
      </c>
      <c r="B3453" s="125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25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</v>
      </c>
      <c r="R3453" s="115" t="s">
        <v>489</v>
      </c>
      <c r="S3453" s="125"/>
    </row>
    <row r="3454" spans="1:19" hidden="1">
      <c r="A3454" s="124" t="s">
        <v>5504</v>
      </c>
      <c r="B3454" s="125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25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</v>
      </c>
      <c r="R3454" s="115" t="s">
        <v>489</v>
      </c>
      <c r="S3454" s="125"/>
    </row>
    <row r="3455" spans="1:19" hidden="1">
      <c r="A3455" t="s">
        <v>5524</v>
      </c>
      <c r="B3455" s="125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25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</v>
      </c>
      <c r="R3455" s="115" t="s">
        <v>1459</v>
      </c>
      <c r="S3455" s="125"/>
    </row>
    <row r="3456" spans="1:19" hidden="1">
      <c r="A3456" t="s">
        <v>5526</v>
      </c>
      <c r="B3456" s="125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25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</v>
      </c>
      <c r="R3456" s="115" t="s">
        <v>489</v>
      </c>
      <c r="S3456" s="125"/>
    </row>
    <row r="3457" spans="1:19" hidden="1">
      <c r="A3457" s="124" t="s">
        <v>5526</v>
      </c>
      <c r="B3457" s="125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25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</v>
      </c>
      <c r="R3457" s="115" t="s">
        <v>489</v>
      </c>
      <c r="S3457" s="125"/>
    </row>
    <row r="3458" spans="1:19" hidden="1">
      <c r="A3458" t="s">
        <v>5531</v>
      </c>
      <c r="B3458" s="125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25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</v>
      </c>
      <c r="R3458" s="115" t="s">
        <v>489</v>
      </c>
      <c r="S3458" s="125"/>
    </row>
    <row r="3459" spans="1:19" hidden="1">
      <c r="A3459" t="s">
        <v>5532</v>
      </c>
      <c r="B3459" s="125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25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</v>
      </c>
      <c r="R3459" s="115" t="s">
        <v>489</v>
      </c>
      <c r="S3459" s="125"/>
    </row>
    <row r="3460" spans="1:19" hidden="1">
      <c r="A3460" s="124" t="s">
        <v>5532</v>
      </c>
      <c r="B3460" s="125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25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</v>
      </c>
      <c r="R3460" s="115" t="s">
        <v>489</v>
      </c>
      <c r="S3460" s="125"/>
    </row>
    <row r="3461" spans="1:19" hidden="1">
      <c r="A3461" s="124" t="s">
        <v>5532</v>
      </c>
      <c r="B3461" s="125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25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</v>
      </c>
      <c r="R3461" s="115" t="s">
        <v>489</v>
      </c>
      <c r="S3461" s="125"/>
    </row>
    <row r="3462" spans="1:19" hidden="1">
      <c r="A3462" s="124" t="s">
        <v>5532</v>
      </c>
      <c r="B3462" s="125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25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</v>
      </c>
      <c r="R3462" s="115" t="s">
        <v>489</v>
      </c>
      <c r="S3462" s="125"/>
    </row>
    <row r="3463" spans="1:19" hidden="1">
      <c r="A3463" s="124" t="s">
        <v>5532</v>
      </c>
      <c r="B3463" s="125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25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</v>
      </c>
      <c r="R3463" s="115" t="s">
        <v>489</v>
      </c>
      <c r="S3463" s="125"/>
    </row>
    <row r="3464" spans="1:19" hidden="1">
      <c r="A3464" s="124" t="s">
        <v>5532</v>
      </c>
      <c r="B3464" s="125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25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</v>
      </c>
      <c r="R3464" s="115" t="s">
        <v>489</v>
      </c>
      <c r="S3464" s="125"/>
    </row>
    <row r="3465" spans="1:19" hidden="1">
      <c r="A3465" s="124" t="s">
        <v>5532</v>
      </c>
      <c r="B3465" s="125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25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</v>
      </c>
      <c r="R3465" s="115" t="s">
        <v>489</v>
      </c>
      <c r="S3465" s="125"/>
    </row>
    <row r="3466" spans="1:19" hidden="1">
      <c r="A3466" s="124" t="s">
        <v>5532</v>
      </c>
      <c r="B3466" s="125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25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</v>
      </c>
      <c r="R3466" s="115" t="s">
        <v>489</v>
      </c>
      <c r="S3466" s="125"/>
    </row>
    <row r="3467" spans="1:19" hidden="1">
      <c r="A3467" t="s">
        <v>5535</v>
      </c>
      <c r="B3467" s="125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25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</v>
      </c>
      <c r="R3467" s="115" t="s">
        <v>415</v>
      </c>
      <c r="S3467" s="125"/>
    </row>
    <row r="3468" spans="1:19" hidden="1">
      <c r="A3468" s="124" t="s">
        <v>5535</v>
      </c>
      <c r="B3468" s="125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25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</v>
      </c>
      <c r="R3468" s="115" t="s">
        <v>415</v>
      </c>
      <c r="S3468" s="125"/>
    </row>
    <row r="3469" spans="1:19" hidden="1">
      <c r="A3469" s="124" t="s">
        <v>5535</v>
      </c>
      <c r="B3469" s="125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25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</v>
      </c>
      <c r="R3469" s="115" t="s">
        <v>415</v>
      </c>
      <c r="S3469" s="125"/>
    </row>
    <row r="3470" spans="1:19" hidden="1">
      <c r="A3470" s="124" t="s">
        <v>5535</v>
      </c>
      <c r="B3470" s="125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25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</v>
      </c>
      <c r="R3470" s="115" t="s">
        <v>415</v>
      </c>
      <c r="S3470" s="125"/>
    </row>
    <row r="3471" spans="1:19" hidden="1">
      <c r="A3471" s="124" t="s">
        <v>5535</v>
      </c>
      <c r="B3471" s="125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25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</v>
      </c>
      <c r="R3471" s="115" t="s">
        <v>415</v>
      </c>
      <c r="S3471" s="125"/>
    </row>
    <row r="3472" spans="1:19" hidden="1">
      <c r="A3472" s="124" t="s">
        <v>5535</v>
      </c>
      <c r="B3472" s="125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25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</v>
      </c>
      <c r="R3472" s="115" t="s">
        <v>415</v>
      </c>
      <c r="S3472" s="125"/>
    </row>
    <row r="3473" spans="1:19" hidden="1">
      <c r="A3473" s="124" t="s">
        <v>5535</v>
      </c>
      <c r="B3473" s="125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25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</v>
      </c>
      <c r="R3473" s="115" t="s">
        <v>415</v>
      </c>
      <c r="S3473" s="125"/>
    </row>
    <row r="3474" spans="1:19" hidden="1">
      <c r="A3474" s="124" t="s">
        <v>5535</v>
      </c>
      <c r="B3474" s="125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25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</v>
      </c>
      <c r="R3474" s="115" t="s">
        <v>415</v>
      </c>
      <c r="S3474" s="125"/>
    </row>
    <row r="3475" spans="1:19" hidden="1">
      <c r="A3475" s="124" t="s">
        <v>5535</v>
      </c>
      <c r="B3475" s="125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25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</v>
      </c>
      <c r="R3475" s="115" t="s">
        <v>415</v>
      </c>
      <c r="S3475" s="125"/>
    </row>
    <row r="3476" spans="1:19" hidden="1">
      <c r="A3476" s="124" t="s">
        <v>5535</v>
      </c>
      <c r="B3476" s="125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25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</v>
      </c>
      <c r="R3476" s="115" t="s">
        <v>415</v>
      </c>
      <c r="S3476" s="125"/>
    </row>
    <row r="3477" spans="1:19" hidden="1">
      <c r="A3477" t="s">
        <v>5548</v>
      </c>
      <c r="B3477" s="125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25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11</v>
      </c>
      <c r="R3477" s="115" t="s">
        <v>410</v>
      </c>
      <c r="S3477" s="125"/>
    </row>
    <row r="3478" spans="1:19" hidden="1">
      <c r="A3478" t="s">
        <v>5551</v>
      </c>
      <c r="B3478" s="125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25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11</v>
      </c>
      <c r="R3478" s="115" t="s">
        <v>515</v>
      </c>
      <c r="S3478" s="125"/>
    </row>
    <row r="3479" spans="1:19" hidden="1">
      <c r="A3479" t="s">
        <v>5556</v>
      </c>
      <c r="B3479" s="125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25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</v>
      </c>
      <c r="R3479" s="115" t="s">
        <v>410</v>
      </c>
      <c r="S3479" s="125"/>
    </row>
    <row r="3480" spans="1:19" hidden="1">
      <c r="A3480" s="124" t="s">
        <v>5556</v>
      </c>
      <c r="B3480" s="125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25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</v>
      </c>
      <c r="R3480" s="115" t="s">
        <v>410</v>
      </c>
      <c r="S3480" s="125"/>
    </row>
    <row r="3481" spans="1:19" hidden="1">
      <c r="A3481" s="124" t="s">
        <v>5556</v>
      </c>
      <c r="B3481" s="125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25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</v>
      </c>
      <c r="R3481" s="115" t="s">
        <v>410</v>
      </c>
      <c r="S3481" s="125"/>
    </row>
    <row r="3482" spans="1:19" hidden="1">
      <c r="A3482" s="124" t="s">
        <v>5556</v>
      </c>
      <c r="B3482" s="125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25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</v>
      </c>
      <c r="R3482" s="115" t="s">
        <v>410</v>
      </c>
      <c r="S3482" s="125"/>
    </row>
    <row r="3483" spans="1:19" hidden="1">
      <c r="A3483" s="124" t="s">
        <v>5556</v>
      </c>
      <c r="B3483" s="125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25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</v>
      </c>
      <c r="R3483" s="115" t="s">
        <v>410</v>
      </c>
      <c r="S3483" s="125"/>
    </row>
    <row r="3484" spans="1:19" hidden="1">
      <c r="A3484" s="124" t="s">
        <v>5556</v>
      </c>
      <c r="B3484" s="125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25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</v>
      </c>
      <c r="R3484" s="115" t="s">
        <v>410</v>
      </c>
      <c r="S3484" s="125"/>
    </row>
    <row r="3485" spans="1:19" hidden="1">
      <c r="A3485" s="124" t="s">
        <v>5556</v>
      </c>
      <c r="B3485" s="125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25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</v>
      </c>
      <c r="R3485" s="115" t="s">
        <v>410</v>
      </c>
      <c r="S3485" s="125"/>
    </row>
    <row r="3486" spans="1:19" hidden="1">
      <c r="A3486" t="s">
        <v>5574</v>
      </c>
      <c r="B3486" s="125" t="str">
        <f>IFERROR(VLOOKUP(Proc[[#This Row],[App]],Table2[],3,0),"open")</f>
        <v>ok</v>
      </c>
      <c r="C3486" s="128" t="s">
        <v>369</v>
      </c>
      <c r="D3486" t="s">
        <v>5578</v>
      </c>
      <c r="E3486" s="128" t="s">
        <v>5573</v>
      </c>
      <c r="F3486" s="129" t="s">
        <v>5573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25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9</v>
      </c>
      <c r="R3486" s="115" t="s">
        <v>1262</v>
      </c>
      <c r="S3486" s="125"/>
    </row>
    <row r="3487" spans="1:19" hidden="1">
      <c r="A3487" t="s">
        <v>5577</v>
      </c>
      <c r="B3487" s="129" t="str">
        <f>IFERROR(VLOOKUP(Proc[[#This Row],[App]],Table2[],3,0),"open")</f>
        <v>ok</v>
      </c>
      <c r="C3487" s="128" t="s">
        <v>369</v>
      </c>
      <c r="D3487" t="s">
        <v>5575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29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9</v>
      </c>
      <c r="R3487" s="115" t="s">
        <v>515</v>
      </c>
      <c r="S3487" s="129"/>
    </row>
    <row r="3488" spans="1:19" hidden="1">
      <c r="A3488" s="128" t="s">
        <v>5577</v>
      </c>
      <c r="B3488" s="129" t="str">
        <f>IFERROR(VLOOKUP(Proc[[#This Row],[App]],Table2[],3,0),"open")</f>
        <v>ok</v>
      </c>
      <c r="C3488" s="128" t="s">
        <v>369</v>
      </c>
      <c r="D3488" t="s">
        <v>5576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29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9</v>
      </c>
      <c r="R3488" s="115" t="s">
        <v>515</v>
      </c>
      <c r="S3488" s="129"/>
    </row>
    <row r="3489" spans="1:19" hidden="1">
      <c r="A3489" t="s">
        <v>5672</v>
      </c>
      <c r="B3489" s="129" t="str">
        <f>IFERROR(VLOOKUP(Proc[[#This Row],[App]],Table2[],3,0),"open")</f>
        <v>ok</v>
      </c>
      <c r="C3489" s="128" t="s">
        <v>369</v>
      </c>
      <c r="D3489" t="s">
        <v>5579</v>
      </c>
      <c r="E3489" t="s">
        <v>5671</v>
      </c>
      <c r="F3489" s="129" t="s">
        <v>5671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29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</v>
      </c>
      <c r="R3489" s="115" t="s">
        <v>515</v>
      </c>
      <c r="S3489" s="129"/>
    </row>
    <row r="3490" spans="1:19" hidden="1">
      <c r="A3490" s="128" t="s">
        <v>5672</v>
      </c>
      <c r="B3490" s="129" t="str">
        <f>IFERROR(VLOOKUP(Proc[[#This Row],[App]],Table2[],3,0),"open")</f>
        <v>ok</v>
      </c>
      <c r="C3490" s="128" t="s">
        <v>369</v>
      </c>
      <c r="D3490" t="s">
        <v>5580</v>
      </c>
      <c r="E3490" t="s">
        <v>5671</v>
      </c>
      <c r="F3490" s="129" t="s">
        <v>5671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29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</v>
      </c>
      <c r="R3490" s="115" t="s">
        <v>515</v>
      </c>
      <c r="S3490" s="129"/>
    </row>
    <row r="3491" spans="1:19" hidden="1">
      <c r="A3491" s="128" t="s">
        <v>5672</v>
      </c>
      <c r="B3491" s="129" t="str">
        <f>IFERROR(VLOOKUP(Proc[[#This Row],[App]],Table2[],3,0),"open")</f>
        <v>ok</v>
      </c>
      <c r="C3491" s="128" t="s">
        <v>369</v>
      </c>
      <c r="D3491" t="s">
        <v>5581</v>
      </c>
      <c r="E3491" t="s">
        <v>5671</v>
      </c>
      <c r="F3491" s="129" t="s">
        <v>5671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29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</v>
      </c>
      <c r="R3491" s="115" t="s">
        <v>515</v>
      </c>
      <c r="S3491" s="129"/>
    </row>
    <row r="3492" spans="1:19" hidden="1">
      <c r="A3492" s="128" t="s">
        <v>5672</v>
      </c>
      <c r="B3492" s="129" t="str">
        <f>IFERROR(VLOOKUP(Proc[[#This Row],[App]],Table2[],3,0),"open")</f>
        <v>ok</v>
      </c>
      <c r="C3492" s="128" t="s">
        <v>369</v>
      </c>
      <c r="D3492" t="s">
        <v>5582</v>
      </c>
      <c r="E3492" t="s">
        <v>5671</v>
      </c>
      <c r="F3492" s="129" t="s">
        <v>5671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29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</v>
      </c>
      <c r="R3492" s="115" t="s">
        <v>515</v>
      </c>
      <c r="S3492" s="129"/>
    </row>
    <row r="3493" spans="1:19" hidden="1">
      <c r="A3493" s="128" t="s">
        <v>5672</v>
      </c>
      <c r="B3493" s="129" t="str">
        <f>IFERROR(VLOOKUP(Proc[[#This Row],[App]],Table2[],3,0),"open")</f>
        <v>ok</v>
      </c>
      <c r="C3493" s="128" t="s">
        <v>369</v>
      </c>
      <c r="D3493" t="s">
        <v>5583</v>
      </c>
      <c r="E3493" t="s">
        <v>5671</v>
      </c>
      <c r="F3493" s="129" t="s">
        <v>5671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29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</v>
      </c>
      <c r="R3493" s="115" t="s">
        <v>515</v>
      </c>
      <c r="S3493" s="129"/>
    </row>
    <row r="3494" spans="1:19" hidden="1">
      <c r="A3494" s="128" t="s">
        <v>5672</v>
      </c>
      <c r="B3494" s="129" t="str">
        <f>IFERROR(VLOOKUP(Proc[[#This Row],[App]],Table2[],3,0),"open")</f>
        <v>ok</v>
      </c>
      <c r="C3494" s="128" t="s">
        <v>369</v>
      </c>
      <c r="D3494" t="s">
        <v>5584</v>
      </c>
      <c r="E3494" t="s">
        <v>5671</v>
      </c>
      <c r="F3494" s="129" t="s">
        <v>5671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29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</v>
      </c>
      <c r="R3494" s="115" t="s">
        <v>515</v>
      </c>
      <c r="S3494" s="129"/>
    </row>
    <row r="3495" spans="1:19" hidden="1">
      <c r="A3495" s="128" t="s">
        <v>5672</v>
      </c>
      <c r="B3495" s="129" t="str">
        <f>IFERROR(VLOOKUP(Proc[[#This Row],[App]],Table2[],3,0),"open")</f>
        <v>ok</v>
      </c>
      <c r="C3495" s="128" t="s">
        <v>369</v>
      </c>
      <c r="D3495" t="s">
        <v>5585</v>
      </c>
      <c r="E3495" t="s">
        <v>5671</v>
      </c>
      <c r="F3495" s="129" t="s">
        <v>5671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29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</v>
      </c>
      <c r="R3495" s="115" t="s">
        <v>515</v>
      </c>
      <c r="S3495" s="129"/>
    </row>
    <row r="3496" spans="1:19" hidden="1">
      <c r="A3496" s="128" t="s">
        <v>5672</v>
      </c>
      <c r="B3496" s="129" t="str">
        <f>IFERROR(VLOOKUP(Proc[[#This Row],[App]],Table2[],3,0),"open")</f>
        <v>ok</v>
      </c>
      <c r="C3496" s="128" t="s">
        <v>369</v>
      </c>
      <c r="D3496" t="s">
        <v>5586</v>
      </c>
      <c r="E3496" t="s">
        <v>5671</v>
      </c>
      <c r="F3496" s="129" t="s">
        <v>5671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29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</v>
      </c>
      <c r="R3496" s="115" t="s">
        <v>515</v>
      </c>
      <c r="S3496" s="129"/>
    </row>
    <row r="3497" spans="1:19" hidden="1">
      <c r="A3497" s="128" t="s">
        <v>5672</v>
      </c>
      <c r="B3497" s="129" t="str">
        <f>IFERROR(VLOOKUP(Proc[[#This Row],[App]],Table2[],3,0),"open")</f>
        <v>ok</v>
      </c>
      <c r="C3497" s="128" t="s">
        <v>369</v>
      </c>
      <c r="D3497" t="s">
        <v>5587</v>
      </c>
      <c r="E3497" t="s">
        <v>5671</v>
      </c>
      <c r="F3497" s="129" t="s">
        <v>5671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29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</v>
      </c>
      <c r="R3497" s="115" t="s">
        <v>515</v>
      </c>
      <c r="S3497" s="129"/>
    </row>
    <row r="3498" spans="1:19" hidden="1">
      <c r="A3498" s="128" t="s">
        <v>5672</v>
      </c>
      <c r="B3498" s="129" t="str">
        <f>IFERROR(VLOOKUP(Proc[[#This Row],[App]],Table2[],3,0),"open")</f>
        <v>ok</v>
      </c>
      <c r="C3498" s="128" t="s">
        <v>369</v>
      </c>
      <c r="D3498" t="s">
        <v>5588</v>
      </c>
      <c r="E3498" t="s">
        <v>5671</v>
      </c>
      <c r="F3498" s="129" t="s">
        <v>5671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29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</v>
      </c>
      <c r="R3498" s="115" t="s">
        <v>515</v>
      </c>
      <c r="S3498" s="129"/>
    </row>
    <row r="3499" spans="1:19" hidden="1">
      <c r="A3499" s="128" t="s">
        <v>5672</v>
      </c>
      <c r="B3499" s="129" t="str">
        <f>IFERROR(VLOOKUP(Proc[[#This Row],[App]],Table2[],3,0),"open")</f>
        <v>ok</v>
      </c>
      <c r="C3499" s="128" t="s">
        <v>369</v>
      </c>
      <c r="D3499" t="s">
        <v>5589</v>
      </c>
      <c r="E3499" t="s">
        <v>5671</v>
      </c>
      <c r="F3499" s="129" t="s">
        <v>5671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29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</v>
      </c>
      <c r="R3499" s="115" t="s">
        <v>515</v>
      </c>
      <c r="S3499" s="129"/>
    </row>
    <row r="3500" spans="1:19" hidden="1">
      <c r="A3500" s="128" t="s">
        <v>5672</v>
      </c>
      <c r="B3500" s="129" t="str">
        <f>IFERROR(VLOOKUP(Proc[[#This Row],[App]],Table2[],3,0),"open")</f>
        <v>ok</v>
      </c>
      <c r="C3500" s="128" t="s">
        <v>369</v>
      </c>
      <c r="D3500" t="s">
        <v>5590</v>
      </c>
      <c r="E3500" t="s">
        <v>5671</v>
      </c>
      <c r="F3500" s="129" t="s">
        <v>5671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29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</v>
      </c>
      <c r="R3500" s="115" t="s">
        <v>515</v>
      </c>
      <c r="S3500" s="129"/>
    </row>
    <row r="3501" spans="1:19" hidden="1">
      <c r="A3501" s="128" t="s">
        <v>5672</v>
      </c>
      <c r="B3501" s="129" t="str">
        <f>IFERROR(VLOOKUP(Proc[[#This Row],[App]],Table2[],3,0),"open")</f>
        <v>ok</v>
      </c>
      <c r="C3501" s="128" t="s">
        <v>369</v>
      </c>
      <c r="D3501" t="s">
        <v>5591</v>
      </c>
      <c r="E3501" t="s">
        <v>5671</v>
      </c>
      <c r="F3501" s="129" t="s">
        <v>5671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29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</v>
      </c>
      <c r="R3501" s="115" t="s">
        <v>515</v>
      </c>
      <c r="S3501" s="129"/>
    </row>
    <row r="3502" spans="1:19" hidden="1">
      <c r="A3502" s="128" t="s">
        <v>5672</v>
      </c>
      <c r="B3502" s="129" t="str">
        <f>IFERROR(VLOOKUP(Proc[[#This Row],[App]],Table2[],3,0),"open")</f>
        <v>ok</v>
      </c>
      <c r="C3502" s="128" t="s">
        <v>369</v>
      </c>
      <c r="D3502" t="s">
        <v>5592</v>
      </c>
      <c r="E3502" t="s">
        <v>5671</v>
      </c>
      <c r="F3502" s="129" t="s">
        <v>5671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29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</v>
      </c>
      <c r="R3502" s="115" t="s">
        <v>515</v>
      </c>
      <c r="S3502" s="129"/>
    </row>
    <row r="3503" spans="1:19" hidden="1">
      <c r="A3503" s="128" t="s">
        <v>5672</v>
      </c>
      <c r="B3503" s="129" t="str">
        <f>IFERROR(VLOOKUP(Proc[[#This Row],[App]],Table2[],3,0),"open")</f>
        <v>ok</v>
      </c>
      <c r="C3503" s="128" t="s">
        <v>369</v>
      </c>
      <c r="D3503" t="s">
        <v>5593</v>
      </c>
      <c r="E3503" t="s">
        <v>5671</v>
      </c>
      <c r="F3503" s="129" t="s">
        <v>5671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29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</v>
      </c>
      <c r="R3503" s="115" t="s">
        <v>515</v>
      </c>
      <c r="S3503" s="129"/>
    </row>
    <row r="3504" spans="1:19" hidden="1">
      <c r="A3504" s="128" t="s">
        <v>5672</v>
      </c>
      <c r="B3504" s="129" t="str">
        <f>IFERROR(VLOOKUP(Proc[[#This Row],[App]],Table2[],3,0),"open")</f>
        <v>ok</v>
      </c>
      <c r="C3504" s="128" t="s">
        <v>369</v>
      </c>
      <c r="D3504" t="s">
        <v>5594</v>
      </c>
      <c r="E3504" t="s">
        <v>5671</v>
      </c>
      <c r="F3504" s="129" t="s">
        <v>5671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29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</v>
      </c>
      <c r="R3504" s="115" t="s">
        <v>515</v>
      </c>
      <c r="S3504" s="129"/>
    </row>
    <row r="3505" spans="1:19" hidden="1">
      <c r="A3505" s="128" t="s">
        <v>5672</v>
      </c>
      <c r="B3505" s="129" t="str">
        <f>IFERROR(VLOOKUP(Proc[[#This Row],[App]],Table2[],3,0),"open")</f>
        <v>ok</v>
      </c>
      <c r="C3505" s="128" t="s">
        <v>369</v>
      </c>
      <c r="D3505" t="s">
        <v>5595</v>
      </c>
      <c r="E3505" t="s">
        <v>5671</v>
      </c>
      <c r="F3505" s="129" t="s">
        <v>5671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29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</v>
      </c>
      <c r="R3505" s="115" t="s">
        <v>515</v>
      </c>
      <c r="S3505" s="129"/>
    </row>
    <row r="3506" spans="1:19" hidden="1">
      <c r="A3506" s="128" t="s">
        <v>5672</v>
      </c>
      <c r="B3506" s="129" t="str">
        <f>IFERROR(VLOOKUP(Proc[[#This Row],[App]],Table2[],3,0),"open")</f>
        <v>ok</v>
      </c>
      <c r="C3506" s="128" t="s">
        <v>369</v>
      </c>
      <c r="D3506" t="s">
        <v>5596</v>
      </c>
      <c r="E3506" t="s">
        <v>5671</v>
      </c>
      <c r="F3506" s="129" t="s">
        <v>5671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29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</v>
      </c>
      <c r="R3506" s="115" t="s">
        <v>515</v>
      </c>
      <c r="S3506" s="129"/>
    </row>
    <row r="3507" spans="1:19" hidden="1">
      <c r="A3507" s="128" t="s">
        <v>5672</v>
      </c>
      <c r="B3507" s="129" t="str">
        <f>IFERROR(VLOOKUP(Proc[[#This Row],[App]],Table2[],3,0),"open")</f>
        <v>ok</v>
      </c>
      <c r="C3507" s="128" t="s">
        <v>369</v>
      </c>
      <c r="D3507" t="s">
        <v>5597</v>
      </c>
      <c r="E3507" t="s">
        <v>5671</v>
      </c>
      <c r="F3507" s="129" t="s">
        <v>5671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29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</v>
      </c>
      <c r="R3507" s="115" t="s">
        <v>515</v>
      </c>
      <c r="S3507" s="129"/>
    </row>
    <row r="3508" spans="1:19" hidden="1">
      <c r="A3508" s="128" t="s">
        <v>5672</v>
      </c>
      <c r="B3508" s="129" t="str">
        <f>IFERROR(VLOOKUP(Proc[[#This Row],[App]],Table2[],3,0),"open")</f>
        <v>ok</v>
      </c>
      <c r="C3508" s="128" t="s">
        <v>369</v>
      </c>
      <c r="D3508" t="s">
        <v>5598</v>
      </c>
      <c r="E3508" t="s">
        <v>5671</v>
      </c>
      <c r="F3508" s="129" t="s">
        <v>5671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29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</v>
      </c>
      <c r="R3508" s="115" t="s">
        <v>515</v>
      </c>
      <c r="S3508" s="129"/>
    </row>
    <row r="3509" spans="1:19" hidden="1">
      <c r="A3509" s="128" t="s">
        <v>5672</v>
      </c>
      <c r="B3509" s="129" t="str">
        <f>IFERROR(VLOOKUP(Proc[[#This Row],[App]],Table2[],3,0),"open")</f>
        <v>ok</v>
      </c>
      <c r="C3509" s="128" t="s">
        <v>369</v>
      </c>
      <c r="D3509" t="s">
        <v>5599</v>
      </c>
      <c r="E3509" t="s">
        <v>5671</v>
      </c>
      <c r="F3509" s="129" t="s">
        <v>5671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29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</v>
      </c>
      <c r="R3509" s="115" t="s">
        <v>515</v>
      </c>
      <c r="S3509" s="129"/>
    </row>
    <row r="3510" spans="1:19" hidden="1">
      <c r="A3510" s="128" t="s">
        <v>5672</v>
      </c>
      <c r="B3510" s="129" t="str">
        <f>IFERROR(VLOOKUP(Proc[[#This Row],[App]],Table2[],3,0),"open")</f>
        <v>ok</v>
      </c>
      <c r="C3510" s="128" t="s">
        <v>369</v>
      </c>
      <c r="D3510" t="s">
        <v>5600</v>
      </c>
      <c r="E3510" t="s">
        <v>5671</v>
      </c>
      <c r="F3510" s="129" t="s">
        <v>5671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29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</v>
      </c>
      <c r="R3510" s="115" t="s">
        <v>515</v>
      </c>
      <c r="S3510" s="129"/>
    </row>
    <row r="3511" spans="1:19" hidden="1">
      <c r="A3511" s="128" t="s">
        <v>5672</v>
      </c>
      <c r="B3511" s="129" t="str">
        <f>IFERROR(VLOOKUP(Proc[[#This Row],[App]],Table2[],3,0),"open")</f>
        <v>ok</v>
      </c>
      <c r="C3511" s="128" t="s">
        <v>369</v>
      </c>
      <c r="D3511" t="s">
        <v>5601</v>
      </c>
      <c r="E3511" t="s">
        <v>5671</v>
      </c>
      <c r="F3511" s="129" t="s">
        <v>5671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29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</v>
      </c>
      <c r="R3511" s="115" t="s">
        <v>515</v>
      </c>
      <c r="S3511" s="129"/>
    </row>
    <row r="3512" spans="1:19" hidden="1">
      <c r="A3512" s="128" t="s">
        <v>5672</v>
      </c>
      <c r="B3512" s="129" t="str">
        <f>IFERROR(VLOOKUP(Proc[[#This Row],[App]],Table2[],3,0),"open")</f>
        <v>ok</v>
      </c>
      <c r="C3512" s="128" t="s">
        <v>369</v>
      </c>
      <c r="D3512" t="s">
        <v>5602</v>
      </c>
      <c r="E3512" t="s">
        <v>5671</v>
      </c>
      <c r="F3512" s="129" t="s">
        <v>5671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29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</v>
      </c>
      <c r="R3512" s="115" t="s">
        <v>515</v>
      </c>
      <c r="S3512" s="129"/>
    </row>
    <row r="3513" spans="1:19" hidden="1">
      <c r="A3513" s="128" t="s">
        <v>5672</v>
      </c>
      <c r="B3513" s="129" t="str">
        <f>IFERROR(VLOOKUP(Proc[[#This Row],[App]],Table2[],3,0),"open")</f>
        <v>ok</v>
      </c>
      <c r="C3513" s="128" t="s">
        <v>369</v>
      </c>
      <c r="D3513" t="s">
        <v>5603</v>
      </c>
      <c r="E3513" t="s">
        <v>5671</v>
      </c>
      <c r="F3513" s="129" t="s">
        <v>5671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29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</v>
      </c>
      <c r="R3513" s="115" t="s">
        <v>515</v>
      </c>
      <c r="S3513" s="129"/>
    </row>
    <row r="3514" spans="1:19" hidden="1">
      <c r="A3514" s="128" t="s">
        <v>5672</v>
      </c>
      <c r="B3514" s="129" t="str">
        <f>IFERROR(VLOOKUP(Proc[[#This Row],[App]],Table2[],3,0),"open")</f>
        <v>ok</v>
      </c>
      <c r="C3514" s="128" t="s">
        <v>369</v>
      </c>
      <c r="D3514" t="s">
        <v>5604</v>
      </c>
      <c r="E3514" t="s">
        <v>5671</v>
      </c>
      <c r="F3514" s="129" t="s">
        <v>5671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29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</v>
      </c>
      <c r="R3514" s="115" t="s">
        <v>515</v>
      </c>
      <c r="S3514" s="129"/>
    </row>
    <row r="3515" spans="1:19" hidden="1">
      <c r="A3515" s="128" t="s">
        <v>5672</v>
      </c>
      <c r="B3515" s="129" t="str">
        <f>IFERROR(VLOOKUP(Proc[[#This Row],[App]],Table2[],3,0),"open")</f>
        <v>ok</v>
      </c>
      <c r="C3515" s="128" t="s">
        <v>369</v>
      </c>
      <c r="D3515" t="s">
        <v>5605</v>
      </c>
      <c r="E3515" t="s">
        <v>5671</v>
      </c>
      <c r="F3515" s="129" t="s">
        <v>5671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29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</v>
      </c>
      <c r="R3515" s="115" t="s">
        <v>515</v>
      </c>
      <c r="S3515" s="129"/>
    </row>
    <row r="3516" spans="1:19" hidden="1">
      <c r="A3516" s="128" t="s">
        <v>5672</v>
      </c>
      <c r="B3516" s="129" t="str">
        <f>IFERROR(VLOOKUP(Proc[[#This Row],[App]],Table2[],3,0),"open")</f>
        <v>ok</v>
      </c>
      <c r="C3516" s="128" t="s">
        <v>369</v>
      </c>
      <c r="D3516" t="s">
        <v>5606</v>
      </c>
      <c r="E3516" t="s">
        <v>5671</v>
      </c>
      <c r="F3516" s="129" t="s">
        <v>5671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29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</v>
      </c>
      <c r="R3516" s="115" t="s">
        <v>515</v>
      </c>
      <c r="S3516" s="129"/>
    </row>
    <row r="3517" spans="1:19" hidden="1">
      <c r="A3517" s="128" t="s">
        <v>5672</v>
      </c>
      <c r="B3517" s="129" t="str">
        <f>IFERROR(VLOOKUP(Proc[[#This Row],[App]],Table2[],3,0),"open")</f>
        <v>ok</v>
      </c>
      <c r="C3517" s="128" t="s">
        <v>369</v>
      </c>
      <c r="D3517" t="s">
        <v>5607</v>
      </c>
      <c r="E3517" t="s">
        <v>5671</v>
      </c>
      <c r="F3517" s="129" t="s">
        <v>5671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29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</v>
      </c>
      <c r="R3517" s="115" t="s">
        <v>515</v>
      </c>
      <c r="S3517" s="129"/>
    </row>
    <row r="3518" spans="1:19" hidden="1">
      <c r="A3518" s="128" t="s">
        <v>5672</v>
      </c>
      <c r="B3518" s="129" t="str">
        <f>IFERROR(VLOOKUP(Proc[[#This Row],[App]],Table2[],3,0),"open")</f>
        <v>ok</v>
      </c>
      <c r="C3518" s="128" t="s">
        <v>369</v>
      </c>
      <c r="D3518" t="s">
        <v>5608</v>
      </c>
      <c r="E3518" t="s">
        <v>5671</v>
      </c>
      <c r="F3518" s="129" t="s">
        <v>5671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29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</v>
      </c>
      <c r="R3518" s="115" t="s">
        <v>515</v>
      </c>
      <c r="S3518" s="129"/>
    </row>
    <row r="3519" spans="1:19" hidden="1">
      <c r="A3519" s="128" t="s">
        <v>5672</v>
      </c>
      <c r="B3519" s="129" t="str">
        <f>IFERROR(VLOOKUP(Proc[[#This Row],[App]],Table2[],3,0),"open")</f>
        <v>ok</v>
      </c>
      <c r="C3519" s="128" t="s">
        <v>369</v>
      </c>
      <c r="D3519" t="s">
        <v>5609</v>
      </c>
      <c r="E3519" t="s">
        <v>5671</v>
      </c>
      <c r="F3519" s="129" t="s">
        <v>5671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29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</v>
      </c>
      <c r="R3519" s="115" t="s">
        <v>515</v>
      </c>
      <c r="S3519" s="129"/>
    </row>
    <row r="3520" spans="1:19" hidden="1">
      <c r="A3520" s="128" t="s">
        <v>5672</v>
      </c>
      <c r="B3520" s="129" t="str">
        <f>IFERROR(VLOOKUP(Proc[[#This Row],[App]],Table2[],3,0),"open")</f>
        <v>ok</v>
      </c>
      <c r="C3520" s="128" t="s">
        <v>369</v>
      </c>
      <c r="D3520" t="s">
        <v>5610</v>
      </c>
      <c r="E3520" t="s">
        <v>5671</v>
      </c>
      <c r="F3520" s="129" t="s">
        <v>5671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29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</v>
      </c>
      <c r="R3520" s="115" t="s">
        <v>515</v>
      </c>
      <c r="S3520" s="129"/>
    </row>
    <row r="3521" spans="1:19" hidden="1">
      <c r="A3521" s="128" t="s">
        <v>5672</v>
      </c>
      <c r="B3521" s="129" t="str">
        <f>IFERROR(VLOOKUP(Proc[[#This Row],[App]],Table2[],3,0),"open")</f>
        <v>ok</v>
      </c>
      <c r="C3521" s="128" t="s">
        <v>369</v>
      </c>
      <c r="D3521" t="s">
        <v>5611</v>
      </c>
      <c r="E3521" t="s">
        <v>5671</v>
      </c>
      <c r="F3521" s="129" t="s">
        <v>5671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29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</v>
      </c>
      <c r="R3521" s="115" t="s">
        <v>515</v>
      </c>
      <c r="S3521" s="129"/>
    </row>
    <row r="3522" spans="1:19" hidden="1">
      <c r="A3522" s="128" t="s">
        <v>5672</v>
      </c>
      <c r="B3522" s="129" t="str">
        <f>IFERROR(VLOOKUP(Proc[[#This Row],[App]],Table2[],3,0),"open")</f>
        <v>ok</v>
      </c>
      <c r="C3522" s="128" t="s">
        <v>369</v>
      </c>
      <c r="D3522" t="s">
        <v>5612</v>
      </c>
      <c r="E3522" t="s">
        <v>5671</v>
      </c>
      <c r="F3522" s="129" t="s">
        <v>5671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29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</v>
      </c>
      <c r="R3522" s="115" t="s">
        <v>515</v>
      </c>
      <c r="S3522" s="129"/>
    </row>
    <row r="3523" spans="1:19" hidden="1">
      <c r="A3523" s="128" t="s">
        <v>5672</v>
      </c>
      <c r="B3523" s="129" t="str">
        <f>IFERROR(VLOOKUP(Proc[[#This Row],[App]],Table2[],3,0),"open")</f>
        <v>ok</v>
      </c>
      <c r="C3523" s="128" t="s">
        <v>369</v>
      </c>
      <c r="D3523" t="s">
        <v>5613</v>
      </c>
      <c r="E3523" t="s">
        <v>5671</v>
      </c>
      <c r="F3523" s="129" t="s">
        <v>5671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29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</v>
      </c>
      <c r="R3523" s="115" t="s">
        <v>515</v>
      </c>
      <c r="S3523" s="129"/>
    </row>
    <row r="3524" spans="1:19" hidden="1">
      <c r="A3524" s="128" t="s">
        <v>5672</v>
      </c>
      <c r="B3524" s="129" t="str">
        <f>IFERROR(VLOOKUP(Proc[[#This Row],[App]],Table2[],3,0),"open")</f>
        <v>ok</v>
      </c>
      <c r="C3524" s="128" t="s">
        <v>369</v>
      </c>
      <c r="D3524" t="s">
        <v>5614</v>
      </c>
      <c r="E3524" t="s">
        <v>5671</v>
      </c>
      <c r="F3524" s="129" t="s">
        <v>5671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29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</v>
      </c>
      <c r="R3524" s="115" t="s">
        <v>515</v>
      </c>
      <c r="S3524" s="129"/>
    </row>
    <row r="3525" spans="1:19" hidden="1">
      <c r="A3525" s="128" t="s">
        <v>5672</v>
      </c>
      <c r="B3525" s="129" t="str">
        <f>IFERROR(VLOOKUP(Proc[[#This Row],[App]],Table2[],3,0),"open")</f>
        <v>ok</v>
      </c>
      <c r="C3525" s="128" t="s">
        <v>369</v>
      </c>
      <c r="D3525" t="s">
        <v>5615</v>
      </c>
      <c r="E3525" t="s">
        <v>5671</v>
      </c>
      <c r="F3525" s="129" t="s">
        <v>5671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29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</v>
      </c>
      <c r="R3525" s="115" t="s">
        <v>515</v>
      </c>
      <c r="S3525" s="129"/>
    </row>
    <row r="3526" spans="1:19" hidden="1">
      <c r="A3526" s="128" t="s">
        <v>5672</v>
      </c>
      <c r="B3526" s="129" t="str">
        <f>IFERROR(VLOOKUP(Proc[[#This Row],[App]],Table2[],3,0),"open")</f>
        <v>ok</v>
      </c>
      <c r="C3526" s="128" t="s">
        <v>369</v>
      </c>
      <c r="D3526" t="s">
        <v>5616</v>
      </c>
      <c r="E3526" t="s">
        <v>5671</v>
      </c>
      <c r="F3526" s="129" t="s">
        <v>5671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29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</v>
      </c>
      <c r="R3526" s="115" t="s">
        <v>515</v>
      </c>
      <c r="S3526" s="129"/>
    </row>
    <row r="3527" spans="1:19" hidden="1">
      <c r="A3527" s="128" t="s">
        <v>5672</v>
      </c>
      <c r="B3527" s="129" t="str">
        <f>IFERROR(VLOOKUP(Proc[[#This Row],[App]],Table2[],3,0),"open")</f>
        <v>ok</v>
      </c>
      <c r="C3527" s="128" t="s">
        <v>369</v>
      </c>
      <c r="D3527" t="s">
        <v>5617</v>
      </c>
      <c r="E3527" t="s">
        <v>5671</v>
      </c>
      <c r="F3527" s="129" t="s">
        <v>5671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29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</v>
      </c>
      <c r="R3527" s="115" t="s">
        <v>515</v>
      </c>
      <c r="S3527" s="129"/>
    </row>
    <row r="3528" spans="1:19" hidden="1">
      <c r="A3528" s="128" t="s">
        <v>5672</v>
      </c>
      <c r="B3528" s="129" t="str">
        <f>IFERROR(VLOOKUP(Proc[[#This Row],[App]],Table2[],3,0),"open")</f>
        <v>ok</v>
      </c>
      <c r="C3528" s="128" t="s">
        <v>369</v>
      </c>
      <c r="D3528" t="s">
        <v>5618</v>
      </c>
      <c r="E3528" t="s">
        <v>5671</v>
      </c>
      <c r="F3528" s="129" t="s">
        <v>5671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29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</v>
      </c>
      <c r="R3528" s="115" t="s">
        <v>515</v>
      </c>
      <c r="S3528" s="129"/>
    </row>
    <row r="3529" spans="1:19" hidden="1">
      <c r="A3529" s="128" t="s">
        <v>5672</v>
      </c>
      <c r="B3529" s="129" t="str">
        <f>IFERROR(VLOOKUP(Proc[[#This Row],[App]],Table2[],3,0),"open")</f>
        <v>ok</v>
      </c>
      <c r="C3529" s="128" t="s">
        <v>369</v>
      </c>
      <c r="D3529" t="s">
        <v>5619</v>
      </c>
      <c r="E3529" t="s">
        <v>5671</v>
      </c>
      <c r="F3529" s="129" t="s">
        <v>5671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29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</v>
      </c>
      <c r="R3529" s="115" t="s">
        <v>515</v>
      </c>
      <c r="S3529" s="129"/>
    </row>
    <row r="3530" spans="1:19" hidden="1">
      <c r="A3530" s="128" t="s">
        <v>5672</v>
      </c>
      <c r="B3530" s="129" t="str">
        <f>IFERROR(VLOOKUP(Proc[[#This Row],[App]],Table2[],3,0),"open")</f>
        <v>ok</v>
      </c>
      <c r="C3530" s="128" t="s">
        <v>369</v>
      </c>
      <c r="D3530" t="s">
        <v>5620</v>
      </c>
      <c r="E3530" t="s">
        <v>5671</v>
      </c>
      <c r="F3530" s="129" t="s">
        <v>5671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29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</v>
      </c>
      <c r="R3530" s="115" t="s">
        <v>515</v>
      </c>
      <c r="S3530" s="129"/>
    </row>
    <row r="3531" spans="1:19" hidden="1">
      <c r="A3531" s="128" t="s">
        <v>5672</v>
      </c>
      <c r="B3531" s="129" t="str">
        <f>IFERROR(VLOOKUP(Proc[[#This Row],[App]],Table2[],3,0),"open")</f>
        <v>ok</v>
      </c>
      <c r="C3531" s="128" t="s">
        <v>369</v>
      </c>
      <c r="D3531" t="s">
        <v>5621</v>
      </c>
      <c r="E3531" t="s">
        <v>5671</v>
      </c>
      <c r="F3531" s="129" t="s">
        <v>5671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29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</v>
      </c>
      <c r="R3531" s="115" t="s">
        <v>515</v>
      </c>
      <c r="S3531" s="129"/>
    </row>
    <row r="3532" spans="1:19" hidden="1">
      <c r="A3532" s="128" t="s">
        <v>5672</v>
      </c>
      <c r="B3532" s="129" t="str">
        <f>IFERROR(VLOOKUP(Proc[[#This Row],[App]],Table2[],3,0),"open")</f>
        <v>ok</v>
      </c>
      <c r="C3532" s="128" t="s">
        <v>369</v>
      </c>
      <c r="D3532" t="s">
        <v>5622</v>
      </c>
      <c r="E3532" t="s">
        <v>5671</v>
      </c>
      <c r="F3532" s="129" t="s">
        <v>5671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29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</v>
      </c>
      <c r="R3532" s="115" t="s">
        <v>515</v>
      </c>
      <c r="S3532" s="129"/>
    </row>
    <row r="3533" spans="1:19" hidden="1">
      <c r="A3533" s="128" t="s">
        <v>5672</v>
      </c>
      <c r="B3533" s="129" t="str">
        <f>IFERROR(VLOOKUP(Proc[[#This Row],[App]],Table2[],3,0),"open")</f>
        <v>ok</v>
      </c>
      <c r="C3533" s="128" t="s">
        <v>369</v>
      </c>
      <c r="D3533" t="s">
        <v>5623</v>
      </c>
      <c r="E3533" t="s">
        <v>5671</v>
      </c>
      <c r="F3533" s="129" t="s">
        <v>5671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29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</v>
      </c>
      <c r="R3533" s="115" t="s">
        <v>515</v>
      </c>
      <c r="S3533" s="129"/>
    </row>
    <row r="3534" spans="1:19" hidden="1">
      <c r="A3534" s="128" t="s">
        <v>5672</v>
      </c>
      <c r="B3534" s="129" t="str">
        <f>IFERROR(VLOOKUP(Proc[[#This Row],[App]],Table2[],3,0),"open")</f>
        <v>ok</v>
      </c>
      <c r="C3534" s="128" t="s">
        <v>369</v>
      </c>
      <c r="D3534" t="s">
        <v>5624</v>
      </c>
      <c r="E3534" t="s">
        <v>5671</v>
      </c>
      <c r="F3534" s="129" t="s">
        <v>5671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29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</v>
      </c>
      <c r="R3534" s="115" t="s">
        <v>515</v>
      </c>
      <c r="S3534" s="129"/>
    </row>
    <row r="3535" spans="1:19" hidden="1">
      <c r="A3535" s="128" t="s">
        <v>5672</v>
      </c>
      <c r="B3535" s="129" t="str">
        <f>IFERROR(VLOOKUP(Proc[[#This Row],[App]],Table2[],3,0),"open")</f>
        <v>ok</v>
      </c>
      <c r="C3535" s="128" t="s">
        <v>369</v>
      </c>
      <c r="D3535" t="s">
        <v>5625</v>
      </c>
      <c r="E3535" t="s">
        <v>5671</v>
      </c>
      <c r="F3535" s="129" t="s">
        <v>5671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29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</v>
      </c>
      <c r="R3535" s="115" t="s">
        <v>515</v>
      </c>
      <c r="S3535" s="129"/>
    </row>
    <row r="3536" spans="1:19" hidden="1">
      <c r="A3536" s="128" t="s">
        <v>5672</v>
      </c>
      <c r="B3536" s="129" t="str">
        <f>IFERROR(VLOOKUP(Proc[[#This Row],[App]],Table2[],3,0),"open")</f>
        <v>ok</v>
      </c>
      <c r="C3536" s="128" t="s">
        <v>369</v>
      </c>
      <c r="D3536" t="s">
        <v>5739</v>
      </c>
      <c r="E3536" t="s">
        <v>5671</v>
      </c>
      <c r="F3536" s="133" t="s">
        <v>5671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29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</v>
      </c>
      <c r="R3536" s="115" t="s">
        <v>515</v>
      </c>
      <c r="S3536" s="129"/>
    </row>
    <row r="3537" spans="1:19" hidden="1">
      <c r="A3537" s="128" t="s">
        <v>5672</v>
      </c>
      <c r="B3537" s="129" t="str">
        <f>IFERROR(VLOOKUP(Proc[[#This Row],[App]],Table2[],3,0),"open")</f>
        <v>ok</v>
      </c>
      <c r="C3537" s="133" t="s">
        <v>369</v>
      </c>
      <c r="D3537" t="s">
        <v>5626</v>
      </c>
      <c r="E3537" t="s">
        <v>5671</v>
      </c>
      <c r="F3537" s="129" t="s">
        <v>5671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29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</v>
      </c>
      <c r="R3537" s="115" t="s">
        <v>515</v>
      </c>
      <c r="S3537" s="129"/>
    </row>
    <row r="3538" spans="1:19" hidden="1">
      <c r="A3538" s="128" t="s">
        <v>5672</v>
      </c>
      <c r="B3538" s="129" t="str">
        <f>IFERROR(VLOOKUP(Proc[[#This Row],[App]],Table2[],3,0),"open")</f>
        <v>ok</v>
      </c>
      <c r="C3538" s="133" t="s">
        <v>369</v>
      </c>
      <c r="D3538" t="s">
        <v>5627</v>
      </c>
      <c r="E3538" t="s">
        <v>5671</v>
      </c>
      <c r="F3538" s="129" t="s">
        <v>5671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29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</v>
      </c>
      <c r="R3538" s="115" t="s">
        <v>515</v>
      </c>
      <c r="S3538" s="129"/>
    </row>
    <row r="3539" spans="1:19" hidden="1">
      <c r="A3539" s="128" t="s">
        <v>5672</v>
      </c>
      <c r="B3539" s="129" t="str">
        <f>IFERROR(VLOOKUP(Proc[[#This Row],[App]],Table2[],3,0),"open")</f>
        <v>ok</v>
      </c>
      <c r="C3539" s="128" t="s">
        <v>369</v>
      </c>
      <c r="D3539" t="s">
        <v>5628</v>
      </c>
      <c r="E3539" t="s">
        <v>5671</v>
      </c>
      <c r="F3539" s="129" t="s">
        <v>5671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29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</v>
      </c>
      <c r="R3539" s="115" t="s">
        <v>515</v>
      </c>
      <c r="S3539" s="129"/>
    </row>
    <row r="3540" spans="1:19" hidden="1">
      <c r="A3540" s="128" t="s">
        <v>5672</v>
      </c>
      <c r="B3540" s="129" t="str">
        <f>IFERROR(VLOOKUP(Proc[[#This Row],[App]],Table2[],3,0),"open")</f>
        <v>ok</v>
      </c>
      <c r="C3540" s="128" t="s">
        <v>369</v>
      </c>
      <c r="D3540" t="s">
        <v>5629</v>
      </c>
      <c r="E3540" t="s">
        <v>5671</v>
      </c>
      <c r="F3540" s="129" t="s">
        <v>5671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29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</v>
      </c>
      <c r="R3540" s="115" t="s">
        <v>515</v>
      </c>
      <c r="S3540" s="129"/>
    </row>
    <row r="3541" spans="1:19" hidden="1">
      <c r="A3541" s="128" t="s">
        <v>5672</v>
      </c>
      <c r="B3541" s="129" t="str">
        <f>IFERROR(VLOOKUP(Proc[[#This Row],[App]],Table2[],3,0),"open")</f>
        <v>ok</v>
      </c>
      <c r="C3541" s="128" t="s">
        <v>369</v>
      </c>
      <c r="D3541" t="s">
        <v>5630</v>
      </c>
      <c r="E3541" t="s">
        <v>5671</v>
      </c>
      <c r="F3541" s="129" t="s">
        <v>5671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29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</v>
      </c>
      <c r="R3541" s="115" t="s">
        <v>515</v>
      </c>
      <c r="S3541" s="129"/>
    </row>
    <row r="3542" spans="1:19" hidden="1">
      <c r="A3542" s="128" t="s">
        <v>5672</v>
      </c>
      <c r="B3542" s="129" t="str">
        <f>IFERROR(VLOOKUP(Proc[[#This Row],[App]],Table2[],3,0),"open")</f>
        <v>ok</v>
      </c>
      <c r="C3542" s="128" t="s">
        <v>369</v>
      </c>
      <c r="D3542" t="s">
        <v>5631</v>
      </c>
      <c r="E3542" t="s">
        <v>5671</v>
      </c>
      <c r="F3542" s="129" t="s">
        <v>5671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29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</v>
      </c>
      <c r="R3542" s="115" t="s">
        <v>515</v>
      </c>
      <c r="S3542" s="129"/>
    </row>
    <row r="3543" spans="1:19" hidden="1">
      <c r="A3543" s="128" t="s">
        <v>5672</v>
      </c>
      <c r="B3543" s="129" t="str">
        <f>IFERROR(VLOOKUP(Proc[[#This Row],[App]],Table2[],3,0),"open")</f>
        <v>ok</v>
      </c>
      <c r="C3543" s="128" t="s">
        <v>369</v>
      </c>
      <c r="D3543" t="s">
        <v>5632</v>
      </c>
      <c r="E3543" t="s">
        <v>5671</v>
      </c>
      <c r="F3543" s="129" t="s">
        <v>5671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29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</v>
      </c>
      <c r="R3543" s="115" t="s">
        <v>515</v>
      </c>
      <c r="S3543" s="129"/>
    </row>
    <row r="3544" spans="1:19" hidden="1">
      <c r="A3544" s="128" t="s">
        <v>5672</v>
      </c>
      <c r="B3544" s="129" t="str">
        <f>IFERROR(VLOOKUP(Proc[[#This Row],[App]],Table2[],3,0),"open")</f>
        <v>ok</v>
      </c>
      <c r="C3544" s="128" t="s">
        <v>369</v>
      </c>
      <c r="D3544" t="s">
        <v>5633</v>
      </c>
      <c r="E3544" t="s">
        <v>5671</v>
      </c>
      <c r="F3544" s="129" t="s">
        <v>5671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29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</v>
      </c>
      <c r="R3544" s="115" t="s">
        <v>515</v>
      </c>
      <c r="S3544" s="129"/>
    </row>
    <row r="3545" spans="1:19" hidden="1">
      <c r="A3545" s="128" t="s">
        <v>5672</v>
      </c>
      <c r="B3545" s="129" t="str">
        <f>IFERROR(VLOOKUP(Proc[[#This Row],[App]],Table2[],3,0),"open")</f>
        <v>ok</v>
      </c>
      <c r="C3545" s="128" t="s">
        <v>369</v>
      </c>
      <c r="D3545" t="s">
        <v>5634</v>
      </c>
      <c r="E3545" t="s">
        <v>5671</v>
      </c>
      <c r="F3545" s="129" t="s">
        <v>5671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29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</v>
      </c>
      <c r="R3545" s="115" t="s">
        <v>515</v>
      </c>
      <c r="S3545" s="129"/>
    </row>
    <row r="3546" spans="1:19" hidden="1">
      <c r="A3546" s="128" t="s">
        <v>5672</v>
      </c>
      <c r="B3546" s="129" t="str">
        <f>IFERROR(VLOOKUP(Proc[[#This Row],[App]],Table2[],3,0),"open")</f>
        <v>ok</v>
      </c>
      <c r="C3546" s="128" t="s">
        <v>369</v>
      </c>
      <c r="D3546" t="s">
        <v>5635</v>
      </c>
      <c r="E3546" t="s">
        <v>5671</v>
      </c>
      <c r="F3546" s="129" t="s">
        <v>5671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29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</v>
      </c>
      <c r="R3546" s="115" t="s">
        <v>515</v>
      </c>
      <c r="S3546" s="129"/>
    </row>
    <row r="3547" spans="1:19" hidden="1">
      <c r="A3547" s="128" t="s">
        <v>5672</v>
      </c>
      <c r="B3547" s="129" t="str">
        <f>IFERROR(VLOOKUP(Proc[[#This Row],[App]],Table2[],3,0),"open")</f>
        <v>ok</v>
      </c>
      <c r="C3547" s="128" t="s">
        <v>369</v>
      </c>
      <c r="D3547" t="s">
        <v>5636</v>
      </c>
      <c r="E3547" t="s">
        <v>5671</v>
      </c>
      <c r="F3547" s="129" t="s">
        <v>5671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29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</v>
      </c>
      <c r="R3547" s="115" t="s">
        <v>515</v>
      </c>
      <c r="S3547" s="129"/>
    </row>
    <row r="3548" spans="1:19" hidden="1">
      <c r="A3548" s="128" t="s">
        <v>5672</v>
      </c>
      <c r="B3548" s="129" t="str">
        <f>IFERROR(VLOOKUP(Proc[[#This Row],[App]],Table2[],3,0),"open")</f>
        <v>ok</v>
      </c>
      <c r="C3548" s="128" t="s">
        <v>369</v>
      </c>
      <c r="D3548" t="s">
        <v>5637</v>
      </c>
      <c r="E3548" t="s">
        <v>5671</v>
      </c>
      <c r="F3548" s="129" t="s">
        <v>5671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29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</v>
      </c>
      <c r="R3548" s="115" t="s">
        <v>515</v>
      </c>
      <c r="S3548" s="129"/>
    </row>
    <row r="3549" spans="1:19" hidden="1">
      <c r="A3549" s="128" t="s">
        <v>5672</v>
      </c>
      <c r="B3549" s="129" t="str">
        <f>IFERROR(VLOOKUP(Proc[[#This Row],[App]],Table2[],3,0),"open")</f>
        <v>ok</v>
      </c>
      <c r="C3549" s="128" t="s">
        <v>369</v>
      </c>
      <c r="D3549" t="s">
        <v>5638</v>
      </c>
      <c r="E3549" t="s">
        <v>5671</v>
      </c>
      <c r="F3549" s="129" t="s">
        <v>5671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29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</v>
      </c>
      <c r="R3549" s="115" t="s">
        <v>515</v>
      </c>
      <c r="S3549" s="129"/>
    </row>
    <row r="3550" spans="1:19" hidden="1">
      <c r="A3550" s="128" t="s">
        <v>5672</v>
      </c>
      <c r="B3550" s="129" t="str">
        <f>IFERROR(VLOOKUP(Proc[[#This Row],[App]],Table2[],3,0),"open")</f>
        <v>ok</v>
      </c>
      <c r="C3550" s="128" t="s">
        <v>369</v>
      </c>
      <c r="D3550" t="s">
        <v>5639</v>
      </c>
      <c r="E3550" t="s">
        <v>5671</v>
      </c>
      <c r="F3550" s="129" t="s">
        <v>5671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29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</v>
      </c>
      <c r="R3550" s="115" t="s">
        <v>515</v>
      </c>
      <c r="S3550" s="129"/>
    </row>
    <row r="3551" spans="1:19" hidden="1">
      <c r="A3551" s="128" t="s">
        <v>5672</v>
      </c>
      <c r="B3551" s="129" t="str">
        <f>IFERROR(VLOOKUP(Proc[[#This Row],[App]],Table2[],3,0),"open")</f>
        <v>ok</v>
      </c>
      <c r="C3551" s="128" t="s">
        <v>369</v>
      </c>
      <c r="D3551" t="s">
        <v>5640</v>
      </c>
      <c r="E3551" t="s">
        <v>5671</v>
      </c>
      <c r="F3551" s="129" t="s">
        <v>5671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29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</v>
      </c>
      <c r="R3551" s="115" t="s">
        <v>515</v>
      </c>
      <c r="S3551" s="129"/>
    </row>
    <row r="3552" spans="1:19" hidden="1">
      <c r="A3552" s="128" t="s">
        <v>5672</v>
      </c>
      <c r="B3552" s="129" t="str">
        <f>IFERROR(VLOOKUP(Proc[[#This Row],[App]],Table2[],3,0),"open")</f>
        <v>ok</v>
      </c>
      <c r="C3552" s="128" t="s">
        <v>369</v>
      </c>
      <c r="D3552" t="s">
        <v>5641</v>
      </c>
      <c r="E3552" t="s">
        <v>5671</v>
      </c>
      <c r="F3552" s="129" t="s">
        <v>5671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29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</v>
      </c>
      <c r="R3552" s="115" t="s">
        <v>515</v>
      </c>
      <c r="S3552" s="129"/>
    </row>
    <row r="3553" spans="1:19" hidden="1">
      <c r="A3553" s="128" t="s">
        <v>5672</v>
      </c>
      <c r="B3553" s="129" t="str">
        <f>IFERROR(VLOOKUP(Proc[[#This Row],[App]],Table2[],3,0),"open")</f>
        <v>ok</v>
      </c>
      <c r="C3553" s="128" t="s">
        <v>369</v>
      </c>
      <c r="D3553" t="s">
        <v>5642</v>
      </c>
      <c r="E3553" t="s">
        <v>5671</v>
      </c>
      <c r="F3553" s="129" t="s">
        <v>5671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29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</v>
      </c>
      <c r="R3553" s="115" t="s">
        <v>515</v>
      </c>
      <c r="S3553" s="129"/>
    </row>
    <row r="3554" spans="1:19" hidden="1">
      <c r="A3554" s="128" t="s">
        <v>5672</v>
      </c>
      <c r="B3554" s="129" t="str">
        <f>IFERROR(VLOOKUP(Proc[[#This Row],[App]],Table2[],3,0),"open")</f>
        <v>ok</v>
      </c>
      <c r="C3554" s="128" t="s">
        <v>369</v>
      </c>
      <c r="D3554" t="s">
        <v>5643</v>
      </c>
      <c r="E3554" t="s">
        <v>5671</v>
      </c>
      <c r="F3554" s="129" t="s">
        <v>5671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29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</v>
      </c>
      <c r="R3554" s="115" t="s">
        <v>515</v>
      </c>
      <c r="S3554" s="129"/>
    </row>
    <row r="3555" spans="1:19" hidden="1">
      <c r="A3555" s="128" t="s">
        <v>5672</v>
      </c>
      <c r="B3555" s="129" t="str">
        <f>IFERROR(VLOOKUP(Proc[[#This Row],[App]],Table2[],3,0),"open")</f>
        <v>ok</v>
      </c>
      <c r="C3555" s="128" t="s">
        <v>369</v>
      </c>
      <c r="D3555" t="s">
        <v>5644</v>
      </c>
      <c r="E3555" t="s">
        <v>5671</v>
      </c>
      <c r="F3555" s="129" t="s">
        <v>5671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29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</v>
      </c>
      <c r="R3555" s="115" t="s">
        <v>515</v>
      </c>
      <c r="S3555" s="129"/>
    </row>
    <row r="3556" spans="1:19" hidden="1">
      <c r="A3556" s="128" t="s">
        <v>5672</v>
      </c>
      <c r="B3556" s="129" t="str">
        <f>IFERROR(VLOOKUP(Proc[[#This Row],[App]],Table2[],3,0),"open")</f>
        <v>ok</v>
      </c>
      <c r="C3556" s="128" t="s">
        <v>369</v>
      </c>
      <c r="D3556" t="s">
        <v>5645</v>
      </c>
      <c r="E3556" t="s">
        <v>5671</v>
      </c>
      <c r="F3556" s="129" t="s">
        <v>5671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29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</v>
      </c>
      <c r="R3556" s="115" t="s">
        <v>515</v>
      </c>
      <c r="S3556" s="129"/>
    </row>
    <row r="3557" spans="1:19" hidden="1">
      <c r="A3557" s="128" t="s">
        <v>5672</v>
      </c>
      <c r="B3557" s="129" t="str">
        <f>IFERROR(VLOOKUP(Proc[[#This Row],[App]],Table2[],3,0),"open")</f>
        <v>ok</v>
      </c>
      <c r="C3557" s="128" t="s">
        <v>369</v>
      </c>
      <c r="D3557" t="s">
        <v>5646</v>
      </c>
      <c r="E3557" t="s">
        <v>5671</v>
      </c>
      <c r="F3557" s="129" t="s">
        <v>5671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29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</v>
      </c>
      <c r="R3557" s="115" t="s">
        <v>515</v>
      </c>
      <c r="S3557" s="129"/>
    </row>
    <row r="3558" spans="1:19" hidden="1">
      <c r="A3558" s="128" t="s">
        <v>5672</v>
      </c>
      <c r="B3558" s="129" t="str">
        <f>IFERROR(VLOOKUP(Proc[[#This Row],[App]],Table2[],3,0),"open")</f>
        <v>ok</v>
      </c>
      <c r="C3558" s="128" t="s">
        <v>369</v>
      </c>
      <c r="D3558" t="s">
        <v>5647</v>
      </c>
      <c r="E3558" t="s">
        <v>5671</v>
      </c>
      <c r="F3558" s="129" t="s">
        <v>5671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29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</v>
      </c>
      <c r="R3558" s="115" t="s">
        <v>515</v>
      </c>
      <c r="S3558" s="129"/>
    </row>
    <row r="3559" spans="1:19" hidden="1">
      <c r="A3559" s="128" t="s">
        <v>5672</v>
      </c>
      <c r="B3559" s="129" t="str">
        <f>IFERROR(VLOOKUP(Proc[[#This Row],[App]],Table2[],3,0),"open")</f>
        <v>ok</v>
      </c>
      <c r="C3559" s="128" t="s">
        <v>369</v>
      </c>
      <c r="D3559" t="s">
        <v>5648</v>
      </c>
      <c r="E3559" t="s">
        <v>5671</v>
      </c>
      <c r="F3559" s="129" t="s">
        <v>5671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29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</v>
      </c>
      <c r="R3559" s="115" t="s">
        <v>515</v>
      </c>
      <c r="S3559" s="129"/>
    </row>
    <row r="3560" spans="1:19" hidden="1">
      <c r="A3560" s="128" t="s">
        <v>5672</v>
      </c>
      <c r="B3560" s="129" t="str">
        <f>IFERROR(VLOOKUP(Proc[[#This Row],[App]],Table2[],3,0),"open")</f>
        <v>ok</v>
      </c>
      <c r="C3560" s="128" t="s">
        <v>369</v>
      </c>
      <c r="D3560" t="s">
        <v>5649</v>
      </c>
      <c r="E3560" t="s">
        <v>5671</v>
      </c>
      <c r="F3560" s="129" t="s">
        <v>5671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29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</v>
      </c>
      <c r="R3560" s="115" t="s">
        <v>515</v>
      </c>
      <c r="S3560" s="129"/>
    </row>
    <row r="3561" spans="1:19" hidden="1">
      <c r="A3561" s="128" t="s">
        <v>5672</v>
      </c>
      <c r="B3561" s="129" t="str">
        <f>IFERROR(VLOOKUP(Proc[[#This Row],[App]],Table2[],3,0),"open")</f>
        <v>ok</v>
      </c>
      <c r="C3561" s="128" t="s">
        <v>369</v>
      </c>
      <c r="D3561" t="s">
        <v>5650</v>
      </c>
      <c r="E3561" t="s">
        <v>5671</v>
      </c>
      <c r="F3561" s="129" t="s">
        <v>5671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29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</v>
      </c>
      <c r="R3561" s="115" t="s">
        <v>515</v>
      </c>
      <c r="S3561" s="129"/>
    </row>
    <row r="3562" spans="1:19" hidden="1">
      <c r="A3562" s="128" t="s">
        <v>5672</v>
      </c>
      <c r="B3562" s="129" t="str">
        <f>IFERROR(VLOOKUP(Proc[[#This Row],[App]],Table2[],3,0),"open")</f>
        <v>ok</v>
      </c>
      <c r="C3562" s="128" t="s">
        <v>369</v>
      </c>
      <c r="D3562" t="s">
        <v>5651</v>
      </c>
      <c r="E3562" t="s">
        <v>5671</v>
      </c>
      <c r="F3562" s="129" t="s">
        <v>5671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29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</v>
      </c>
      <c r="R3562" s="115" t="s">
        <v>515</v>
      </c>
      <c r="S3562" s="129"/>
    </row>
    <row r="3563" spans="1:19" hidden="1">
      <c r="A3563" s="128" t="s">
        <v>5672</v>
      </c>
      <c r="B3563" s="129" t="str">
        <f>IFERROR(VLOOKUP(Proc[[#This Row],[App]],Table2[],3,0),"open")</f>
        <v>ok</v>
      </c>
      <c r="C3563" s="128" t="s">
        <v>369</v>
      </c>
      <c r="D3563" t="s">
        <v>5652</v>
      </c>
      <c r="E3563" t="s">
        <v>5671</v>
      </c>
      <c r="F3563" s="129" t="s">
        <v>5671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29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</v>
      </c>
      <c r="R3563" s="115" t="s">
        <v>515</v>
      </c>
      <c r="S3563" s="129"/>
    </row>
    <row r="3564" spans="1:19" hidden="1">
      <c r="A3564" s="128" t="s">
        <v>5672</v>
      </c>
      <c r="B3564" s="129" t="str">
        <f>IFERROR(VLOOKUP(Proc[[#This Row],[App]],Table2[],3,0),"open")</f>
        <v>ok</v>
      </c>
      <c r="C3564" s="128" t="s">
        <v>369</v>
      </c>
      <c r="D3564" t="s">
        <v>5653</v>
      </c>
      <c r="E3564" t="s">
        <v>5671</v>
      </c>
      <c r="F3564" s="129" t="s">
        <v>5671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29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</v>
      </c>
      <c r="R3564" s="115" t="s">
        <v>515</v>
      </c>
      <c r="S3564" s="129"/>
    </row>
    <row r="3565" spans="1:19" hidden="1">
      <c r="A3565" s="128" t="s">
        <v>5672</v>
      </c>
      <c r="B3565" s="129" t="str">
        <f>IFERROR(VLOOKUP(Proc[[#This Row],[App]],Table2[],3,0),"open")</f>
        <v>ok</v>
      </c>
      <c r="C3565" s="128" t="s">
        <v>369</v>
      </c>
      <c r="D3565" t="s">
        <v>5654</v>
      </c>
      <c r="E3565" t="s">
        <v>5671</v>
      </c>
      <c r="F3565" s="129" t="s">
        <v>5671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29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</v>
      </c>
      <c r="R3565" s="115" t="s">
        <v>515</v>
      </c>
      <c r="S3565" s="129"/>
    </row>
    <row r="3566" spans="1:19" hidden="1">
      <c r="A3566" s="128" t="s">
        <v>5672</v>
      </c>
      <c r="B3566" s="129" t="str">
        <f>IFERROR(VLOOKUP(Proc[[#This Row],[App]],Table2[],3,0),"open")</f>
        <v>ok</v>
      </c>
      <c r="C3566" s="128" t="s">
        <v>369</v>
      </c>
      <c r="D3566" t="s">
        <v>5655</v>
      </c>
      <c r="E3566" t="s">
        <v>5671</v>
      </c>
      <c r="F3566" s="129" t="s">
        <v>5671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29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</v>
      </c>
      <c r="R3566" s="115" t="s">
        <v>515</v>
      </c>
      <c r="S3566" s="129"/>
    </row>
    <row r="3567" spans="1:19" hidden="1">
      <c r="A3567" s="128" t="s">
        <v>5672</v>
      </c>
      <c r="B3567" s="129" t="str">
        <f>IFERROR(VLOOKUP(Proc[[#This Row],[App]],Table2[],3,0),"open")</f>
        <v>ok</v>
      </c>
      <c r="C3567" s="128" t="s">
        <v>369</v>
      </c>
      <c r="D3567" t="s">
        <v>5656</v>
      </c>
      <c r="E3567" t="s">
        <v>5671</v>
      </c>
      <c r="F3567" s="129" t="s">
        <v>5671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29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</v>
      </c>
      <c r="R3567" s="115" t="s">
        <v>515</v>
      </c>
      <c r="S3567" s="129"/>
    </row>
    <row r="3568" spans="1:19" hidden="1">
      <c r="A3568" s="128" t="s">
        <v>5672</v>
      </c>
      <c r="B3568" s="129" t="str">
        <f>IFERROR(VLOOKUP(Proc[[#This Row],[App]],Table2[],3,0),"open")</f>
        <v>ok</v>
      </c>
      <c r="C3568" s="128" t="s">
        <v>369</v>
      </c>
      <c r="D3568" t="s">
        <v>5657</v>
      </c>
      <c r="E3568" t="s">
        <v>5671</v>
      </c>
      <c r="F3568" s="129" t="s">
        <v>5671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29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</v>
      </c>
      <c r="R3568" s="115" t="s">
        <v>515</v>
      </c>
      <c r="S3568" s="129"/>
    </row>
    <row r="3569" spans="1:19" hidden="1">
      <c r="A3569" s="128" t="s">
        <v>5672</v>
      </c>
      <c r="B3569" s="129" t="str">
        <f>IFERROR(VLOOKUP(Proc[[#This Row],[App]],Table2[],3,0),"open")</f>
        <v>ok</v>
      </c>
      <c r="C3569" s="128" t="s">
        <v>369</v>
      </c>
      <c r="D3569" t="s">
        <v>5658</v>
      </c>
      <c r="E3569" t="s">
        <v>5671</v>
      </c>
      <c r="F3569" s="129" t="s">
        <v>5671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29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</v>
      </c>
      <c r="R3569" s="115" t="s">
        <v>515</v>
      </c>
      <c r="S3569" s="129"/>
    </row>
    <row r="3570" spans="1:19" hidden="1">
      <c r="A3570" s="128" t="s">
        <v>5672</v>
      </c>
      <c r="B3570" s="129" t="str">
        <f>IFERROR(VLOOKUP(Proc[[#This Row],[App]],Table2[],3,0),"open")</f>
        <v>ok</v>
      </c>
      <c r="C3570" s="128" t="s">
        <v>369</v>
      </c>
      <c r="D3570" t="s">
        <v>5659</v>
      </c>
      <c r="E3570" t="s">
        <v>5671</v>
      </c>
      <c r="F3570" s="129" t="s">
        <v>5671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29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</v>
      </c>
      <c r="R3570" s="115" t="s">
        <v>515</v>
      </c>
      <c r="S3570" s="129"/>
    </row>
    <row r="3571" spans="1:19" hidden="1">
      <c r="A3571" s="128" t="s">
        <v>5672</v>
      </c>
      <c r="B3571" s="129" t="str">
        <f>IFERROR(VLOOKUP(Proc[[#This Row],[App]],Table2[],3,0),"open")</f>
        <v>ok</v>
      </c>
      <c r="C3571" s="128" t="s">
        <v>369</v>
      </c>
      <c r="D3571" t="s">
        <v>5660</v>
      </c>
      <c r="E3571" t="s">
        <v>5671</v>
      </c>
      <c r="F3571" s="129" t="s">
        <v>5671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29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</v>
      </c>
      <c r="R3571" s="115" t="s">
        <v>515</v>
      </c>
      <c r="S3571" s="129"/>
    </row>
    <row r="3572" spans="1:19" hidden="1">
      <c r="A3572" s="128" t="s">
        <v>5672</v>
      </c>
      <c r="B3572" s="129" t="str">
        <f>IFERROR(VLOOKUP(Proc[[#This Row],[App]],Table2[],3,0),"open")</f>
        <v>ok</v>
      </c>
      <c r="C3572" s="128" t="s">
        <v>369</v>
      </c>
      <c r="D3572" t="s">
        <v>5661</v>
      </c>
      <c r="E3572" t="s">
        <v>5671</v>
      </c>
      <c r="F3572" s="129" t="s">
        <v>5671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29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</v>
      </c>
      <c r="R3572" s="115" t="s">
        <v>515</v>
      </c>
      <c r="S3572" s="129"/>
    </row>
    <row r="3573" spans="1:19" hidden="1">
      <c r="A3573" s="128" t="s">
        <v>5672</v>
      </c>
      <c r="B3573" s="129" t="str">
        <f>IFERROR(VLOOKUP(Proc[[#This Row],[App]],Table2[],3,0),"open")</f>
        <v>ok</v>
      </c>
      <c r="C3573" s="128" t="s">
        <v>369</v>
      </c>
      <c r="D3573" t="s">
        <v>5662</v>
      </c>
      <c r="E3573" t="s">
        <v>5671</v>
      </c>
      <c r="F3573" s="129" t="s">
        <v>5671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29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</v>
      </c>
      <c r="R3573" s="115" t="s">
        <v>515</v>
      </c>
      <c r="S3573" s="129"/>
    </row>
    <row r="3574" spans="1:19" hidden="1">
      <c r="A3574" s="128" t="s">
        <v>5672</v>
      </c>
      <c r="B3574" s="129" t="str">
        <f>IFERROR(VLOOKUP(Proc[[#This Row],[App]],Table2[],3,0),"open")</f>
        <v>ok</v>
      </c>
      <c r="C3574" s="128" t="s">
        <v>369</v>
      </c>
      <c r="D3574" t="s">
        <v>5663</v>
      </c>
      <c r="E3574" t="s">
        <v>5671</v>
      </c>
      <c r="F3574" s="129" t="s">
        <v>5671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29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</v>
      </c>
      <c r="R3574" s="115" t="s">
        <v>515</v>
      </c>
      <c r="S3574" s="129"/>
    </row>
    <row r="3575" spans="1:19" hidden="1">
      <c r="A3575" s="128" t="s">
        <v>5672</v>
      </c>
      <c r="B3575" s="129" t="str">
        <f>IFERROR(VLOOKUP(Proc[[#This Row],[App]],Table2[],3,0),"open")</f>
        <v>ok</v>
      </c>
      <c r="C3575" s="128" t="s">
        <v>369</v>
      </c>
      <c r="D3575" t="s">
        <v>5664</v>
      </c>
      <c r="E3575" t="s">
        <v>5671</v>
      </c>
      <c r="F3575" s="129" t="s">
        <v>5671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29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</v>
      </c>
      <c r="R3575" s="115" t="s">
        <v>515</v>
      </c>
      <c r="S3575" s="129"/>
    </row>
    <row r="3576" spans="1:19" hidden="1">
      <c r="A3576" s="128" t="s">
        <v>5672</v>
      </c>
      <c r="B3576" s="129" t="str">
        <f>IFERROR(VLOOKUP(Proc[[#This Row],[App]],Table2[],3,0),"open")</f>
        <v>ok</v>
      </c>
      <c r="C3576" s="128" t="s">
        <v>369</v>
      </c>
      <c r="D3576" t="s">
        <v>5665</v>
      </c>
      <c r="E3576" t="s">
        <v>5671</v>
      </c>
      <c r="F3576" s="129" t="s">
        <v>5671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29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</v>
      </c>
      <c r="R3576" s="115" t="s">
        <v>515</v>
      </c>
      <c r="S3576" s="129"/>
    </row>
    <row r="3577" spans="1:19" hidden="1">
      <c r="A3577" s="128" t="s">
        <v>5672</v>
      </c>
      <c r="B3577" s="129" t="str">
        <f>IFERROR(VLOOKUP(Proc[[#This Row],[App]],Table2[],3,0),"open")</f>
        <v>ok</v>
      </c>
      <c r="C3577" s="128" t="s">
        <v>369</v>
      </c>
      <c r="D3577" t="s">
        <v>5666</v>
      </c>
      <c r="E3577" t="s">
        <v>5671</v>
      </c>
      <c r="F3577" s="129" t="s">
        <v>5671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29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</v>
      </c>
      <c r="R3577" s="115" t="s">
        <v>515</v>
      </c>
      <c r="S3577" s="129"/>
    </row>
    <row r="3578" spans="1:19" hidden="1">
      <c r="A3578" s="128" t="s">
        <v>5672</v>
      </c>
      <c r="B3578" s="129" t="str">
        <f>IFERROR(VLOOKUP(Proc[[#This Row],[App]],Table2[],3,0),"open")</f>
        <v>ok</v>
      </c>
      <c r="C3578" s="128" t="s">
        <v>369</v>
      </c>
      <c r="D3578" t="s">
        <v>5667</v>
      </c>
      <c r="E3578" t="s">
        <v>5671</v>
      </c>
      <c r="F3578" s="129" t="s">
        <v>5671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29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</v>
      </c>
      <c r="R3578" s="115" t="s">
        <v>515</v>
      </c>
      <c r="S3578" s="129"/>
    </row>
    <row r="3579" spans="1:19" hidden="1">
      <c r="A3579" s="128" t="s">
        <v>5672</v>
      </c>
      <c r="B3579" s="129" t="str">
        <f>IFERROR(VLOOKUP(Proc[[#This Row],[App]],Table2[],3,0),"open")</f>
        <v>ok</v>
      </c>
      <c r="C3579" s="128" t="s">
        <v>369</v>
      </c>
      <c r="D3579" t="s">
        <v>5668</v>
      </c>
      <c r="E3579" t="s">
        <v>5671</v>
      </c>
      <c r="F3579" s="129" t="s">
        <v>5671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29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</v>
      </c>
      <c r="R3579" s="115" t="s">
        <v>515</v>
      </c>
      <c r="S3579" s="129"/>
    </row>
    <row r="3580" spans="1:19" hidden="1">
      <c r="A3580" s="128" t="s">
        <v>5672</v>
      </c>
      <c r="B3580" s="129" t="str">
        <f>IFERROR(VLOOKUP(Proc[[#This Row],[App]],Table2[],3,0),"open")</f>
        <v>ok</v>
      </c>
      <c r="C3580" s="128" t="s">
        <v>369</v>
      </c>
      <c r="D3580" t="s">
        <v>5669</v>
      </c>
      <c r="E3580" t="s">
        <v>5671</v>
      </c>
      <c r="F3580" s="129" t="s">
        <v>5671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29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</v>
      </c>
      <c r="R3580" s="115" t="s">
        <v>515</v>
      </c>
      <c r="S3580" s="129"/>
    </row>
    <row r="3581" spans="1:19" hidden="1">
      <c r="A3581" s="128" t="s">
        <v>5672</v>
      </c>
      <c r="B3581" s="129" t="str">
        <f>IFERROR(VLOOKUP(Proc[[#This Row],[App]],Table2[],3,0),"open")</f>
        <v>ok</v>
      </c>
      <c r="C3581" s="128" t="s">
        <v>369</v>
      </c>
      <c r="D3581" t="s">
        <v>5670</v>
      </c>
      <c r="E3581" t="s">
        <v>5671</v>
      </c>
      <c r="F3581" s="129" t="s">
        <v>5671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29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</v>
      </c>
      <c r="R3581" s="115" t="s">
        <v>515</v>
      </c>
      <c r="S3581" s="129"/>
    </row>
    <row r="3582" spans="1:19" hidden="1">
      <c r="A3582" t="s">
        <v>5673</v>
      </c>
      <c r="B3582" s="129" t="str">
        <f>IFERROR(VLOOKUP(Proc[[#This Row],[App]],Table2[],3,0),"open")</f>
        <v>ok</v>
      </c>
      <c r="C3582" s="128" t="s">
        <v>369</v>
      </c>
      <c r="D3582" t="s">
        <v>5702</v>
      </c>
      <c r="E3582" t="s">
        <v>5674</v>
      </c>
      <c r="F3582" s="129" t="s">
        <v>5674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29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</v>
      </c>
      <c r="R3582" s="115" t="s">
        <v>1262</v>
      </c>
      <c r="S3582" s="129"/>
    </row>
    <row r="3583" spans="1:19" hidden="1">
      <c r="A3583" t="s">
        <v>5675</v>
      </c>
      <c r="B3583" s="129" t="str">
        <f>IFERROR(VLOOKUP(Proc[[#This Row],[App]],Table2[],3,0),"open")</f>
        <v>ok</v>
      </c>
      <c r="C3583" s="128" t="s">
        <v>369</v>
      </c>
      <c r="D3583" t="s">
        <v>5676</v>
      </c>
      <c r="E3583" t="s">
        <v>5682</v>
      </c>
      <c r="F3583" s="129" t="s">
        <v>5682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29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</v>
      </c>
      <c r="R3583" s="130" t="s">
        <v>5685</v>
      </c>
      <c r="S3583" s="129"/>
    </row>
    <row r="3584" spans="1:19" hidden="1">
      <c r="A3584" s="128" t="s">
        <v>5675</v>
      </c>
      <c r="B3584" s="129" t="str">
        <f>IFERROR(VLOOKUP(Proc[[#This Row],[App]],Table2[],3,0),"open")</f>
        <v>ok</v>
      </c>
      <c r="C3584" s="128" t="s">
        <v>369</v>
      </c>
      <c r="D3584" t="s">
        <v>5677</v>
      </c>
      <c r="E3584" t="s">
        <v>5683</v>
      </c>
      <c r="F3584" s="129" t="s">
        <v>5683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29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</v>
      </c>
      <c r="R3584" s="130" t="s">
        <v>5685</v>
      </c>
      <c r="S3584" s="129"/>
    </row>
    <row r="3585" spans="1:19" hidden="1">
      <c r="A3585" s="128" t="s">
        <v>5675</v>
      </c>
      <c r="B3585" s="129" t="str">
        <f>IFERROR(VLOOKUP(Proc[[#This Row],[App]],Table2[],3,0),"open")</f>
        <v>ok</v>
      </c>
      <c r="C3585" s="128" t="s">
        <v>369</v>
      </c>
      <c r="D3585" t="s">
        <v>5678</v>
      </c>
      <c r="E3585" t="s">
        <v>5683</v>
      </c>
      <c r="F3585" s="129" t="s">
        <v>5683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29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</v>
      </c>
      <c r="R3585" s="130" t="s">
        <v>5685</v>
      </c>
      <c r="S3585" s="129"/>
    </row>
    <row r="3586" spans="1:19" hidden="1">
      <c r="A3586" s="128" t="s">
        <v>5675</v>
      </c>
      <c r="B3586" s="129" t="str">
        <f>IFERROR(VLOOKUP(Proc[[#This Row],[App]],Table2[],3,0),"open")</f>
        <v>ok</v>
      </c>
      <c r="C3586" s="128" t="s">
        <v>369</v>
      </c>
      <c r="D3586" t="s">
        <v>5679</v>
      </c>
      <c r="E3586" t="s">
        <v>5684</v>
      </c>
      <c r="F3586" s="129" t="s">
        <v>5684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29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</v>
      </c>
      <c r="R3586" s="130" t="s">
        <v>5685</v>
      </c>
      <c r="S3586" s="129"/>
    </row>
    <row r="3587" spans="1:19" hidden="1">
      <c r="A3587" s="128" t="s">
        <v>5675</v>
      </c>
      <c r="B3587" s="129" t="str">
        <f>IFERROR(VLOOKUP(Proc[[#This Row],[App]],Table2[],3,0),"open")</f>
        <v>ok</v>
      </c>
      <c r="C3587" s="128" t="s">
        <v>369</v>
      </c>
      <c r="D3587" t="s">
        <v>5680</v>
      </c>
      <c r="E3587" t="s">
        <v>5682</v>
      </c>
      <c r="F3587" s="129" t="s">
        <v>5682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29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</v>
      </c>
      <c r="R3587" s="130" t="s">
        <v>5685</v>
      </c>
      <c r="S3587" s="129"/>
    </row>
    <row r="3588" spans="1:19" hidden="1">
      <c r="A3588" s="128" t="s">
        <v>5675</v>
      </c>
      <c r="B3588" s="129" t="str">
        <f>IFERROR(VLOOKUP(Proc[[#This Row],[App]],Table2[],3,0),"open")</f>
        <v>ok</v>
      </c>
      <c r="C3588" s="128" t="s">
        <v>369</v>
      </c>
      <c r="D3588" t="s">
        <v>5681</v>
      </c>
      <c r="E3588" t="s">
        <v>5682</v>
      </c>
      <c r="F3588" s="129" t="s">
        <v>5682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29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</v>
      </c>
      <c r="R3588" s="130" t="s">
        <v>5685</v>
      </c>
      <c r="S3588" s="129"/>
    </row>
    <row r="3589" spans="1:19" hidden="1">
      <c r="A3589" t="s">
        <v>5686</v>
      </c>
      <c r="B3589" s="129" t="str">
        <f>IFERROR(VLOOKUP(Proc[[#This Row],[App]],Table2[],3,0),"open")</f>
        <v>ok</v>
      </c>
      <c r="C3589" s="128" t="s">
        <v>369</v>
      </c>
      <c r="D3589" t="s">
        <v>5687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29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</v>
      </c>
      <c r="R3589" s="130" t="s">
        <v>5685</v>
      </c>
      <c r="S3589" s="129"/>
    </row>
    <row r="3590" spans="1:19" hidden="1">
      <c r="A3590" s="128" t="s">
        <v>5686</v>
      </c>
      <c r="B3590" s="129" t="str">
        <f>IFERROR(VLOOKUP(Proc[[#This Row],[App]],Table2[],3,0),"open")</f>
        <v>ok</v>
      </c>
      <c r="C3590" s="128" t="s">
        <v>369</v>
      </c>
      <c r="D3590" t="s">
        <v>5688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29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</v>
      </c>
      <c r="R3590" s="130" t="s">
        <v>5685</v>
      </c>
      <c r="S3590" s="129"/>
    </row>
    <row r="3591" spans="1:19" hidden="1">
      <c r="A3591" s="128" t="s">
        <v>5686</v>
      </c>
      <c r="B3591" s="129" t="str">
        <f>IFERROR(VLOOKUP(Proc[[#This Row],[App]],Table2[],3,0),"open")</f>
        <v>ok</v>
      </c>
      <c r="C3591" s="128" t="s">
        <v>369</v>
      </c>
      <c r="D3591" t="s">
        <v>5689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29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</v>
      </c>
      <c r="R3591" s="130" t="s">
        <v>5685</v>
      </c>
      <c r="S3591" s="129"/>
    </row>
    <row r="3592" spans="1:19" hidden="1">
      <c r="A3592" s="128" t="s">
        <v>5686</v>
      </c>
      <c r="B3592" s="129" t="str">
        <f>IFERROR(VLOOKUP(Proc[[#This Row],[App]],Table2[],3,0),"open")</f>
        <v>ok</v>
      </c>
      <c r="C3592" s="128" t="s">
        <v>369</v>
      </c>
      <c r="D3592" t="s">
        <v>5690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29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</v>
      </c>
      <c r="R3592" s="130" t="s">
        <v>5685</v>
      </c>
      <c r="S3592" s="129"/>
    </row>
    <row r="3593" spans="1:19" hidden="1">
      <c r="A3593" s="128" t="s">
        <v>5686</v>
      </c>
      <c r="B3593" s="129" t="str">
        <f>IFERROR(VLOOKUP(Proc[[#This Row],[App]],Table2[],3,0),"open")</f>
        <v>ok</v>
      </c>
      <c r="C3593" s="128" t="s">
        <v>369</v>
      </c>
      <c r="D3593" t="s">
        <v>5691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29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</v>
      </c>
      <c r="R3593" s="130" t="s">
        <v>5685</v>
      </c>
      <c r="S3593" s="129"/>
    </row>
    <row r="3594" spans="1:19" hidden="1">
      <c r="A3594" s="128" t="s">
        <v>5686</v>
      </c>
      <c r="B3594" s="129" t="str">
        <f>IFERROR(VLOOKUP(Proc[[#This Row],[App]],Table2[],3,0),"open")</f>
        <v>ok</v>
      </c>
      <c r="C3594" s="128" t="s">
        <v>369</v>
      </c>
      <c r="D3594" t="s">
        <v>5692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29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</v>
      </c>
      <c r="R3594" s="130" t="s">
        <v>5685</v>
      </c>
      <c r="S3594" s="129"/>
    </row>
    <row r="3595" spans="1:19" hidden="1">
      <c r="A3595" s="128" t="s">
        <v>5686</v>
      </c>
      <c r="B3595" s="129" t="str">
        <f>IFERROR(VLOOKUP(Proc[[#This Row],[App]],Table2[],3,0),"open")</f>
        <v>ok</v>
      </c>
      <c r="C3595" s="128" t="s">
        <v>369</v>
      </c>
      <c r="D3595" t="s">
        <v>5693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29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</v>
      </c>
      <c r="R3595" s="130" t="s">
        <v>5685</v>
      </c>
      <c r="S3595" s="129"/>
    </row>
    <row r="3596" spans="1:19" hidden="1">
      <c r="A3596" s="128" t="s">
        <v>5686</v>
      </c>
      <c r="B3596" s="129" t="str">
        <f>IFERROR(VLOOKUP(Proc[[#This Row],[App]],Table2[],3,0),"open")</f>
        <v>ok</v>
      </c>
      <c r="C3596" s="128" t="s">
        <v>369</v>
      </c>
      <c r="D3596" t="s">
        <v>5694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29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</v>
      </c>
      <c r="R3596" s="130" t="s">
        <v>5685</v>
      </c>
      <c r="S3596" s="129"/>
    </row>
    <row r="3597" spans="1:19" hidden="1">
      <c r="A3597" s="128" t="s">
        <v>5686</v>
      </c>
      <c r="B3597" s="129" t="str">
        <f>IFERROR(VLOOKUP(Proc[[#This Row],[App]],Table2[],3,0),"open")</f>
        <v>ok</v>
      </c>
      <c r="C3597" s="128" t="s">
        <v>369</v>
      </c>
      <c r="D3597" t="s">
        <v>5695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29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</v>
      </c>
      <c r="R3597" s="130" t="s">
        <v>5685</v>
      </c>
      <c r="S3597" s="129"/>
    </row>
    <row r="3598" spans="1:19" hidden="1">
      <c r="A3598" s="128" t="s">
        <v>5686</v>
      </c>
      <c r="B3598" s="129" t="str">
        <f>IFERROR(VLOOKUP(Proc[[#This Row],[App]],Table2[],3,0),"open")</f>
        <v>ok</v>
      </c>
      <c r="C3598" s="128" t="s">
        <v>369</v>
      </c>
      <c r="D3598" t="s">
        <v>5696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29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</v>
      </c>
      <c r="R3598" s="130" t="s">
        <v>5685</v>
      </c>
      <c r="S3598" s="129"/>
    </row>
    <row r="3599" spans="1:19" hidden="1">
      <c r="A3599" s="128" t="s">
        <v>5686</v>
      </c>
      <c r="B3599" s="129" t="str">
        <f>IFERROR(VLOOKUP(Proc[[#This Row],[App]],Table2[],3,0),"open")</f>
        <v>ok</v>
      </c>
      <c r="C3599" s="128" t="s">
        <v>369</v>
      </c>
      <c r="D3599" t="s">
        <v>5697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29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</v>
      </c>
      <c r="R3599" s="130" t="s">
        <v>5685</v>
      </c>
      <c r="S3599" s="129"/>
    </row>
    <row r="3600" spans="1:19" hidden="1">
      <c r="A3600" s="128" t="s">
        <v>5686</v>
      </c>
      <c r="B3600" s="129" t="str">
        <f>IFERROR(VLOOKUP(Proc[[#This Row],[App]],Table2[],3,0),"open")</f>
        <v>ok</v>
      </c>
      <c r="C3600" s="128" t="s">
        <v>369</v>
      </c>
      <c r="D3600" t="s">
        <v>5698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29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</v>
      </c>
      <c r="R3600" s="130" t="s">
        <v>5685</v>
      </c>
      <c r="S3600" s="129"/>
    </row>
    <row r="3601" spans="1:19" hidden="1">
      <c r="A3601" t="s">
        <v>5699</v>
      </c>
      <c r="B3601" s="129" t="str">
        <f>IFERROR(VLOOKUP(Proc[[#This Row],[App]],Table2[],3,0),"open")</f>
        <v>ok</v>
      </c>
      <c r="C3601" s="128" t="s">
        <v>369</v>
      </c>
      <c r="D3601" t="s">
        <v>5700</v>
      </c>
      <c r="E3601" t="s">
        <v>5701</v>
      </c>
      <c r="F3601" s="129" t="s">
        <v>5701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29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</v>
      </c>
      <c r="R3601" s="130" t="s">
        <v>5685</v>
      </c>
      <c r="S3601" s="129"/>
    </row>
    <row r="3602" spans="1:19" hidden="1">
      <c r="A3602" t="s">
        <v>5703</v>
      </c>
      <c r="B3602" s="129" t="str">
        <f>IFERROR(VLOOKUP(Proc[[#This Row],[App]],Table2[],3,0),"open")</f>
        <v>ok</v>
      </c>
      <c r="C3602" s="133" t="s">
        <v>369</v>
      </c>
      <c r="D3602" t="s">
        <v>5705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29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</v>
      </c>
      <c r="R3602" s="130" t="s">
        <v>780</v>
      </c>
      <c r="S3602" s="129"/>
    </row>
    <row r="3603" spans="1:19" hidden="1">
      <c r="A3603" s="128" t="s">
        <v>5703</v>
      </c>
      <c r="B3603" s="129" t="str">
        <f>IFERROR(VLOOKUP(Proc[[#This Row],[App]],Table2[],3,0),"open")</f>
        <v>ok</v>
      </c>
      <c r="C3603" s="133" t="s">
        <v>369</v>
      </c>
      <c r="D3603" t="s">
        <v>5706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29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</v>
      </c>
      <c r="R3603" s="130" t="s">
        <v>780</v>
      </c>
      <c r="S3603" s="129"/>
    </row>
    <row r="3604" spans="1:19" hidden="1">
      <c r="A3604" s="128" t="s">
        <v>5703</v>
      </c>
      <c r="B3604" s="129" t="str">
        <f>IFERROR(VLOOKUP(Proc[[#This Row],[App]],Table2[],3,0),"open")</f>
        <v>ok</v>
      </c>
      <c r="C3604" s="133" t="s">
        <v>369</v>
      </c>
      <c r="D3604" t="s">
        <v>5707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29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</v>
      </c>
      <c r="R3604" s="130" t="s">
        <v>780</v>
      </c>
      <c r="S3604" s="129"/>
    </row>
    <row r="3605" spans="1:19" hidden="1">
      <c r="A3605" s="128" t="s">
        <v>5703</v>
      </c>
      <c r="B3605" s="129" t="str">
        <f>IFERROR(VLOOKUP(Proc[[#This Row],[App]],Table2[],3,0),"open")</f>
        <v>ok</v>
      </c>
      <c r="C3605" s="133" t="s">
        <v>369</v>
      </c>
      <c r="D3605" t="s">
        <v>5708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29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</v>
      </c>
      <c r="R3605" s="130" t="s">
        <v>780</v>
      </c>
      <c r="S3605" s="129"/>
    </row>
    <row r="3606" spans="1:19" hidden="1">
      <c r="A3606" s="128" t="s">
        <v>5703</v>
      </c>
      <c r="B3606" s="129" t="str">
        <f>IFERROR(VLOOKUP(Proc[[#This Row],[App]],Table2[],3,0),"open")</f>
        <v>ok</v>
      </c>
      <c r="C3606" s="133" t="s">
        <v>369</v>
      </c>
      <c r="D3606" t="s">
        <v>5704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29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</v>
      </c>
      <c r="R3606" s="130" t="s">
        <v>780</v>
      </c>
      <c r="S3606" s="129"/>
    </row>
    <row r="3607" spans="1:19" hidden="1">
      <c r="A3607" t="s">
        <v>5711</v>
      </c>
      <c r="B3607" s="129" t="str">
        <f>IFERROR(VLOOKUP(Proc[[#This Row],[App]],Table2[],3,0),"open")</f>
        <v>open</v>
      </c>
      <c r="C3607" t="s">
        <v>370</v>
      </c>
      <c r="D3607" t="s">
        <v>5709</v>
      </c>
      <c r="E3607" t="s">
        <v>5710</v>
      </c>
      <c r="F3607" s="129" t="s">
        <v>5738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0</v>
      </c>
      <c r="K3607" s="129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</v>
      </c>
      <c r="R3607" s="130" t="s">
        <v>5712</v>
      </c>
      <c r="S3607" s="129"/>
    </row>
    <row r="3608" spans="1:19" hidden="1">
      <c r="A3608" t="s">
        <v>5713</v>
      </c>
      <c r="B3608" s="129" t="str">
        <f>IFERROR(VLOOKUP(Proc[[#This Row],[App]],Table2[],3,0),"open")</f>
        <v>ok</v>
      </c>
      <c r="C3608" t="s">
        <v>369</v>
      </c>
      <c r="D3608" t="s">
        <v>5714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29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</v>
      </c>
      <c r="R3608" s="130" t="s">
        <v>738</v>
      </c>
      <c r="S3608" s="129"/>
    </row>
    <row r="3609" spans="1:19" hidden="1">
      <c r="A3609" s="128" t="s">
        <v>5713</v>
      </c>
      <c r="B3609" s="129" t="str">
        <f>IFERROR(VLOOKUP(Proc[[#This Row],[App]],Table2[],3,0),"open")</f>
        <v>ok</v>
      </c>
      <c r="C3609" s="135" t="s">
        <v>369</v>
      </c>
      <c r="D3609" t="s">
        <v>5715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29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</v>
      </c>
      <c r="R3609" s="130" t="s">
        <v>738</v>
      </c>
      <c r="S3609" s="129"/>
    </row>
    <row r="3610" spans="1:19" hidden="1">
      <c r="A3610" s="128" t="s">
        <v>5713</v>
      </c>
      <c r="B3610" s="129" t="str">
        <f>IFERROR(VLOOKUP(Proc[[#This Row],[App]],Table2[],3,0),"open")</f>
        <v>ok</v>
      </c>
      <c r="C3610" s="135" t="s">
        <v>369</v>
      </c>
      <c r="D3610" t="s">
        <v>5716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29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</v>
      </c>
      <c r="R3610" s="130" t="s">
        <v>738</v>
      </c>
      <c r="S3610" s="129"/>
    </row>
    <row r="3611" spans="1:19" hidden="1">
      <c r="A3611" s="128" t="s">
        <v>5713</v>
      </c>
      <c r="B3611" s="129" t="str">
        <f>IFERROR(VLOOKUP(Proc[[#This Row],[App]],Table2[],3,0),"open")</f>
        <v>ok</v>
      </c>
      <c r="C3611" s="135" t="s">
        <v>369</v>
      </c>
      <c r="D3611" t="s">
        <v>5717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29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</v>
      </c>
      <c r="R3611" s="130" t="s">
        <v>738</v>
      </c>
      <c r="S3611" s="129"/>
    </row>
    <row r="3612" spans="1:19" hidden="1">
      <c r="A3612" s="128" t="s">
        <v>5713</v>
      </c>
      <c r="B3612" s="129" t="str">
        <f>IFERROR(VLOOKUP(Proc[[#This Row],[App]],Table2[],3,0),"open")</f>
        <v>ok</v>
      </c>
      <c r="C3612" s="135" t="s">
        <v>369</v>
      </c>
      <c r="D3612" t="s">
        <v>5718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29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</v>
      </c>
      <c r="R3612" s="130" t="s">
        <v>738</v>
      </c>
      <c r="S3612" s="129"/>
    </row>
    <row r="3613" spans="1:19" hidden="1">
      <c r="A3613" s="128" t="s">
        <v>5713</v>
      </c>
      <c r="B3613" s="129" t="str">
        <f>IFERROR(VLOOKUP(Proc[[#This Row],[App]],Table2[],3,0),"open")</f>
        <v>ok</v>
      </c>
      <c r="C3613" s="135" t="s">
        <v>369</v>
      </c>
      <c r="D3613" t="s">
        <v>5742</v>
      </c>
      <c r="E3613" t="s">
        <v>5723</v>
      </c>
      <c r="F3613" s="129" t="s">
        <v>5723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29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</v>
      </c>
      <c r="R3613" s="130" t="s">
        <v>738</v>
      </c>
      <c r="S3613" s="129"/>
    </row>
    <row r="3614" spans="1:19" hidden="1">
      <c r="A3614" s="128" t="s">
        <v>5713</v>
      </c>
      <c r="B3614" s="129" t="str">
        <f>IFERROR(VLOOKUP(Proc[[#This Row],[App]],Table2[],3,0),"open")</f>
        <v>ok</v>
      </c>
      <c r="C3614" s="135" t="s">
        <v>369</v>
      </c>
      <c r="D3614" t="s">
        <v>5719</v>
      </c>
      <c r="E3614" t="s">
        <v>5723</v>
      </c>
      <c r="F3614" s="129" t="s">
        <v>5723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29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</v>
      </c>
      <c r="R3614" s="130" t="s">
        <v>738</v>
      </c>
      <c r="S3614" s="129"/>
    </row>
    <row r="3615" spans="1:19" hidden="1">
      <c r="A3615" s="128" t="s">
        <v>5713</v>
      </c>
      <c r="B3615" s="129" t="str">
        <f>IFERROR(VLOOKUP(Proc[[#This Row],[App]],Table2[],3,0),"open")</f>
        <v>ok</v>
      </c>
      <c r="C3615" s="135" t="s">
        <v>369</v>
      </c>
      <c r="D3615" t="s">
        <v>5720</v>
      </c>
      <c r="E3615" t="s">
        <v>5723</v>
      </c>
      <c r="F3615" s="129" t="s">
        <v>5723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29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</v>
      </c>
      <c r="R3615" s="130" t="s">
        <v>738</v>
      </c>
      <c r="S3615" s="129"/>
    </row>
    <row r="3616" spans="1:19" hidden="1">
      <c r="A3616" s="128" t="s">
        <v>5713</v>
      </c>
      <c r="B3616" s="129" t="str">
        <f>IFERROR(VLOOKUP(Proc[[#This Row],[App]],Table2[],3,0),"open")</f>
        <v>ok</v>
      </c>
      <c r="C3616" s="135" t="s">
        <v>369</v>
      </c>
      <c r="D3616" t="s">
        <v>5721</v>
      </c>
      <c r="E3616" t="s">
        <v>5723</v>
      </c>
      <c r="F3616" s="129" t="s">
        <v>5723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29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</v>
      </c>
      <c r="R3616" s="130" t="s">
        <v>738</v>
      </c>
      <c r="S3616" s="129"/>
    </row>
    <row r="3617" spans="1:19" hidden="1">
      <c r="A3617" s="128" t="s">
        <v>5713</v>
      </c>
      <c r="B3617" s="129" t="str">
        <f>IFERROR(VLOOKUP(Proc[[#This Row],[App]],Table2[],3,0),"open")</f>
        <v>ok</v>
      </c>
      <c r="C3617" s="135" t="s">
        <v>369</v>
      </c>
      <c r="D3617" t="s">
        <v>5743</v>
      </c>
      <c r="E3617" t="s">
        <v>5723</v>
      </c>
      <c r="F3617" s="129" t="s">
        <v>5723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29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</v>
      </c>
      <c r="R3617" s="130" t="s">
        <v>738</v>
      </c>
      <c r="S3617" s="129"/>
    </row>
    <row r="3618" spans="1:19" hidden="1">
      <c r="A3618" s="128" t="s">
        <v>5713</v>
      </c>
      <c r="B3618" s="129" t="str">
        <f>IFERROR(VLOOKUP(Proc[[#This Row],[App]],Table2[],3,0),"open")</f>
        <v>ok</v>
      </c>
      <c r="C3618" s="135" t="s">
        <v>369</v>
      </c>
      <c r="D3618" t="s">
        <v>5722</v>
      </c>
      <c r="E3618" t="s">
        <v>5723</v>
      </c>
      <c r="F3618" s="129" t="s">
        <v>5723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29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</v>
      </c>
      <c r="R3618" s="130" t="s">
        <v>738</v>
      </c>
      <c r="S3618" s="129"/>
    </row>
    <row r="3619" spans="1:19" hidden="1">
      <c r="A3619" s="128" t="s">
        <v>5713</v>
      </c>
      <c r="B3619" s="129" t="str">
        <f>IFERROR(VLOOKUP(Proc[[#This Row],[App]],Table2[],3,0),"open")</f>
        <v>ok</v>
      </c>
      <c r="C3619" s="135" t="s">
        <v>369</v>
      </c>
      <c r="D3619" t="s">
        <v>5744</v>
      </c>
      <c r="E3619" t="s">
        <v>5723</v>
      </c>
      <c r="F3619" s="129" t="s">
        <v>5723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29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</v>
      </c>
      <c r="R3619" s="130" t="s">
        <v>738</v>
      </c>
      <c r="S3619" s="129"/>
    </row>
    <row r="3620" spans="1:19" hidden="1">
      <c r="A3620" t="s">
        <v>5724</v>
      </c>
      <c r="B3620" s="129" t="str">
        <f>IFERROR(VLOOKUP(Proc[[#This Row],[App]],Table2[],3,0),"open")</f>
        <v>ok</v>
      </c>
      <c r="C3620" s="135" t="s">
        <v>369</v>
      </c>
      <c r="D3620" t="s">
        <v>5725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29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on track</v>
      </c>
      <c r="Q3620" s="3">
        <f ca="1">IF(Proc[[#This Row],[DateClosed]]="",ABS(NETWORKDAYS(Proc[[#This Row],[DateOpened]],TODAY()))-1,ABS(NETWORKDAYS(Proc[[#This Row],[DateOpened]],Proc[[#This Row],[DateClosed]]))-1)</f>
        <v>5</v>
      </c>
      <c r="R3620" s="130" t="s">
        <v>738</v>
      </c>
      <c r="S3620" s="129"/>
    </row>
    <row r="3621" spans="1:19" hidden="1">
      <c r="A3621" s="132" t="s">
        <v>5724</v>
      </c>
      <c r="B3621" s="129" t="str">
        <f>IFERROR(VLOOKUP(Proc[[#This Row],[App]],Table2[],3,0),"open")</f>
        <v>ok</v>
      </c>
      <c r="C3621" s="135" t="s">
        <v>369</v>
      </c>
      <c r="D3621" t="s">
        <v>5726</v>
      </c>
      <c r="E3621" t="s">
        <v>5727</v>
      </c>
      <c r="F3621" s="129" t="s">
        <v>5727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29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on track</v>
      </c>
      <c r="Q3621" s="3">
        <f ca="1">IF(Proc[[#This Row],[DateClosed]]="",ABS(NETWORKDAYS(Proc[[#This Row],[DateOpened]],TODAY()))-1,ABS(NETWORKDAYS(Proc[[#This Row],[DateOpened]],Proc[[#This Row],[DateClosed]]))-1)</f>
        <v>5</v>
      </c>
      <c r="R3621" s="130" t="s">
        <v>738</v>
      </c>
      <c r="S3621" s="129"/>
    </row>
    <row r="3622" spans="1:19" hidden="1">
      <c r="A3622" s="132" t="s">
        <v>5724</v>
      </c>
      <c r="B3622" s="129" t="str">
        <f>IFERROR(VLOOKUP(Proc[[#This Row],[App]],Table2[],3,0),"open")</f>
        <v>ok</v>
      </c>
      <c r="C3622" s="135" t="s">
        <v>369</v>
      </c>
      <c r="D3622" t="s">
        <v>5728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29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on track</v>
      </c>
      <c r="Q3622" s="3">
        <f ca="1">IF(Proc[[#This Row],[DateClosed]]="",ABS(NETWORKDAYS(Proc[[#This Row],[DateOpened]],TODAY()))-1,ABS(NETWORKDAYS(Proc[[#This Row],[DateOpened]],Proc[[#This Row],[DateClosed]]))-1)</f>
        <v>5</v>
      </c>
      <c r="R3622" s="130" t="s">
        <v>738</v>
      </c>
      <c r="S3622" s="129"/>
    </row>
    <row r="3623" spans="1:19" hidden="1">
      <c r="A3623" s="132" t="s">
        <v>5724</v>
      </c>
      <c r="B3623" s="129" t="str">
        <f>IFERROR(VLOOKUP(Proc[[#This Row],[App]],Table2[],3,0),"open")</f>
        <v>ok</v>
      </c>
      <c r="C3623" s="135" t="s">
        <v>369</v>
      </c>
      <c r="D3623" t="s">
        <v>5729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29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on track</v>
      </c>
      <c r="Q3623" s="3">
        <f ca="1">IF(Proc[[#This Row],[DateClosed]]="",ABS(NETWORKDAYS(Proc[[#This Row],[DateOpened]],TODAY()))-1,ABS(NETWORKDAYS(Proc[[#This Row],[DateOpened]],Proc[[#This Row],[DateClosed]]))-1)</f>
        <v>5</v>
      </c>
      <c r="R3623" s="130" t="s">
        <v>738</v>
      </c>
      <c r="S3623" s="129"/>
    </row>
    <row r="3624" spans="1:19" hidden="1">
      <c r="A3624" s="132" t="s">
        <v>5724</v>
      </c>
      <c r="B3624" s="129" t="str">
        <f>IFERROR(VLOOKUP(Proc[[#This Row],[App]],Table2[],3,0),"open")</f>
        <v>ok</v>
      </c>
      <c r="C3624" s="135" t="s">
        <v>369</v>
      </c>
      <c r="D3624" t="s">
        <v>5730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29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on track</v>
      </c>
      <c r="Q3624" s="3">
        <f ca="1">IF(Proc[[#This Row],[DateClosed]]="",ABS(NETWORKDAYS(Proc[[#This Row],[DateOpened]],TODAY()))-1,ABS(NETWORKDAYS(Proc[[#This Row],[DateOpened]],Proc[[#This Row],[DateClosed]]))-1)</f>
        <v>5</v>
      </c>
      <c r="R3624" s="130" t="s">
        <v>738</v>
      </c>
      <c r="S3624" s="129"/>
    </row>
    <row r="3625" spans="1:19" hidden="1">
      <c r="A3625" s="132" t="s">
        <v>5724</v>
      </c>
      <c r="B3625" s="129" t="str">
        <f>IFERROR(VLOOKUP(Proc[[#This Row],[App]],Table2[],3,0),"open")</f>
        <v>ok</v>
      </c>
      <c r="C3625" s="135" t="s">
        <v>369</v>
      </c>
      <c r="D3625" t="s">
        <v>5731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29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on track</v>
      </c>
      <c r="Q3625" s="3">
        <f ca="1">IF(Proc[[#This Row],[DateClosed]]="",ABS(NETWORKDAYS(Proc[[#This Row],[DateOpened]],TODAY()))-1,ABS(NETWORKDAYS(Proc[[#This Row],[DateOpened]],Proc[[#This Row],[DateClosed]]))-1)</f>
        <v>5</v>
      </c>
      <c r="R3625" s="130" t="s">
        <v>738</v>
      </c>
      <c r="S3625" s="129"/>
    </row>
    <row r="3626" spans="1:19" hidden="1">
      <c r="A3626" s="132" t="s">
        <v>5724</v>
      </c>
      <c r="B3626" s="129" t="str">
        <f>IFERROR(VLOOKUP(Proc[[#This Row],[App]],Table2[],3,0),"open")</f>
        <v>ok</v>
      </c>
      <c r="C3626" s="135" t="s">
        <v>369</v>
      </c>
      <c r="D3626" t="s">
        <v>5732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29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on track</v>
      </c>
      <c r="Q3626" s="3">
        <f ca="1">IF(Proc[[#This Row],[DateClosed]]="",ABS(NETWORKDAYS(Proc[[#This Row],[DateOpened]],TODAY()))-1,ABS(NETWORKDAYS(Proc[[#This Row],[DateOpened]],Proc[[#This Row],[DateClosed]]))-1)</f>
        <v>5</v>
      </c>
      <c r="R3626" s="130" t="s">
        <v>738</v>
      </c>
      <c r="S3626" s="129"/>
    </row>
    <row r="3627" spans="1:19" hidden="1">
      <c r="A3627" s="132" t="s">
        <v>5724</v>
      </c>
      <c r="B3627" s="129" t="str">
        <f>IFERROR(VLOOKUP(Proc[[#This Row],[App]],Table2[],3,0),"open")</f>
        <v>ok</v>
      </c>
      <c r="C3627" s="135" t="s">
        <v>369</v>
      </c>
      <c r="D3627" t="s">
        <v>5733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29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on track</v>
      </c>
      <c r="Q3627" s="3">
        <f ca="1">IF(Proc[[#This Row],[DateClosed]]="",ABS(NETWORKDAYS(Proc[[#This Row],[DateOpened]],TODAY()))-1,ABS(NETWORKDAYS(Proc[[#This Row],[DateOpened]],Proc[[#This Row],[DateClosed]]))-1)</f>
        <v>5</v>
      </c>
      <c r="R3627" s="130" t="s">
        <v>738</v>
      </c>
      <c r="S3627" s="129"/>
    </row>
    <row r="3628" spans="1:19" hidden="1">
      <c r="A3628" t="s">
        <v>5734</v>
      </c>
      <c r="B3628" s="129" t="str">
        <f>IFERROR(VLOOKUP(Proc[[#This Row],[App]],Table2[],3,0),"open")</f>
        <v>ok</v>
      </c>
      <c r="C3628" s="135" t="s">
        <v>369</v>
      </c>
      <c r="D3628" t="s">
        <v>5735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29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on track</v>
      </c>
      <c r="Q3628" s="3">
        <f ca="1">IF(Proc[[#This Row],[DateClosed]]="",ABS(NETWORKDAYS(Proc[[#This Row],[DateOpened]],TODAY()))-1,ABS(NETWORKDAYS(Proc[[#This Row],[DateOpened]],Proc[[#This Row],[DateClosed]]))-1)</f>
        <v>5</v>
      </c>
      <c r="R3628" s="130" t="s">
        <v>489</v>
      </c>
      <c r="S3628" s="129"/>
    </row>
    <row r="3629" spans="1:19" hidden="1">
      <c r="A3629" s="133" t="s">
        <v>5734</v>
      </c>
      <c r="B3629" s="129" t="str">
        <f>IFERROR(VLOOKUP(Proc[[#This Row],[App]],Table2[],3,0),"open")</f>
        <v>ok</v>
      </c>
      <c r="C3629" s="135" t="s">
        <v>369</v>
      </c>
      <c r="D3629" t="s">
        <v>5736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29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on track</v>
      </c>
      <c r="Q3629" s="3">
        <f ca="1">IF(Proc[[#This Row],[DateClosed]]="",ABS(NETWORKDAYS(Proc[[#This Row],[DateOpened]],TODAY()))-1,ABS(NETWORKDAYS(Proc[[#This Row],[DateOpened]],Proc[[#This Row],[DateClosed]]))-1)</f>
        <v>5</v>
      </c>
      <c r="R3629" s="130" t="s">
        <v>489</v>
      </c>
      <c r="S3629" s="129"/>
    </row>
    <row r="3630" spans="1:19" hidden="1">
      <c r="A3630" t="s">
        <v>5737</v>
      </c>
      <c r="B3630" s="129" t="str">
        <f>IFERROR(VLOOKUP(Proc[[#This Row],[App]],Table2[],3,0),"open")</f>
        <v>open</v>
      </c>
      <c r="C3630" s="133" t="s">
        <v>370</v>
      </c>
      <c r="D3630" t="s">
        <v>5578</v>
      </c>
      <c r="E3630" t="s">
        <v>3523</v>
      </c>
      <c r="F3630" s="129" t="s">
        <v>5573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0</v>
      </c>
      <c r="K3630" s="129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on track</v>
      </c>
      <c r="Q3630" s="3">
        <f ca="1">IF(Proc[[#This Row],[DateClosed]]="",ABS(NETWORKDAYS(Proc[[#This Row],[DateOpened]],TODAY()))-1,ABS(NETWORKDAYS(Proc[[#This Row],[DateOpened]],Proc[[#This Row],[DateClosed]]))-1)</f>
        <v>5</v>
      </c>
      <c r="R3630" s="130" t="s">
        <v>1262</v>
      </c>
      <c r="S3630" s="129"/>
    </row>
    <row r="3631" spans="1:19" hidden="1">
      <c r="A3631" t="s">
        <v>5741</v>
      </c>
      <c r="B3631" s="129" t="str">
        <f>IFERROR(VLOOKUP(Proc[[#This Row],[App]],Table2[],3,0),"open")</f>
        <v>open</v>
      </c>
      <c r="C3631" t="s">
        <v>370</v>
      </c>
      <c r="D3631" s="135" t="s">
        <v>5740</v>
      </c>
      <c r="E3631" t="s">
        <v>3515</v>
      </c>
      <c r="F3631" s="129" t="s">
        <v>5745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0</v>
      </c>
      <c r="K3631" s="129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on track</v>
      </c>
      <c r="Q3631" s="3">
        <f ca="1">IF(Proc[[#This Row],[DateClosed]]="",ABS(NETWORKDAYS(Proc[[#This Row],[DateOpened]],TODAY()))-1,ABS(NETWORKDAYS(Proc[[#This Row],[DateOpened]],Proc[[#This Row],[DateClosed]]))-1)</f>
        <v>5</v>
      </c>
      <c r="R3631" s="130" t="s">
        <v>972</v>
      </c>
      <c r="S3631" s="129"/>
    </row>
    <row r="3632" spans="1:19" hidden="1">
      <c r="A3632" t="s">
        <v>5746</v>
      </c>
      <c r="B3632" s="129" t="str">
        <f>IFERROR(VLOOKUP(Proc[[#This Row],[App]],Table2[],3,0),"open")</f>
        <v>open</v>
      </c>
      <c r="C3632" s="135" t="s">
        <v>370</v>
      </c>
      <c r="D3632" t="s">
        <v>5747</v>
      </c>
      <c r="E3632" t="s">
        <v>5272</v>
      </c>
      <c r="F3632" s="129"/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0</v>
      </c>
      <c r="K3632" s="129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on track</v>
      </c>
      <c r="Q3632" s="3">
        <f ca="1">IF(Proc[[#This Row],[DateClosed]]="",ABS(NETWORKDAYS(Proc[[#This Row],[DateOpened]],TODAY()))-1,ABS(NETWORKDAYS(Proc[[#This Row],[DateOpened]],Proc[[#This Row],[DateClosed]]))-1)</f>
        <v>2</v>
      </c>
      <c r="R3632" s="130" t="s">
        <v>489</v>
      </c>
      <c r="S3632" s="129"/>
    </row>
    <row r="3633" spans="1:19" hidden="1">
      <c r="A3633" s="135" t="s">
        <v>5746</v>
      </c>
      <c r="B3633" s="129" t="str">
        <f>IFERROR(VLOOKUP(Proc[[#This Row],[App]],Table2[],3,0),"open")</f>
        <v>open</v>
      </c>
      <c r="C3633" s="135" t="s">
        <v>370</v>
      </c>
      <c r="D3633" t="s">
        <v>5748</v>
      </c>
      <c r="E3633" t="s">
        <v>5272</v>
      </c>
      <c r="F3633" s="129"/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0</v>
      </c>
      <c r="K3633" s="129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on track</v>
      </c>
      <c r="Q3633" s="3">
        <f ca="1">IF(Proc[[#This Row],[DateClosed]]="",ABS(NETWORKDAYS(Proc[[#This Row],[DateOpened]],TODAY()))-1,ABS(NETWORKDAYS(Proc[[#This Row],[DateOpened]],Proc[[#This Row],[DateClosed]]))-1)</f>
        <v>2</v>
      </c>
      <c r="R3633" s="130" t="s">
        <v>489</v>
      </c>
      <c r="S3633" s="129"/>
    </row>
    <row r="3634" spans="1:19" hidden="1">
      <c r="A3634" s="135" t="s">
        <v>5746</v>
      </c>
      <c r="B3634" s="129" t="str">
        <f>IFERROR(VLOOKUP(Proc[[#This Row],[App]],Table2[],3,0),"open")</f>
        <v>open</v>
      </c>
      <c r="C3634" s="135" t="s">
        <v>370</v>
      </c>
      <c r="D3634" t="s">
        <v>5749</v>
      </c>
      <c r="E3634" t="s">
        <v>5272</v>
      </c>
      <c r="F3634" s="129"/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0</v>
      </c>
      <c r="K3634" s="129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on track</v>
      </c>
      <c r="Q3634" s="3">
        <f ca="1">IF(Proc[[#This Row],[DateClosed]]="",ABS(NETWORKDAYS(Proc[[#This Row],[DateOpened]],TODAY()))-1,ABS(NETWORKDAYS(Proc[[#This Row],[DateOpened]],Proc[[#This Row],[DateClosed]]))-1)</f>
        <v>2</v>
      </c>
      <c r="R3634" s="130" t="s">
        <v>489</v>
      </c>
      <c r="S3634" s="129"/>
    </row>
    <row r="3635" spans="1:19" hidden="1">
      <c r="A3635" s="135" t="s">
        <v>5746</v>
      </c>
      <c r="B3635" s="129" t="str">
        <f>IFERROR(VLOOKUP(Proc[[#This Row],[App]],Table2[],3,0),"open")</f>
        <v>open</v>
      </c>
      <c r="C3635" s="135" t="s">
        <v>370</v>
      </c>
      <c r="D3635" t="s">
        <v>5750</v>
      </c>
      <c r="E3635" t="s">
        <v>5272</v>
      </c>
      <c r="F3635" s="129"/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0</v>
      </c>
      <c r="K3635" s="129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on track</v>
      </c>
      <c r="Q3635" s="3">
        <f ca="1">IF(Proc[[#This Row],[DateClosed]]="",ABS(NETWORKDAYS(Proc[[#This Row],[DateOpened]],TODAY()))-1,ABS(NETWORKDAYS(Proc[[#This Row],[DateOpened]],Proc[[#This Row],[DateClosed]]))-1)</f>
        <v>2</v>
      </c>
      <c r="R3635" s="130" t="s">
        <v>489</v>
      </c>
      <c r="S3635" s="129"/>
    </row>
    <row r="3636" spans="1:19" hidden="1">
      <c r="A3636" s="135" t="s">
        <v>5746</v>
      </c>
      <c r="B3636" s="129" t="str">
        <f>IFERROR(VLOOKUP(Proc[[#This Row],[App]],Table2[],3,0),"open")</f>
        <v>open</v>
      </c>
      <c r="C3636" s="135" t="s">
        <v>370</v>
      </c>
      <c r="D3636" t="s">
        <v>5751</v>
      </c>
      <c r="E3636" t="s">
        <v>5272</v>
      </c>
      <c r="F3636" s="129"/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0</v>
      </c>
      <c r="K3636" s="129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on track</v>
      </c>
      <c r="Q3636" s="3">
        <f ca="1">IF(Proc[[#This Row],[DateClosed]]="",ABS(NETWORKDAYS(Proc[[#This Row],[DateOpened]],TODAY()))-1,ABS(NETWORKDAYS(Proc[[#This Row],[DateOpened]],Proc[[#This Row],[DateClosed]]))-1)</f>
        <v>2</v>
      </c>
      <c r="R3636" s="130" t="s">
        <v>489</v>
      </c>
      <c r="S3636" s="129"/>
    </row>
    <row r="3637" spans="1:19" hidden="1">
      <c r="A3637" s="135" t="s">
        <v>5746</v>
      </c>
      <c r="B3637" s="129" t="str">
        <f>IFERROR(VLOOKUP(Proc[[#This Row],[App]],Table2[],3,0),"open")</f>
        <v>open</v>
      </c>
      <c r="C3637" s="135" t="s">
        <v>370</v>
      </c>
      <c r="D3637" t="s">
        <v>5752</v>
      </c>
      <c r="E3637" t="s">
        <v>5272</v>
      </c>
      <c r="F3637" s="129"/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0</v>
      </c>
      <c r="K3637" s="129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on track</v>
      </c>
      <c r="Q3637" s="3">
        <f ca="1">IF(Proc[[#This Row],[DateClosed]]="",ABS(NETWORKDAYS(Proc[[#This Row],[DateOpened]],TODAY()))-1,ABS(NETWORKDAYS(Proc[[#This Row],[DateOpened]],Proc[[#This Row],[DateClosed]]))-1)</f>
        <v>2</v>
      </c>
      <c r="R3637" s="130" t="s">
        <v>489</v>
      </c>
      <c r="S3637" s="129"/>
    </row>
    <row r="3638" spans="1:19" hidden="1">
      <c r="A3638" s="135" t="s">
        <v>5746</v>
      </c>
      <c r="B3638" s="129" t="str">
        <f>IFERROR(VLOOKUP(Proc[[#This Row],[App]],Table2[],3,0),"open")</f>
        <v>open</v>
      </c>
      <c r="C3638" s="135" t="s">
        <v>370</v>
      </c>
      <c r="D3638" t="s">
        <v>5753</v>
      </c>
      <c r="E3638" t="s">
        <v>5272</v>
      </c>
      <c r="F3638" s="129"/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0</v>
      </c>
      <c r="K3638" s="129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on track</v>
      </c>
      <c r="Q3638" s="3">
        <f ca="1">IF(Proc[[#This Row],[DateClosed]]="",ABS(NETWORKDAYS(Proc[[#This Row],[DateOpened]],TODAY()))-1,ABS(NETWORKDAYS(Proc[[#This Row],[DateOpened]],Proc[[#This Row],[DateClosed]]))-1)</f>
        <v>2</v>
      </c>
      <c r="R3638" s="130" t="s">
        <v>489</v>
      </c>
      <c r="S3638" s="129"/>
    </row>
    <row r="3639" spans="1:19" hidden="1">
      <c r="A3639" s="135" t="s">
        <v>5746</v>
      </c>
      <c r="B3639" s="129" t="str">
        <f>IFERROR(VLOOKUP(Proc[[#This Row],[App]],Table2[],3,0),"open")</f>
        <v>open</v>
      </c>
      <c r="C3639" s="135" t="s">
        <v>370</v>
      </c>
      <c r="D3639" t="s">
        <v>5754</v>
      </c>
      <c r="E3639" t="s">
        <v>5272</v>
      </c>
      <c r="F3639" s="129"/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0</v>
      </c>
      <c r="K3639" s="129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on track</v>
      </c>
      <c r="Q3639" s="3">
        <f ca="1">IF(Proc[[#This Row],[DateClosed]]="",ABS(NETWORKDAYS(Proc[[#This Row],[DateOpened]],TODAY()))-1,ABS(NETWORKDAYS(Proc[[#This Row],[DateOpened]],Proc[[#This Row],[DateClosed]]))-1)</f>
        <v>2</v>
      </c>
      <c r="R3639" s="130" t="s">
        <v>489</v>
      </c>
      <c r="S3639" s="129"/>
    </row>
    <row r="3640" spans="1:19" hidden="1">
      <c r="A3640" s="135" t="s">
        <v>5746</v>
      </c>
      <c r="B3640" s="129" t="str">
        <f>IFERROR(VLOOKUP(Proc[[#This Row],[App]],Table2[],3,0),"open")</f>
        <v>open</v>
      </c>
      <c r="C3640" s="135" t="s">
        <v>370</v>
      </c>
      <c r="D3640" t="s">
        <v>5755</v>
      </c>
      <c r="E3640" t="s">
        <v>5272</v>
      </c>
      <c r="F3640" s="129"/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0</v>
      </c>
      <c r="K3640" s="129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on track</v>
      </c>
      <c r="Q3640" s="3">
        <f ca="1">IF(Proc[[#This Row],[DateClosed]]="",ABS(NETWORKDAYS(Proc[[#This Row],[DateOpened]],TODAY()))-1,ABS(NETWORKDAYS(Proc[[#This Row],[DateOpened]],Proc[[#This Row],[DateClosed]]))-1)</f>
        <v>2</v>
      </c>
      <c r="R3640" s="130" t="s">
        <v>489</v>
      </c>
      <c r="S3640" s="129"/>
    </row>
    <row r="3641" spans="1:19" hidden="1">
      <c r="A3641" s="135" t="s">
        <v>5746</v>
      </c>
      <c r="B3641" s="129" t="str">
        <f>IFERROR(VLOOKUP(Proc[[#This Row],[App]],Table2[],3,0),"open")</f>
        <v>open</v>
      </c>
      <c r="C3641" s="135" t="s">
        <v>370</v>
      </c>
      <c r="D3641" t="s">
        <v>5756</v>
      </c>
      <c r="E3641" t="s">
        <v>5272</v>
      </c>
      <c r="F3641" s="129"/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0</v>
      </c>
      <c r="K3641" s="129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on track</v>
      </c>
      <c r="Q3641" s="3">
        <f ca="1">IF(Proc[[#This Row],[DateClosed]]="",ABS(NETWORKDAYS(Proc[[#This Row],[DateOpened]],TODAY()))-1,ABS(NETWORKDAYS(Proc[[#This Row],[DateOpened]],Proc[[#This Row],[DateClosed]]))-1)</f>
        <v>2</v>
      </c>
      <c r="R3641" s="130" t="s">
        <v>489</v>
      </c>
      <c r="S3641" s="129"/>
    </row>
    <row r="3642" spans="1:19" hidden="1">
      <c r="A3642" s="135" t="s">
        <v>5746</v>
      </c>
      <c r="B3642" s="129" t="str">
        <f>IFERROR(VLOOKUP(Proc[[#This Row],[App]],Table2[],3,0),"open")</f>
        <v>open</v>
      </c>
      <c r="C3642" s="135" t="s">
        <v>370</v>
      </c>
      <c r="D3642" t="s">
        <v>5757</v>
      </c>
      <c r="E3642" t="s">
        <v>5272</v>
      </c>
      <c r="F3642" s="129"/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0</v>
      </c>
      <c r="K3642" s="129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on track</v>
      </c>
      <c r="Q3642" s="3">
        <f ca="1">IF(Proc[[#This Row],[DateClosed]]="",ABS(NETWORKDAYS(Proc[[#This Row],[DateOpened]],TODAY()))-1,ABS(NETWORKDAYS(Proc[[#This Row],[DateOpened]],Proc[[#This Row],[DateClosed]]))-1)</f>
        <v>2</v>
      </c>
      <c r="R3642" s="130" t="s">
        <v>489</v>
      </c>
      <c r="S3642" s="129"/>
    </row>
    <row r="3643" spans="1:19" hidden="1">
      <c r="A3643" s="135" t="s">
        <v>5746</v>
      </c>
      <c r="B3643" s="129" t="str">
        <f>IFERROR(VLOOKUP(Proc[[#This Row],[App]],Table2[],3,0),"open")</f>
        <v>open</v>
      </c>
      <c r="C3643" s="135" t="s">
        <v>370</v>
      </c>
      <c r="D3643" t="s">
        <v>5758</v>
      </c>
      <c r="E3643" t="s">
        <v>5272</v>
      </c>
      <c r="F3643" s="129"/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0</v>
      </c>
      <c r="K3643" s="129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on track</v>
      </c>
      <c r="Q3643" s="3">
        <f ca="1">IF(Proc[[#This Row],[DateClosed]]="",ABS(NETWORKDAYS(Proc[[#This Row],[DateOpened]],TODAY()))-1,ABS(NETWORKDAYS(Proc[[#This Row],[DateOpened]],Proc[[#This Row],[DateClosed]]))-1)</f>
        <v>2</v>
      </c>
      <c r="R3643" s="130" t="s">
        <v>489</v>
      </c>
      <c r="S3643" s="129"/>
    </row>
    <row r="3644" spans="1:19" hidden="1">
      <c r="A3644" s="135" t="s">
        <v>5746</v>
      </c>
      <c r="B3644" s="129" t="str">
        <f>IFERROR(VLOOKUP(Proc[[#This Row],[App]],Table2[],3,0),"open")</f>
        <v>open</v>
      </c>
      <c r="C3644" s="135" t="s">
        <v>370</v>
      </c>
      <c r="D3644" t="s">
        <v>5759</v>
      </c>
      <c r="E3644" t="s">
        <v>5272</v>
      </c>
      <c r="F3644" s="129"/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0</v>
      </c>
      <c r="K3644" s="129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on track</v>
      </c>
      <c r="Q3644" s="3">
        <f ca="1">IF(Proc[[#This Row],[DateClosed]]="",ABS(NETWORKDAYS(Proc[[#This Row],[DateOpened]],TODAY()))-1,ABS(NETWORKDAYS(Proc[[#This Row],[DateOpened]],Proc[[#This Row],[DateClosed]]))-1)</f>
        <v>2</v>
      </c>
      <c r="R3644" s="130" t="s">
        <v>489</v>
      </c>
      <c r="S3644" s="129"/>
    </row>
    <row r="3645" spans="1:19" hidden="1">
      <c r="A3645" s="135" t="s">
        <v>5746</v>
      </c>
      <c r="B3645" s="129" t="str">
        <f>IFERROR(VLOOKUP(Proc[[#This Row],[App]],Table2[],3,0),"open")</f>
        <v>open</v>
      </c>
      <c r="C3645" s="135" t="s">
        <v>370</v>
      </c>
      <c r="D3645" t="s">
        <v>5760</v>
      </c>
      <c r="E3645" t="s">
        <v>5272</v>
      </c>
      <c r="F3645" s="129"/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0</v>
      </c>
      <c r="K3645" s="129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on track</v>
      </c>
      <c r="Q3645" s="3">
        <f ca="1">IF(Proc[[#This Row],[DateClosed]]="",ABS(NETWORKDAYS(Proc[[#This Row],[DateOpened]],TODAY()))-1,ABS(NETWORKDAYS(Proc[[#This Row],[DateOpened]],Proc[[#This Row],[DateClosed]]))-1)</f>
        <v>2</v>
      </c>
      <c r="R3645" s="130" t="s">
        <v>489</v>
      </c>
      <c r="S3645" s="129"/>
    </row>
    <row r="3646" spans="1:19" hidden="1">
      <c r="A3646" s="135" t="s">
        <v>5746</v>
      </c>
      <c r="B3646" s="129" t="str">
        <f>IFERROR(VLOOKUP(Proc[[#This Row],[App]],Table2[],3,0),"open")</f>
        <v>open</v>
      </c>
      <c r="C3646" s="135" t="s">
        <v>375</v>
      </c>
      <c r="D3646" t="s">
        <v>5761</v>
      </c>
      <c r="E3646" t="s">
        <v>5272</v>
      </c>
      <c r="F3646" s="129"/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0</v>
      </c>
      <c r="K3646" s="129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on track</v>
      </c>
      <c r="Q3646" s="3">
        <f ca="1">IF(Proc[[#This Row],[DateClosed]]="",ABS(NETWORKDAYS(Proc[[#This Row],[DateOpened]],TODAY()))-1,ABS(NETWORKDAYS(Proc[[#This Row],[DateOpened]],Proc[[#This Row],[DateClosed]]))-1)</f>
        <v>2</v>
      </c>
      <c r="R3646" s="130" t="s">
        <v>489</v>
      </c>
      <c r="S3646" s="129"/>
    </row>
    <row r="3647" spans="1:19" hidden="1">
      <c r="A3647" s="135" t="s">
        <v>5746</v>
      </c>
      <c r="B3647" s="129" t="str">
        <f>IFERROR(VLOOKUP(Proc[[#This Row],[App]],Table2[],3,0),"open")</f>
        <v>open</v>
      </c>
      <c r="C3647" s="135" t="s">
        <v>370</v>
      </c>
      <c r="D3647" t="s">
        <v>5762</v>
      </c>
      <c r="E3647" t="s">
        <v>5272</v>
      </c>
      <c r="F3647" s="129"/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0</v>
      </c>
      <c r="K3647" s="129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on track</v>
      </c>
      <c r="Q3647" s="3">
        <f ca="1">IF(Proc[[#This Row],[DateClosed]]="",ABS(NETWORKDAYS(Proc[[#This Row],[DateOpened]],TODAY()))-1,ABS(NETWORKDAYS(Proc[[#This Row],[DateOpened]],Proc[[#This Row],[DateClosed]]))-1)</f>
        <v>2</v>
      </c>
      <c r="R3647" s="130" t="s">
        <v>489</v>
      </c>
      <c r="S3647" s="129"/>
    </row>
    <row r="3648" spans="1:19" hidden="1">
      <c r="A3648" s="135" t="s">
        <v>5746</v>
      </c>
      <c r="B3648" s="129" t="str">
        <f>IFERROR(VLOOKUP(Proc[[#This Row],[App]],Table2[],3,0),"open")</f>
        <v>open</v>
      </c>
      <c r="C3648" s="135" t="s">
        <v>375</v>
      </c>
      <c r="D3648" t="s">
        <v>5763</v>
      </c>
      <c r="E3648" t="s">
        <v>5272</v>
      </c>
      <c r="F3648" s="129"/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0</v>
      </c>
      <c r="K3648" s="129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on track</v>
      </c>
      <c r="Q3648" s="3">
        <f ca="1">IF(Proc[[#This Row],[DateClosed]]="",ABS(NETWORKDAYS(Proc[[#This Row],[DateOpened]],TODAY()))-1,ABS(NETWORKDAYS(Proc[[#This Row],[DateOpened]],Proc[[#This Row],[DateClosed]]))-1)</f>
        <v>2</v>
      </c>
      <c r="R3648" s="130" t="s">
        <v>489</v>
      </c>
      <c r="S3648" s="129"/>
    </row>
    <row r="3649" spans="1:19" hidden="1">
      <c r="A3649" s="135" t="s">
        <v>5746</v>
      </c>
      <c r="B3649" s="129" t="str">
        <f>IFERROR(VLOOKUP(Proc[[#This Row],[App]],Table2[],3,0),"open")</f>
        <v>open</v>
      </c>
      <c r="C3649" s="135" t="s">
        <v>370</v>
      </c>
      <c r="D3649" t="s">
        <v>5764</v>
      </c>
      <c r="E3649" t="s">
        <v>5272</v>
      </c>
      <c r="F3649" s="129"/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0</v>
      </c>
      <c r="K3649" s="129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on track</v>
      </c>
      <c r="Q3649" s="3">
        <f ca="1">IF(Proc[[#This Row],[DateClosed]]="",ABS(NETWORKDAYS(Proc[[#This Row],[DateOpened]],TODAY()))-1,ABS(NETWORKDAYS(Proc[[#This Row],[DateOpened]],Proc[[#This Row],[DateClosed]]))-1)</f>
        <v>2</v>
      </c>
      <c r="R3649" s="130" t="s">
        <v>489</v>
      </c>
      <c r="S3649" s="129"/>
    </row>
    <row r="3650" spans="1:19" hidden="1">
      <c r="A3650" t="s">
        <v>5778</v>
      </c>
      <c r="B3650" s="129" t="str">
        <f>IFERROR(VLOOKUP(Proc[[#This Row],[App]],Table2[],3,0),"open")</f>
        <v>open</v>
      </c>
      <c r="C3650" s="135" t="s">
        <v>692</v>
      </c>
      <c r="D3650" t="s">
        <v>5765</v>
      </c>
      <c r="E3650" t="s">
        <v>5776</v>
      </c>
      <c r="F3650" s="129"/>
      <c r="G3650" s="135" t="s">
        <v>406</v>
      </c>
      <c r="H3650" s="129" t="str">
        <f>IF(Proc[[#This Row],[type]]="LFF (MDG-F)",MID(Proc[[#This Row],[Obj]],13,10),"")</f>
        <v>DE10TM4000</v>
      </c>
      <c r="I3650" t="s">
        <v>5779</v>
      </c>
      <c r="J3650" s="129" t="b">
        <f>Proc[[#This Row],[Requested]]=Proc[[#This Row],[CurrentParent]]</f>
        <v>0</v>
      </c>
      <c r="K3650" s="129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on track</v>
      </c>
      <c r="Q3650" s="3">
        <f ca="1">IF(Proc[[#This Row],[DateClosed]]="",ABS(NETWORKDAYS(Proc[[#This Row],[DateOpened]],TODAY()))-1,ABS(NETWORKDAYS(Proc[[#This Row],[DateOpened]],Proc[[#This Row],[DateClosed]]))-1)</f>
        <v>2</v>
      </c>
      <c r="R3650" s="130" t="s">
        <v>746</v>
      </c>
      <c r="S3650" s="129"/>
    </row>
    <row r="3651" spans="1:19" hidden="1">
      <c r="A3651" s="135" t="s">
        <v>5778</v>
      </c>
      <c r="B3651" s="129" t="str">
        <f>IFERROR(VLOOKUP(Proc[[#This Row],[App]],Table2[],3,0),"open")</f>
        <v>open</v>
      </c>
      <c r="C3651" s="135" t="s">
        <v>375</v>
      </c>
      <c r="D3651" t="s">
        <v>5766</v>
      </c>
      <c r="E3651" t="s">
        <v>5776</v>
      </c>
      <c r="F3651" s="129"/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0</v>
      </c>
      <c r="K3651" s="129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on track</v>
      </c>
      <c r="Q3651" s="3">
        <f ca="1">IF(Proc[[#This Row],[DateClosed]]="",ABS(NETWORKDAYS(Proc[[#This Row],[DateOpened]],TODAY()))-1,ABS(NETWORKDAYS(Proc[[#This Row],[DateOpened]],Proc[[#This Row],[DateClosed]]))-1)</f>
        <v>2</v>
      </c>
      <c r="R3651" s="130" t="s">
        <v>746</v>
      </c>
      <c r="S3651" s="129"/>
    </row>
    <row r="3652" spans="1:19" hidden="1">
      <c r="A3652" s="135" t="s">
        <v>5778</v>
      </c>
      <c r="B3652" s="129" t="str">
        <f>IFERROR(VLOOKUP(Proc[[#This Row],[App]],Table2[],3,0),"open")</f>
        <v>open</v>
      </c>
      <c r="C3652" s="135" t="s">
        <v>375</v>
      </c>
      <c r="D3652" t="s">
        <v>5767</v>
      </c>
      <c r="E3652" t="s">
        <v>5776</v>
      </c>
      <c r="F3652" s="129"/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0</v>
      </c>
      <c r="K3652" s="129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on track</v>
      </c>
      <c r="Q3652" s="3">
        <f ca="1">IF(Proc[[#This Row],[DateClosed]]="",ABS(NETWORKDAYS(Proc[[#This Row],[DateOpened]],TODAY()))-1,ABS(NETWORKDAYS(Proc[[#This Row],[DateOpened]],Proc[[#This Row],[DateClosed]]))-1)</f>
        <v>2</v>
      </c>
      <c r="R3652" s="130" t="s">
        <v>746</v>
      </c>
      <c r="S3652" s="129"/>
    </row>
    <row r="3653" spans="1:19" hidden="1">
      <c r="A3653" s="135" t="s">
        <v>5778</v>
      </c>
      <c r="B3653" s="129" t="str">
        <f>IFERROR(VLOOKUP(Proc[[#This Row],[App]],Table2[],3,0),"open")</f>
        <v>open</v>
      </c>
      <c r="C3653" s="135" t="s">
        <v>375</v>
      </c>
      <c r="D3653" t="s">
        <v>5768</v>
      </c>
      <c r="E3653" t="s">
        <v>5776</v>
      </c>
      <c r="F3653" s="129"/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0</v>
      </c>
      <c r="K3653" s="129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on track</v>
      </c>
      <c r="Q3653" s="3">
        <f ca="1">IF(Proc[[#This Row],[DateClosed]]="",ABS(NETWORKDAYS(Proc[[#This Row],[DateOpened]],TODAY()))-1,ABS(NETWORKDAYS(Proc[[#This Row],[DateOpened]],Proc[[#This Row],[DateClosed]]))-1)</f>
        <v>2</v>
      </c>
      <c r="R3653" s="130" t="s">
        <v>746</v>
      </c>
      <c r="S3653" s="129"/>
    </row>
    <row r="3654" spans="1:19" hidden="1">
      <c r="A3654" s="135" t="s">
        <v>5778</v>
      </c>
      <c r="B3654" s="129" t="str">
        <f>IFERROR(VLOOKUP(Proc[[#This Row],[App]],Table2[],3,0),"open")</f>
        <v>open</v>
      </c>
      <c r="C3654" s="135" t="s">
        <v>375</v>
      </c>
      <c r="D3654" t="s">
        <v>5769</v>
      </c>
      <c r="E3654" t="s">
        <v>5776</v>
      </c>
      <c r="F3654" s="129"/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0</v>
      </c>
      <c r="K3654" s="129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on track</v>
      </c>
      <c r="Q3654" s="3">
        <f ca="1">IF(Proc[[#This Row],[DateClosed]]="",ABS(NETWORKDAYS(Proc[[#This Row],[DateOpened]],TODAY()))-1,ABS(NETWORKDAYS(Proc[[#This Row],[DateOpened]],Proc[[#This Row],[DateClosed]]))-1)</f>
        <v>2</v>
      </c>
      <c r="R3654" s="130" t="s">
        <v>746</v>
      </c>
      <c r="S3654" s="129"/>
    </row>
    <row r="3655" spans="1:19" hidden="1">
      <c r="A3655" s="135" t="s">
        <v>5778</v>
      </c>
      <c r="B3655" s="129" t="str">
        <f>IFERROR(VLOOKUP(Proc[[#This Row],[App]],Table2[],3,0),"open")</f>
        <v>open</v>
      </c>
      <c r="C3655" s="135" t="s">
        <v>375</v>
      </c>
      <c r="D3655" t="s">
        <v>5770</v>
      </c>
      <c r="E3655" t="s">
        <v>5776</v>
      </c>
      <c r="F3655" s="129"/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0</v>
      </c>
      <c r="K3655" s="129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on track</v>
      </c>
      <c r="Q3655" s="3">
        <f ca="1">IF(Proc[[#This Row],[DateClosed]]="",ABS(NETWORKDAYS(Proc[[#This Row],[DateOpened]],TODAY()))-1,ABS(NETWORKDAYS(Proc[[#This Row],[DateOpened]],Proc[[#This Row],[DateClosed]]))-1)</f>
        <v>2</v>
      </c>
      <c r="R3655" s="130" t="s">
        <v>746</v>
      </c>
      <c r="S3655" s="129"/>
    </row>
    <row r="3656" spans="1:19" hidden="1">
      <c r="A3656" s="135" t="s">
        <v>5778</v>
      </c>
      <c r="B3656" s="129" t="str">
        <f>IFERROR(VLOOKUP(Proc[[#This Row],[App]],Table2[],3,0),"open")</f>
        <v>open</v>
      </c>
      <c r="C3656" s="135" t="s">
        <v>375</v>
      </c>
      <c r="D3656" t="s">
        <v>5771</v>
      </c>
      <c r="E3656" t="s">
        <v>5776</v>
      </c>
      <c r="F3656" s="129"/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0</v>
      </c>
      <c r="K3656" s="129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on track</v>
      </c>
      <c r="Q3656" s="3">
        <f ca="1">IF(Proc[[#This Row],[DateClosed]]="",ABS(NETWORKDAYS(Proc[[#This Row],[DateOpened]],TODAY()))-1,ABS(NETWORKDAYS(Proc[[#This Row],[DateOpened]],Proc[[#This Row],[DateClosed]]))-1)</f>
        <v>2</v>
      </c>
      <c r="R3656" s="130" t="s">
        <v>746</v>
      </c>
      <c r="S3656" s="129"/>
    </row>
    <row r="3657" spans="1:19" hidden="1">
      <c r="A3657" s="135" t="s">
        <v>5778</v>
      </c>
      <c r="B3657" s="129" t="str">
        <f>IFERROR(VLOOKUP(Proc[[#This Row],[App]],Table2[],3,0),"open")</f>
        <v>open</v>
      </c>
      <c r="C3657" s="135" t="s">
        <v>375</v>
      </c>
      <c r="D3657" t="s">
        <v>5772</v>
      </c>
      <c r="E3657" t="s">
        <v>5776</v>
      </c>
      <c r="F3657" s="129"/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0</v>
      </c>
      <c r="K3657" s="129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on track</v>
      </c>
      <c r="Q3657" s="3">
        <f ca="1">IF(Proc[[#This Row],[DateClosed]]="",ABS(NETWORKDAYS(Proc[[#This Row],[DateOpened]],TODAY()))-1,ABS(NETWORKDAYS(Proc[[#This Row],[DateOpened]],Proc[[#This Row],[DateClosed]]))-1)</f>
        <v>2</v>
      </c>
      <c r="R3657" s="130" t="s">
        <v>746</v>
      </c>
      <c r="S3657" s="129"/>
    </row>
    <row r="3658" spans="1:19" hidden="1">
      <c r="A3658" s="135" t="s">
        <v>5778</v>
      </c>
      <c r="B3658" s="129" t="str">
        <f>IFERROR(VLOOKUP(Proc[[#This Row],[App]],Table2[],3,0),"open")</f>
        <v>open</v>
      </c>
      <c r="C3658" s="135" t="s">
        <v>375</v>
      </c>
      <c r="D3658" t="s">
        <v>5773</v>
      </c>
      <c r="E3658" t="s">
        <v>5777</v>
      </c>
      <c r="F3658" s="129"/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0</v>
      </c>
      <c r="K3658" s="129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on track</v>
      </c>
      <c r="Q3658" s="3">
        <f ca="1">IF(Proc[[#This Row],[DateClosed]]="",ABS(NETWORKDAYS(Proc[[#This Row],[DateOpened]],TODAY()))-1,ABS(NETWORKDAYS(Proc[[#This Row],[DateOpened]],Proc[[#This Row],[DateClosed]]))-1)</f>
        <v>2</v>
      </c>
      <c r="R3658" s="130" t="s">
        <v>746</v>
      </c>
      <c r="S3658" s="129"/>
    </row>
    <row r="3659" spans="1:19" hidden="1">
      <c r="A3659" s="135" t="s">
        <v>5778</v>
      </c>
      <c r="B3659" s="129" t="str">
        <f>IFERROR(VLOOKUP(Proc[[#This Row],[App]],Table2[],3,0),"open")</f>
        <v>open</v>
      </c>
      <c r="C3659" s="135" t="s">
        <v>375</v>
      </c>
      <c r="D3659" t="s">
        <v>5774</v>
      </c>
      <c r="E3659" t="s">
        <v>5777</v>
      </c>
      <c r="F3659" s="129"/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0</v>
      </c>
      <c r="K3659" s="129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on track</v>
      </c>
      <c r="Q3659" s="3">
        <f ca="1">IF(Proc[[#This Row],[DateClosed]]="",ABS(NETWORKDAYS(Proc[[#This Row],[DateOpened]],TODAY()))-1,ABS(NETWORKDAYS(Proc[[#This Row],[DateOpened]],Proc[[#This Row],[DateClosed]]))-1)</f>
        <v>2</v>
      </c>
      <c r="R3659" s="130" t="s">
        <v>746</v>
      </c>
      <c r="S3659" s="129"/>
    </row>
    <row r="3660" spans="1:19" hidden="1">
      <c r="A3660" s="135" t="s">
        <v>5778</v>
      </c>
      <c r="B3660" s="129" t="str">
        <f>IFERROR(VLOOKUP(Proc[[#This Row],[App]],Table2[],3,0),"open")</f>
        <v>open</v>
      </c>
      <c r="C3660" s="135" t="s">
        <v>375</v>
      </c>
      <c r="D3660" t="s">
        <v>5775</v>
      </c>
      <c r="E3660" t="s">
        <v>5777</v>
      </c>
      <c r="F3660" s="129"/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0</v>
      </c>
      <c r="K3660" s="129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on track</v>
      </c>
      <c r="Q3660" s="3">
        <f ca="1">IF(Proc[[#This Row],[DateClosed]]="",ABS(NETWORKDAYS(Proc[[#This Row],[DateOpened]],TODAY()))-1,ABS(NETWORKDAYS(Proc[[#This Row],[DateOpened]],Proc[[#This Row],[DateClosed]]))-1)</f>
        <v>2</v>
      </c>
      <c r="R3660" s="130" t="s">
        <v>746</v>
      </c>
      <c r="S3660" s="129"/>
    </row>
    <row r="3661" spans="1:19">
      <c r="A3661" t="s">
        <v>5780</v>
      </c>
      <c r="B3661" s="129" t="str">
        <f>IFERROR(VLOOKUP(Proc[[#This Row],[App]],Table2[],3,0),"open")</f>
        <v>open</v>
      </c>
      <c r="C3661" t="s">
        <v>404</v>
      </c>
      <c r="D3661" t="s">
        <v>5781</v>
      </c>
      <c r="E3661" t="s">
        <v>5553</v>
      </c>
      <c r="F3661" s="129"/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0</v>
      </c>
      <c r="K3661" s="129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on track</v>
      </c>
      <c r="Q3661" s="3">
        <f ca="1">IF(Proc[[#This Row],[DateClosed]]="",ABS(NETWORKDAYS(Proc[[#This Row],[DateOpened]],TODAY()))-1,ABS(NETWORKDAYS(Proc[[#This Row],[DateOpened]],Proc[[#This Row],[DateClosed]]))-1)</f>
        <v>1</v>
      </c>
      <c r="R3661" s="130" t="s">
        <v>489</v>
      </c>
      <c r="S3661" s="129"/>
    </row>
    <row r="3662" spans="1:19">
      <c r="A3662" s="135" t="s">
        <v>5780</v>
      </c>
      <c r="B3662" s="129" t="str">
        <f>IFERROR(VLOOKUP(Proc[[#This Row],[App]],Table2[],3,0),"open")</f>
        <v>open</v>
      </c>
      <c r="C3662" s="135" t="s">
        <v>404</v>
      </c>
      <c r="D3662" t="s">
        <v>5782</v>
      </c>
      <c r="E3662" t="s">
        <v>5808</v>
      </c>
      <c r="F3662" s="129"/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0</v>
      </c>
      <c r="K3662" s="129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on track</v>
      </c>
      <c r="Q3662" s="3">
        <f ca="1">IF(Proc[[#This Row],[DateClosed]]="",ABS(NETWORKDAYS(Proc[[#This Row],[DateOpened]],TODAY()))-1,ABS(NETWORKDAYS(Proc[[#This Row],[DateOpened]],Proc[[#This Row],[DateClosed]]))-1)</f>
        <v>1</v>
      </c>
      <c r="R3662" s="131" t="s">
        <v>489</v>
      </c>
      <c r="S3662" s="129"/>
    </row>
    <row r="3663" spans="1:19">
      <c r="A3663" s="135" t="s">
        <v>5780</v>
      </c>
      <c r="B3663" s="129" t="str">
        <f>IFERROR(VLOOKUP(Proc[[#This Row],[App]],Table2[],3,0),"open")</f>
        <v>open</v>
      </c>
      <c r="C3663" s="135" t="s">
        <v>404</v>
      </c>
      <c r="D3663" t="s">
        <v>5783</v>
      </c>
      <c r="E3663" t="s">
        <v>5809</v>
      </c>
      <c r="F3663" s="129"/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0</v>
      </c>
      <c r="K3663" s="129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on track</v>
      </c>
      <c r="Q3663" s="3">
        <f ca="1">IF(Proc[[#This Row],[DateClosed]]="",ABS(NETWORKDAYS(Proc[[#This Row],[DateOpened]],TODAY()))-1,ABS(NETWORKDAYS(Proc[[#This Row],[DateOpened]],Proc[[#This Row],[DateClosed]]))-1)</f>
        <v>1</v>
      </c>
      <c r="R3663" s="131" t="s">
        <v>489</v>
      </c>
      <c r="S3663" s="129"/>
    </row>
    <row r="3664" spans="1:19">
      <c r="A3664" s="135" t="s">
        <v>5780</v>
      </c>
      <c r="B3664" s="129" t="str">
        <f>IFERROR(VLOOKUP(Proc[[#This Row],[App]],Table2[],3,0),"open")</f>
        <v>open</v>
      </c>
      <c r="C3664" s="135" t="s">
        <v>404</v>
      </c>
      <c r="D3664" t="s">
        <v>5784</v>
      </c>
      <c r="E3664" t="s">
        <v>5809</v>
      </c>
      <c r="F3664" s="129"/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0</v>
      </c>
      <c r="K3664" s="129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on track</v>
      </c>
      <c r="Q3664" s="3">
        <f ca="1">IF(Proc[[#This Row],[DateClosed]]="",ABS(NETWORKDAYS(Proc[[#This Row],[DateOpened]],TODAY()))-1,ABS(NETWORKDAYS(Proc[[#This Row],[DateOpened]],Proc[[#This Row],[DateClosed]]))-1)</f>
        <v>1</v>
      </c>
      <c r="R3664" s="131" t="s">
        <v>489</v>
      </c>
      <c r="S3664" s="129"/>
    </row>
    <row r="3665" spans="1:19">
      <c r="A3665" s="135" t="s">
        <v>5780</v>
      </c>
      <c r="B3665" s="129" t="str">
        <f>IFERROR(VLOOKUP(Proc[[#This Row],[App]],Table2[],3,0),"open")</f>
        <v>open</v>
      </c>
      <c r="C3665" s="135" t="s">
        <v>404</v>
      </c>
      <c r="D3665" t="s">
        <v>5785</v>
      </c>
      <c r="E3665" t="s">
        <v>5809</v>
      </c>
      <c r="F3665" s="129"/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0</v>
      </c>
      <c r="K3665" s="129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on track</v>
      </c>
      <c r="Q3665" s="3">
        <f ca="1">IF(Proc[[#This Row],[DateClosed]]="",ABS(NETWORKDAYS(Proc[[#This Row],[DateOpened]],TODAY()))-1,ABS(NETWORKDAYS(Proc[[#This Row],[DateOpened]],Proc[[#This Row],[DateClosed]]))-1)</f>
        <v>1</v>
      </c>
      <c r="R3665" s="131" t="s">
        <v>489</v>
      </c>
      <c r="S3665" s="129"/>
    </row>
    <row r="3666" spans="1:19">
      <c r="A3666" s="135" t="s">
        <v>5780</v>
      </c>
      <c r="B3666" s="129" t="str">
        <f>IFERROR(VLOOKUP(Proc[[#This Row],[App]],Table2[],3,0),"open")</f>
        <v>open</v>
      </c>
      <c r="C3666" s="135" t="s">
        <v>404</v>
      </c>
      <c r="D3666" t="s">
        <v>5786</v>
      </c>
      <c r="E3666" t="s">
        <v>5810</v>
      </c>
      <c r="F3666" s="129"/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0</v>
      </c>
      <c r="K3666" s="129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on track</v>
      </c>
      <c r="Q3666" s="3">
        <f ca="1">IF(Proc[[#This Row],[DateClosed]]="",ABS(NETWORKDAYS(Proc[[#This Row],[DateOpened]],TODAY()))-1,ABS(NETWORKDAYS(Proc[[#This Row],[DateOpened]],Proc[[#This Row],[DateClosed]]))-1)</f>
        <v>1</v>
      </c>
      <c r="R3666" s="131" t="s">
        <v>489</v>
      </c>
      <c r="S3666" s="129"/>
    </row>
    <row r="3667" spans="1:19">
      <c r="A3667" s="135" t="s">
        <v>5780</v>
      </c>
      <c r="B3667" s="129" t="str">
        <f>IFERROR(VLOOKUP(Proc[[#This Row],[App]],Table2[],3,0),"open")</f>
        <v>open</v>
      </c>
      <c r="C3667" s="135" t="s">
        <v>404</v>
      </c>
      <c r="D3667" t="s">
        <v>5787</v>
      </c>
      <c r="E3667" t="s">
        <v>5810</v>
      </c>
      <c r="F3667" s="129"/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0</v>
      </c>
      <c r="K3667" s="129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on track</v>
      </c>
      <c r="Q3667" s="3">
        <f ca="1">IF(Proc[[#This Row],[DateClosed]]="",ABS(NETWORKDAYS(Proc[[#This Row],[DateOpened]],TODAY()))-1,ABS(NETWORKDAYS(Proc[[#This Row],[DateOpened]],Proc[[#This Row],[DateClosed]]))-1)</f>
        <v>1</v>
      </c>
      <c r="R3667" s="131" t="s">
        <v>489</v>
      </c>
      <c r="S3667" s="129"/>
    </row>
    <row r="3668" spans="1:19">
      <c r="A3668" s="135" t="s">
        <v>5780</v>
      </c>
      <c r="B3668" s="129" t="str">
        <f>IFERROR(VLOOKUP(Proc[[#This Row],[App]],Table2[],3,0),"open")</f>
        <v>open</v>
      </c>
      <c r="C3668" s="135" t="s">
        <v>404</v>
      </c>
      <c r="D3668" t="s">
        <v>5788</v>
      </c>
      <c r="E3668" t="s">
        <v>5811</v>
      </c>
      <c r="F3668" s="129"/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0</v>
      </c>
      <c r="K3668" s="129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on track</v>
      </c>
      <c r="Q3668" s="3">
        <f ca="1">IF(Proc[[#This Row],[DateClosed]]="",ABS(NETWORKDAYS(Proc[[#This Row],[DateOpened]],TODAY()))-1,ABS(NETWORKDAYS(Proc[[#This Row],[DateOpened]],Proc[[#This Row],[DateClosed]]))-1)</f>
        <v>1</v>
      </c>
      <c r="R3668" s="131" t="s">
        <v>489</v>
      </c>
      <c r="S3668" s="129"/>
    </row>
    <row r="3669" spans="1:19">
      <c r="A3669" s="135" t="s">
        <v>5780</v>
      </c>
      <c r="B3669" s="129" t="str">
        <f>IFERROR(VLOOKUP(Proc[[#This Row],[App]],Table2[],3,0),"open")</f>
        <v>open</v>
      </c>
      <c r="C3669" s="135" t="s">
        <v>404</v>
      </c>
      <c r="D3669" t="s">
        <v>5789</v>
      </c>
      <c r="E3669" t="s">
        <v>5811</v>
      </c>
      <c r="F3669" s="129"/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0</v>
      </c>
      <c r="K3669" s="129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on track</v>
      </c>
      <c r="Q3669" s="3">
        <f ca="1">IF(Proc[[#This Row],[DateClosed]]="",ABS(NETWORKDAYS(Proc[[#This Row],[DateOpened]],TODAY()))-1,ABS(NETWORKDAYS(Proc[[#This Row],[DateOpened]],Proc[[#This Row],[DateClosed]]))-1)</f>
        <v>1</v>
      </c>
      <c r="R3669" s="131" t="s">
        <v>489</v>
      </c>
      <c r="S3669" s="129"/>
    </row>
    <row r="3670" spans="1:19">
      <c r="A3670" s="135" t="s">
        <v>5780</v>
      </c>
      <c r="B3670" s="129" t="str">
        <f>IFERROR(VLOOKUP(Proc[[#This Row],[App]],Table2[],3,0),"open")</f>
        <v>open</v>
      </c>
      <c r="C3670" s="135" t="s">
        <v>404</v>
      </c>
      <c r="D3670" t="s">
        <v>5790</v>
      </c>
      <c r="E3670" t="s">
        <v>5812</v>
      </c>
      <c r="F3670" s="129"/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0</v>
      </c>
      <c r="K3670" s="129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on track</v>
      </c>
      <c r="Q3670" s="3">
        <f ca="1">IF(Proc[[#This Row],[DateClosed]]="",ABS(NETWORKDAYS(Proc[[#This Row],[DateOpened]],TODAY()))-1,ABS(NETWORKDAYS(Proc[[#This Row],[DateOpened]],Proc[[#This Row],[DateClosed]]))-1)</f>
        <v>1</v>
      </c>
      <c r="R3670" s="131" t="s">
        <v>489</v>
      </c>
      <c r="S3670" s="129"/>
    </row>
    <row r="3671" spans="1:19">
      <c r="A3671" s="135" t="s">
        <v>5780</v>
      </c>
      <c r="B3671" s="129" t="str">
        <f>IFERROR(VLOOKUP(Proc[[#This Row],[App]],Table2[],3,0),"open")</f>
        <v>open</v>
      </c>
      <c r="C3671" s="135" t="s">
        <v>404</v>
      </c>
      <c r="D3671" t="s">
        <v>5791</v>
      </c>
      <c r="E3671" t="s">
        <v>5813</v>
      </c>
      <c r="F3671" s="129"/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0</v>
      </c>
      <c r="K3671" s="129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on track</v>
      </c>
      <c r="Q3671" s="3">
        <f ca="1">IF(Proc[[#This Row],[DateClosed]]="",ABS(NETWORKDAYS(Proc[[#This Row],[DateOpened]],TODAY()))-1,ABS(NETWORKDAYS(Proc[[#This Row],[DateOpened]],Proc[[#This Row],[DateClosed]]))-1)</f>
        <v>1</v>
      </c>
      <c r="R3671" s="131" t="s">
        <v>489</v>
      </c>
      <c r="S3671" s="129"/>
    </row>
    <row r="3672" spans="1:19">
      <c r="A3672" s="135" t="s">
        <v>5780</v>
      </c>
      <c r="B3672" s="129" t="str">
        <f>IFERROR(VLOOKUP(Proc[[#This Row],[App]],Table2[],3,0),"open")</f>
        <v>open</v>
      </c>
      <c r="C3672" s="135" t="s">
        <v>404</v>
      </c>
      <c r="D3672" t="s">
        <v>5792</v>
      </c>
      <c r="E3672" t="s">
        <v>4386</v>
      </c>
      <c r="F3672" s="129"/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0</v>
      </c>
      <c r="K3672" s="129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on track</v>
      </c>
      <c r="Q3672" s="3">
        <f ca="1">IF(Proc[[#This Row],[DateClosed]]="",ABS(NETWORKDAYS(Proc[[#This Row],[DateOpened]],TODAY()))-1,ABS(NETWORKDAYS(Proc[[#This Row],[DateOpened]],Proc[[#This Row],[DateClosed]]))-1)</f>
        <v>1</v>
      </c>
      <c r="R3672" s="131" t="s">
        <v>489</v>
      </c>
      <c r="S3672" s="129"/>
    </row>
    <row r="3673" spans="1:19">
      <c r="A3673" s="135" t="s">
        <v>5780</v>
      </c>
      <c r="B3673" s="129" t="str">
        <f>IFERROR(VLOOKUP(Proc[[#This Row],[App]],Table2[],3,0),"open")</f>
        <v>open</v>
      </c>
      <c r="C3673" s="135" t="s">
        <v>404</v>
      </c>
      <c r="D3673" t="s">
        <v>3091</v>
      </c>
      <c r="E3673" t="s">
        <v>5814</v>
      </c>
      <c r="F3673" s="129"/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0</v>
      </c>
      <c r="K3673" s="129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on track</v>
      </c>
      <c r="Q3673" s="3">
        <f ca="1">IF(Proc[[#This Row],[DateClosed]]="",ABS(NETWORKDAYS(Proc[[#This Row],[DateOpened]],TODAY()))-1,ABS(NETWORKDAYS(Proc[[#This Row],[DateOpened]],Proc[[#This Row],[DateClosed]]))-1)</f>
        <v>1</v>
      </c>
      <c r="R3673" s="131" t="s">
        <v>489</v>
      </c>
      <c r="S3673" s="129"/>
    </row>
    <row r="3674" spans="1:19">
      <c r="A3674" s="135" t="s">
        <v>5780</v>
      </c>
      <c r="B3674" s="129" t="str">
        <f>IFERROR(VLOOKUP(Proc[[#This Row],[App]],Table2[],3,0),"open")</f>
        <v>open</v>
      </c>
      <c r="C3674" s="135" t="s">
        <v>404</v>
      </c>
      <c r="D3674" t="s">
        <v>5793</v>
      </c>
      <c r="E3674" t="s">
        <v>5815</v>
      </c>
      <c r="F3674" s="129"/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0</v>
      </c>
      <c r="K3674" s="129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on track</v>
      </c>
      <c r="Q3674" s="3">
        <f ca="1">IF(Proc[[#This Row],[DateClosed]]="",ABS(NETWORKDAYS(Proc[[#This Row],[DateOpened]],TODAY()))-1,ABS(NETWORKDAYS(Proc[[#This Row],[DateOpened]],Proc[[#This Row],[DateClosed]]))-1)</f>
        <v>1</v>
      </c>
      <c r="R3674" s="131" t="s">
        <v>489</v>
      </c>
      <c r="S3674" s="129"/>
    </row>
    <row r="3675" spans="1:19">
      <c r="A3675" s="135" t="s">
        <v>5780</v>
      </c>
      <c r="B3675" s="129" t="str">
        <f>IFERROR(VLOOKUP(Proc[[#This Row],[App]],Table2[],3,0),"open")</f>
        <v>open</v>
      </c>
      <c r="C3675" s="135" t="s">
        <v>404</v>
      </c>
      <c r="D3675" t="s">
        <v>5794</v>
      </c>
      <c r="E3675" t="s">
        <v>3545</v>
      </c>
      <c r="F3675" s="129"/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0</v>
      </c>
      <c r="K3675" s="129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on track</v>
      </c>
      <c r="Q3675" s="3">
        <f ca="1">IF(Proc[[#This Row],[DateClosed]]="",ABS(NETWORKDAYS(Proc[[#This Row],[DateOpened]],TODAY()))-1,ABS(NETWORKDAYS(Proc[[#This Row],[DateOpened]],Proc[[#This Row],[DateClosed]]))-1)</f>
        <v>1</v>
      </c>
      <c r="R3675" s="131" t="s">
        <v>489</v>
      </c>
      <c r="S3675" s="129"/>
    </row>
    <row r="3676" spans="1:19">
      <c r="A3676" s="135" t="s">
        <v>5780</v>
      </c>
      <c r="B3676" s="129" t="str">
        <f>IFERROR(VLOOKUP(Proc[[#This Row],[App]],Table2[],3,0),"open")</f>
        <v>open</v>
      </c>
      <c r="C3676" s="135" t="s">
        <v>404</v>
      </c>
      <c r="D3676" t="s">
        <v>5795</v>
      </c>
      <c r="E3676" t="s">
        <v>3545</v>
      </c>
      <c r="F3676" s="129"/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0</v>
      </c>
      <c r="K3676" s="129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on track</v>
      </c>
      <c r="Q3676" s="3">
        <f ca="1">IF(Proc[[#This Row],[DateClosed]]="",ABS(NETWORKDAYS(Proc[[#This Row],[DateOpened]],TODAY()))-1,ABS(NETWORKDAYS(Proc[[#This Row],[DateOpened]],Proc[[#This Row],[DateClosed]]))-1)</f>
        <v>1</v>
      </c>
      <c r="R3676" s="131" t="s">
        <v>489</v>
      </c>
      <c r="S3676" s="129"/>
    </row>
    <row r="3677" spans="1:19">
      <c r="A3677" s="135" t="s">
        <v>5780</v>
      </c>
      <c r="B3677" s="129" t="str">
        <f>IFERROR(VLOOKUP(Proc[[#This Row],[App]],Table2[],3,0),"open")</f>
        <v>open</v>
      </c>
      <c r="C3677" s="135" t="s">
        <v>404</v>
      </c>
      <c r="D3677" t="s">
        <v>5796</v>
      </c>
      <c r="E3677" t="s">
        <v>3545</v>
      </c>
      <c r="F3677" s="129"/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0</v>
      </c>
      <c r="K3677" s="129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on track</v>
      </c>
      <c r="Q3677" s="3">
        <f ca="1">IF(Proc[[#This Row],[DateClosed]]="",ABS(NETWORKDAYS(Proc[[#This Row],[DateOpened]],TODAY()))-1,ABS(NETWORKDAYS(Proc[[#This Row],[DateOpened]],Proc[[#This Row],[DateClosed]]))-1)</f>
        <v>1</v>
      </c>
      <c r="R3677" s="131" t="s">
        <v>489</v>
      </c>
      <c r="S3677" s="129"/>
    </row>
    <row r="3678" spans="1:19">
      <c r="A3678" s="135" t="s">
        <v>5780</v>
      </c>
      <c r="B3678" s="129" t="str">
        <f>IFERROR(VLOOKUP(Proc[[#This Row],[App]],Table2[],3,0),"open")</f>
        <v>open</v>
      </c>
      <c r="C3678" s="135" t="s">
        <v>404</v>
      </c>
      <c r="D3678" t="s">
        <v>5797</v>
      </c>
      <c r="E3678" t="s">
        <v>5816</v>
      </c>
      <c r="F3678" s="129"/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0</v>
      </c>
      <c r="K3678" s="129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on track</v>
      </c>
      <c r="Q3678" s="3">
        <f ca="1">IF(Proc[[#This Row],[DateClosed]]="",ABS(NETWORKDAYS(Proc[[#This Row],[DateOpened]],TODAY()))-1,ABS(NETWORKDAYS(Proc[[#This Row],[DateOpened]],Proc[[#This Row],[DateClosed]]))-1)</f>
        <v>1</v>
      </c>
      <c r="R3678" s="131" t="s">
        <v>489</v>
      </c>
      <c r="S3678" s="129"/>
    </row>
    <row r="3679" spans="1:19">
      <c r="A3679" s="135" t="s">
        <v>5780</v>
      </c>
      <c r="B3679" s="129" t="str">
        <f>IFERROR(VLOOKUP(Proc[[#This Row],[App]],Table2[],3,0),"open")</f>
        <v>open</v>
      </c>
      <c r="C3679" s="135" t="s">
        <v>404</v>
      </c>
      <c r="D3679" t="s">
        <v>5798</v>
      </c>
      <c r="E3679" t="s">
        <v>5816</v>
      </c>
      <c r="F3679" s="129"/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0</v>
      </c>
      <c r="K3679" s="129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on track</v>
      </c>
      <c r="Q3679" s="3">
        <f ca="1">IF(Proc[[#This Row],[DateClosed]]="",ABS(NETWORKDAYS(Proc[[#This Row],[DateOpened]],TODAY()))-1,ABS(NETWORKDAYS(Proc[[#This Row],[DateOpened]],Proc[[#This Row],[DateClosed]]))-1)</f>
        <v>1</v>
      </c>
      <c r="R3679" s="131" t="s">
        <v>489</v>
      </c>
      <c r="S3679" s="129"/>
    </row>
    <row r="3680" spans="1:19">
      <c r="A3680" s="135" t="s">
        <v>5780</v>
      </c>
      <c r="B3680" s="129" t="str">
        <f>IFERROR(VLOOKUP(Proc[[#This Row],[App]],Table2[],3,0),"open")</f>
        <v>open</v>
      </c>
      <c r="C3680" s="135" t="s">
        <v>404</v>
      </c>
      <c r="D3680" t="s">
        <v>3481</v>
      </c>
      <c r="E3680" t="s">
        <v>3545</v>
      </c>
      <c r="F3680" s="129"/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0</v>
      </c>
      <c r="K3680" s="129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on track</v>
      </c>
      <c r="Q3680" s="3">
        <f ca="1">IF(Proc[[#This Row],[DateClosed]]="",ABS(NETWORKDAYS(Proc[[#This Row],[DateOpened]],TODAY()))-1,ABS(NETWORKDAYS(Proc[[#This Row],[DateOpened]],Proc[[#This Row],[DateClosed]]))-1)</f>
        <v>1</v>
      </c>
      <c r="R3680" s="131" t="s">
        <v>489</v>
      </c>
      <c r="S3680" s="129"/>
    </row>
    <row r="3681" spans="1:19">
      <c r="A3681" s="135" t="s">
        <v>5780</v>
      </c>
      <c r="B3681" s="129" t="str">
        <f>IFERROR(VLOOKUP(Proc[[#This Row],[App]],Table2[],3,0),"open")</f>
        <v>open</v>
      </c>
      <c r="C3681" s="135" t="s">
        <v>404</v>
      </c>
      <c r="D3681" t="s">
        <v>3490</v>
      </c>
      <c r="E3681" t="s">
        <v>3528</v>
      </c>
      <c r="F3681" s="129"/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0</v>
      </c>
      <c r="K3681" s="129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on track</v>
      </c>
      <c r="Q3681" s="3">
        <f ca="1">IF(Proc[[#This Row],[DateClosed]]="",ABS(NETWORKDAYS(Proc[[#This Row],[DateOpened]],TODAY()))-1,ABS(NETWORKDAYS(Proc[[#This Row],[DateOpened]],Proc[[#This Row],[DateClosed]]))-1)</f>
        <v>1</v>
      </c>
      <c r="R3681" s="131" t="s">
        <v>489</v>
      </c>
      <c r="S3681" s="129"/>
    </row>
    <row r="3682" spans="1:19">
      <c r="A3682" s="135" t="s">
        <v>5780</v>
      </c>
      <c r="B3682" s="129" t="str">
        <f>IFERROR(VLOOKUP(Proc[[#This Row],[App]],Table2[],3,0),"open")</f>
        <v>open</v>
      </c>
      <c r="C3682" s="135" t="s">
        <v>404</v>
      </c>
      <c r="D3682" t="s">
        <v>5799</v>
      </c>
      <c r="E3682" t="s">
        <v>3545</v>
      </c>
      <c r="F3682" s="129"/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0</v>
      </c>
      <c r="K3682" s="129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on track</v>
      </c>
      <c r="Q3682" s="3">
        <f ca="1">IF(Proc[[#This Row],[DateClosed]]="",ABS(NETWORKDAYS(Proc[[#This Row],[DateOpened]],TODAY()))-1,ABS(NETWORKDAYS(Proc[[#This Row],[DateOpened]],Proc[[#This Row],[DateClosed]]))-1)</f>
        <v>1</v>
      </c>
      <c r="R3682" s="131" t="s">
        <v>489</v>
      </c>
      <c r="S3682" s="129"/>
    </row>
    <row r="3683" spans="1:19">
      <c r="A3683" s="135" t="s">
        <v>5780</v>
      </c>
      <c r="B3683" s="129" t="str">
        <f>IFERROR(VLOOKUP(Proc[[#This Row],[App]],Table2[],3,0),"open")</f>
        <v>open</v>
      </c>
      <c r="C3683" s="135" t="s">
        <v>404</v>
      </c>
      <c r="D3683" t="s">
        <v>5800</v>
      </c>
      <c r="E3683" t="s">
        <v>3528</v>
      </c>
      <c r="F3683" s="129"/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0</v>
      </c>
      <c r="K3683" s="129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on track</v>
      </c>
      <c r="Q3683" s="3">
        <f ca="1">IF(Proc[[#This Row],[DateClosed]]="",ABS(NETWORKDAYS(Proc[[#This Row],[DateOpened]],TODAY()))-1,ABS(NETWORKDAYS(Proc[[#This Row],[DateOpened]],Proc[[#This Row],[DateClosed]]))-1)</f>
        <v>1</v>
      </c>
      <c r="R3683" s="131" t="s">
        <v>489</v>
      </c>
      <c r="S3683" s="129"/>
    </row>
    <row r="3684" spans="1:19">
      <c r="A3684" s="135" t="s">
        <v>5780</v>
      </c>
      <c r="B3684" s="129" t="str">
        <f>IFERROR(VLOOKUP(Proc[[#This Row],[App]],Table2[],3,0),"open")</f>
        <v>open</v>
      </c>
      <c r="C3684" s="135" t="s">
        <v>404</v>
      </c>
      <c r="D3684" t="s">
        <v>5801</v>
      </c>
      <c r="E3684" t="s">
        <v>3528</v>
      </c>
      <c r="F3684" s="129"/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0</v>
      </c>
      <c r="K3684" s="129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on track</v>
      </c>
      <c r="Q3684" s="3">
        <f ca="1">IF(Proc[[#This Row],[DateClosed]]="",ABS(NETWORKDAYS(Proc[[#This Row],[DateOpened]],TODAY()))-1,ABS(NETWORKDAYS(Proc[[#This Row],[DateOpened]],Proc[[#This Row],[DateClosed]]))-1)</f>
        <v>1</v>
      </c>
      <c r="R3684" s="131" t="s">
        <v>489</v>
      </c>
      <c r="S3684" s="129"/>
    </row>
    <row r="3685" spans="1:19">
      <c r="A3685" s="135" t="s">
        <v>5780</v>
      </c>
      <c r="B3685" s="129" t="str">
        <f>IFERROR(VLOOKUP(Proc[[#This Row],[App]],Table2[],3,0),"open")</f>
        <v>open</v>
      </c>
      <c r="C3685" s="135" t="s">
        <v>404</v>
      </c>
      <c r="D3685" t="s">
        <v>5802</v>
      </c>
      <c r="E3685" t="s">
        <v>5817</v>
      </c>
      <c r="F3685" s="129"/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0</v>
      </c>
      <c r="K3685" s="129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on track</v>
      </c>
      <c r="Q3685" s="3">
        <f ca="1">IF(Proc[[#This Row],[DateClosed]]="",ABS(NETWORKDAYS(Proc[[#This Row],[DateOpened]],TODAY()))-1,ABS(NETWORKDAYS(Proc[[#This Row],[DateOpened]],Proc[[#This Row],[DateClosed]]))-1)</f>
        <v>1</v>
      </c>
      <c r="R3685" s="131" t="s">
        <v>489</v>
      </c>
      <c r="S3685" s="129"/>
    </row>
    <row r="3686" spans="1:19">
      <c r="A3686" s="135" t="s">
        <v>5780</v>
      </c>
      <c r="B3686" s="129" t="str">
        <f>IFERROR(VLOOKUP(Proc[[#This Row],[App]],Table2[],3,0),"open")</f>
        <v>open</v>
      </c>
      <c r="C3686" s="135" t="s">
        <v>404</v>
      </c>
      <c r="D3686" t="s">
        <v>5803</v>
      </c>
      <c r="E3686" t="s">
        <v>5818</v>
      </c>
      <c r="F3686" s="129"/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0</v>
      </c>
      <c r="K3686" s="129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on track</v>
      </c>
      <c r="Q3686" s="3">
        <f ca="1">IF(Proc[[#This Row],[DateClosed]]="",ABS(NETWORKDAYS(Proc[[#This Row],[DateOpened]],TODAY()))-1,ABS(NETWORKDAYS(Proc[[#This Row],[DateOpened]],Proc[[#This Row],[DateClosed]]))-1)</f>
        <v>1</v>
      </c>
      <c r="R3686" s="131" t="s">
        <v>489</v>
      </c>
      <c r="S3686" s="129"/>
    </row>
    <row r="3687" spans="1:19">
      <c r="A3687" s="135" t="s">
        <v>5780</v>
      </c>
      <c r="B3687" s="129" t="str">
        <f>IFERROR(VLOOKUP(Proc[[#This Row],[App]],Table2[],3,0),"open")</f>
        <v>open</v>
      </c>
      <c r="C3687" s="135" t="s">
        <v>404</v>
      </c>
      <c r="D3687" t="s">
        <v>5804</v>
      </c>
      <c r="E3687" t="s">
        <v>5818</v>
      </c>
      <c r="F3687" s="129"/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0</v>
      </c>
      <c r="K3687" s="129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on track</v>
      </c>
      <c r="Q3687" s="3">
        <f ca="1">IF(Proc[[#This Row],[DateClosed]]="",ABS(NETWORKDAYS(Proc[[#This Row],[DateOpened]],TODAY()))-1,ABS(NETWORKDAYS(Proc[[#This Row],[DateOpened]],Proc[[#This Row],[DateClosed]]))-1)</f>
        <v>1</v>
      </c>
      <c r="R3687" s="131" t="s">
        <v>489</v>
      </c>
      <c r="S3687" s="129"/>
    </row>
    <row r="3688" spans="1:19">
      <c r="A3688" s="135" t="s">
        <v>5780</v>
      </c>
      <c r="B3688" s="129" t="str">
        <f>IFERROR(VLOOKUP(Proc[[#This Row],[App]],Table2[],3,0),"open")</f>
        <v>open</v>
      </c>
      <c r="C3688" s="135" t="s">
        <v>404</v>
      </c>
      <c r="D3688" t="s">
        <v>5805</v>
      </c>
      <c r="E3688" t="s">
        <v>5819</v>
      </c>
      <c r="F3688" s="129"/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0</v>
      </c>
      <c r="K3688" s="129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on track</v>
      </c>
      <c r="Q3688" s="3">
        <f ca="1">IF(Proc[[#This Row],[DateClosed]]="",ABS(NETWORKDAYS(Proc[[#This Row],[DateOpened]],TODAY()))-1,ABS(NETWORKDAYS(Proc[[#This Row],[DateOpened]],Proc[[#This Row],[DateClosed]]))-1)</f>
        <v>1</v>
      </c>
      <c r="R3688" s="131" t="s">
        <v>489</v>
      </c>
      <c r="S3688" s="129"/>
    </row>
    <row r="3689" spans="1:19">
      <c r="A3689" s="135" t="s">
        <v>5780</v>
      </c>
      <c r="B3689" s="129" t="str">
        <f>IFERROR(VLOOKUP(Proc[[#This Row],[App]],Table2[],3,0),"open")</f>
        <v>open</v>
      </c>
      <c r="C3689" s="135" t="s">
        <v>404</v>
      </c>
      <c r="D3689" t="s">
        <v>5806</v>
      </c>
      <c r="E3689" t="s">
        <v>1236</v>
      </c>
      <c r="F3689" s="129"/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0</v>
      </c>
      <c r="K3689" s="129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on track</v>
      </c>
      <c r="Q3689" s="3">
        <f ca="1">IF(Proc[[#This Row],[DateClosed]]="",ABS(NETWORKDAYS(Proc[[#This Row],[DateOpened]],TODAY()))-1,ABS(NETWORKDAYS(Proc[[#This Row],[DateOpened]],Proc[[#This Row],[DateClosed]]))-1)</f>
        <v>1</v>
      </c>
      <c r="R3689" s="131" t="s">
        <v>489</v>
      </c>
      <c r="S3689" s="129"/>
    </row>
    <row r="3690" spans="1:19">
      <c r="A3690" s="135" t="s">
        <v>5780</v>
      </c>
      <c r="B3690" s="129" t="str">
        <f>IFERROR(VLOOKUP(Proc[[#This Row],[App]],Table2[],3,0),"open")</f>
        <v>open</v>
      </c>
      <c r="C3690" s="135" t="s">
        <v>404</v>
      </c>
      <c r="D3690" t="s">
        <v>2061</v>
      </c>
      <c r="E3690" t="s">
        <v>5820</v>
      </c>
      <c r="F3690" s="129"/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0</v>
      </c>
      <c r="K3690" s="129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on track</v>
      </c>
      <c r="Q3690" s="3">
        <f ca="1">IF(Proc[[#This Row],[DateClosed]]="",ABS(NETWORKDAYS(Proc[[#This Row],[DateOpened]],TODAY()))-1,ABS(NETWORKDAYS(Proc[[#This Row],[DateOpened]],Proc[[#This Row],[DateClosed]]))-1)</f>
        <v>1</v>
      </c>
      <c r="R3690" s="131" t="s">
        <v>489</v>
      </c>
      <c r="S3690" s="129"/>
    </row>
    <row r="3691" spans="1:19" hidden="1">
      <c r="A3691" s="135" t="s">
        <v>5780</v>
      </c>
      <c r="B3691" s="129" t="str">
        <f>IFERROR(VLOOKUP(Proc[[#This Row],[App]],Table2[],3,0),"open")</f>
        <v>open</v>
      </c>
      <c r="C3691" s="135" t="s">
        <v>404</v>
      </c>
      <c r="D3691" t="s">
        <v>3551</v>
      </c>
      <c r="E3691" t="s">
        <v>3557</v>
      </c>
      <c r="F3691" s="129"/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0</v>
      </c>
      <c r="K3691" s="129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on track</v>
      </c>
      <c r="Q3691" s="3">
        <f ca="1">IF(Proc[[#This Row],[DateClosed]]="",ABS(NETWORKDAYS(Proc[[#This Row],[DateOpened]],TODAY()))-1,ABS(NETWORKDAYS(Proc[[#This Row],[DateOpened]],Proc[[#This Row],[DateClosed]]))-1)</f>
        <v>1</v>
      </c>
      <c r="R3691" s="131" t="s">
        <v>489</v>
      </c>
      <c r="S3691" s="129"/>
    </row>
    <row r="3692" spans="1:19" hidden="1">
      <c r="A3692" s="135" t="s">
        <v>5780</v>
      </c>
      <c r="B3692" s="129" t="str">
        <f>IFERROR(VLOOKUP(Proc[[#This Row],[App]],Table2[],3,0),"open")</f>
        <v>open</v>
      </c>
      <c r="C3692" s="135" t="s">
        <v>404</v>
      </c>
      <c r="D3692" t="s">
        <v>5807</v>
      </c>
      <c r="E3692" t="s">
        <v>3557</v>
      </c>
      <c r="F3692" s="129"/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0</v>
      </c>
      <c r="K3692" s="129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on track</v>
      </c>
      <c r="Q3692" s="3">
        <f ca="1">IF(Proc[[#This Row],[DateClosed]]="",ABS(NETWORKDAYS(Proc[[#This Row],[DateOpened]],TODAY()))-1,ABS(NETWORKDAYS(Proc[[#This Row],[DateOpened]],Proc[[#This Row],[DateClosed]]))-1)</f>
        <v>1</v>
      </c>
      <c r="R3692" s="131" t="s">
        <v>489</v>
      </c>
      <c r="S3692" s="129"/>
    </row>
    <row r="3693" spans="1:19" hidden="1">
      <c r="A3693" s="135" t="s">
        <v>5780</v>
      </c>
      <c r="B3693" s="129" t="str">
        <f>IFERROR(VLOOKUP(Proc[[#This Row],[App]],Table2[],3,0),"open")</f>
        <v>open</v>
      </c>
      <c r="C3693" s="135" t="s">
        <v>404</v>
      </c>
      <c r="D3693" t="s">
        <v>2057</v>
      </c>
      <c r="E3693" t="s">
        <v>3557</v>
      </c>
      <c r="F3693" s="129"/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0</v>
      </c>
      <c r="K3693" s="129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on track</v>
      </c>
      <c r="Q3693" s="3">
        <f ca="1">IF(Proc[[#This Row],[DateClosed]]="",ABS(NETWORKDAYS(Proc[[#This Row],[DateOpened]],TODAY()))-1,ABS(NETWORKDAYS(Proc[[#This Row],[DateOpened]],Proc[[#This Row],[DateClosed]]))-1)</f>
        <v>1</v>
      </c>
      <c r="R3693" s="131" t="s">
        <v>489</v>
      </c>
      <c r="S3693" s="129"/>
    </row>
    <row r="3694" spans="1:19">
      <c r="A3694" s="135" t="s">
        <v>5780</v>
      </c>
      <c r="B3694" s="129" t="str">
        <f>IFERROR(VLOOKUP(Proc[[#This Row],[App]],Table2[],3,0),"open")</f>
        <v>open</v>
      </c>
      <c r="C3694" s="135" t="s">
        <v>404</v>
      </c>
      <c r="D3694" t="s">
        <v>2060</v>
      </c>
      <c r="E3694" t="s">
        <v>3557</v>
      </c>
      <c r="F3694" s="129"/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0</v>
      </c>
      <c r="K3694" s="129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on track</v>
      </c>
      <c r="Q3694" s="3">
        <f ca="1">IF(Proc[[#This Row],[DateClosed]]="",ABS(NETWORKDAYS(Proc[[#This Row],[DateOpened]],TODAY()))-1,ABS(NETWORKDAYS(Proc[[#This Row],[DateOpened]],Proc[[#This Row],[DateClosed]]))-1)</f>
        <v>1</v>
      </c>
      <c r="R3694" s="131" t="s">
        <v>489</v>
      </c>
      <c r="S3694" s="129"/>
    </row>
    <row r="3695" spans="1:19">
      <c r="A3695" s="135" t="s">
        <v>5780</v>
      </c>
      <c r="B3695" s="129" t="str">
        <f>IFERROR(VLOOKUP(Proc[[#This Row],[App]],Table2[],3,0),"open")</f>
        <v>open</v>
      </c>
      <c r="C3695" s="135" t="s">
        <v>404</v>
      </c>
      <c r="D3695" t="s">
        <v>2058</v>
      </c>
      <c r="E3695" t="s">
        <v>3557</v>
      </c>
      <c r="F3695" s="129"/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0</v>
      </c>
      <c r="K3695" s="129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on track</v>
      </c>
      <c r="Q3695" s="3">
        <f ca="1">IF(Proc[[#This Row],[DateClosed]]="",ABS(NETWORKDAYS(Proc[[#This Row],[DateOpened]],TODAY()))-1,ABS(NETWORKDAYS(Proc[[#This Row],[DateOpened]],Proc[[#This Row],[DateClosed]]))-1)</f>
        <v>1</v>
      </c>
      <c r="R3695" s="131" t="s">
        <v>489</v>
      </c>
      <c r="S3695" s="129"/>
    </row>
    <row r="3696" spans="1:19" hidden="1">
      <c r="A3696" t="s">
        <v>5821</v>
      </c>
      <c r="B3696" s="129" t="s">
        <v>925</v>
      </c>
      <c r="C3696" s="135" t="s">
        <v>404</v>
      </c>
      <c r="D3696" t="s">
        <v>5822</v>
      </c>
      <c r="E3696" t="s">
        <v>5854</v>
      </c>
      <c r="F3696" s="129"/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0</v>
      </c>
      <c r="K3696" s="129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on track</v>
      </c>
      <c r="Q3696" s="3">
        <f ca="1">IF(Proc[[#This Row],[DateClosed]]="",ABS(NETWORKDAYS(Proc[[#This Row],[DateOpened]],TODAY()))-1,ABS(NETWORKDAYS(Proc[[#This Row],[DateOpened]],Proc[[#This Row],[DateClosed]]))-1)</f>
        <v>0</v>
      </c>
      <c r="R3696" s="131" t="s">
        <v>489</v>
      </c>
      <c r="S3696" s="129"/>
    </row>
    <row r="3697" spans="1:19">
      <c r="A3697" s="135" t="s">
        <v>5821</v>
      </c>
      <c r="B3697" s="129" t="s">
        <v>925</v>
      </c>
      <c r="C3697" s="135" t="s">
        <v>404</v>
      </c>
      <c r="D3697" t="s">
        <v>5823</v>
      </c>
      <c r="E3697" t="s">
        <v>5854</v>
      </c>
      <c r="F3697" s="129"/>
      <c r="G3697" s="135" t="s">
        <v>400</v>
      </c>
      <c r="H3697" s="129"/>
      <c r="J3697" s="129" t="b">
        <f>Proc[[#This Row],[Requested]]=Proc[[#This Row],[CurrentParent]]</f>
        <v>0</v>
      </c>
      <c r="K3697" s="129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on track</v>
      </c>
      <c r="Q3697" s="3">
        <f ca="1">IF(Proc[[#This Row],[DateClosed]]="",ABS(NETWORKDAYS(Proc[[#This Row],[DateOpened]],TODAY()))-1,ABS(NETWORKDAYS(Proc[[#This Row],[DateOpened]],Proc[[#This Row],[DateClosed]]))-1)</f>
        <v>0</v>
      </c>
      <c r="R3697" s="131" t="s">
        <v>489</v>
      </c>
      <c r="S3697" s="129"/>
    </row>
    <row r="3698" spans="1:19">
      <c r="A3698" s="135" t="s">
        <v>5821</v>
      </c>
      <c r="B3698" s="129" t="s">
        <v>925</v>
      </c>
      <c r="C3698" s="135" t="s">
        <v>404</v>
      </c>
      <c r="D3698" t="s">
        <v>5824</v>
      </c>
      <c r="E3698" t="s">
        <v>5855</v>
      </c>
      <c r="F3698" s="129"/>
      <c r="G3698" s="135" t="s">
        <v>400</v>
      </c>
      <c r="H3698" s="129"/>
      <c r="J3698" s="129" t="b">
        <f>Proc[[#This Row],[Requested]]=Proc[[#This Row],[CurrentParent]]</f>
        <v>0</v>
      </c>
      <c r="K3698" s="129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on track</v>
      </c>
      <c r="Q3698" s="3">
        <f ca="1">IF(Proc[[#This Row],[DateClosed]]="",ABS(NETWORKDAYS(Proc[[#This Row],[DateOpened]],TODAY()))-1,ABS(NETWORKDAYS(Proc[[#This Row],[DateOpened]],Proc[[#This Row],[DateClosed]]))-1)</f>
        <v>0</v>
      </c>
      <c r="R3698" s="131" t="s">
        <v>489</v>
      </c>
      <c r="S3698" s="129"/>
    </row>
    <row r="3699" spans="1:19">
      <c r="A3699" s="135" t="s">
        <v>5821</v>
      </c>
      <c r="B3699" s="129" t="s">
        <v>925</v>
      </c>
      <c r="C3699" s="135" t="s">
        <v>404</v>
      </c>
      <c r="D3699" t="s">
        <v>5825</v>
      </c>
      <c r="E3699" t="s">
        <v>5856</v>
      </c>
      <c r="F3699" s="129"/>
      <c r="G3699" s="135" t="s">
        <v>400</v>
      </c>
      <c r="H3699" s="129"/>
      <c r="J3699" s="129" t="b">
        <f>Proc[[#This Row],[Requested]]=Proc[[#This Row],[CurrentParent]]</f>
        <v>0</v>
      </c>
      <c r="K3699" s="129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on track</v>
      </c>
      <c r="Q3699" s="3">
        <f ca="1">IF(Proc[[#This Row],[DateClosed]]="",ABS(NETWORKDAYS(Proc[[#This Row],[DateOpened]],TODAY()))-1,ABS(NETWORKDAYS(Proc[[#This Row],[DateOpened]],Proc[[#This Row],[DateClosed]]))-1)</f>
        <v>0</v>
      </c>
      <c r="R3699" s="131" t="s">
        <v>489</v>
      </c>
      <c r="S3699" s="129"/>
    </row>
    <row r="3700" spans="1:19">
      <c r="A3700" s="135" t="s">
        <v>5821</v>
      </c>
      <c r="B3700" s="129" t="s">
        <v>925</v>
      </c>
      <c r="C3700" s="135" t="s">
        <v>404</v>
      </c>
      <c r="D3700" t="s">
        <v>5826</v>
      </c>
      <c r="E3700" t="s">
        <v>5856</v>
      </c>
      <c r="F3700" s="129"/>
      <c r="G3700" s="135" t="s">
        <v>400</v>
      </c>
      <c r="H3700" s="129"/>
      <c r="J3700" s="129" t="b">
        <f>Proc[[#This Row],[Requested]]=Proc[[#This Row],[CurrentParent]]</f>
        <v>0</v>
      </c>
      <c r="K3700" s="129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on track</v>
      </c>
      <c r="Q3700" s="3">
        <f ca="1">IF(Proc[[#This Row],[DateClosed]]="",ABS(NETWORKDAYS(Proc[[#This Row],[DateOpened]],TODAY()))-1,ABS(NETWORKDAYS(Proc[[#This Row],[DateOpened]],Proc[[#This Row],[DateClosed]]))-1)</f>
        <v>0</v>
      </c>
      <c r="R3700" s="131" t="s">
        <v>489</v>
      </c>
      <c r="S3700" s="129"/>
    </row>
    <row r="3701" spans="1:19">
      <c r="A3701" s="135" t="s">
        <v>5821</v>
      </c>
      <c r="B3701" s="129" t="s">
        <v>925</v>
      </c>
      <c r="C3701" s="135" t="s">
        <v>404</v>
      </c>
      <c r="D3701" t="s">
        <v>5827</v>
      </c>
      <c r="E3701" t="s">
        <v>5856</v>
      </c>
      <c r="F3701" s="129"/>
      <c r="G3701" s="135" t="s">
        <v>400</v>
      </c>
      <c r="H3701" s="129"/>
      <c r="J3701" s="129" t="b">
        <f>Proc[[#This Row],[Requested]]=Proc[[#This Row],[CurrentParent]]</f>
        <v>0</v>
      </c>
      <c r="K3701" s="129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on track</v>
      </c>
      <c r="Q3701" s="3">
        <f ca="1">IF(Proc[[#This Row],[DateClosed]]="",ABS(NETWORKDAYS(Proc[[#This Row],[DateOpened]],TODAY()))-1,ABS(NETWORKDAYS(Proc[[#This Row],[DateOpened]],Proc[[#This Row],[DateClosed]]))-1)</f>
        <v>0</v>
      </c>
      <c r="R3701" s="131" t="s">
        <v>489</v>
      </c>
      <c r="S3701" s="129"/>
    </row>
    <row r="3702" spans="1:19">
      <c r="A3702" s="135" t="s">
        <v>5821</v>
      </c>
      <c r="B3702" s="129" t="s">
        <v>925</v>
      </c>
      <c r="C3702" s="135" t="s">
        <v>404</v>
      </c>
      <c r="D3702" t="s">
        <v>5828</v>
      </c>
      <c r="E3702" t="s">
        <v>5856</v>
      </c>
      <c r="F3702" s="129"/>
      <c r="G3702" s="135" t="s">
        <v>400</v>
      </c>
      <c r="H3702" s="129"/>
      <c r="J3702" s="129" t="b">
        <f>Proc[[#This Row],[Requested]]=Proc[[#This Row],[CurrentParent]]</f>
        <v>0</v>
      </c>
      <c r="K3702" s="129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on track</v>
      </c>
      <c r="Q3702" s="3">
        <f ca="1">IF(Proc[[#This Row],[DateClosed]]="",ABS(NETWORKDAYS(Proc[[#This Row],[DateOpened]],TODAY()))-1,ABS(NETWORKDAYS(Proc[[#This Row],[DateOpened]],Proc[[#This Row],[DateClosed]]))-1)</f>
        <v>0</v>
      </c>
      <c r="R3702" s="131" t="s">
        <v>489</v>
      </c>
      <c r="S3702" s="129"/>
    </row>
    <row r="3703" spans="1:19">
      <c r="A3703" s="135" t="s">
        <v>5821</v>
      </c>
      <c r="B3703" s="129" t="s">
        <v>925</v>
      </c>
      <c r="C3703" s="135" t="s">
        <v>404</v>
      </c>
      <c r="D3703" t="s">
        <v>5829</v>
      </c>
      <c r="E3703" t="s">
        <v>5856</v>
      </c>
      <c r="F3703" s="129"/>
      <c r="G3703" s="135" t="s">
        <v>400</v>
      </c>
      <c r="H3703" s="129"/>
      <c r="J3703" s="129" t="b">
        <f>Proc[[#This Row],[Requested]]=Proc[[#This Row],[CurrentParent]]</f>
        <v>0</v>
      </c>
      <c r="K3703" s="129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on track</v>
      </c>
      <c r="Q3703" s="3">
        <f ca="1">IF(Proc[[#This Row],[DateClosed]]="",ABS(NETWORKDAYS(Proc[[#This Row],[DateOpened]],TODAY()))-1,ABS(NETWORKDAYS(Proc[[#This Row],[DateOpened]],Proc[[#This Row],[DateClosed]]))-1)</f>
        <v>0</v>
      </c>
      <c r="R3703" s="131" t="s">
        <v>489</v>
      </c>
      <c r="S3703" s="129"/>
    </row>
    <row r="3704" spans="1:19">
      <c r="A3704" s="135" t="s">
        <v>5821</v>
      </c>
      <c r="B3704" s="129" t="s">
        <v>925</v>
      </c>
      <c r="C3704" s="135" t="s">
        <v>404</v>
      </c>
      <c r="D3704" t="s">
        <v>5830</v>
      </c>
      <c r="E3704" t="s">
        <v>5856</v>
      </c>
      <c r="F3704" s="129"/>
      <c r="G3704" s="135" t="s">
        <v>400</v>
      </c>
      <c r="H3704" s="129"/>
      <c r="J3704" s="129" t="b">
        <f>Proc[[#This Row],[Requested]]=Proc[[#This Row],[CurrentParent]]</f>
        <v>0</v>
      </c>
      <c r="K3704" s="129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on track</v>
      </c>
      <c r="Q3704" s="3">
        <f ca="1">IF(Proc[[#This Row],[DateClosed]]="",ABS(NETWORKDAYS(Proc[[#This Row],[DateOpened]],TODAY()))-1,ABS(NETWORKDAYS(Proc[[#This Row],[DateOpened]],Proc[[#This Row],[DateClosed]]))-1)</f>
        <v>0</v>
      </c>
      <c r="R3704" s="131" t="s">
        <v>489</v>
      </c>
      <c r="S3704" s="129"/>
    </row>
    <row r="3705" spans="1:19">
      <c r="A3705" s="135" t="s">
        <v>5821</v>
      </c>
      <c r="B3705" s="129" t="s">
        <v>925</v>
      </c>
      <c r="C3705" s="135" t="s">
        <v>404</v>
      </c>
      <c r="D3705" t="s">
        <v>5831</v>
      </c>
      <c r="E3705" t="s">
        <v>5856</v>
      </c>
      <c r="F3705" s="129"/>
      <c r="G3705" s="135" t="s">
        <v>400</v>
      </c>
      <c r="H3705" s="129"/>
      <c r="J3705" s="129" t="b">
        <f>Proc[[#This Row],[Requested]]=Proc[[#This Row],[CurrentParent]]</f>
        <v>0</v>
      </c>
      <c r="K3705" s="129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on track</v>
      </c>
      <c r="Q3705" s="3">
        <f ca="1">IF(Proc[[#This Row],[DateClosed]]="",ABS(NETWORKDAYS(Proc[[#This Row],[DateOpened]],TODAY()))-1,ABS(NETWORKDAYS(Proc[[#This Row],[DateOpened]],Proc[[#This Row],[DateClosed]]))-1)</f>
        <v>0</v>
      </c>
      <c r="R3705" s="131" t="s">
        <v>489</v>
      </c>
      <c r="S3705" s="129"/>
    </row>
    <row r="3706" spans="1:19">
      <c r="A3706" s="135" t="s">
        <v>5821</v>
      </c>
      <c r="B3706" s="129" t="s">
        <v>925</v>
      </c>
      <c r="C3706" s="135" t="s">
        <v>404</v>
      </c>
      <c r="D3706" t="s">
        <v>5832</v>
      </c>
      <c r="E3706" t="s">
        <v>5856</v>
      </c>
      <c r="F3706" s="129"/>
      <c r="G3706" s="135" t="s">
        <v>400</v>
      </c>
      <c r="H3706" s="129"/>
      <c r="J3706" s="129" t="b">
        <f>Proc[[#This Row],[Requested]]=Proc[[#This Row],[CurrentParent]]</f>
        <v>0</v>
      </c>
      <c r="K3706" s="129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on track</v>
      </c>
      <c r="Q3706" s="3">
        <f ca="1">IF(Proc[[#This Row],[DateClosed]]="",ABS(NETWORKDAYS(Proc[[#This Row],[DateOpened]],TODAY()))-1,ABS(NETWORKDAYS(Proc[[#This Row],[DateOpened]],Proc[[#This Row],[DateClosed]]))-1)</f>
        <v>0</v>
      </c>
      <c r="R3706" s="131" t="s">
        <v>489</v>
      </c>
      <c r="S3706" s="129"/>
    </row>
    <row r="3707" spans="1:19">
      <c r="A3707" s="135" t="s">
        <v>5821</v>
      </c>
      <c r="B3707" s="129" t="s">
        <v>925</v>
      </c>
      <c r="C3707" s="135" t="s">
        <v>404</v>
      </c>
      <c r="D3707" t="s">
        <v>5833</v>
      </c>
      <c r="E3707" t="s">
        <v>5856</v>
      </c>
      <c r="F3707" s="129"/>
      <c r="G3707" s="135" t="s">
        <v>400</v>
      </c>
      <c r="H3707" s="129"/>
      <c r="J3707" s="129" t="b">
        <f>Proc[[#This Row],[Requested]]=Proc[[#This Row],[CurrentParent]]</f>
        <v>0</v>
      </c>
      <c r="K3707" s="129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on track</v>
      </c>
      <c r="Q3707" s="3">
        <f ca="1">IF(Proc[[#This Row],[DateClosed]]="",ABS(NETWORKDAYS(Proc[[#This Row],[DateOpened]],TODAY()))-1,ABS(NETWORKDAYS(Proc[[#This Row],[DateOpened]],Proc[[#This Row],[DateClosed]]))-1)</f>
        <v>0</v>
      </c>
      <c r="R3707" s="131" t="s">
        <v>489</v>
      </c>
      <c r="S3707" s="129"/>
    </row>
    <row r="3708" spans="1:19">
      <c r="A3708" s="135" t="s">
        <v>5821</v>
      </c>
      <c r="B3708" s="129" t="s">
        <v>925</v>
      </c>
      <c r="C3708" s="135" t="s">
        <v>404</v>
      </c>
      <c r="D3708" t="s">
        <v>5834</v>
      </c>
      <c r="E3708" t="s">
        <v>5856</v>
      </c>
      <c r="F3708" s="129"/>
      <c r="G3708" s="135" t="s">
        <v>400</v>
      </c>
      <c r="H3708" s="129"/>
      <c r="J3708" s="129" t="b">
        <f>Proc[[#This Row],[Requested]]=Proc[[#This Row],[CurrentParent]]</f>
        <v>0</v>
      </c>
      <c r="K3708" s="129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on track</v>
      </c>
      <c r="Q3708" s="3">
        <f ca="1">IF(Proc[[#This Row],[DateClosed]]="",ABS(NETWORKDAYS(Proc[[#This Row],[DateOpened]],TODAY()))-1,ABS(NETWORKDAYS(Proc[[#This Row],[DateOpened]],Proc[[#This Row],[DateClosed]]))-1)</f>
        <v>0</v>
      </c>
      <c r="R3708" s="131" t="s">
        <v>489</v>
      </c>
      <c r="S3708" s="129"/>
    </row>
    <row r="3709" spans="1:19">
      <c r="A3709" s="135" t="s">
        <v>5821</v>
      </c>
      <c r="B3709" s="129" t="s">
        <v>925</v>
      </c>
      <c r="C3709" s="135" t="s">
        <v>404</v>
      </c>
      <c r="D3709" t="s">
        <v>5835</v>
      </c>
      <c r="E3709" t="s">
        <v>5856</v>
      </c>
      <c r="F3709" s="129"/>
      <c r="G3709" s="135" t="s">
        <v>400</v>
      </c>
      <c r="H3709" s="129"/>
      <c r="J3709" s="129" t="b">
        <f>Proc[[#This Row],[Requested]]=Proc[[#This Row],[CurrentParent]]</f>
        <v>0</v>
      </c>
      <c r="K3709" s="129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on track</v>
      </c>
      <c r="Q3709" s="3">
        <f ca="1">IF(Proc[[#This Row],[DateClosed]]="",ABS(NETWORKDAYS(Proc[[#This Row],[DateOpened]],TODAY()))-1,ABS(NETWORKDAYS(Proc[[#This Row],[DateOpened]],Proc[[#This Row],[DateClosed]]))-1)</f>
        <v>0</v>
      </c>
      <c r="R3709" s="131" t="s">
        <v>489</v>
      </c>
      <c r="S3709" s="129"/>
    </row>
    <row r="3710" spans="1:19">
      <c r="A3710" s="135" t="s">
        <v>5821</v>
      </c>
      <c r="B3710" s="129" t="s">
        <v>925</v>
      </c>
      <c r="C3710" s="135" t="s">
        <v>404</v>
      </c>
      <c r="D3710" t="s">
        <v>5836</v>
      </c>
      <c r="E3710" t="s">
        <v>5856</v>
      </c>
      <c r="F3710" s="129"/>
      <c r="G3710" s="135" t="s">
        <v>400</v>
      </c>
      <c r="H3710" s="129"/>
      <c r="J3710" s="129" t="b">
        <f>Proc[[#This Row],[Requested]]=Proc[[#This Row],[CurrentParent]]</f>
        <v>0</v>
      </c>
      <c r="K3710" s="129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on track</v>
      </c>
      <c r="Q3710" s="3">
        <f ca="1">IF(Proc[[#This Row],[DateClosed]]="",ABS(NETWORKDAYS(Proc[[#This Row],[DateOpened]],TODAY()))-1,ABS(NETWORKDAYS(Proc[[#This Row],[DateOpened]],Proc[[#This Row],[DateClosed]]))-1)</f>
        <v>0</v>
      </c>
      <c r="R3710" s="131" t="s">
        <v>489</v>
      </c>
      <c r="S3710" s="129"/>
    </row>
    <row r="3711" spans="1:19">
      <c r="A3711" s="135" t="s">
        <v>5821</v>
      </c>
      <c r="B3711" s="129" t="s">
        <v>925</v>
      </c>
      <c r="C3711" s="135" t="s">
        <v>404</v>
      </c>
      <c r="D3711" t="s">
        <v>5837</v>
      </c>
      <c r="E3711" t="s">
        <v>5856</v>
      </c>
      <c r="F3711" s="129"/>
      <c r="G3711" s="135" t="s">
        <v>400</v>
      </c>
      <c r="H3711" s="129"/>
      <c r="J3711" s="129" t="b">
        <f>Proc[[#This Row],[Requested]]=Proc[[#This Row],[CurrentParent]]</f>
        <v>0</v>
      </c>
      <c r="K3711" s="129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on track</v>
      </c>
      <c r="Q3711" s="3">
        <f ca="1">IF(Proc[[#This Row],[DateClosed]]="",ABS(NETWORKDAYS(Proc[[#This Row],[DateOpened]],TODAY()))-1,ABS(NETWORKDAYS(Proc[[#This Row],[DateOpened]],Proc[[#This Row],[DateClosed]]))-1)</f>
        <v>0</v>
      </c>
      <c r="R3711" s="131" t="s">
        <v>489</v>
      </c>
      <c r="S3711" s="129"/>
    </row>
    <row r="3712" spans="1:19">
      <c r="A3712" s="135" t="s">
        <v>5821</v>
      </c>
      <c r="B3712" s="129" t="s">
        <v>925</v>
      </c>
      <c r="C3712" s="135" t="s">
        <v>404</v>
      </c>
      <c r="D3712" t="s">
        <v>5838</v>
      </c>
      <c r="E3712" t="s">
        <v>5856</v>
      </c>
      <c r="F3712" s="129"/>
      <c r="G3712" s="135" t="s">
        <v>400</v>
      </c>
      <c r="H3712" s="129"/>
      <c r="J3712" s="129" t="b">
        <f>Proc[[#This Row],[Requested]]=Proc[[#This Row],[CurrentParent]]</f>
        <v>0</v>
      </c>
      <c r="K3712" s="129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on track</v>
      </c>
      <c r="Q3712" s="3">
        <f ca="1">IF(Proc[[#This Row],[DateClosed]]="",ABS(NETWORKDAYS(Proc[[#This Row],[DateOpened]],TODAY()))-1,ABS(NETWORKDAYS(Proc[[#This Row],[DateOpened]],Proc[[#This Row],[DateClosed]]))-1)</f>
        <v>0</v>
      </c>
      <c r="R3712" s="131" t="s">
        <v>489</v>
      </c>
      <c r="S3712" s="129"/>
    </row>
    <row r="3713" spans="1:19">
      <c r="A3713" s="135" t="s">
        <v>5821</v>
      </c>
      <c r="B3713" s="129" t="s">
        <v>925</v>
      </c>
      <c r="C3713" s="135" t="s">
        <v>404</v>
      </c>
      <c r="D3713" t="s">
        <v>5830</v>
      </c>
      <c r="E3713" t="s">
        <v>5856</v>
      </c>
      <c r="F3713" s="129"/>
      <c r="G3713" s="135" t="s">
        <v>400</v>
      </c>
      <c r="H3713" s="129"/>
      <c r="J3713" s="129" t="b">
        <f>Proc[[#This Row],[Requested]]=Proc[[#This Row],[CurrentParent]]</f>
        <v>0</v>
      </c>
      <c r="K3713" s="129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on track</v>
      </c>
      <c r="Q3713" s="3">
        <f ca="1">IF(Proc[[#This Row],[DateClosed]]="",ABS(NETWORKDAYS(Proc[[#This Row],[DateOpened]],TODAY()))-1,ABS(NETWORKDAYS(Proc[[#This Row],[DateOpened]],Proc[[#This Row],[DateClosed]]))-1)</f>
        <v>0</v>
      </c>
      <c r="R3713" s="131" t="s">
        <v>489</v>
      </c>
      <c r="S3713" s="129"/>
    </row>
    <row r="3714" spans="1:19">
      <c r="A3714" s="135" t="s">
        <v>5821</v>
      </c>
      <c r="B3714" s="129" t="s">
        <v>925</v>
      </c>
      <c r="C3714" s="135" t="s">
        <v>404</v>
      </c>
      <c r="D3714" t="s">
        <v>5839</v>
      </c>
      <c r="E3714" t="s">
        <v>5856</v>
      </c>
      <c r="F3714" s="129"/>
      <c r="G3714" s="135" t="s">
        <v>400</v>
      </c>
      <c r="H3714" s="129"/>
      <c r="J3714" s="129" t="b">
        <f>Proc[[#This Row],[Requested]]=Proc[[#This Row],[CurrentParent]]</f>
        <v>0</v>
      </c>
      <c r="K3714" s="129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on track</v>
      </c>
      <c r="Q3714" s="3">
        <f ca="1">IF(Proc[[#This Row],[DateClosed]]="",ABS(NETWORKDAYS(Proc[[#This Row],[DateOpened]],TODAY()))-1,ABS(NETWORKDAYS(Proc[[#This Row],[DateOpened]],Proc[[#This Row],[DateClosed]]))-1)</f>
        <v>0</v>
      </c>
      <c r="R3714" s="131" t="s">
        <v>489</v>
      </c>
      <c r="S3714" s="129"/>
    </row>
    <row r="3715" spans="1:19">
      <c r="A3715" s="135" t="s">
        <v>5821</v>
      </c>
      <c r="B3715" s="129" t="s">
        <v>925</v>
      </c>
      <c r="C3715" s="135" t="s">
        <v>404</v>
      </c>
      <c r="D3715" t="s">
        <v>5840</v>
      </c>
      <c r="E3715" t="s">
        <v>5856</v>
      </c>
      <c r="F3715" s="129"/>
      <c r="G3715" s="135" t="s">
        <v>400</v>
      </c>
      <c r="H3715" s="129"/>
      <c r="J3715" s="129" t="b">
        <f>Proc[[#This Row],[Requested]]=Proc[[#This Row],[CurrentParent]]</f>
        <v>0</v>
      </c>
      <c r="K3715" s="129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on track</v>
      </c>
      <c r="Q3715" s="3">
        <f ca="1">IF(Proc[[#This Row],[DateClosed]]="",ABS(NETWORKDAYS(Proc[[#This Row],[DateOpened]],TODAY()))-1,ABS(NETWORKDAYS(Proc[[#This Row],[DateOpened]],Proc[[#This Row],[DateClosed]]))-1)</f>
        <v>0</v>
      </c>
      <c r="R3715" s="131" t="s">
        <v>489</v>
      </c>
      <c r="S3715" s="129"/>
    </row>
    <row r="3716" spans="1:19">
      <c r="A3716" s="135" t="s">
        <v>5821</v>
      </c>
      <c r="B3716" s="129" t="s">
        <v>925</v>
      </c>
      <c r="C3716" s="135" t="s">
        <v>404</v>
      </c>
      <c r="D3716" t="s">
        <v>5841</v>
      </c>
      <c r="E3716" t="s">
        <v>5857</v>
      </c>
      <c r="F3716" s="129"/>
      <c r="G3716" s="135" t="s">
        <v>400</v>
      </c>
      <c r="H3716" s="129"/>
      <c r="J3716" s="129" t="b">
        <f>Proc[[#This Row],[Requested]]=Proc[[#This Row],[CurrentParent]]</f>
        <v>0</v>
      </c>
      <c r="K3716" s="129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on track</v>
      </c>
      <c r="Q3716" s="3">
        <f ca="1">IF(Proc[[#This Row],[DateClosed]]="",ABS(NETWORKDAYS(Proc[[#This Row],[DateOpened]],TODAY()))-1,ABS(NETWORKDAYS(Proc[[#This Row],[DateOpened]],Proc[[#This Row],[DateClosed]]))-1)</f>
        <v>0</v>
      </c>
      <c r="R3716" s="131" t="s">
        <v>489</v>
      </c>
      <c r="S3716" s="129"/>
    </row>
    <row r="3717" spans="1:19">
      <c r="A3717" s="135" t="s">
        <v>5821</v>
      </c>
      <c r="B3717" s="129" t="s">
        <v>925</v>
      </c>
      <c r="C3717" s="135" t="s">
        <v>404</v>
      </c>
      <c r="D3717" t="s">
        <v>5842</v>
      </c>
      <c r="E3717" t="s">
        <v>5858</v>
      </c>
      <c r="F3717" s="129"/>
      <c r="G3717" s="135" t="s">
        <v>400</v>
      </c>
      <c r="H3717" s="129"/>
      <c r="J3717" s="129" t="b">
        <f>Proc[[#This Row],[Requested]]=Proc[[#This Row],[CurrentParent]]</f>
        <v>0</v>
      </c>
      <c r="K3717" s="129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on track</v>
      </c>
      <c r="Q3717" s="3">
        <f ca="1">IF(Proc[[#This Row],[DateClosed]]="",ABS(NETWORKDAYS(Proc[[#This Row],[DateOpened]],TODAY()))-1,ABS(NETWORKDAYS(Proc[[#This Row],[DateOpened]],Proc[[#This Row],[DateClosed]]))-1)</f>
        <v>0</v>
      </c>
      <c r="R3717" s="131" t="s">
        <v>489</v>
      </c>
      <c r="S3717" s="129"/>
    </row>
    <row r="3718" spans="1:19">
      <c r="A3718" s="135" t="s">
        <v>5821</v>
      </c>
      <c r="B3718" s="129" t="s">
        <v>925</v>
      </c>
      <c r="C3718" s="135" t="s">
        <v>404</v>
      </c>
      <c r="D3718" t="s">
        <v>5843</v>
      </c>
      <c r="E3718" t="s">
        <v>5856</v>
      </c>
      <c r="F3718" s="129"/>
      <c r="G3718" s="135" t="s">
        <v>400</v>
      </c>
      <c r="H3718" s="129"/>
      <c r="J3718" s="129" t="b">
        <f>Proc[[#This Row],[Requested]]=Proc[[#This Row],[CurrentParent]]</f>
        <v>0</v>
      </c>
      <c r="K3718" s="129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on track</v>
      </c>
      <c r="Q3718" s="3">
        <f ca="1">IF(Proc[[#This Row],[DateClosed]]="",ABS(NETWORKDAYS(Proc[[#This Row],[DateOpened]],TODAY()))-1,ABS(NETWORKDAYS(Proc[[#This Row],[DateOpened]],Proc[[#This Row],[DateClosed]]))-1)</f>
        <v>0</v>
      </c>
      <c r="R3718" s="131" t="s">
        <v>489</v>
      </c>
      <c r="S3718" s="129"/>
    </row>
    <row r="3719" spans="1:19">
      <c r="A3719" s="135" t="s">
        <v>5821</v>
      </c>
      <c r="B3719" s="129" t="s">
        <v>925</v>
      </c>
      <c r="C3719" s="135" t="s">
        <v>404</v>
      </c>
      <c r="D3719" t="s">
        <v>5844</v>
      </c>
      <c r="E3719" t="s">
        <v>5856</v>
      </c>
      <c r="F3719" s="129"/>
      <c r="G3719" s="135" t="s">
        <v>400</v>
      </c>
      <c r="H3719" s="129"/>
      <c r="J3719" s="129" t="b">
        <f>Proc[[#This Row],[Requested]]=Proc[[#This Row],[CurrentParent]]</f>
        <v>0</v>
      </c>
      <c r="K3719" s="129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on track</v>
      </c>
      <c r="Q3719" s="3">
        <f ca="1">IF(Proc[[#This Row],[DateClosed]]="",ABS(NETWORKDAYS(Proc[[#This Row],[DateOpened]],TODAY()))-1,ABS(NETWORKDAYS(Proc[[#This Row],[DateOpened]],Proc[[#This Row],[DateClosed]]))-1)</f>
        <v>0</v>
      </c>
      <c r="R3719" s="131" t="s">
        <v>489</v>
      </c>
      <c r="S3719" s="129"/>
    </row>
    <row r="3720" spans="1:19">
      <c r="A3720" s="135" t="s">
        <v>5821</v>
      </c>
      <c r="B3720" s="129" t="s">
        <v>925</v>
      </c>
      <c r="C3720" s="135" t="s">
        <v>404</v>
      </c>
      <c r="D3720" t="s">
        <v>5834</v>
      </c>
      <c r="E3720" t="s">
        <v>5856</v>
      </c>
      <c r="F3720" s="129"/>
      <c r="G3720" s="135" t="s">
        <v>400</v>
      </c>
      <c r="H3720" s="129"/>
      <c r="J3720" s="129" t="b">
        <f>Proc[[#This Row],[Requested]]=Proc[[#This Row],[CurrentParent]]</f>
        <v>0</v>
      </c>
      <c r="K3720" s="129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on track</v>
      </c>
      <c r="Q3720" s="3">
        <f ca="1">IF(Proc[[#This Row],[DateClosed]]="",ABS(NETWORKDAYS(Proc[[#This Row],[DateOpened]],TODAY()))-1,ABS(NETWORKDAYS(Proc[[#This Row],[DateOpened]],Proc[[#This Row],[DateClosed]]))-1)</f>
        <v>0</v>
      </c>
      <c r="R3720" s="131" t="s">
        <v>489</v>
      </c>
      <c r="S3720" s="129"/>
    </row>
    <row r="3721" spans="1:19" hidden="1">
      <c r="A3721" s="135" t="s">
        <v>5821</v>
      </c>
      <c r="B3721" s="129" t="s">
        <v>925</v>
      </c>
      <c r="C3721" s="135" t="s">
        <v>404</v>
      </c>
      <c r="D3721" t="s">
        <v>5845</v>
      </c>
      <c r="E3721" t="s">
        <v>5856</v>
      </c>
      <c r="F3721" s="129"/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0</v>
      </c>
      <c r="K3721" s="129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on track</v>
      </c>
      <c r="Q3721" s="3">
        <f ca="1">IF(Proc[[#This Row],[DateClosed]]="",ABS(NETWORKDAYS(Proc[[#This Row],[DateOpened]],TODAY()))-1,ABS(NETWORKDAYS(Proc[[#This Row],[DateOpened]],Proc[[#This Row],[DateClosed]]))-1)</f>
        <v>0</v>
      </c>
      <c r="R3721" s="131" t="s">
        <v>489</v>
      </c>
      <c r="S3721" s="129"/>
    </row>
    <row r="3722" spans="1:19">
      <c r="A3722" s="135" t="s">
        <v>5821</v>
      </c>
      <c r="B3722" s="129" t="s">
        <v>925</v>
      </c>
      <c r="C3722" s="135" t="s">
        <v>404</v>
      </c>
      <c r="D3722" t="s">
        <v>5846</v>
      </c>
      <c r="E3722" t="s">
        <v>5856</v>
      </c>
      <c r="F3722" s="129"/>
      <c r="G3722" s="135" t="s">
        <v>400</v>
      </c>
      <c r="H3722" s="129"/>
      <c r="J3722" s="129" t="b">
        <f>Proc[[#This Row],[Requested]]=Proc[[#This Row],[CurrentParent]]</f>
        <v>0</v>
      </c>
      <c r="K3722" s="129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on track</v>
      </c>
      <c r="Q3722" s="3">
        <f ca="1">IF(Proc[[#This Row],[DateClosed]]="",ABS(NETWORKDAYS(Proc[[#This Row],[DateOpened]],TODAY()))-1,ABS(NETWORKDAYS(Proc[[#This Row],[DateOpened]],Proc[[#This Row],[DateClosed]]))-1)</f>
        <v>0</v>
      </c>
      <c r="R3722" s="131" t="s">
        <v>489</v>
      </c>
      <c r="S3722" s="129"/>
    </row>
    <row r="3723" spans="1:19">
      <c r="A3723" s="135" t="s">
        <v>5821</v>
      </c>
      <c r="B3723" s="129" t="s">
        <v>925</v>
      </c>
      <c r="C3723" s="135" t="s">
        <v>404</v>
      </c>
      <c r="D3723" t="s">
        <v>5836</v>
      </c>
      <c r="E3723" t="s">
        <v>5856</v>
      </c>
      <c r="F3723" s="129"/>
      <c r="G3723" s="135" t="s">
        <v>400</v>
      </c>
      <c r="H3723" s="129"/>
      <c r="J3723" s="129" t="b">
        <f>Proc[[#This Row],[Requested]]=Proc[[#This Row],[CurrentParent]]</f>
        <v>0</v>
      </c>
      <c r="K3723" s="129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on track</v>
      </c>
      <c r="Q3723" s="3">
        <f ca="1">IF(Proc[[#This Row],[DateClosed]]="",ABS(NETWORKDAYS(Proc[[#This Row],[DateOpened]],TODAY()))-1,ABS(NETWORKDAYS(Proc[[#This Row],[DateOpened]],Proc[[#This Row],[DateClosed]]))-1)</f>
        <v>0</v>
      </c>
      <c r="R3723" s="131" t="s">
        <v>489</v>
      </c>
      <c r="S3723" s="129"/>
    </row>
    <row r="3724" spans="1:19">
      <c r="A3724" s="135" t="s">
        <v>5821</v>
      </c>
      <c r="B3724" s="129" t="s">
        <v>925</v>
      </c>
      <c r="C3724" s="135" t="s">
        <v>404</v>
      </c>
      <c r="D3724" t="s">
        <v>5847</v>
      </c>
      <c r="E3724" t="s">
        <v>5856</v>
      </c>
      <c r="F3724" s="129"/>
      <c r="G3724" s="135" t="s">
        <v>400</v>
      </c>
      <c r="H3724" s="129"/>
      <c r="J3724" s="129" t="b">
        <f>Proc[[#This Row],[Requested]]=Proc[[#This Row],[CurrentParent]]</f>
        <v>0</v>
      </c>
      <c r="K3724" s="129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on track</v>
      </c>
      <c r="Q3724" s="3">
        <f ca="1">IF(Proc[[#This Row],[DateClosed]]="",ABS(NETWORKDAYS(Proc[[#This Row],[DateOpened]],TODAY()))-1,ABS(NETWORKDAYS(Proc[[#This Row],[DateOpened]],Proc[[#This Row],[DateClosed]]))-1)</f>
        <v>0</v>
      </c>
      <c r="R3724" s="131" t="s">
        <v>489</v>
      </c>
      <c r="S3724" s="129"/>
    </row>
    <row r="3725" spans="1:19">
      <c r="A3725" s="135" t="s">
        <v>5821</v>
      </c>
      <c r="B3725" s="129" t="s">
        <v>925</v>
      </c>
      <c r="C3725" s="135" t="s">
        <v>404</v>
      </c>
      <c r="D3725" t="s">
        <v>5826</v>
      </c>
      <c r="E3725" t="s">
        <v>5856</v>
      </c>
      <c r="F3725" s="129"/>
      <c r="G3725" s="135" t="s">
        <v>400</v>
      </c>
      <c r="H3725" s="129"/>
      <c r="J3725" s="129" t="b">
        <f>Proc[[#This Row],[Requested]]=Proc[[#This Row],[CurrentParent]]</f>
        <v>0</v>
      </c>
      <c r="K3725" s="129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on track</v>
      </c>
      <c r="Q3725" s="3">
        <f ca="1">IF(Proc[[#This Row],[DateClosed]]="",ABS(NETWORKDAYS(Proc[[#This Row],[DateOpened]],TODAY()))-1,ABS(NETWORKDAYS(Proc[[#This Row],[DateOpened]],Proc[[#This Row],[DateClosed]]))-1)</f>
        <v>0</v>
      </c>
      <c r="R3725" s="131" t="s">
        <v>489</v>
      </c>
      <c r="S3725" s="129"/>
    </row>
    <row r="3726" spans="1:19">
      <c r="A3726" s="135" t="s">
        <v>5821</v>
      </c>
      <c r="B3726" s="129" t="s">
        <v>925</v>
      </c>
      <c r="C3726" s="135" t="s">
        <v>404</v>
      </c>
      <c r="D3726" t="s">
        <v>5848</v>
      </c>
      <c r="E3726" t="s">
        <v>5856</v>
      </c>
      <c r="F3726" s="129"/>
      <c r="G3726" s="135" t="s">
        <v>400</v>
      </c>
      <c r="H3726" s="129"/>
      <c r="J3726" s="129" t="b">
        <f>Proc[[#This Row],[Requested]]=Proc[[#This Row],[CurrentParent]]</f>
        <v>0</v>
      </c>
      <c r="K3726" s="129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on track</v>
      </c>
      <c r="Q3726" s="3">
        <f ca="1">IF(Proc[[#This Row],[DateClosed]]="",ABS(NETWORKDAYS(Proc[[#This Row],[DateOpened]],TODAY()))-1,ABS(NETWORKDAYS(Proc[[#This Row],[DateOpened]],Proc[[#This Row],[DateClosed]]))-1)</f>
        <v>0</v>
      </c>
      <c r="R3726" s="131" t="s">
        <v>489</v>
      </c>
      <c r="S3726" s="129"/>
    </row>
    <row r="3727" spans="1:19">
      <c r="A3727" s="135" t="s">
        <v>5821</v>
      </c>
      <c r="B3727" s="129" t="s">
        <v>925</v>
      </c>
      <c r="C3727" s="135" t="s">
        <v>404</v>
      </c>
      <c r="D3727" t="s">
        <v>5849</v>
      </c>
      <c r="E3727" t="s">
        <v>5856</v>
      </c>
      <c r="F3727" s="129"/>
      <c r="G3727" s="135" t="s">
        <v>400</v>
      </c>
      <c r="H3727" s="129"/>
      <c r="J3727" s="129" t="b">
        <f>Proc[[#This Row],[Requested]]=Proc[[#This Row],[CurrentParent]]</f>
        <v>0</v>
      </c>
      <c r="K3727" s="129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on track</v>
      </c>
      <c r="Q3727" s="3">
        <f ca="1">IF(Proc[[#This Row],[DateClosed]]="",ABS(NETWORKDAYS(Proc[[#This Row],[DateOpened]],TODAY()))-1,ABS(NETWORKDAYS(Proc[[#This Row],[DateOpened]],Proc[[#This Row],[DateClosed]]))-1)</f>
        <v>0</v>
      </c>
      <c r="R3727" s="131" t="s">
        <v>489</v>
      </c>
      <c r="S3727" s="129"/>
    </row>
    <row r="3728" spans="1:19">
      <c r="A3728" s="135" t="s">
        <v>5821</v>
      </c>
      <c r="B3728" s="129" t="s">
        <v>925</v>
      </c>
      <c r="C3728" s="135" t="s">
        <v>404</v>
      </c>
      <c r="D3728" t="s">
        <v>5850</v>
      </c>
      <c r="E3728" t="s">
        <v>5859</v>
      </c>
      <c r="F3728" s="129"/>
      <c r="G3728" s="135" t="s">
        <v>400</v>
      </c>
      <c r="H3728" s="129"/>
      <c r="J3728" s="129" t="b">
        <f>Proc[[#This Row],[Requested]]=Proc[[#This Row],[CurrentParent]]</f>
        <v>0</v>
      </c>
      <c r="K3728" s="129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on track</v>
      </c>
      <c r="Q3728" s="3">
        <f ca="1">IF(Proc[[#This Row],[DateClosed]]="",ABS(NETWORKDAYS(Proc[[#This Row],[DateOpened]],TODAY()))-1,ABS(NETWORKDAYS(Proc[[#This Row],[DateOpened]],Proc[[#This Row],[DateClosed]]))-1)</f>
        <v>0</v>
      </c>
      <c r="R3728" s="131" t="s">
        <v>489</v>
      </c>
      <c r="S3728" s="129"/>
    </row>
    <row r="3729" spans="1:19">
      <c r="A3729" s="135" t="s">
        <v>5821</v>
      </c>
      <c r="B3729" s="129" t="s">
        <v>925</v>
      </c>
      <c r="C3729" s="135" t="s">
        <v>404</v>
      </c>
      <c r="D3729" t="s">
        <v>5851</v>
      </c>
      <c r="E3729" t="s">
        <v>5856</v>
      </c>
      <c r="F3729" s="129"/>
      <c r="G3729" s="135" t="s">
        <v>400</v>
      </c>
      <c r="H3729" s="129"/>
      <c r="J3729" s="129" t="b">
        <f>Proc[[#This Row],[Requested]]=Proc[[#This Row],[CurrentParent]]</f>
        <v>0</v>
      </c>
      <c r="K3729" s="129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on track</v>
      </c>
      <c r="Q3729" s="3">
        <f ca="1">IF(Proc[[#This Row],[DateClosed]]="",ABS(NETWORKDAYS(Proc[[#This Row],[DateOpened]],TODAY()))-1,ABS(NETWORKDAYS(Proc[[#This Row],[DateOpened]],Proc[[#This Row],[DateClosed]]))-1)</f>
        <v>0</v>
      </c>
      <c r="R3729" s="131" t="s">
        <v>489</v>
      </c>
      <c r="S3729" s="129"/>
    </row>
    <row r="3730" spans="1:19">
      <c r="A3730" s="135" t="s">
        <v>5821</v>
      </c>
      <c r="B3730" s="129" t="s">
        <v>925</v>
      </c>
      <c r="C3730" s="135" t="s">
        <v>404</v>
      </c>
      <c r="D3730" t="s">
        <v>5852</v>
      </c>
      <c r="E3730" t="s">
        <v>5860</v>
      </c>
      <c r="F3730" s="129"/>
      <c r="G3730" s="135" t="s">
        <v>400</v>
      </c>
      <c r="H3730" s="129"/>
      <c r="J3730" s="129" t="b">
        <f>Proc[[#This Row],[Requested]]=Proc[[#This Row],[CurrentParent]]</f>
        <v>0</v>
      </c>
      <c r="K3730" s="129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on track</v>
      </c>
      <c r="Q3730" s="3">
        <f ca="1">IF(Proc[[#This Row],[DateClosed]]="",ABS(NETWORKDAYS(Proc[[#This Row],[DateOpened]],TODAY()))-1,ABS(NETWORKDAYS(Proc[[#This Row],[DateOpened]],Proc[[#This Row],[DateClosed]]))-1)</f>
        <v>0</v>
      </c>
      <c r="R3730" s="131" t="s">
        <v>489</v>
      </c>
      <c r="S3730" s="129"/>
    </row>
    <row r="3731" spans="1:19">
      <c r="A3731" s="135" t="s">
        <v>5821</v>
      </c>
      <c r="B3731" s="129" t="str">
        <f>IFERROR(VLOOKUP(Proc[[#This Row],[App]],Table2[],3,0),"open")</f>
        <v>open</v>
      </c>
      <c r="C3731" s="135" t="s">
        <v>404</v>
      </c>
      <c r="D3731" t="s">
        <v>5853</v>
      </c>
      <c r="E3731" t="s">
        <v>5860</v>
      </c>
      <c r="F3731" s="129"/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0</v>
      </c>
      <c r="K3731" s="129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on track</v>
      </c>
      <c r="Q3731" s="3">
        <f ca="1">IF(Proc[[#This Row],[DateClosed]]="",ABS(NETWORKDAYS(Proc[[#This Row],[DateOpened]],TODAY()))-1,ABS(NETWORKDAYS(Proc[[#This Row],[DateOpened]],Proc[[#This Row],[DateClosed]]))-1)</f>
        <v>0</v>
      </c>
      <c r="R3731" s="131" t="s">
        <v>489</v>
      </c>
      <c r="S3731" s="129"/>
    </row>
    <row r="3732" spans="1:19" hidden="1">
      <c r="A3732" t="s">
        <v>5861</v>
      </c>
      <c r="B3732" s="129" t="str">
        <f>IFERROR(VLOOKUP(Proc[[#This Row],[App]],Table2[],3,0),"open")</f>
        <v>open</v>
      </c>
      <c r="C3732" s="135" t="s">
        <v>404</v>
      </c>
      <c r="D3732" s="45" t="s">
        <v>5761</v>
      </c>
      <c r="E3732" t="s">
        <v>5272</v>
      </c>
      <c r="F3732" s="129"/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0</v>
      </c>
      <c r="K3732" s="129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on track</v>
      </c>
      <c r="Q3732" s="3">
        <f ca="1">IF(Proc[[#This Row],[DateClosed]]="",ABS(NETWORKDAYS(Proc[[#This Row],[DateOpened]],TODAY()))-1,ABS(NETWORKDAYS(Proc[[#This Row],[DateOpened]],Proc[[#This Row],[DateClosed]]))-1)</f>
        <v>0</v>
      </c>
      <c r="R3732" s="131" t="s">
        <v>489</v>
      </c>
      <c r="S3732" s="129"/>
    </row>
    <row r="3733" spans="1:19" hidden="1">
      <c r="A3733" s="135" t="s">
        <v>5861</v>
      </c>
      <c r="B3733" s="129" t="str">
        <f>IFERROR(VLOOKUP(Proc[[#This Row],[App]],Table2[],3,0),"open")</f>
        <v>open</v>
      </c>
      <c r="C3733" s="135" t="s">
        <v>404</v>
      </c>
      <c r="D3733" s="45" t="s">
        <v>5763</v>
      </c>
      <c r="E3733" t="s">
        <v>5272</v>
      </c>
      <c r="F3733" s="129"/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0</v>
      </c>
      <c r="K3733" s="129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on track</v>
      </c>
      <c r="Q3733" s="3">
        <f ca="1">IF(Proc[[#This Row],[DateClosed]]="",ABS(NETWORKDAYS(Proc[[#This Row],[DateOpened]],TODAY()))-1,ABS(NETWORKDAYS(Proc[[#This Row],[DateOpened]],Proc[[#This Row],[DateClosed]]))-1)</f>
        <v>0</v>
      </c>
      <c r="R3733" s="131" t="s">
        <v>489</v>
      </c>
      <c r="S3733" s="129"/>
    </row>
    <row r="3734" spans="1:19">
      <c r="A3734" t="s">
        <v>5862</v>
      </c>
      <c r="B3734" s="129" t="str">
        <f>IFERROR(VLOOKUP(Proc[[#This Row],[App]],Table2[],3,0),"open")</f>
        <v>open</v>
      </c>
      <c r="C3734" s="135" t="s">
        <v>404</v>
      </c>
      <c r="D3734" t="s">
        <v>5863</v>
      </c>
      <c r="E3734" t="s">
        <v>2274</v>
      </c>
      <c r="F3734" s="129"/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0</v>
      </c>
      <c r="K3734" s="129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on track</v>
      </c>
      <c r="Q3734" s="3">
        <f ca="1">IF(Proc[[#This Row],[DateClosed]]="",ABS(NETWORKDAYS(Proc[[#This Row],[DateOpened]],TODAY()))-1,ABS(NETWORKDAYS(Proc[[#This Row],[DateOpened]],Proc[[#This Row],[DateClosed]]))-1)</f>
        <v>0</v>
      </c>
      <c r="R3734" s="136" t="s">
        <v>1013</v>
      </c>
      <c r="S3734" s="129"/>
    </row>
    <row r="3735" spans="1:19">
      <c r="A3735" s="135" t="s">
        <v>5862</v>
      </c>
      <c r="B3735" s="129" t="str">
        <f>IFERROR(VLOOKUP(Proc[[#This Row],[App]],Table2[],3,0),"open")</f>
        <v>open</v>
      </c>
      <c r="C3735" s="135" t="s">
        <v>404</v>
      </c>
      <c r="D3735" t="s">
        <v>5864</v>
      </c>
      <c r="E3735" t="s">
        <v>2274</v>
      </c>
      <c r="F3735" s="129"/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0</v>
      </c>
      <c r="K3735" s="129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on track</v>
      </c>
      <c r="Q3735" s="3">
        <f ca="1">IF(Proc[[#This Row],[DateClosed]]="",ABS(NETWORKDAYS(Proc[[#This Row],[DateOpened]],TODAY()))-1,ABS(NETWORKDAYS(Proc[[#This Row],[DateOpened]],Proc[[#This Row],[DateClosed]]))-1)</f>
        <v>0</v>
      </c>
      <c r="R3735" s="136" t="s">
        <v>1013</v>
      </c>
      <c r="S3735" s="129"/>
    </row>
    <row r="3736" spans="1:19">
      <c r="A3736" s="135" t="s">
        <v>5862</v>
      </c>
      <c r="B3736" s="129" t="str">
        <f>IFERROR(VLOOKUP(Proc[[#This Row],[App]],Table2[],3,0),"open")</f>
        <v>open</v>
      </c>
      <c r="C3736" s="135" t="s">
        <v>404</v>
      </c>
      <c r="D3736" t="s">
        <v>5865</v>
      </c>
      <c r="E3736" t="s">
        <v>3005</v>
      </c>
      <c r="F3736" s="129"/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0</v>
      </c>
      <c r="K3736" s="129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on track</v>
      </c>
      <c r="Q3736" s="3">
        <f ca="1">IF(Proc[[#This Row],[DateClosed]]="",ABS(NETWORKDAYS(Proc[[#This Row],[DateOpened]],TODAY()))-1,ABS(NETWORKDAYS(Proc[[#This Row],[DateOpened]],Proc[[#This Row],[DateClosed]]))-1)</f>
        <v>0</v>
      </c>
      <c r="R3736" s="136" t="s">
        <v>1013</v>
      </c>
      <c r="S3736" s="129"/>
    </row>
    <row r="3737" spans="1:19">
      <c r="A3737" s="135" t="s">
        <v>5862</v>
      </c>
      <c r="B3737" s="129" t="str">
        <f>IFERROR(VLOOKUP(Proc[[#This Row],[App]],Table2[],3,0),"open")</f>
        <v>open</v>
      </c>
      <c r="C3737" s="135" t="s">
        <v>404</v>
      </c>
      <c r="D3737" t="s">
        <v>5866</v>
      </c>
      <c r="E3737" t="s">
        <v>4069</v>
      </c>
      <c r="F3737" s="129"/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0</v>
      </c>
      <c r="K3737" s="129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on track</v>
      </c>
      <c r="Q3737" s="3">
        <f ca="1">IF(Proc[[#This Row],[DateClosed]]="",ABS(NETWORKDAYS(Proc[[#This Row],[DateOpened]],TODAY()))-1,ABS(NETWORKDAYS(Proc[[#This Row],[DateOpened]],Proc[[#This Row],[DateClosed]]))-1)</f>
        <v>0</v>
      </c>
      <c r="R3737" s="136" t="s">
        <v>1013</v>
      </c>
      <c r="S3737" s="129"/>
    </row>
    <row r="3738" spans="1:19">
      <c r="A3738" s="135" t="s">
        <v>5862</v>
      </c>
      <c r="B3738" s="129" t="str">
        <f>IFERROR(VLOOKUP(Proc[[#This Row],[App]],Table2[],3,0),"open")</f>
        <v>open</v>
      </c>
      <c r="C3738" s="135" t="s">
        <v>404</v>
      </c>
      <c r="D3738" t="s">
        <v>5867</v>
      </c>
      <c r="E3738" t="s">
        <v>4069</v>
      </c>
      <c r="F3738" s="129"/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0</v>
      </c>
      <c r="K3738" s="129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on track</v>
      </c>
      <c r="Q3738" s="3">
        <f ca="1">IF(Proc[[#This Row],[DateClosed]]="",ABS(NETWORKDAYS(Proc[[#This Row],[DateOpened]],TODAY()))-1,ABS(NETWORKDAYS(Proc[[#This Row],[DateOpened]],Proc[[#This Row],[DateClosed]]))-1)</f>
        <v>0</v>
      </c>
      <c r="R3738" s="136" t="s">
        <v>1013</v>
      </c>
      <c r="S3738" s="129"/>
    </row>
    <row r="3739" spans="1:19">
      <c r="A3739" s="135" t="s">
        <v>5862</v>
      </c>
      <c r="B3739" s="129" t="str">
        <f>IFERROR(VLOOKUP(Proc[[#This Row],[App]],Table2[],3,0),"open")</f>
        <v>open</v>
      </c>
      <c r="C3739" s="135" t="s">
        <v>404</v>
      </c>
      <c r="D3739" t="s">
        <v>5868</v>
      </c>
      <c r="E3739" t="s">
        <v>4069</v>
      </c>
      <c r="F3739" s="129"/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0</v>
      </c>
      <c r="K3739" s="129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on track</v>
      </c>
      <c r="Q3739" s="3">
        <f ca="1">IF(Proc[[#This Row],[DateClosed]]="",ABS(NETWORKDAYS(Proc[[#This Row],[DateOpened]],TODAY()))-1,ABS(NETWORKDAYS(Proc[[#This Row],[DateOpened]],Proc[[#This Row],[DateClosed]]))-1)</f>
        <v>0</v>
      </c>
      <c r="R3739" s="136" t="s">
        <v>1013</v>
      </c>
      <c r="S3739" s="129"/>
    </row>
    <row r="3740" spans="1:19">
      <c r="A3740" s="135" t="s">
        <v>5862</v>
      </c>
      <c r="B3740" s="129" t="str">
        <f>IFERROR(VLOOKUP(Proc[[#This Row],[App]],Table2[],3,0),"open")</f>
        <v>open</v>
      </c>
      <c r="C3740" s="135" t="s">
        <v>404</v>
      </c>
      <c r="D3740" t="s">
        <v>5869</v>
      </c>
      <c r="E3740" t="s">
        <v>4069</v>
      </c>
      <c r="F3740" s="129"/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0</v>
      </c>
      <c r="K3740" s="129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on track</v>
      </c>
      <c r="Q3740" s="3">
        <f ca="1">IF(Proc[[#This Row],[DateClosed]]="",ABS(NETWORKDAYS(Proc[[#This Row],[DateOpened]],TODAY()))-1,ABS(NETWORKDAYS(Proc[[#This Row],[DateOpened]],Proc[[#This Row],[DateClosed]]))-1)</f>
        <v>0</v>
      </c>
      <c r="R3740" s="136" t="s">
        <v>1013</v>
      </c>
      <c r="S3740" s="129"/>
    </row>
    <row r="3741" spans="1:19">
      <c r="A3741" s="135" t="s">
        <v>5862</v>
      </c>
      <c r="B3741" s="129" t="str">
        <f>IFERROR(VLOOKUP(Proc[[#This Row],[App]],Table2[],3,0),"open")</f>
        <v>open</v>
      </c>
      <c r="C3741" s="135" t="s">
        <v>404</v>
      </c>
      <c r="D3741" t="s">
        <v>5870</v>
      </c>
      <c r="E3741" t="s">
        <v>4069</v>
      </c>
      <c r="F3741" s="129"/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0</v>
      </c>
      <c r="K3741" s="129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on track</v>
      </c>
      <c r="Q3741" s="3">
        <f ca="1">IF(Proc[[#This Row],[DateClosed]]="",ABS(NETWORKDAYS(Proc[[#This Row],[DateOpened]],TODAY()))-1,ABS(NETWORKDAYS(Proc[[#This Row],[DateOpened]],Proc[[#This Row],[DateClosed]]))-1)</f>
        <v>0</v>
      </c>
      <c r="R3741" s="136" t="s">
        <v>1013</v>
      </c>
      <c r="S3741" s="129"/>
    </row>
    <row r="3742" spans="1:19">
      <c r="A3742" s="135" t="s">
        <v>5862</v>
      </c>
      <c r="B3742" s="129" t="str">
        <f>IFERROR(VLOOKUP(Proc[[#This Row],[App]],Table2[],3,0),"open")</f>
        <v>open</v>
      </c>
      <c r="C3742" s="135" t="s">
        <v>404</v>
      </c>
      <c r="D3742" t="s">
        <v>5871</v>
      </c>
      <c r="E3742" t="s">
        <v>4069</v>
      </c>
      <c r="F3742" s="129"/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0</v>
      </c>
      <c r="K3742" s="129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on track</v>
      </c>
      <c r="Q3742" s="3">
        <f ca="1">IF(Proc[[#This Row],[DateClosed]]="",ABS(NETWORKDAYS(Proc[[#This Row],[DateOpened]],TODAY()))-1,ABS(NETWORKDAYS(Proc[[#This Row],[DateOpened]],Proc[[#This Row],[DateClosed]]))-1)</f>
        <v>0</v>
      </c>
      <c r="R3742" s="136" t="s">
        <v>1013</v>
      </c>
      <c r="S3742" s="129"/>
    </row>
    <row r="3743" spans="1:19">
      <c r="A3743" s="135" t="s">
        <v>5862</v>
      </c>
      <c r="B3743" s="129" t="str">
        <f>IFERROR(VLOOKUP(Proc[[#This Row],[App]],Table2[],3,0),"open")</f>
        <v>open</v>
      </c>
      <c r="C3743" s="135" t="s">
        <v>404</v>
      </c>
      <c r="D3743" t="s">
        <v>5872</v>
      </c>
      <c r="E3743" t="s">
        <v>2274</v>
      </c>
      <c r="F3743" s="129"/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0</v>
      </c>
      <c r="K3743" s="129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on track</v>
      </c>
      <c r="Q3743" s="3">
        <f ca="1">IF(Proc[[#This Row],[DateClosed]]="",ABS(NETWORKDAYS(Proc[[#This Row],[DateOpened]],TODAY()))-1,ABS(NETWORKDAYS(Proc[[#This Row],[DateOpened]],Proc[[#This Row],[DateClosed]]))-1)</f>
        <v>0</v>
      </c>
      <c r="R3743" s="136" t="s">
        <v>1013</v>
      </c>
      <c r="S3743" s="129"/>
    </row>
    <row r="3744" spans="1:19">
      <c r="A3744" s="135" t="s">
        <v>5862</v>
      </c>
      <c r="B3744" s="129" t="str">
        <f>IFERROR(VLOOKUP(Proc[[#This Row],[App]],Table2[],3,0),"open")</f>
        <v>open</v>
      </c>
      <c r="C3744" s="135" t="s">
        <v>404</v>
      </c>
      <c r="D3744" t="s">
        <v>5873</v>
      </c>
      <c r="E3744" t="s">
        <v>4069</v>
      </c>
      <c r="F3744" s="129"/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0</v>
      </c>
      <c r="K3744" s="129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on track</v>
      </c>
      <c r="Q3744" s="3">
        <f ca="1">IF(Proc[[#This Row],[DateClosed]]="",ABS(NETWORKDAYS(Proc[[#This Row],[DateOpened]],TODAY()))-1,ABS(NETWORKDAYS(Proc[[#This Row],[DateOpened]],Proc[[#This Row],[DateClosed]]))-1)</f>
        <v>0</v>
      </c>
      <c r="R3744" s="136" t="s">
        <v>1013</v>
      </c>
      <c r="S3744" s="129"/>
    </row>
    <row r="3745" spans="1:19">
      <c r="A3745" s="135" t="s">
        <v>5862</v>
      </c>
      <c r="B3745" s="129" t="str">
        <f>IFERROR(VLOOKUP(Proc[[#This Row],[App]],Table2[],3,0),"open")</f>
        <v>open</v>
      </c>
      <c r="C3745" s="135" t="s">
        <v>404</v>
      </c>
      <c r="D3745" t="s">
        <v>5874</v>
      </c>
      <c r="E3745" t="s">
        <v>4069</v>
      </c>
      <c r="F3745" s="129"/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0</v>
      </c>
      <c r="K3745" s="129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on track</v>
      </c>
      <c r="Q3745" s="3">
        <f ca="1">IF(Proc[[#This Row],[DateClosed]]="",ABS(NETWORKDAYS(Proc[[#This Row],[DateOpened]],TODAY()))-1,ABS(NETWORKDAYS(Proc[[#This Row],[DateOpened]],Proc[[#This Row],[DateClosed]]))-1)</f>
        <v>0</v>
      </c>
      <c r="R3745" s="136" t="s">
        <v>1013</v>
      </c>
      <c r="S3745" s="129"/>
    </row>
    <row r="3746" spans="1:19">
      <c r="A3746" s="135" t="s">
        <v>5862</v>
      </c>
      <c r="B3746" s="129" t="str">
        <f>IFERROR(VLOOKUP(Proc[[#This Row],[App]],Table2[],3,0),"open")</f>
        <v>open</v>
      </c>
      <c r="C3746" s="135" t="s">
        <v>404</v>
      </c>
      <c r="D3746" t="s">
        <v>5875</v>
      </c>
      <c r="E3746" t="s">
        <v>4069</v>
      </c>
      <c r="F3746" s="129"/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0</v>
      </c>
      <c r="K3746" s="129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on track</v>
      </c>
      <c r="Q3746" s="3">
        <f ca="1">IF(Proc[[#This Row],[DateClosed]]="",ABS(NETWORKDAYS(Proc[[#This Row],[DateOpened]],TODAY()))-1,ABS(NETWORKDAYS(Proc[[#This Row],[DateOpened]],Proc[[#This Row],[DateClosed]]))-1)</f>
        <v>0</v>
      </c>
      <c r="R3746" s="136" t="s">
        <v>1013</v>
      </c>
      <c r="S3746" s="129"/>
    </row>
    <row r="3747" spans="1:19">
      <c r="A3747" s="135" t="s">
        <v>5862</v>
      </c>
      <c r="B3747" s="129" t="str">
        <f>IFERROR(VLOOKUP(Proc[[#This Row],[App]],Table2[],3,0),"open")</f>
        <v>open</v>
      </c>
      <c r="C3747" s="135" t="s">
        <v>404</v>
      </c>
      <c r="D3747" t="s">
        <v>5876</v>
      </c>
      <c r="E3747" t="s">
        <v>4069</v>
      </c>
      <c r="F3747" s="129"/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0</v>
      </c>
      <c r="K3747" s="129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on track</v>
      </c>
      <c r="Q3747" s="3">
        <f ca="1">IF(Proc[[#This Row],[DateClosed]]="",ABS(NETWORKDAYS(Proc[[#This Row],[DateOpened]],TODAY()))-1,ABS(NETWORKDAYS(Proc[[#This Row],[DateOpened]],Proc[[#This Row],[DateClosed]]))-1)</f>
        <v>0</v>
      </c>
      <c r="R3747" s="136" t="s">
        <v>1013</v>
      </c>
      <c r="S3747" s="129"/>
    </row>
    <row r="3748" spans="1:19">
      <c r="A3748" s="135" t="s">
        <v>5862</v>
      </c>
      <c r="B3748" s="129" t="str">
        <f>IFERROR(VLOOKUP(Proc[[#This Row],[App]],Table2[],3,0),"open")</f>
        <v>open</v>
      </c>
      <c r="C3748" s="135" t="s">
        <v>404</v>
      </c>
      <c r="D3748" t="s">
        <v>5877</v>
      </c>
      <c r="E3748" t="s">
        <v>4069</v>
      </c>
      <c r="F3748" s="129"/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0</v>
      </c>
      <c r="K3748" s="129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on track</v>
      </c>
      <c r="Q3748" s="3">
        <f ca="1">IF(Proc[[#This Row],[DateClosed]]="",ABS(NETWORKDAYS(Proc[[#This Row],[DateOpened]],TODAY()))-1,ABS(NETWORKDAYS(Proc[[#This Row],[DateOpened]],Proc[[#This Row],[DateClosed]]))-1)</f>
        <v>0</v>
      </c>
      <c r="R3748" s="136" t="s">
        <v>1013</v>
      </c>
      <c r="S3748" s="129"/>
    </row>
    <row r="3749" spans="1:19">
      <c r="A3749" s="135" t="s">
        <v>5862</v>
      </c>
      <c r="B3749" s="129" t="str">
        <f>IFERROR(VLOOKUP(Proc[[#This Row],[App]],Table2[],3,0),"open")</f>
        <v>open</v>
      </c>
      <c r="C3749" s="135" t="s">
        <v>404</v>
      </c>
      <c r="D3749" t="s">
        <v>5878</v>
      </c>
      <c r="E3749" t="s">
        <v>3741</v>
      </c>
      <c r="F3749" s="129"/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0</v>
      </c>
      <c r="K3749" s="129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on track</v>
      </c>
      <c r="Q3749" s="3">
        <f ca="1">IF(Proc[[#This Row],[DateClosed]]="",ABS(NETWORKDAYS(Proc[[#This Row],[DateOpened]],TODAY()))-1,ABS(NETWORKDAYS(Proc[[#This Row],[DateOpened]],Proc[[#This Row],[DateClosed]]))-1)</f>
        <v>0</v>
      </c>
      <c r="R3749" s="136" t="s">
        <v>1013</v>
      </c>
      <c r="S3749" s="129"/>
    </row>
    <row r="3750" spans="1:19">
      <c r="A3750" s="135" t="s">
        <v>5862</v>
      </c>
      <c r="B3750" s="129" t="str">
        <f>IFERROR(VLOOKUP(Proc[[#This Row],[App]],Table2[],3,0),"open")</f>
        <v>open</v>
      </c>
      <c r="C3750" s="135" t="s">
        <v>404</v>
      </c>
      <c r="D3750" t="s">
        <v>5879</v>
      </c>
      <c r="E3750" t="s">
        <v>4069</v>
      </c>
      <c r="F3750" s="129"/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0</v>
      </c>
      <c r="K3750" s="129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on track</v>
      </c>
      <c r="Q3750" s="3">
        <f ca="1">IF(Proc[[#This Row],[DateClosed]]="",ABS(NETWORKDAYS(Proc[[#This Row],[DateOpened]],TODAY()))-1,ABS(NETWORKDAYS(Proc[[#This Row],[DateOpened]],Proc[[#This Row],[DateClosed]]))-1)</f>
        <v>0</v>
      </c>
      <c r="R3750" s="136" t="s">
        <v>1013</v>
      </c>
      <c r="S3750" s="129"/>
    </row>
    <row r="3751" spans="1:19">
      <c r="A3751" s="135" t="s">
        <v>5862</v>
      </c>
      <c r="B3751" s="129" t="str">
        <f>IFERROR(VLOOKUP(Proc[[#This Row],[App]],Table2[],3,0),"open")</f>
        <v>open</v>
      </c>
      <c r="C3751" s="135" t="s">
        <v>404</v>
      </c>
      <c r="D3751" t="s">
        <v>5880</v>
      </c>
      <c r="E3751" t="s">
        <v>3005</v>
      </c>
      <c r="F3751" s="129"/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0</v>
      </c>
      <c r="K3751" s="129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on track</v>
      </c>
      <c r="Q3751" s="3">
        <f ca="1">IF(Proc[[#This Row],[DateClosed]]="",ABS(NETWORKDAYS(Proc[[#This Row],[DateOpened]],TODAY()))-1,ABS(NETWORKDAYS(Proc[[#This Row],[DateOpened]],Proc[[#This Row],[DateClosed]]))-1)</f>
        <v>0</v>
      </c>
      <c r="R3751" s="136" t="s">
        <v>1013</v>
      </c>
      <c r="S3751" s="129"/>
    </row>
    <row r="3752" spans="1:19">
      <c r="A3752" s="135" t="s">
        <v>5862</v>
      </c>
      <c r="B3752" s="129" t="str">
        <f>IFERROR(VLOOKUP(Proc[[#This Row],[App]],Table2[],3,0),"open")</f>
        <v>open</v>
      </c>
      <c r="C3752" s="135" t="s">
        <v>404</v>
      </c>
      <c r="D3752" t="s">
        <v>5881</v>
      </c>
      <c r="E3752" t="s">
        <v>3005</v>
      </c>
      <c r="F3752" s="129"/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0</v>
      </c>
      <c r="K3752" s="129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on track</v>
      </c>
      <c r="Q3752" s="3">
        <f ca="1">IF(Proc[[#This Row],[DateClosed]]="",ABS(NETWORKDAYS(Proc[[#This Row],[DateOpened]],TODAY()))-1,ABS(NETWORKDAYS(Proc[[#This Row],[DateOpened]],Proc[[#This Row],[DateClosed]]))-1)</f>
        <v>0</v>
      </c>
      <c r="R3752" s="136" t="s">
        <v>1013</v>
      </c>
      <c r="S3752" s="129"/>
    </row>
    <row r="3753" spans="1:19">
      <c r="A3753" s="135" t="s">
        <v>5862</v>
      </c>
      <c r="B3753" s="129" t="str">
        <f>IFERROR(VLOOKUP(Proc[[#This Row],[App]],Table2[],3,0),"open")</f>
        <v>open</v>
      </c>
      <c r="C3753" s="135" t="s">
        <v>404</v>
      </c>
      <c r="D3753" t="s">
        <v>5882</v>
      </c>
      <c r="E3753" t="s">
        <v>3005</v>
      </c>
      <c r="F3753" s="129"/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0</v>
      </c>
      <c r="K3753" s="129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on track</v>
      </c>
      <c r="Q3753" s="3">
        <f ca="1">IF(Proc[[#This Row],[DateClosed]]="",ABS(NETWORKDAYS(Proc[[#This Row],[DateOpened]],TODAY()))-1,ABS(NETWORKDAYS(Proc[[#This Row],[DateOpened]],Proc[[#This Row],[DateClosed]]))-1)</f>
        <v>0</v>
      </c>
      <c r="R3753" s="136" t="s">
        <v>1013</v>
      </c>
      <c r="S3753" s="129"/>
    </row>
    <row r="3754" spans="1:19">
      <c r="A3754" s="135" t="s">
        <v>5862</v>
      </c>
      <c r="B3754" s="129" t="str">
        <f>IFERROR(VLOOKUP(Proc[[#This Row],[App]],Table2[],3,0),"open")</f>
        <v>open</v>
      </c>
      <c r="C3754" s="135" t="s">
        <v>404</v>
      </c>
      <c r="D3754" t="s">
        <v>5883</v>
      </c>
      <c r="E3754" t="s">
        <v>3007</v>
      </c>
      <c r="F3754" s="129"/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0</v>
      </c>
      <c r="K3754" s="129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on track</v>
      </c>
      <c r="Q3754" s="3">
        <f ca="1">IF(Proc[[#This Row],[DateClosed]]="",ABS(NETWORKDAYS(Proc[[#This Row],[DateOpened]],TODAY()))-1,ABS(NETWORKDAYS(Proc[[#This Row],[DateOpened]],Proc[[#This Row],[DateClosed]]))-1)</f>
        <v>0</v>
      </c>
      <c r="R3754" s="136" t="s">
        <v>1013</v>
      </c>
      <c r="S3754" s="129"/>
    </row>
    <row r="3755" spans="1:19">
      <c r="A3755" s="135" t="s">
        <v>5862</v>
      </c>
      <c r="B3755" s="129" t="str">
        <f>IFERROR(VLOOKUP(Proc[[#This Row],[App]],Table2[],3,0),"open")</f>
        <v>open</v>
      </c>
      <c r="C3755" s="135" t="s">
        <v>404</v>
      </c>
      <c r="D3755" t="s">
        <v>5884</v>
      </c>
      <c r="E3755" t="s">
        <v>3004</v>
      </c>
      <c r="F3755" s="129"/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0</v>
      </c>
      <c r="K3755" s="129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on track</v>
      </c>
      <c r="Q3755" s="3">
        <f ca="1">IF(Proc[[#This Row],[DateClosed]]="",ABS(NETWORKDAYS(Proc[[#This Row],[DateOpened]],TODAY()))-1,ABS(NETWORKDAYS(Proc[[#This Row],[DateOpened]],Proc[[#This Row],[DateClosed]]))-1)</f>
        <v>0</v>
      </c>
      <c r="R3755" s="136" t="s">
        <v>1013</v>
      </c>
      <c r="S3755" s="129"/>
    </row>
    <row r="3756" spans="1:19">
      <c r="A3756" s="135" t="s">
        <v>5862</v>
      </c>
      <c r="B3756" s="129" t="str">
        <f>IFERROR(VLOOKUP(Proc[[#This Row],[App]],Table2[],3,0),"open")</f>
        <v>open</v>
      </c>
      <c r="C3756" s="135" t="s">
        <v>404</v>
      </c>
      <c r="D3756" t="s">
        <v>5885</v>
      </c>
      <c r="E3756" t="s">
        <v>3004</v>
      </c>
      <c r="F3756" s="129"/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0</v>
      </c>
      <c r="K3756" s="129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on track</v>
      </c>
      <c r="Q3756" s="3">
        <f ca="1">IF(Proc[[#This Row],[DateClosed]]="",ABS(NETWORKDAYS(Proc[[#This Row],[DateOpened]],TODAY()))-1,ABS(NETWORKDAYS(Proc[[#This Row],[DateOpened]],Proc[[#This Row],[DateClosed]]))-1)</f>
        <v>0</v>
      </c>
      <c r="R3756" s="136" t="s">
        <v>1013</v>
      </c>
      <c r="S3756" s="129"/>
    </row>
    <row r="3757" spans="1:19">
      <c r="A3757" s="135" t="s">
        <v>5862</v>
      </c>
      <c r="B3757" s="129" t="str">
        <f>IFERROR(VLOOKUP(Proc[[#This Row],[App]],Table2[],3,0),"open")</f>
        <v>open</v>
      </c>
      <c r="C3757" s="135" t="s">
        <v>404</v>
      </c>
      <c r="D3757" t="s">
        <v>5886</v>
      </c>
      <c r="E3757" t="s">
        <v>3008</v>
      </c>
      <c r="F3757" s="129"/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0</v>
      </c>
      <c r="K3757" s="129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on track</v>
      </c>
      <c r="Q3757" s="3">
        <f ca="1">IF(Proc[[#This Row],[DateClosed]]="",ABS(NETWORKDAYS(Proc[[#This Row],[DateOpened]],TODAY()))-1,ABS(NETWORKDAYS(Proc[[#This Row],[DateOpened]],Proc[[#This Row],[DateClosed]]))-1)</f>
        <v>0</v>
      </c>
      <c r="R3757" s="136" t="s">
        <v>1013</v>
      </c>
      <c r="S3757" s="129"/>
    </row>
    <row r="3758" spans="1:19">
      <c r="A3758" s="135" t="s">
        <v>5862</v>
      </c>
      <c r="B3758" s="129" t="str">
        <f>IFERROR(VLOOKUP(Proc[[#This Row],[App]],Table2[],3,0),"open")</f>
        <v>open</v>
      </c>
      <c r="C3758" s="135" t="s">
        <v>404</v>
      </c>
      <c r="D3758" t="s">
        <v>5887</v>
      </c>
      <c r="E3758" t="s">
        <v>3008</v>
      </c>
      <c r="F3758" s="129"/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0</v>
      </c>
      <c r="K3758" s="129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on track</v>
      </c>
      <c r="Q3758" s="3">
        <f ca="1">IF(Proc[[#This Row],[DateClosed]]="",ABS(NETWORKDAYS(Proc[[#This Row],[DateOpened]],TODAY()))-1,ABS(NETWORKDAYS(Proc[[#This Row],[DateOpened]],Proc[[#This Row],[DateClosed]]))-1)</f>
        <v>0</v>
      </c>
      <c r="R3758" s="136" t="s">
        <v>1013</v>
      </c>
      <c r="S3758" s="129"/>
    </row>
    <row r="3759" spans="1:19">
      <c r="A3759" s="135" t="s">
        <v>5862</v>
      </c>
      <c r="B3759" s="129" t="str">
        <f>IFERROR(VLOOKUP(Proc[[#This Row],[App]],Table2[],3,0),"open")</f>
        <v>open</v>
      </c>
      <c r="C3759" s="135" t="s">
        <v>404</v>
      </c>
      <c r="D3759" t="s">
        <v>5888</v>
      </c>
      <c r="E3759" t="s">
        <v>3008</v>
      </c>
      <c r="F3759" s="129"/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0</v>
      </c>
      <c r="K3759" s="129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on track</v>
      </c>
      <c r="Q3759" s="3">
        <f ca="1">IF(Proc[[#This Row],[DateClosed]]="",ABS(NETWORKDAYS(Proc[[#This Row],[DateOpened]],TODAY()))-1,ABS(NETWORKDAYS(Proc[[#This Row],[DateOpened]],Proc[[#This Row],[DateClosed]]))-1)</f>
        <v>0</v>
      </c>
      <c r="R3759" s="136" t="s">
        <v>1013</v>
      </c>
      <c r="S3759" s="129"/>
    </row>
    <row r="3760" spans="1:19">
      <c r="A3760" s="135" t="s">
        <v>5862</v>
      </c>
      <c r="B3760" s="129" t="str">
        <f>IFERROR(VLOOKUP(Proc[[#This Row],[App]],Table2[],3,0),"open")</f>
        <v>open</v>
      </c>
      <c r="C3760" s="135" t="s">
        <v>404</v>
      </c>
      <c r="D3760" t="s">
        <v>5889</v>
      </c>
      <c r="E3760" t="s">
        <v>3009</v>
      </c>
      <c r="F3760" s="129"/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0</v>
      </c>
      <c r="K3760" s="129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on track</v>
      </c>
      <c r="Q3760" s="3">
        <f ca="1">IF(Proc[[#This Row],[DateClosed]]="",ABS(NETWORKDAYS(Proc[[#This Row],[DateOpened]],TODAY()))-1,ABS(NETWORKDAYS(Proc[[#This Row],[DateOpened]],Proc[[#This Row],[DateClosed]]))-1)</f>
        <v>0</v>
      </c>
      <c r="R3760" s="136" t="s">
        <v>1013</v>
      </c>
      <c r="S3760" s="129"/>
    </row>
    <row r="3761" spans="1:19">
      <c r="A3761" s="135" t="s">
        <v>5862</v>
      </c>
      <c r="B3761" s="129" t="str">
        <f>IFERROR(VLOOKUP(Proc[[#This Row],[App]],Table2[],3,0),"open")</f>
        <v>open</v>
      </c>
      <c r="C3761" s="135" t="s">
        <v>404</v>
      </c>
      <c r="D3761" t="s">
        <v>5890</v>
      </c>
      <c r="E3761" t="s">
        <v>3003</v>
      </c>
      <c r="F3761" s="129"/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0</v>
      </c>
      <c r="K3761" s="129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on track</v>
      </c>
      <c r="Q3761" s="3">
        <f ca="1">IF(Proc[[#This Row],[DateClosed]]="",ABS(NETWORKDAYS(Proc[[#This Row],[DateOpened]],TODAY()))-1,ABS(NETWORKDAYS(Proc[[#This Row],[DateOpened]],Proc[[#This Row],[DateClosed]]))-1)</f>
        <v>0</v>
      </c>
      <c r="R3761" s="136" t="s">
        <v>1013</v>
      </c>
      <c r="S3761" s="129"/>
    </row>
    <row r="3762" spans="1:19">
      <c r="A3762" s="135" t="s">
        <v>5862</v>
      </c>
      <c r="B3762" s="129" t="str">
        <f>IFERROR(VLOOKUP(Proc[[#This Row],[App]],Table2[],3,0),"open")</f>
        <v>open</v>
      </c>
      <c r="C3762" s="135" t="s">
        <v>404</v>
      </c>
      <c r="D3762" t="s">
        <v>5891</v>
      </c>
      <c r="E3762" t="s">
        <v>3009</v>
      </c>
      <c r="F3762" s="129"/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0</v>
      </c>
      <c r="K3762" s="129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on track</v>
      </c>
      <c r="Q3762" s="3">
        <f ca="1">IF(Proc[[#This Row],[DateClosed]]="",ABS(NETWORKDAYS(Proc[[#This Row],[DateOpened]],TODAY()))-1,ABS(NETWORKDAYS(Proc[[#This Row],[DateOpened]],Proc[[#This Row],[DateClosed]]))-1)</f>
        <v>0</v>
      </c>
      <c r="R3762" s="136" t="s">
        <v>1013</v>
      </c>
      <c r="S3762" s="129"/>
    </row>
    <row r="3763" spans="1:19">
      <c r="A3763" s="135" t="s">
        <v>5862</v>
      </c>
      <c r="B3763" s="129" t="str">
        <f>IFERROR(VLOOKUP(Proc[[#This Row],[App]],Table2[],3,0),"open")</f>
        <v>open</v>
      </c>
      <c r="C3763" s="135" t="s">
        <v>404</v>
      </c>
      <c r="D3763" t="s">
        <v>5892</v>
      </c>
      <c r="E3763" t="s">
        <v>3008</v>
      </c>
      <c r="F3763" s="129"/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0</v>
      </c>
      <c r="K3763" s="129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on track</v>
      </c>
      <c r="Q3763" s="3">
        <f ca="1">IF(Proc[[#This Row],[DateClosed]]="",ABS(NETWORKDAYS(Proc[[#This Row],[DateOpened]],TODAY()))-1,ABS(NETWORKDAYS(Proc[[#This Row],[DateOpened]],Proc[[#This Row],[DateClosed]]))-1)</f>
        <v>0</v>
      </c>
      <c r="R3763" s="136" t="s">
        <v>1013</v>
      </c>
      <c r="S3763" s="129"/>
    </row>
    <row r="3764" spans="1:19">
      <c r="A3764" s="135" t="s">
        <v>5862</v>
      </c>
      <c r="B3764" s="129" t="str">
        <f>IFERROR(VLOOKUP(Proc[[#This Row],[App]],Table2[],3,0),"open")</f>
        <v>open</v>
      </c>
      <c r="C3764" s="135" t="s">
        <v>404</v>
      </c>
      <c r="D3764" t="s">
        <v>5893</v>
      </c>
      <c r="E3764" t="s">
        <v>3004</v>
      </c>
      <c r="F3764" s="129"/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0</v>
      </c>
      <c r="K3764" s="129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on track</v>
      </c>
      <c r="Q3764" s="3">
        <f ca="1">IF(Proc[[#This Row],[DateClosed]]="",ABS(NETWORKDAYS(Proc[[#This Row],[DateOpened]],TODAY()))-1,ABS(NETWORKDAYS(Proc[[#This Row],[DateOpened]],Proc[[#This Row],[DateClosed]]))-1)</f>
        <v>0</v>
      </c>
      <c r="R3764" s="136" t="s">
        <v>1013</v>
      </c>
      <c r="S3764" s="129"/>
    </row>
    <row r="3765" spans="1:19">
      <c r="A3765" s="135" t="s">
        <v>5862</v>
      </c>
      <c r="B3765" s="129" t="str">
        <f>IFERROR(VLOOKUP(Proc[[#This Row],[App]],Table2[],3,0),"open")</f>
        <v>open</v>
      </c>
      <c r="C3765" s="135" t="s">
        <v>404</v>
      </c>
      <c r="D3765" t="s">
        <v>5894</v>
      </c>
      <c r="E3765" t="s">
        <v>3006</v>
      </c>
      <c r="F3765" s="129"/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0</v>
      </c>
      <c r="K3765" s="129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on track</v>
      </c>
      <c r="Q3765" s="3">
        <f ca="1">IF(Proc[[#This Row],[DateClosed]]="",ABS(NETWORKDAYS(Proc[[#This Row],[DateOpened]],TODAY()))-1,ABS(NETWORKDAYS(Proc[[#This Row],[DateOpened]],Proc[[#This Row],[DateClosed]]))-1)</f>
        <v>0</v>
      </c>
      <c r="R3765" s="136" t="s">
        <v>1013</v>
      </c>
      <c r="S3765" s="129"/>
    </row>
    <row r="3766" spans="1:19">
      <c r="A3766" s="135" t="s">
        <v>5862</v>
      </c>
      <c r="B3766" s="129" t="str">
        <f>IFERROR(VLOOKUP(Proc[[#This Row],[App]],Table2[],3,0),"open")</f>
        <v>open</v>
      </c>
      <c r="C3766" s="135" t="s">
        <v>404</v>
      </c>
      <c r="D3766" t="s">
        <v>5895</v>
      </c>
      <c r="E3766" t="s">
        <v>3003</v>
      </c>
      <c r="F3766" s="129"/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0</v>
      </c>
      <c r="K3766" s="129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on track</v>
      </c>
      <c r="Q3766" s="3">
        <f ca="1">IF(Proc[[#This Row],[DateClosed]]="",ABS(NETWORKDAYS(Proc[[#This Row],[DateOpened]],TODAY()))-1,ABS(NETWORKDAYS(Proc[[#This Row],[DateOpened]],Proc[[#This Row],[DateClosed]]))-1)</f>
        <v>0</v>
      </c>
      <c r="R3766" s="136" t="s">
        <v>1013</v>
      </c>
      <c r="S3766" s="129"/>
    </row>
    <row r="3767" spans="1:19">
      <c r="A3767" s="135" t="s">
        <v>5862</v>
      </c>
      <c r="B3767" s="129" t="str">
        <f>IFERROR(VLOOKUP(Proc[[#This Row],[App]],Table2[],3,0),"open")</f>
        <v>open</v>
      </c>
      <c r="C3767" s="135" t="s">
        <v>404</v>
      </c>
      <c r="D3767" t="s">
        <v>5896</v>
      </c>
      <c r="E3767" t="s">
        <v>3005</v>
      </c>
      <c r="F3767" s="129"/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0</v>
      </c>
      <c r="K3767" s="129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on track</v>
      </c>
      <c r="Q3767" s="3">
        <f ca="1">IF(Proc[[#This Row],[DateClosed]]="",ABS(NETWORKDAYS(Proc[[#This Row],[DateOpened]],TODAY()))-1,ABS(NETWORKDAYS(Proc[[#This Row],[DateOpened]],Proc[[#This Row],[DateClosed]]))-1)</f>
        <v>0</v>
      </c>
      <c r="R3767" s="136" t="s">
        <v>1013</v>
      </c>
      <c r="S3767" s="129"/>
    </row>
    <row r="3768" spans="1:19">
      <c r="A3768" s="135" t="s">
        <v>5862</v>
      </c>
      <c r="B3768" s="129" t="str">
        <f>IFERROR(VLOOKUP(Proc[[#This Row],[App]],Table2[],3,0),"open")</f>
        <v>open</v>
      </c>
      <c r="C3768" s="135" t="s">
        <v>404</v>
      </c>
      <c r="D3768" t="s">
        <v>5897</v>
      </c>
      <c r="E3768" t="s">
        <v>3005</v>
      </c>
      <c r="F3768" s="129"/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0</v>
      </c>
      <c r="K3768" s="129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on track</v>
      </c>
      <c r="Q3768" s="3">
        <f ca="1">IF(Proc[[#This Row],[DateClosed]]="",ABS(NETWORKDAYS(Proc[[#This Row],[DateOpened]],TODAY()))-1,ABS(NETWORKDAYS(Proc[[#This Row],[DateOpened]],Proc[[#This Row],[DateClosed]]))-1)</f>
        <v>0</v>
      </c>
      <c r="R3768" s="136" t="s">
        <v>1013</v>
      </c>
      <c r="S3768" s="129"/>
    </row>
    <row r="3769" spans="1:19">
      <c r="A3769" s="135" t="s">
        <v>5862</v>
      </c>
      <c r="B3769" s="129" t="str">
        <f>IFERROR(VLOOKUP(Proc[[#This Row],[App]],Table2[],3,0),"open")</f>
        <v>open</v>
      </c>
      <c r="C3769" s="135" t="s">
        <v>404</v>
      </c>
      <c r="D3769" t="s">
        <v>5898</v>
      </c>
      <c r="E3769" t="s">
        <v>3007</v>
      </c>
      <c r="F3769" s="129"/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0</v>
      </c>
      <c r="K3769" s="129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on track</v>
      </c>
      <c r="Q3769" s="3">
        <f ca="1">IF(Proc[[#This Row],[DateClosed]]="",ABS(NETWORKDAYS(Proc[[#This Row],[DateOpened]],TODAY()))-1,ABS(NETWORKDAYS(Proc[[#This Row],[DateOpened]],Proc[[#This Row],[DateClosed]]))-1)</f>
        <v>0</v>
      </c>
      <c r="R3769" s="136" t="s">
        <v>1013</v>
      </c>
      <c r="S3769" s="129"/>
    </row>
    <row r="3770" spans="1:19">
      <c r="A3770" s="135" t="s">
        <v>5862</v>
      </c>
      <c r="B3770" s="129" t="str">
        <f>IFERROR(VLOOKUP(Proc[[#This Row],[App]],Table2[],3,0),"open")</f>
        <v>open</v>
      </c>
      <c r="C3770" s="135" t="s">
        <v>404</v>
      </c>
      <c r="D3770" t="s">
        <v>5899</v>
      </c>
      <c r="E3770" t="s">
        <v>3008</v>
      </c>
      <c r="F3770" s="129"/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0</v>
      </c>
      <c r="K3770" s="129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on track</v>
      </c>
      <c r="Q3770" s="3">
        <f ca="1">IF(Proc[[#This Row],[DateClosed]]="",ABS(NETWORKDAYS(Proc[[#This Row],[DateOpened]],TODAY()))-1,ABS(NETWORKDAYS(Proc[[#This Row],[DateOpened]],Proc[[#This Row],[DateClosed]]))-1)</f>
        <v>0</v>
      </c>
      <c r="R3770" s="136" t="s">
        <v>1013</v>
      </c>
      <c r="S3770" s="129"/>
    </row>
    <row r="3771" spans="1:19">
      <c r="A3771" s="135" t="s">
        <v>5862</v>
      </c>
      <c r="B3771" s="129" t="str">
        <f>IFERROR(VLOOKUP(Proc[[#This Row],[App]],Table2[],3,0),"open")</f>
        <v>open</v>
      </c>
      <c r="C3771" s="135" t="s">
        <v>404</v>
      </c>
      <c r="D3771" t="s">
        <v>5900</v>
      </c>
      <c r="E3771" t="s">
        <v>3008</v>
      </c>
      <c r="F3771" s="129"/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0</v>
      </c>
      <c r="K3771" s="129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on track</v>
      </c>
      <c r="Q3771" s="3">
        <f ca="1">IF(Proc[[#This Row],[DateClosed]]="",ABS(NETWORKDAYS(Proc[[#This Row],[DateOpened]],TODAY()))-1,ABS(NETWORKDAYS(Proc[[#This Row],[DateOpened]],Proc[[#This Row],[DateClosed]]))-1)</f>
        <v>0</v>
      </c>
      <c r="R3771" s="136" t="s">
        <v>1013</v>
      </c>
      <c r="S3771" s="129"/>
    </row>
    <row r="3772" spans="1:19">
      <c r="A3772" s="135" t="s">
        <v>5862</v>
      </c>
      <c r="B3772" s="129" t="str">
        <f>IFERROR(VLOOKUP(Proc[[#This Row],[App]],Table2[],3,0),"open")</f>
        <v>open</v>
      </c>
      <c r="C3772" s="135" t="s">
        <v>404</v>
      </c>
      <c r="D3772" t="s">
        <v>5901</v>
      </c>
      <c r="E3772" t="s">
        <v>3008</v>
      </c>
      <c r="F3772" s="129"/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0</v>
      </c>
      <c r="K3772" s="129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on track</v>
      </c>
      <c r="Q3772" s="3">
        <f ca="1">IF(Proc[[#This Row],[DateClosed]]="",ABS(NETWORKDAYS(Proc[[#This Row],[DateOpened]],TODAY()))-1,ABS(NETWORKDAYS(Proc[[#This Row],[DateOpened]],Proc[[#This Row],[DateClosed]]))-1)</f>
        <v>0</v>
      </c>
      <c r="R3772" s="136" t="s">
        <v>1013</v>
      </c>
      <c r="S3772" s="129"/>
    </row>
    <row r="3773" spans="1:19">
      <c r="A3773" s="135" t="s">
        <v>5862</v>
      </c>
      <c r="B3773" s="129" t="str">
        <f>IFERROR(VLOOKUP(Proc[[#This Row],[App]],Table2[],3,0),"open")</f>
        <v>open</v>
      </c>
      <c r="C3773" s="135" t="s">
        <v>404</v>
      </c>
      <c r="D3773" t="s">
        <v>5902</v>
      </c>
      <c r="E3773" t="s">
        <v>3009</v>
      </c>
      <c r="F3773" s="129"/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0</v>
      </c>
      <c r="K3773" s="129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on track</v>
      </c>
      <c r="Q3773" s="3">
        <f ca="1">IF(Proc[[#This Row],[DateClosed]]="",ABS(NETWORKDAYS(Proc[[#This Row],[DateOpened]],TODAY()))-1,ABS(NETWORKDAYS(Proc[[#This Row],[DateOpened]],Proc[[#This Row],[DateClosed]]))-1)</f>
        <v>0</v>
      </c>
      <c r="R3773" s="136" t="s">
        <v>1013</v>
      </c>
      <c r="S3773" s="129"/>
    </row>
    <row r="3774" spans="1:19">
      <c r="A3774" s="135" t="s">
        <v>5862</v>
      </c>
      <c r="B3774" s="129" t="str">
        <f>IFERROR(VLOOKUP(Proc[[#This Row],[App]],Table2[],3,0),"open")</f>
        <v>open</v>
      </c>
      <c r="C3774" s="135" t="s">
        <v>404</v>
      </c>
      <c r="D3774" t="s">
        <v>5903</v>
      </c>
      <c r="E3774" t="s">
        <v>3006</v>
      </c>
      <c r="F3774" s="129"/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0</v>
      </c>
      <c r="K3774" s="129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on track</v>
      </c>
      <c r="Q3774" s="3">
        <f ca="1">IF(Proc[[#This Row],[DateClosed]]="",ABS(NETWORKDAYS(Proc[[#This Row],[DateOpened]],TODAY()))-1,ABS(NETWORKDAYS(Proc[[#This Row],[DateOpened]],Proc[[#This Row],[DateClosed]]))-1)</f>
        <v>0</v>
      </c>
      <c r="R3774" s="136" t="s">
        <v>1013</v>
      </c>
      <c r="S3774" s="129"/>
    </row>
    <row r="3775" spans="1:19">
      <c r="A3775" s="135" t="s">
        <v>5862</v>
      </c>
      <c r="B3775" s="129" t="str">
        <f>IFERROR(VLOOKUP(Proc[[#This Row],[App]],Table2[],3,0),"open")</f>
        <v>open</v>
      </c>
      <c r="C3775" s="135" t="s">
        <v>404</v>
      </c>
      <c r="D3775" t="s">
        <v>5904</v>
      </c>
      <c r="E3775" t="s">
        <v>3006</v>
      </c>
      <c r="F3775" s="129"/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0</v>
      </c>
      <c r="K3775" s="129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on track</v>
      </c>
      <c r="Q3775" s="3">
        <f ca="1">IF(Proc[[#This Row],[DateClosed]]="",ABS(NETWORKDAYS(Proc[[#This Row],[DateOpened]],TODAY()))-1,ABS(NETWORKDAYS(Proc[[#This Row],[DateOpened]],Proc[[#This Row],[DateClosed]]))-1)</f>
        <v>0</v>
      </c>
      <c r="R3775" s="136" t="s">
        <v>1013</v>
      </c>
      <c r="S3775" s="129"/>
    </row>
    <row r="3776" spans="1:19">
      <c r="A3776" s="135" t="s">
        <v>5862</v>
      </c>
      <c r="B3776" s="129" t="str">
        <f>IFERROR(VLOOKUP(Proc[[#This Row],[App]],Table2[],3,0),"open")</f>
        <v>open</v>
      </c>
      <c r="C3776" s="135" t="s">
        <v>404</v>
      </c>
      <c r="D3776" t="s">
        <v>5905</v>
      </c>
      <c r="E3776" t="s">
        <v>3003</v>
      </c>
      <c r="F3776" s="129"/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0</v>
      </c>
      <c r="K3776" s="129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on track</v>
      </c>
      <c r="Q3776" s="3">
        <f ca="1">IF(Proc[[#This Row],[DateClosed]]="",ABS(NETWORKDAYS(Proc[[#This Row],[DateOpened]],TODAY()))-1,ABS(NETWORKDAYS(Proc[[#This Row],[DateOpened]],Proc[[#This Row],[DateClosed]]))-1)</f>
        <v>0</v>
      </c>
      <c r="R3776" s="136" t="s">
        <v>1013</v>
      </c>
      <c r="S3776" s="129"/>
    </row>
    <row r="3777" spans="1:19">
      <c r="A3777" s="135" t="s">
        <v>5862</v>
      </c>
      <c r="B3777" s="129" t="str">
        <f>IFERROR(VLOOKUP(Proc[[#This Row],[App]],Table2[],3,0),"open")</f>
        <v>open</v>
      </c>
      <c r="C3777" s="135" t="s">
        <v>404</v>
      </c>
      <c r="D3777" t="s">
        <v>5906</v>
      </c>
      <c r="E3777" t="s">
        <v>5923</v>
      </c>
      <c r="F3777" s="129"/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0</v>
      </c>
      <c r="K3777" s="129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on track</v>
      </c>
      <c r="Q3777" s="3">
        <f ca="1">IF(Proc[[#This Row],[DateClosed]]="",ABS(NETWORKDAYS(Proc[[#This Row],[DateOpened]],TODAY()))-1,ABS(NETWORKDAYS(Proc[[#This Row],[DateOpened]],Proc[[#This Row],[DateClosed]]))-1)</f>
        <v>0</v>
      </c>
      <c r="R3777" s="136" t="s">
        <v>1013</v>
      </c>
      <c r="S3777" s="129"/>
    </row>
    <row r="3778" spans="1:19">
      <c r="A3778" s="135" t="s">
        <v>5862</v>
      </c>
      <c r="B3778" s="129" t="str">
        <f>IFERROR(VLOOKUP(Proc[[#This Row],[App]],Table2[],3,0),"open")</f>
        <v>open</v>
      </c>
      <c r="C3778" s="135" t="s">
        <v>404</v>
      </c>
      <c r="D3778" t="s">
        <v>5907</v>
      </c>
      <c r="E3778" t="s">
        <v>3400</v>
      </c>
      <c r="F3778" s="129"/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0</v>
      </c>
      <c r="K3778" s="129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on track</v>
      </c>
      <c r="Q3778" s="3">
        <f ca="1">IF(Proc[[#This Row],[DateClosed]]="",ABS(NETWORKDAYS(Proc[[#This Row],[DateOpened]],TODAY()))-1,ABS(NETWORKDAYS(Proc[[#This Row],[DateOpened]],Proc[[#This Row],[DateClosed]]))-1)</f>
        <v>0</v>
      </c>
      <c r="R3778" s="136" t="s">
        <v>1013</v>
      </c>
      <c r="S3778" s="129"/>
    </row>
    <row r="3779" spans="1:19">
      <c r="A3779" s="135" t="s">
        <v>5862</v>
      </c>
      <c r="B3779" s="129" t="str">
        <f>IFERROR(VLOOKUP(Proc[[#This Row],[App]],Table2[],3,0),"open")</f>
        <v>open</v>
      </c>
      <c r="C3779" s="135" t="s">
        <v>404</v>
      </c>
      <c r="D3779" t="s">
        <v>5908</v>
      </c>
      <c r="E3779" t="s">
        <v>3400</v>
      </c>
      <c r="F3779" s="129"/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0</v>
      </c>
      <c r="K3779" s="129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on track</v>
      </c>
      <c r="Q3779" s="3">
        <f ca="1">IF(Proc[[#This Row],[DateClosed]]="",ABS(NETWORKDAYS(Proc[[#This Row],[DateOpened]],TODAY()))-1,ABS(NETWORKDAYS(Proc[[#This Row],[DateOpened]],Proc[[#This Row],[DateClosed]]))-1)</f>
        <v>0</v>
      </c>
      <c r="R3779" s="136" t="s">
        <v>1013</v>
      </c>
      <c r="S3779" s="129"/>
    </row>
    <row r="3780" spans="1:19">
      <c r="A3780" s="135" t="s">
        <v>5862</v>
      </c>
      <c r="B3780" s="129" t="str">
        <f>IFERROR(VLOOKUP(Proc[[#This Row],[App]],Table2[],3,0),"open")</f>
        <v>open</v>
      </c>
      <c r="C3780" s="135" t="s">
        <v>404</v>
      </c>
      <c r="D3780" t="s">
        <v>5909</v>
      </c>
      <c r="E3780" t="s">
        <v>3400</v>
      </c>
      <c r="F3780" s="129"/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0</v>
      </c>
      <c r="K3780" s="129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on track</v>
      </c>
      <c r="Q3780" s="3">
        <f ca="1">IF(Proc[[#This Row],[DateClosed]]="",ABS(NETWORKDAYS(Proc[[#This Row],[DateOpened]],TODAY()))-1,ABS(NETWORKDAYS(Proc[[#This Row],[DateOpened]],Proc[[#This Row],[DateClosed]]))-1)</f>
        <v>0</v>
      </c>
      <c r="R3780" s="136" t="s">
        <v>1013</v>
      </c>
      <c r="S3780" s="129"/>
    </row>
    <row r="3781" spans="1:19">
      <c r="A3781" s="135" t="s">
        <v>5862</v>
      </c>
      <c r="B3781" s="129" t="str">
        <f>IFERROR(VLOOKUP(Proc[[#This Row],[App]],Table2[],3,0),"open")</f>
        <v>open</v>
      </c>
      <c r="C3781" s="135" t="s">
        <v>404</v>
      </c>
      <c r="D3781" t="s">
        <v>5910</v>
      </c>
      <c r="E3781" t="s">
        <v>3400</v>
      </c>
      <c r="F3781" s="129"/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0</v>
      </c>
      <c r="K3781" s="129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on track</v>
      </c>
      <c r="Q3781" s="3">
        <f ca="1">IF(Proc[[#This Row],[DateClosed]]="",ABS(NETWORKDAYS(Proc[[#This Row],[DateOpened]],TODAY()))-1,ABS(NETWORKDAYS(Proc[[#This Row],[DateOpened]],Proc[[#This Row],[DateClosed]]))-1)</f>
        <v>0</v>
      </c>
      <c r="R3781" s="136" t="s">
        <v>1013</v>
      </c>
      <c r="S3781" s="129"/>
    </row>
    <row r="3782" spans="1:19">
      <c r="A3782" s="135" t="s">
        <v>5862</v>
      </c>
      <c r="B3782" s="129" t="str">
        <f>IFERROR(VLOOKUP(Proc[[#This Row],[App]],Table2[],3,0),"open")</f>
        <v>open</v>
      </c>
      <c r="C3782" s="135" t="s">
        <v>404</v>
      </c>
      <c r="D3782" t="s">
        <v>5911</v>
      </c>
      <c r="E3782" t="s">
        <v>3398</v>
      </c>
      <c r="F3782" s="129"/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0</v>
      </c>
      <c r="K3782" s="129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on track</v>
      </c>
      <c r="Q3782" s="3">
        <f ca="1">IF(Proc[[#This Row],[DateClosed]]="",ABS(NETWORKDAYS(Proc[[#This Row],[DateOpened]],TODAY()))-1,ABS(NETWORKDAYS(Proc[[#This Row],[DateOpened]],Proc[[#This Row],[DateClosed]]))-1)</f>
        <v>0</v>
      </c>
      <c r="R3782" s="136" t="s">
        <v>1013</v>
      </c>
      <c r="S3782" s="129"/>
    </row>
    <row r="3783" spans="1:19">
      <c r="A3783" s="135" t="s">
        <v>5862</v>
      </c>
      <c r="B3783" s="129" t="str">
        <f>IFERROR(VLOOKUP(Proc[[#This Row],[App]],Table2[],3,0),"open")</f>
        <v>open</v>
      </c>
      <c r="C3783" s="135" t="s">
        <v>404</v>
      </c>
      <c r="D3783" t="s">
        <v>5912</v>
      </c>
      <c r="E3783" t="s">
        <v>3402</v>
      </c>
      <c r="F3783" s="129"/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0</v>
      </c>
      <c r="K3783" s="129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on track</v>
      </c>
      <c r="Q3783" s="3">
        <f ca="1">IF(Proc[[#This Row],[DateClosed]]="",ABS(NETWORKDAYS(Proc[[#This Row],[DateOpened]],TODAY()))-1,ABS(NETWORKDAYS(Proc[[#This Row],[DateOpened]],Proc[[#This Row],[DateClosed]]))-1)</f>
        <v>0</v>
      </c>
      <c r="R3783" s="136" t="s">
        <v>1013</v>
      </c>
      <c r="S3783" s="129"/>
    </row>
    <row r="3784" spans="1:19">
      <c r="A3784" s="135" t="s">
        <v>5862</v>
      </c>
      <c r="B3784" s="129" t="str">
        <f>IFERROR(VLOOKUP(Proc[[#This Row],[App]],Table2[],3,0),"open")</f>
        <v>open</v>
      </c>
      <c r="C3784" s="135" t="s">
        <v>404</v>
      </c>
      <c r="D3784" t="s">
        <v>5913</v>
      </c>
      <c r="E3784" t="s">
        <v>3402</v>
      </c>
      <c r="F3784" s="129"/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0</v>
      </c>
      <c r="K3784" s="129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on track</v>
      </c>
      <c r="Q3784" s="3">
        <f ca="1">IF(Proc[[#This Row],[DateClosed]]="",ABS(NETWORKDAYS(Proc[[#This Row],[DateOpened]],TODAY()))-1,ABS(NETWORKDAYS(Proc[[#This Row],[DateOpened]],Proc[[#This Row],[DateClosed]]))-1)</f>
        <v>0</v>
      </c>
      <c r="R3784" s="136" t="s">
        <v>1013</v>
      </c>
      <c r="S3784" s="129"/>
    </row>
    <row r="3785" spans="1:19">
      <c r="A3785" s="135" t="s">
        <v>5862</v>
      </c>
      <c r="B3785" s="129" t="str">
        <f>IFERROR(VLOOKUP(Proc[[#This Row],[App]],Table2[],3,0),"open")</f>
        <v>open</v>
      </c>
      <c r="C3785" s="135" t="s">
        <v>404</v>
      </c>
      <c r="D3785" t="s">
        <v>5914</v>
      </c>
      <c r="E3785" t="s">
        <v>3402</v>
      </c>
      <c r="F3785" s="129"/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0</v>
      </c>
      <c r="K3785" s="129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on track</v>
      </c>
      <c r="Q3785" s="3">
        <f ca="1">IF(Proc[[#This Row],[DateClosed]]="",ABS(NETWORKDAYS(Proc[[#This Row],[DateOpened]],TODAY()))-1,ABS(NETWORKDAYS(Proc[[#This Row],[DateOpened]],Proc[[#This Row],[DateClosed]]))-1)</f>
        <v>0</v>
      </c>
      <c r="R3785" s="136" t="s">
        <v>1013</v>
      </c>
      <c r="S3785" s="129"/>
    </row>
    <row r="3786" spans="1:19">
      <c r="A3786" s="135" t="s">
        <v>5862</v>
      </c>
      <c r="B3786" s="129" t="str">
        <f>IFERROR(VLOOKUP(Proc[[#This Row],[App]],Table2[],3,0),"open")</f>
        <v>open</v>
      </c>
      <c r="C3786" s="135" t="s">
        <v>404</v>
      </c>
      <c r="D3786" t="s">
        <v>5915</v>
      </c>
      <c r="E3786" t="s">
        <v>3402</v>
      </c>
      <c r="F3786" s="129"/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0</v>
      </c>
      <c r="K3786" s="129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on track</v>
      </c>
      <c r="Q3786" s="3">
        <f ca="1">IF(Proc[[#This Row],[DateClosed]]="",ABS(NETWORKDAYS(Proc[[#This Row],[DateOpened]],TODAY()))-1,ABS(NETWORKDAYS(Proc[[#This Row],[DateOpened]],Proc[[#This Row],[DateClosed]]))-1)</f>
        <v>0</v>
      </c>
      <c r="R3786" s="136" t="s">
        <v>1013</v>
      </c>
      <c r="S3786" s="129"/>
    </row>
    <row r="3787" spans="1:19">
      <c r="A3787" s="135" t="s">
        <v>5862</v>
      </c>
      <c r="B3787" s="129" t="str">
        <f>IFERROR(VLOOKUP(Proc[[#This Row],[App]],Table2[],3,0),"open")</f>
        <v>open</v>
      </c>
      <c r="C3787" s="135" t="s">
        <v>404</v>
      </c>
      <c r="D3787" t="s">
        <v>5916</v>
      </c>
      <c r="E3787" t="s">
        <v>3402</v>
      </c>
      <c r="F3787" s="129"/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0</v>
      </c>
      <c r="K3787" s="129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on track</v>
      </c>
      <c r="Q3787" s="3">
        <f ca="1">IF(Proc[[#This Row],[DateClosed]]="",ABS(NETWORKDAYS(Proc[[#This Row],[DateOpened]],TODAY()))-1,ABS(NETWORKDAYS(Proc[[#This Row],[DateOpened]],Proc[[#This Row],[DateClosed]]))-1)</f>
        <v>0</v>
      </c>
      <c r="R3787" s="136" t="s">
        <v>1013</v>
      </c>
      <c r="S3787" s="129"/>
    </row>
    <row r="3788" spans="1:19">
      <c r="A3788" s="135" t="s">
        <v>5862</v>
      </c>
      <c r="B3788" s="129" t="str">
        <f>IFERROR(VLOOKUP(Proc[[#This Row],[App]],Table2[],3,0),"open")</f>
        <v>open</v>
      </c>
      <c r="C3788" s="135" t="s">
        <v>404</v>
      </c>
      <c r="D3788" t="s">
        <v>5917</v>
      </c>
      <c r="E3788" t="s">
        <v>3402</v>
      </c>
      <c r="F3788" s="129"/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0</v>
      </c>
      <c r="K3788" s="129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on track</v>
      </c>
      <c r="Q3788" s="3">
        <f ca="1">IF(Proc[[#This Row],[DateClosed]]="",ABS(NETWORKDAYS(Proc[[#This Row],[DateOpened]],TODAY()))-1,ABS(NETWORKDAYS(Proc[[#This Row],[DateOpened]],Proc[[#This Row],[DateClosed]]))-1)</f>
        <v>0</v>
      </c>
      <c r="R3788" s="136" t="s">
        <v>1013</v>
      </c>
      <c r="S3788" s="129"/>
    </row>
    <row r="3789" spans="1:19">
      <c r="A3789" s="135" t="s">
        <v>5862</v>
      </c>
      <c r="B3789" s="129" t="str">
        <f>IFERROR(VLOOKUP(Proc[[#This Row],[App]],Table2[],3,0),"open")</f>
        <v>open</v>
      </c>
      <c r="C3789" s="135" t="s">
        <v>404</v>
      </c>
      <c r="D3789" t="s">
        <v>5918</v>
      </c>
      <c r="E3789" t="s">
        <v>3402</v>
      </c>
      <c r="F3789" s="129"/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0</v>
      </c>
      <c r="K3789" s="129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on track</v>
      </c>
      <c r="Q3789" s="3">
        <f ca="1">IF(Proc[[#This Row],[DateClosed]]="",ABS(NETWORKDAYS(Proc[[#This Row],[DateOpened]],TODAY()))-1,ABS(NETWORKDAYS(Proc[[#This Row],[DateOpened]],Proc[[#This Row],[DateClosed]]))-1)</f>
        <v>0</v>
      </c>
      <c r="R3789" s="136" t="s">
        <v>1013</v>
      </c>
      <c r="S3789" s="129"/>
    </row>
    <row r="3790" spans="1:19">
      <c r="A3790" s="135" t="s">
        <v>5862</v>
      </c>
      <c r="B3790" s="129" t="str">
        <f>IFERROR(VLOOKUP(Proc[[#This Row],[App]],Table2[],3,0),"open")</f>
        <v>open</v>
      </c>
      <c r="C3790" s="135" t="s">
        <v>404</v>
      </c>
      <c r="D3790" t="s">
        <v>5919</v>
      </c>
      <c r="E3790" t="s">
        <v>3398</v>
      </c>
      <c r="F3790" s="129"/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0</v>
      </c>
      <c r="K3790" s="129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on track</v>
      </c>
      <c r="Q3790" s="3">
        <f ca="1">IF(Proc[[#This Row],[DateClosed]]="",ABS(NETWORKDAYS(Proc[[#This Row],[DateOpened]],TODAY()))-1,ABS(NETWORKDAYS(Proc[[#This Row],[DateOpened]],Proc[[#This Row],[DateClosed]]))-1)</f>
        <v>0</v>
      </c>
      <c r="R3790" s="136" t="s">
        <v>1013</v>
      </c>
      <c r="S3790" s="129"/>
    </row>
    <row r="3791" spans="1:19">
      <c r="A3791" s="135" t="s">
        <v>5862</v>
      </c>
      <c r="B3791" s="129" t="str">
        <f>IFERROR(VLOOKUP(Proc[[#This Row],[App]],Table2[],3,0),"open")</f>
        <v>open</v>
      </c>
      <c r="C3791" s="135" t="s">
        <v>404</v>
      </c>
      <c r="D3791" t="s">
        <v>5920</v>
      </c>
      <c r="E3791" t="s">
        <v>3402</v>
      </c>
      <c r="F3791" s="129"/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0</v>
      </c>
      <c r="K3791" s="129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on track</v>
      </c>
      <c r="Q3791" s="3">
        <f ca="1">IF(Proc[[#This Row],[DateClosed]]="",ABS(NETWORKDAYS(Proc[[#This Row],[DateOpened]],TODAY()))-1,ABS(NETWORKDAYS(Proc[[#This Row],[DateOpened]],Proc[[#This Row],[DateClosed]]))-1)</f>
        <v>0</v>
      </c>
      <c r="R3791" s="136" t="s">
        <v>1013</v>
      </c>
      <c r="S3791" s="129"/>
    </row>
    <row r="3792" spans="1:19">
      <c r="A3792" s="135" t="s">
        <v>5862</v>
      </c>
      <c r="B3792" s="129" t="str">
        <f>IFERROR(VLOOKUP(Proc[[#This Row],[App]],Table2[],3,0),"open")</f>
        <v>open</v>
      </c>
      <c r="C3792" s="135" t="s">
        <v>404</v>
      </c>
      <c r="D3792" t="s">
        <v>5921</v>
      </c>
      <c r="E3792" t="s">
        <v>3402</v>
      </c>
      <c r="F3792" s="129"/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0</v>
      </c>
      <c r="K3792" s="129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on track</v>
      </c>
      <c r="Q3792" s="3">
        <f ca="1">IF(Proc[[#This Row],[DateClosed]]="",ABS(NETWORKDAYS(Proc[[#This Row],[DateOpened]],TODAY()))-1,ABS(NETWORKDAYS(Proc[[#This Row],[DateOpened]],Proc[[#This Row],[DateClosed]]))-1)</f>
        <v>0</v>
      </c>
      <c r="R3792" s="136" t="s">
        <v>1013</v>
      </c>
      <c r="S3792" s="129"/>
    </row>
    <row r="3793" spans="1:19">
      <c r="A3793" s="135" t="s">
        <v>5862</v>
      </c>
      <c r="B3793" s="129" t="str">
        <f>IFERROR(VLOOKUP(Proc[[#This Row],[App]],Table2[],3,0),"open")</f>
        <v>open</v>
      </c>
      <c r="C3793" s="135" t="s">
        <v>404</v>
      </c>
      <c r="D3793" t="s">
        <v>5922</v>
      </c>
      <c r="E3793" t="s">
        <v>3402</v>
      </c>
      <c r="F3793" s="129"/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0</v>
      </c>
      <c r="K3793" s="129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on track</v>
      </c>
      <c r="Q3793" s="3">
        <f ca="1">IF(Proc[[#This Row],[DateClosed]]="",ABS(NETWORKDAYS(Proc[[#This Row],[DateOpened]],TODAY()))-1,ABS(NETWORKDAYS(Proc[[#This Row],[DateOpened]],Proc[[#This Row],[DateClosed]]))-1)</f>
        <v>0</v>
      </c>
      <c r="R3793" s="136" t="s">
        <v>1013</v>
      </c>
      <c r="S3793" s="129"/>
    </row>
    <row r="3794" spans="1:19">
      <c r="A3794" s="135" t="s">
        <v>5924</v>
      </c>
      <c r="B3794" s="129" t="str">
        <f>IFERROR(VLOOKUP(Proc[[#This Row],[App]],Table2[],3,0),"open")</f>
        <v>open</v>
      </c>
      <c r="C3794" s="135" t="s">
        <v>404</v>
      </c>
      <c r="D3794" s="135" t="s">
        <v>5925</v>
      </c>
      <c r="E3794" t="s">
        <v>1590</v>
      </c>
      <c r="F3794" s="129"/>
      <c r="G3794" s="135" t="s">
        <v>400</v>
      </c>
      <c r="H3794" s="129" t="str">
        <f>IF(Proc[[#This Row],[type]]="LFF (MDG-F)",MID(Proc[[#This Row],[Obj]],13,10),"")</f>
        <v/>
      </c>
      <c r="J3794" s="129" t="b">
        <f>Proc[[#This Row],[Requested]]=Proc[[#This Row],[CurrentParent]]</f>
        <v>0</v>
      </c>
      <c r="K3794" s="129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on track</v>
      </c>
      <c r="Q3794" s="3">
        <f ca="1">IF(Proc[[#This Row],[DateClosed]]="",ABS(NETWORKDAYS(Proc[[#This Row],[DateOpened]],TODAY()))-1,ABS(NETWORKDAYS(Proc[[#This Row],[DateOpened]],Proc[[#This Row],[DateClosed]]))-1)</f>
        <v>0</v>
      </c>
      <c r="R3794" s="136" t="s">
        <v>452</v>
      </c>
      <c r="S3794" s="129"/>
    </row>
    <row r="3795" spans="1:19">
      <c r="A3795" s="135" t="s">
        <v>5924</v>
      </c>
      <c r="B3795" s="129" t="str">
        <f>IFERROR(VLOOKUP(Proc[[#This Row],[App]],Table2[],3,0),"open")</f>
        <v>open</v>
      </c>
      <c r="C3795" s="135" t="s">
        <v>404</v>
      </c>
      <c r="D3795" s="135" t="s">
        <v>5926</v>
      </c>
      <c r="E3795" t="s">
        <v>1590</v>
      </c>
      <c r="F3795" s="129"/>
      <c r="G3795" s="135" t="s">
        <v>400</v>
      </c>
      <c r="H3795" s="129" t="str">
        <f>IF(Proc[[#This Row],[type]]="LFF (MDG-F)",MID(Proc[[#This Row],[Obj]],13,10),"")</f>
        <v/>
      </c>
      <c r="J3795" s="129" t="b">
        <f>Proc[[#This Row],[Requested]]=Proc[[#This Row],[CurrentParent]]</f>
        <v>0</v>
      </c>
      <c r="K3795" s="129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on track</v>
      </c>
      <c r="Q3795" s="3">
        <f ca="1">IF(Proc[[#This Row],[DateClosed]]="",ABS(NETWORKDAYS(Proc[[#This Row],[DateOpened]],TODAY()))-1,ABS(NETWORKDAYS(Proc[[#This Row],[DateOpened]],Proc[[#This Row],[DateClosed]]))-1)</f>
        <v>0</v>
      </c>
      <c r="R3795" s="136" t="s">
        <v>452</v>
      </c>
      <c r="S3795" s="129"/>
    </row>
    <row r="3796" spans="1:19">
      <c r="A3796" s="135" t="s">
        <v>5924</v>
      </c>
      <c r="B3796" s="129" t="str">
        <f>IFERROR(VLOOKUP(Proc[[#This Row],[App]],Table2[],3,0),"open")</f>
        <v>open</v>
      </c>
      <c r="C3796" s="135" t="s">
        <v>404</v>
      </c>
      <c r="D3796" s="135" t="s">
        <v>5927</v>
      </c>
      <c r="E3796" t="s">
        <v>5930</v>
      </c>
      <c r="F3796" s="129"/>
      <c r="G3796" s="135" t="s">
        <v>400</v>
      </c>
      <c r="H3796" s="129" t="str">
        <f>IF(Proc[[#This Row],[type]]="LFF (MDG-F)",MID(Proc[[#This Row],[Obj]],13,10),"")</f>
        <v/>
      </c>
      <c r="J3796" s="129" t="b">
        <f>Proc[[#This Row],[Requested]]=Proc[[#This Row],[CurrentParent]]</f>
        <v>0</v>
      </c>
      <c r="K3796" s="129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on track</v>
      </c>
      <c r="Q3796" s="3">
        <f ca="1">IF(Proc[[#This Row],[DateClosed]]="",ABS(NETWORKDAYS(Proc[[#This Row],[DateOpened]],TODAY()))-1,ABS(NETWORKDAYS(Proc[[#This Row],[DateOpened]],Proc[[#This Row],[DateClosed]]))-1)</f>
        <v>0</v>
      </c>
      <c r="R3796" s="136" t="s">
        <v>452</v>
      </c>
      <c r="S3796" s="129"/>
    </row>
    <row r="3797" spans="1:19">
      <c r="A3797" s="135" t="s">
        <v>5924</v>
      </c>
      <c r="B3797" s="129" t="str">
        <f>IFERROR(VLOOKUP(Proc[[#This Row],[App]],Table2[],3,0),"open")</f>
        <v>open</v>
      </c>
      <c r="C3797" s="135" t="s">
        <v>404</v>
      </c>
      <c r="D3797" s="135" t="s">
        <v>5928</v>
      </c>
      <c r="E3797" t="s">
        <v>5930</v>
      </c>
      <c r="F3797" s="129"/>
      <c r="G3797" s="135" t="s">
        <v>400</v>
      </c>
      <c r="H3797" s="129" t="str">
        <f>IF(Proc[[#This Row],[type]]="LFF (MDG-F)",MID(Proc[[#This Row],[Obj]],13,10),"")</f>
        <v/>
      </c>
      <c r="J3797" s="129" t="b">
        <f>Proc[[#This Row],[Requested]]=Proc[[#This Row],[CurrentParent]]</f>
        <v>0</v>
      </c>
      <c r="K3797" s="129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on track</v>
      </c>
      <c r="Q3797" s="3">
        <f ca="1">IF(Proc[[#This Row],[DateClosed]]="",ABS(NETWORKDAYS(Proc[[#This Row],[DateOpened]],TODAY()))-1,ABS(NETWORKDAYS(Proc[[#This Row],[DateOpened]],Proc[[#This Row],[DateClosed]]))-1)</f>
        <v>0</v>
      </c>
      <c r="R3797" s="136" t="s">
        <v>452</v>
      </c>
      <c r="S3797" s="129"/>
    </row>
    <row r="3798" spans="1:19">
      <c r="A3798" s="135" t="s">
        <v>5924</v>
      </c>
      <c r="B3798" s="129" t="str">
        <f>IFERROR(VLOOKUP(Proc[[#This Row],[App]],Table2[],3,0),"open")</f>
        <v>open</v>
      </c>
      <c r="C3798" s="135" t="s">
        <v>404</v>
      </c>
      <c r="D3798" s="135" t="s">
        <v>5929</v>
      </c>
      <c r="E3798" t="s">
        <v>5930</v>
      </c>
      <c r="F3798" s="129"/>
      <c r="G3798" s="135" t="s">
        <v>400</v>
      </c>
      <c r="H3798" s="129" t="str">
        <f>IF(Proc[[#This Row],[type]]="LFF (MDG-F)",MID(Proc[[#This Row],[Obj]],13,10),"")</f>
        <v/>
      </c>
      <c r="J3798" s="129" t="b">
        <f>Proc[[#This Row],[Requested]]=Proc[[#This Row],[CurrentParent]]</f>
        <v>0</v>
      </c>
      <c r="K3798" s="129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on track</v>
      </c>
      <c r="Q3798" s="3">
        <f ca="1">IF(Proc[[#This Row],[DateClosed]]="",ABS(NETWORKDAYS(Proc[[#This Row],[DateOpened]],TODAY()))-1,ABS(NETWORKDAYS(Proc[[#This Row],[DateOpened]],Proc[[#This Row],[DateClosed]]))-1)</f>
        <v>0</v>
      </c>
      <c r="R3798" s="136" t="s">
        <v>452</v>
      </c>
      <c r="S3798" s="129"/>
    </row>
    <row r="3799" spans="1:19">
      <c r="A3799" t="s">
        <v>5931</v>
      </c>
      <c r="B3799" s="129" t="str">
        <f>IFERROR(VLOOKUP(Proc[[#This Row],[App]],Table2[],3,0),"open")</f>
        <v>open</v>
      </c>
      <c r="C3799" s="135" t="s">
        <v>404</v>
      </c>
      <c r="D3799" t="s">
        <v>5932</v>
      </c>
      <c r="E3799" t="s">
        <v>3402</v>
      </c>
      <c r="F3799" s="129"/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0</v>
      </c>
      <c r="K3799" s="129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on track</v>
      </c>
      <c r="Q3799" s="3">
        <f ca="1">IF(Proc[[#This Row],[DateClosed]]="",ABS(NETWORKDAYS(Proc[[#This Row],[DateOpened]],TODAY()))-1,ABS(NETWORKDAYS(Proc[[#This Row],[DateOpened]],Proc[[#This Row],[DateClosed]]))-1)</f>
        <v>0</v>
      </c>
      <c r="R3799" s="136" t="s">
        <v>1013</v>
      </c>
      <c r="S3799" s="129"/>
    </row>
    <row r="3800" spans="1:19">
      <c r="A3800" s="135" t="s">
        <v>5931</v>
      </c>
      <c r="B3800" s="129" t="str">
        <f>IFERROR(VLOOKUP(Proc[[#This Row],[App]],Table2[],3,0),"open")</f>
        <v>open</v>
      </c>
      <c r="C3800" s="135" t="s">
        <v>404</v>
      </c>
      <c r="D3800" t="s">
        <v>5933</v>
      </c>
      <c r="E3800" s="135" t="s">
        <v>3402</v>
      </c>
      <c r="F3800" s="129"/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0</v>
      </c>
      <c r="K3800" s="129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on track</v>
      </c>
      <c r="Q3800" s="3">
        <f ca="1">IF(Proc[[#This Row],[DateClosed]]="",ABS(NETWORKDAYS(Proc[[#This Row],[DateOpened]],TODAY()))-1,ABS(NETWORKDAYS(Proc[[#This Row],[DateOpened]],Proc[[#This Row],[DateClosed]]))-1)</f>
        <v>0</v>
      </c>
      <c r="R3800" s="136" t="s">
        <v>1013</v>
      </c>
      <c r="S3800" s="129"/>
    </row>
    <row r="3801" spans="1:19">
      <c r="A3801" s="135" t="s">
        <v>5931</v>
      </c>
      <c r="B3801" s="129" t="str">
        <f>IFERROR(VLOOKUP(Proc[[#This Row],[App]],Table2[],3,0),"open")</f>
        <v>open</v>
      </c>
      <c r="C3801" s="135" t="s">
        <v>404</v>
      </c>
      <c r="D3801" t="s">
        <v>5934</v>
      </c>
      <c r="E3801" s="135" t="s">
        <v>3402</v>
      </c>
      <c r="F3801" s="129"/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0</v>
      </c>
      <c r="K3801" s="129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on track</v>
      </c>
      <c r="Q3801" s="3">
        <f ca="1">IF(Proc[[#This Row],[DateClosed]]="",ABS(NETWORKDAYS(Proc[[#This Row],[DateOpened]],TODAY()))-1,ABS(NETWORKDAYS(Proc[[#This Row],[DateOpened]],Proc[[#This Row],[DateClosed]]))-1)</f>
        <v>0</v>
      </c>
      <c r="R3801" s="136" t="s">
        <v>1013</v>
      </c>
      <c r="S3801" s="129"/>
    </row>
    <row r="3802" spans="1:19">
      <c r="A3802" s="135" t="s">
        <v>5931</v>
      </c>
      <c r="B3802" s="129" t="str">
        <f>IFERROR(VLOOKUP(Proc[[#This Row],[App]],Table2[],3,0),"open")</f>
        <v>open</v>
      </c>
      <c r="C3802" s="135" t="s">
        <v>404</v>
      </c>
      <c r="D3802" t="s">
        <v>5935</v>
      </c>
      <c r="E3802" s="135" t="s">
        <v>3402</v>
      </c>
      <c r="F3802" s="129"/>
      <c r="G3802" s="135" t="s">
        <v>400</v>
      </c>
      <c r="H3802" s="129" t="str">
        <f>IF(Proc[[#This Row],[type]]="LFF (MDG-F)",MID(Proc[[#This Row],[Obj]],13,10),"")</f>
        <v/>
      </c>
      <c r="J3802" s="129" t="b">
        <f>Proc[[#This Row],[Requested]]=Proc[[#This Row],[CurrentParent]]</f>
        <v>0</v>
      </c>
      <c r="K3802" s="129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on track</v>
      </c>
      <c r="Q3802" s="3">
        <f ca="1">IF(Proc[[#This Row],[DateClosed]]="",ABS(NETWORKDAYS(Proc[[#This Row],[DateOpened]],TODAY()))-1,ABS(NETWORKDAYS(Proc[[#This Row],[DateOpened]],Proc[[#This Row],[DateClosed]]))-1)</f>
        <v>0</v>
      </c>
      <c r="R3802" s="136" t="s">
        <v>1013</v>
      </c>
      <c r="S3802" s="129"/>
    </row>
    <row r="3803" spans="1:19">
      <c r="A3803" s="135" t="s">
        <v>5931</v>
      </c>
      <c r="B3803" s="129" t="str">
        <f>IFERROR(VLOOKUP(Proc[[#This Row],[App]],Table2[],3,0),"open")</f>
        <v>open</v>
      </c>
      <c r="C3803" s="135" t="s">
        <v>404</v>
      </c>
      <c r="D3803" t="s">
        <v>5936</v>
      </c>
      <c r="E3803" s="135" t="s">
        <v>3402</v>
      </c>
      <c r="F3803" s="129"/>
      <c r="G3803" s="135" t="s">
        <v>400</v>
      </c>
      <c r="H3803" s="129" t="str">
        <f>IF(Proc[[#This Row],[type]]="LFF (MDG-F)",MID(Proc[[#This Row],[Obj]],13,10),"")</f>
        <v/>
      </c>
      <c r="J3803" s="129" t="b">
        <f>Proc[[#This Row],[Requested]]=Proc[[#This Row],[CurrentParent]]</f>
        <v>0</v>
      </c>
      <c r="K3803" s="129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on track</v>
      </c>
      <c r="Q3803" s="3">
        <f ca="1">IF(Proc[[#This Row],[DateClosed]]="",ABS(NETWORKDAYS(Proc[[#This Row],[DateOpened]],TODAY()))-1,ABS(NETWORKDAYS(Proc[[#This Row],[DateOpened]],Proc[[#This Row],[DateClosed]]))-1)</f>
        <v>0</v>
      </c>
      <c r="R3803" s="136" t="s">
        <v>1013</v>
      </c>
      <c r="S3803" s="129"/>
    </row>
    <row r="3804" spans="1:19">
      <c r="A3804" s="135" t="s">
        <v>5931</v>
      </c>
      <c r="B3804" s="129" t="str">
        <f>IFERROR(VLOOKUP(Proc[[#This Row],[App]],Table2[],3,0),"open")</f>
        <v>open</v>
      </c>
      <c r="C3804" s="135" t="s">
        <v>404</v>
      </c>
      <c r="D3804" t="s">
        <v>5937</v>
      </c>
      <c r="E3804" s="135" t="s">
        <v>3402</v>
      </c>
      <c r="F3804" s="129"/>
      <c r="G3804" s="135" t="s">
        <v>400</v>
      </c>
      <c r="H3804" s="129" t="str">
        <f>IF(Proc[[#This Row],[type]]="LFF (MDG-F)",MID(Proc[[#This Row],[Obj]],13,10),"")</f>
        <v/>
      </c>
      <c r="J3804" s="129" t="b">
        <f>Proc[[#This Row],[Requested]]=Proc[[#This Row],[CurrentParent]]</f>
        <v>0</v>
      </c>
      <c r="K3804" s="129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on track</v>
      </c>
      <c r="Q3804" s="3">
        <f ca="1">IF(Proc[[#This Row],[DateClosed]]="",ABS(NETWORKDAYS(Proc[[#This Row],[DateOpened]],TODAY()))-1,ABS(NETWORKDAYS(Proc[[#This Row],[DateOpened]],Proc[[#This Row],[DateClosed]]))-1)</f>
        <v>0</v>
      </c>
      <c r="R3804" s="136" t="s">
        <v>1013</v>
      </c>
      <c r="S3804" s="129"/>
    </row>
    <row r="3805" spans="1:19">
      <c r="A3805" s="135" t="s">
        <v>5931</v>
      </c>
      <c r="B3805" s="129" t="str">
        <f>IFERROR(VLOOKUP(Proc[[#This Row],[App]],Table2[],3,0),"open")</f>
        <v>open</v>
      </c>
      <c r="C3805" s="135" t="s">
        <v>404</v>
      </c>
      <c r="D3805" t="s">
        <v>5938</v>
      </c>
      <c r="E3805" s="135" t="s">
        <v>3402</v>
      </c>
      <c r="F3805" s="129"/>
      <c r="G3805" s="135" t="s">
        <v>400</v>
      </c>
      <c r="H3805" s="129" t="str">
        <f>IF(Proc[[#This Row],[type]]="LFF (MDG-F)",MID(Proc[[#This Row],[Obj]],13,10),"")</f>
        <v/>
      </c>
      <c r="J3805" s="129" t="b">
        <f>Proc[[#This Row],[Requested]]=Proc[[#This Row],[CurrentParent]]</f>
        <v>0</v>
      </c>
      <c r="K3805" s="129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on track</v>
      </c>
      <c r="Q3805" s="3">
        <f ca="1">IF(Proc[[#This Row],[DateClosed]]="",ABS(NETWORKDAYS(Proc[[#This Row],[DateOpened]],TODAY()))-1,ABS(NETWORKDAYS(Proc[[#This Row],[DateOpened]],Proc[[#This Row],[DateClosed]]))-1)</f>
        <v>0</v>
      </c>
      <c r="R3805" s="136" t="s">
        <v>1013</v>
      </c>
      <c r="S3805" s="129"/>
    </row>
    <row r="3806" spans="1:19">
      <c r="A3806" s="135" t="s">
        <v>5931</v>
      </c>
      <c r="B3806" s="129" t="str">
        <f>IFERROR(VLOOKUP(Proc[[#This Row],[App]],Table2[],3,0),"open")</f>
        <v>open</v>
      </c>
      <c r="C3806" s="135" t="s">
        <v>404</v>
      </c>
      <c r="D3806" t="s">
        <v>5939</v>
      </c>
      <c r="E3806" s="135" t="s">
        <v>3402</v>
      </c>
      <c r="F3806" s="129"/>
      <c r="G3806" s="135" t="s">
        <v>400</v>
      </c>
      <c r="H3806" s="129" t="str">
        <f>IF(Proc[[#This Row],[type]]="LFF (MDG-F)",MID(Proc[[#This Row],[Obj]],13,10),"")</f>
        <v/>
      </c>
      <c r="J3806" s="129" t="b">
        <f>Proc[[#This Row],[Requested]]=Proc[[#This Row],[CurrentParent]]</f>
        <v>0</v>
      </c>
      <c r="K3806" s="129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on track</v>
      </c>
      <c r="Q3806" s="3">
        <f ca="1">IF(Proc[[#This Row],[DateClosed]]="",ABS(NETWORKDAYS(Proc[[#This Row],[DateOpened]],TODAY()))-1,ABS(NETWORKDAYS(Proc[[#This Row],[DateOpened]],Proc[[#This Row],[DateClosed]]))-1)</f>
        <v>0</v>
      </c>
      <c r="R3806" s="136" t="s">
        <v>1013</v>
      </c>
      <c r="S3806" s="129"/>
    </row>
    <row r="3807" spans="1:19">
      <c r="A3807" s="135" t="s">
        <v>5931</v>
      </c>
      <c r="B3807" s="129" t="str">
        <f>IFERROR(VLOOKUP(Proc[[#This Row],[App]],Table2[],3,0),"open")</f>
        <v>open</v>
      </c>
      <c r="C3807" s="135" t="s">
        <v>404</v>
      </c>
      <c r="D3807" t="s">
        <v>5940</v>
      </c>
      <c r="E3807" s="135" t="s">
        <v>3402</v>
      </c>
      <c r="F3807" s="129"/>
      <c r="G3807" s="135" t="s">
        <v>400</v>
      </c>
      <c r="H3807" s="129" t="str">
        <f>IF(Proc[[#This Row],[type]]="LFF (MDG-F)",MID(Proc[[#This Row],[Obj]],13,10),"")</f>
        <v/>
      </c>
      <c r="J3807" s="129" t="b">
        <f>Proc[[#This Row],[Requested]]=Proc[[#This Row],[CurrentParent]]</f>
        <v>0</v>
      </c>
      <c r="K3807" s="129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on track</v>
      </c>
      <c r="Q3807" s="3">
        <f ca="1">IF(Proc[[#This Row],[DateClosed]]="",ABS(NETWORKDAYS(Proc[[#This Row],[DateOpened]],TODAY()))-1,ABS(NETWORKDAYS(Proc[[#This Row],[DateOpened]],Proc[[#This Row],[DateClosed]]))-1)</f>
        <v>0</v>
      </c>
      <c r="R3807" s="136" t="s">
        <v>1013</v>
      </c>
      <c r="S3807" s="129"/>
    </row>
    <row r="3808" spans="1:19">
      <c r="A3808" s="135" t="s">
        <v>5931</v>
      </c>
      <c r="B3808" s="129" t="str">
        <f>IFERROR(VLOOKUP(Proc[[#This Row],[App]],Table2[],3,0),"open")</f>
        <v>open</v>
      </c>
      <c r="C3808" s="135" t="s">
        <v>404</v>
      </c>
      <c r="D3808" t="s">
        <v>5941</v>
      </c>
      <c r="E3808" s="135" t="s">
        <v>3402</v>
      </c>
      <c r="F3808" s="129"/>
      <c r="G3808" s="135" t="s">
        <v>400</v>
      </c>
      <c r="H3808" s="129" t="str">
        <f>IF(Proc[[#This Row],[type]]="LFF (MDG-F)",MID(Proc[[#This Row],[Obj]],13,10),"")</f>
        <v/>
      </c>
      <c r="J3808" s="129" t="b">
        <f>Proc[[#This Row],[Requested]]=Proc[[#This Row],[CurrentParent]]</f>
        <v>0</v>
      </c>
      <c r="K3808" s="129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on track</v>
      </c>
      <c r="Q3808" s="3">
        <f ca="1">IF(Proc[[#This Row],[DateClosed]]="",ABS(NETWORKDAYS(Proc[[#This Row],[DateOpened]],TODAY()))-1,ABS(NETWORKDAYS(Proc[[#This Row],[DateOpened]],Proc[[#This Row],[DateClosed]]))-1)</f>
        <v>0</v>
      </c>
      <c r="R3808" s="136" t="s">
        <v>1013</v>
      </c>
      <c r="S3808" s="129"/>
    </row>
    <row r="3809" spans="1:19">
      <c r="A3809" s="135" t="s">
        <v>5931</v>
      </c>
      <c r="B3809" s="129" t="str">
        <f>IFERROR(VLOOKUP(Proc[[#This Row],[App]],Table2[],3,0),"open")</f>
        <v>open</v>
      </c>
      <c r="C3809" s="135" t="s">
        <v>404</v>
      </c>
      <c r="D3809" t="s">
        <v>5942</v>
      </c>
      <c r="E3809" s="135" t="s">
        <v>3402</v>
      </c>
      <c r="F3809" s="129"/>
      <c r="G3809" s="135" t="s">
        <v>400</v>
      </c>
      <c r="H3809" s="129" t="str">
        <f>IF(Proc[[#This Row],[type]]="LFF (MDG-F)",MID(Proc[[#This Row],[Obj]],13,10),"")</f>
        <v/>
      </c>
      <c r="J3809" s="129" t="b">
        <f>Proc[[#This Row],[Requested]]=Proc[[#This Row],[CurrentParent]]</f>
        <v>0</v>
      </c>
      <c r="K3809" s="129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on track</v>
      </c>
      <c r="Q3809" s="3">
        <f ca="1">IF(Proc[[#This Row],[DateClosed]]="",ABS(NETWORKDAYS(Proc[[#This Row],[DateOpened]],TODAY()))-1,ABS(NETWORKDAYS(Proc[[#This Row],[DateOpened]],Proc[[#This Row],[DateClosed]]))-1)</f>
        <v>0</v>
      </c>
      <c r="R3809" s="136" t="s">
        <v>1013</v>
      </c>
      <c r="S3809" s="129"/>
    </row>
    <row r="3810" spans="1:19">
      <c r="A3810" s="135" t="s">
        <v>5931</v>
      </c>
      <c r="B3810" s="129" t="str">
        <f>IFERROR(VLOOKUP(Proc[[#This Row],[App]],Table2[],3,0),"open")</f>
        <v>open</v>
      </c>
      <c r="C3810" s="135" t="s">
        <v>404</v>
      </c>
      <c r="D3810" t="s">
        <v>5943</v>
      </c>
      <c r="E3810" s="135" t="s">
        <v>3402</v>
      </c>
      <c r="F3810" s="129"/>
      <c r="G3810" s="135" t="s">
        <v>400</v>
      </c>
      <c r="H3810" s="129" t="str">
        <f>IF(Proc[[#This Row],[type]]="LFF (MDG-F)",MID(Proc[[#This Row],[Obj]],13,10),"")</f>
        <v/>
      </c>
      <c r="J3810" s="129" t="b">
        <f>Proc[[#This Row],[Requested]]=Proc[[#This Row],[CurrentParent]]</f>
        <v>0</v>
      </c>
      <c r="K3810" s="129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on track</v>
      </c>
      <c r="Q3810" s="3">
        <f ca="1">IF(Proc[[#This Row],[DateClosed]]="",ABS(NETWORKDAYS(Proc[[#This Row],[DateOpened]],TODAY()))-1,ABS(NETWORKDAYS(Proc[[#This Row],[DateOpened]],Proc[[#This Row],[DateClosed]]))-1)</f>
        <v>0</v>
      </c>
      <c r="R3810" s="136" t="s">
        <v>1013</v>
      </c>
      <c r="S3810" s="129"/>
    </row>
    <row r="3811" spans="1:19">
      <c r="A3811" s="135" t="s">
        <v>5931</v>
      </c>
      <c r="B3811" s="129" t="str">
        <f>IFERROR(VLOOKUP(Proc[[#This Row],[App]],Table2[],3,0),"open")</f>
        <v>open</v>
      </c>
      <c r="C3811" s="135" t="s">
        <v>404</v>
      </c>
      <c r="D3811" t="s">
        <v>5944</v>
      </c>
      <c r="E3811" s="135" t="s">
        <v>3402</v>
      </c>
      <c r="F3811" s="129"/>
      <c r="G3811" s="135" t="s">
        <v>400</v>
      </c>
      <c r="H3811" s="129" t="str">
        <f>IF(Proc[[#This Row],[type]]="LFF (MDG-F)",MID(Proc[[#This Row],[Obj]],13,10),"")</f>
        <v/>
      </c>
      <c r="J3811" s="129" t="b">
        <f>Proc[[#This Row],[Requested]]=Proc[[#This Row],[CurrentParent]]</f>
        <v>0</v>
      </c>
      <c r="K3811" s="129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on track</v>
      </c>
      <c r="Q3811" s="3">
        <f ca="1">IF(Proc[[#This Row],[DateClosed]]="",ABS(NETWORKDAYS(Proc[[#This Row],[DateOpened]],TODAY()))-1,ABS(NETWORKDAYS(Proc[[#This Row],[DateOpened]],Proc[[#This Row],[DateClosed]]))-1)</f>
        <v>0</v>
      </c>
      <c r="R3811" s="136" t="s">
        <v>1013</v>
      </c>
      <c r="S3811" s="129"/>
    </row>
    <row r="3812" spans="1:19">
      <c r="A3812" s="135" t="s">
        <v>5931</v>
      </c>
      <c r="B3812" s="129" t="str">
        <f>IFERROR(VLOOKUP(Proc[[#This Row],[App]],Table2[],3,0),"open")</f>
        <v>open</v>
      </c>
      <c r="C3812" s="135" t="s">
        <v>404</v>
      </c>
      <c r="D3812" t="s">
        <v>5945</v>
      </c>
      <c r="E3812" s="135" t="s">
        <v>3402</v>
      </c>
      <c r="F3812" s="129"/>
      <c r="G3812" s="135" t="s">
        <v>400</v>
      </c>
      <c r="H3812" s="129" t="str">
        <f>IF(Proc[[#This Row],[type]]="LFF (MDG-F)",MID(Proc[[#This Row],[Obj]],13,10),"")</f>
        <v/>
      </c>
      <c r="J3812" s="129" t="b">
        <f>Proc[[#This Row],[Requested]]=Proc[[#This Row],[CurrentParent]]</f>
        <v>0</v>
      </c>
      <c r="K3812" s="129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on track</v>
      </c>
      <c r="Q3812" s="3">
        <f ca="1">IF(Proc[[#This Row],[DateClosed]]="",ABS(NETWORKDAYS(Proc[[#This Row],[DateOpened]],TODAY()))-1,ABS(NETWORKDAYS(Proc[[#This Row],[DateOpened]],Proc[[#This Row],[DateClosed]]))-1)</f>
        <v>0</v>
      </c>
      <c r="R3812" s="136" t="s">
        <v>1013</v>
      </c>
      <c r="S3812" s="129"/>
    </row>
    <row r="3813" spans="1:19">
      <c r="A3813" s="135" t="s">
        <v>5931</v>
      </c>
      <c r="B3813" s="129" t="str">
        <f>IFERROR(VLOOKUP(Proc[[#This Row],[App]],Table2[],3,0),"open")</f>
        <v>open</v>
      </c>
      <c r="C3813" s="135" t="s">
        <v>404</v>
      </c>
      <c r="D3813" t="s">
        <v>5946</v>
      </c>
      <c r="E3813" s="135" t="s">
        <v>3402</v>
      </c>
      <c r="F3813" s="129"/>
      <c r="G3813" s="135" t="s">
        <v>400</v>
      </c>
      <c r="H3813" s="129" t="str">
        <f>IF(Proc[[#This Row],[type]]="LFF (MDG-F)",MID(Proc[[#This Row],[Obj]],13,10),"")</f>
        <v/>
      </c>
      <c r="J3813" s="129" t="b">
        <f>Proc[[#This Row],[Requested]]=Proc[[#This Row],[CurrentParent]]</f>
        <v>0</v>
      </c>
      <c r="K3813" s="129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on track</v>
      </c>
      <c r="Q3813" s="3">
        <f ca="1">IF(Proc[[#This Row],[DateClosed]]="",ABS(NETWORKDAYS(Proc[[#This Row],[DateOpened]],TODAY()))-1,ABS(NETWORKDAYS(Proc[[#This Row],[DateOpened]],Proc[[#This Row],[DateClosed]]))-1)</f>
        <v>0</v>
      </c>
      <c r="R3813" s="136" t="s">
        <v>1013</v>
      </c>
      <c r="S3813" s="129"/>
    </row>
    <row r="3814" spans="1:19">
      <c r="A3814" s="135" t="s">
        <v>5931</v>
      </c>
      <c r="B3814" s="129" t="str">
        <f>IFERROR(VLOOKUP(Proc[[#This Row],[App]],Table2[],3,0),"open")</f>
        <v>open</v>
      </c>
      <c r="C3814" s="135" t="s">
        <v>404</v>
      </c>
      <c r="D3814" t="s">
        <v>5947</v>
      </c>
      <c r="E3814" s="135" t="s">
        <v>3402</v>
      </c>
      <c r="F3814" s="129"/>
      <c r="G3814" s="135" t="s">
        <v>400</v>
      </c>
      <c r="H3814" s="129" t="str">
        <f>IF(Proc[[#This Row],[type]]="LFF (MDG-F)",MID(Proc[[#This Row],[Obj]],13,10),"")</f>
        <v/>
      </c>
      <c r="J3814" s="129" t="b">
        <f>Proc[[#This Row],[Requested]]=Proc[[#This Row],[CurrentParent]]</f>
        <v>0</v>
      </c>
      <c r="K3814" s="129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on track</v>
      </c>
      <c r="Q3814" s="3">
        <f ca="1">IF(Proc[[#This Row],[DateClosed]]="",ABS(NETWORKDAYS(Proc[[#This Row],[DateOpened]],TODAY()))-1,ABS(NETWORKDAYS(Proc[[#This Row],[DateOpened]],Proc[[#This Row],[DateClosed]]))-1)</f>
        <v>0</v>
      </c>
      <c r="R3814" s="136" t="s">
        <v>1013</v>
      </c>
      <c r="S3814" s="129"/>
    </row>
    <row r="3815" spans="1:19">
      <c r="A3815" s="135" t="s">
        <v>5931</v>
      </c>
      <c r="B3815" s="129" t="str">
        <f>IFERROR(VLOOKUP(Proc[[#This Row],[App]],Table2[],3,0),"open")</f>
        <v>open</v>
      </c>
      <c r="C3815" s="135" t="s">
        <v>404</v>
      </c>
      <c r="D3815" t="s">
        <v>5948</v>
      </c>
      <c r="E3815" s="135" t="s">
        <v>3402</v>
      </c>
      <c r="F3815" s="129"/>
      <c r="G3815" s="135" t="s">
        <v>400</v>
      </c>
      <c r="H3815" s="129" t="str">
        <f>IF(Proc[[#This Row],[type]]="LFF (MDG-F)",MID(Proc[[#This Row],[Obj]],13,10),"")</f>
        <v/>
      </c>
      <c r="J3815" s="129" t="b">
        <f>Proc[[#This Row],[Requested]]=Proc[[#This Row],[CurrentParent]]</f>
        <v>0</v>
      </c>
      <c r="K3815" s="129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on track</v>
      </c>
      <c r="Q3815" s="3">
        <f ca="1">IF(Proc[[#This Row],[DateClosed]]="",ABS(NETWORKDAYS(Proc[[#This Row],[DateOpened]],TODAY()))-1,ABS(NETWORKDAYS(Proc[[#This Row],[DateOpened]],Proc[[#This Row],[DateClosed]]))-1)</f>
        <v>0</v>
      </c>
      <c r="R3815" s="136" t="s">
        <v>1013</v>
      </c>
      <c r="S3815" s="129"/>
    </row>
    <row r="3816" spans="1:19">
      <c r="A3816" s="135" t="s">
        <v>5931</v>
      </c>
      <c r="B3816" s="129" t="str">
        <f>IFERROR(VLOOKUP(Proc[[#This Row],[App]],Table2[],3,0),"open")</f>
        <v>open</v>
      </c>
      <c r="C3816" s="135" t="s">
        <v>404</v>
      </c>
      <c r="D3816" t="s">
        <v>5949</v>
      </c>
      <c r="E3816" s="135" t="s">
        <v>3402</v>
      </c>
      <c r="F3816" s="129"/>
      <c r="G3816" s="135" t="s">
        <v>400</v>
      </c>
      <c r="H3816" s="129" t="str">
        <f>IF(Proc[[#This Row],[type]]="LFF (MDG-F)",MID(Proc[[#This Row],[Obj]],13,10),"")</f>
        <v/>
      </c>
      <c r="J3816" s="129" t="b">
        <f>Proc[[#This Row],[Requested]]=Proc[[#This Row],[CurrentParent]]</f>
        <v>0</v>
      </c>
      <c r="K3816" s="129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on track</v>
      </c>
      <c r="Q3816" s="3">
        <f ca="1">IF(Proc[[#This Row],[DateClosed]]="",ABS(NETWORKDAYS(Proc[[#This Row],[DateOpened]],TODAY()))-1,ABS(NETWORKDAYS(Proc[[#This Row],[DateOpened]],Proc[[#This Row],[DateClosed]]))-1)</f>
        <v>0</v>
      </c>
      <c r="R3816" s="136" t="s">
        <v>1013</v>
      </c>
      <c r="S3816" s="129"/>
    </row>
    <row r="3817" spans="1:19">
      <c r="A3817" s="135" t="s">
        <v>5931</v>
      </c>
      <c r="B3817" s="129" t="str">
        <f>IFERROR(VLOOKUP(Proc[[#This Row],[App]],Table2[],3,0),"open")</f>
        <v>open</v>
      </c>
      <c r="C3817" s="135" t="s">
        <v>404</v>
      </c>
      <c r="D3817" t="s">
        <v>5950</v>
      </c>
      <c r="E3817" s="135" t="s">
        <v>3402</v>
      </c>
      <c r="F3817" s="129"/>
      <c r="G3817" s="135" t="s">
        <v>400</v>
      </c>
      <c r="H3817" s="129" t="str">
        <f>IF(Proc[[#This Row],[type]]="LFF (MDG-F)",MID(Proc[[#This Row],[Obj]],13,10),"")</f>
        <v/>
      </c>
      <c r="J3817" s="129" t="b">
        <f>Proc[[#This Row],[Requested]]=Proc[[#This Row],[CurrentParent]]</f>
        <v>0</v>
      </c>
      <c r="K3817" s="129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on track</v>
      </c>
      <c r="Q3817" s="3">
        <f ca="1">IF(Proc[[#This Row],[DateClosed]]="",ABS(NETWORKDAYS(Proc[[#This Row],[DateOpened]],TODAY()))-1,ABS(NETWORKDAYS(Proc[[#This Row],[DateOpened]],Proc[[#This Row],[DateClosed]]))-1)</f>
        <v>0</v>
      </c>
      <c r="R3817" s="136" t="s">
        <v>1013</v>
      </c>
      <c r="S3817" s="129"/>
    </row>
    <row r="3818" spans="1:19" hidden="1">
      <c r="B3818" s="129"/>
      <c r="F3818" s="129"/>
      <c r="H3818" s="129" t="str">
        <f>IF(Proc[[#This Row],[type]]="LFF (MDG-F)",MID(Proc[[#This Row],[Obj]],13,10),"")</f>
        <v/>
      </c>
      <c r="J3818" s="129"/>
      <c r="K3818" s="129"/>
      <c r="L3818" s="129"/>
      <c r="M3818" s="131"/>
      <c r="N3818" s="131"/>
      <c r="O3818" s="131"/>
      <c r="P3818" s="136"/>
      <c r="R3818" s="136"/>
      <c r="S3818" s="129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G2:G3818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4"/>
  <sheetViews>
    <sheetView topLeftCell="A21" workbookViewId="0">
      <selection activeCell="F33" sqref="F3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5685</v>
      </c>
      <c r="B133" t="s">
        <v>569</v>
      </c>
    </row>
    <row r="134" spans="1:2">
      <c r="A134" s="130" t="s">
        <v>5712</v>
      </c>
      <c r="B134" t="s">
        <v>570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2025-08-26T13:58:58Z</dcterms:modified>
  <cp:category/>
  <cp:contentStatus/>
</cp:coreProperties>
</file>