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722B03D-DFB1-49D8-A8E6-C5880F954DA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externalReferences>
    <externalReference r:id="rId12"/>
  </externalReference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60" i="1" l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B4356" i="1"/>
  <c r="B4357" i="1"/>
  <c r="B4358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7" i="1"/>
  <c r="J4358" i="1"/>
  <c r="K4349" i="1"/>
  <c r="K4350" i="1"/>
  <c r="K4351" i="1"/>
  <c r="K4352" i="1"/>
  <c r="K4353" i="1"/>
  <c r="K4354" i="1"/>
  <c r="K4355" i="1"/>
  <c r="K4356" i="1"/>
  <c r="K4357" i="1"/>
  <c r="K4358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J4345" i="1"/>
  <c r="J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F4339" i="1" l="1"/>
  <c r="J4339" i="1" s="1"/>
  <c r="F4338" i="1"/>
  <c r="J4338" i="1" s="1"/>
  <c r="F4337" i="1"/>
  <c r="J4337" i="1" s="1"/>
  <c r="F4335" i="1"/>
  <c r="F4334" i="1"/>
  <c r="J4334" i="1" s="1"/>
  <c r="F4333" i="1"/>
  <c r="J4333" i="1" s="1"/>
  <c r="F4332" i="1"/>
  <c r="J4332" i="1" s="1"/>
  <c r="F4331" i="1"/>
  <c r="J4331" i="1" s="1"/>
  <c r="F4330" i="1"/>
  <c r="J4330" i="1" s="1"/>
  <c r="F4329" i="1"/>
  <c r="J4329" i="1" s="1"/>
  <c r="F4328" i="1"/>
  <c r="J4328" i="1" s="1"/>
  <c r="F4325" i="1"/>
  <c r="J4325" i="1" s="1"/>
  <c r="F4324" i="1"/>
  <c r="J4324" i="1" s="1"/>
  <c r="F4323" i="1"/>
  <c r="J4323" i="1" s="1"/>
  <c r="F4322" i="1"/>
  <c r="J4322" i="1" s="1"/>
  <c r="F4320" i="1"/>
  <c r="J4320" i="1" s="1"/>
  <c r="F4318" i="1"/>
  <c r="J4318" i="1" s="1"/>
  <c r="F4317" i="1"/>
  <c r="J4317" i="1" s="1"/>
  <c r="F4316" i="1"/>
  <c r="J4316" i="1" s="1"/>
  <c r="F4315" i="1"/>
  <c r="J4315" i="1" s="1"/>
  <c r="F4314" i="1"/>
  <c r="J4314" i="1" s="1"/>
  <c r="F4312" i="1"/>
  <c r="J4312" i="1" s="1"/>
  <c r="F4309" i="1"/>
  <c r="J4309" i="1" s="1"/>
  <c r="F4303" i="1"/>
  <c r="J4303" i="1" s="1"/>
  <c r="F4302" i="1"/>
  <c r="J4302" i="1" s="1"/>
  <c r="F4301" i="1"/>
  <c r="J4301" i="1" s="1"/>
  <c r="F4300" i="1"/>
  <c r="J4300" i="1" s="1"/>
  <c r="F4299" i="1"/>
  <c r="J4299" i="1" s="1"/>
  <c r="F4298" i="1"/>
  <c r="J4298" i="1" s="1"/>
  <c r="F4297" i="1"/>
  <c r="J4297" i="1" s="1"/>
  <c r="F4296" i="1"/>
  <c r="J4296" i="1" s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<sst xmlns="http://schemas.openxmlformats.org/spreadsheetml/2006/main" count="38973" uniqueCount="6523">
  <si>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</si>
  <si>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</si>
  <si>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</si>
  <si>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</si>
  <si>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</si>
  <si>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</si>
  <si>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</si>
  <si>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</si>
  <si>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</si>
  <si>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</si>
  <si>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</si>
  <si>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</si>
  <si>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</si>
  <si>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</si>
  <si>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</si>
  <si>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</si>
  <si>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</si>
  <si>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</si>
  <si>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</si>
  <si>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</si>
  <si>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</si>
  <si>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</si>
  <si>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</si>
  <si>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</si>
  <si>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</si>
  <si>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</si>
  <si>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</si>
  <si>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</si>
  <si>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</si>
  <si>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</si>
  <si>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</si>
  <si>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</si>
  <si>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</si>
  <si>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</si>
  <si>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</si>
  <si>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</si>
  <si>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</si>
  <si>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</si>
  <si>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</si>
  <si>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</si>
  <si>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</si>
  <si>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</si>
  <si>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</si>
  <si>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</si>
  <si>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</si>
  <si>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</si>
  <si>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</si>
  <si>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</si>
  <si>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</si>
  <si>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</si>
  <si>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</si>
  <si>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</si>
  <si>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</si>
  <si>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</si>
  <si>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</si>
  <si>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</si>
  <si>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</si>
  <si>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</si>
  <si>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</si>
  <si>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</si>
  <si>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</si>
  <si>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</si>
  <si>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</si>
  <si>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</si>
  <si>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</si>
  <si>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</si>
  <si>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</si>
  <si>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</si>
  <si>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</si>
  <si>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</si>
  <si>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</si>
  <si>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</si>
  <si>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</si>
  <si>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</si>
  <si>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</si>
  <si>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</si>
  <si>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</si>
  <si>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</si>
  <si>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</si>
  <si>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</si>
  <si>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</si>
  <si>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</si>
  <si>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</si>
  <si>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</si>
  <si>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</si>
  <si>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</si>
  <si>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</si>
  <si>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</si>
  <si>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</si>
  <si>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</si>
  <si>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</si>
  <si>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</si>
  <si>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</si>
  <si>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</si>
  <si>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</si>
  <si>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</si>
  <si>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</si>
  <si>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</si>
  <si>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</si>
  <si>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</si>
  <si>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</si>
  <si>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</si>
  <si>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</si>
  <si>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</si>
  <si>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</si>
  <si>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</si>
  <si>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</si>
  <si>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</si>
  <si>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</si>
  <si>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</si>
  <si>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</si>
  <si>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</si>
  <si>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</si>
  <si>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</si>
  <si>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</si>
  <si>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</si>
  <si>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</si>
  <si>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</si>
  <si>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</si>
  <si>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</si>
  <si>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</si>
  <si>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</si>
  <si>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</si>
  <si>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</si>
  <si>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</si>
  <si>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</si>
  <si>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</si>
  <si>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</si>
  <si>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</si>
  <si>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</si>
  <si>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</si>
  <si>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</si>
  <si>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</si>
  <si>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</si>
  <si>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</si>
  <si>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</si>
  <si>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</si>
  <si>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</si>
  <si>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</si>
  <si>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</si>
  <si>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</si>
  <si>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</si>
  <si>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</si>
  <si>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</si>
  <si>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</si>
  <si>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</si>
  <si>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</si>
  <si>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</si>
  <si>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</si>
  <si>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</si>
  <si>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</si>
  <si>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</si>
  <si>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</si>
  <si>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</si>
  <si>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</si>
  <si>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</si>
  <si>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</si>
  <si>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</si>
  <si>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</si>
  <si>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</si>
  <si>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</si>
  <si>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</si>
  <si>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</si>
  <si>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</si>
  <si>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</si>
  <si>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</si>
  <si>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</si>
  <si>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</si>
  <si>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</si>
  <si>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</si>
  <si>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</si>
  <si>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</si>
  <si>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</si>
  <si>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</si>
  <si>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</si>
  <si>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</si>
  <si>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</si>
  <si>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</si>
  <si>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</si>
  <si>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</si>
  <si>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</si>
  <si>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</si>
  <si>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</si>
  <si>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</si>
  <si>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</si>
  <si>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</si>
  <si>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</si>
  <si>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</si>
  <si>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</si>
  <si>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</si>
  <si>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</si>
  <si>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</si>
  <si>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</si>
  <si>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</si>
  <si>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</si>
  <si>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</si>
  <si>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</si>
  <si>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</si>
  <si>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</si>
  <si>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</si>
  <si>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</si>
  <si>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</si>
  <si>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</si>
  <si>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</si>
  <si>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</si>
  <si>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</si>
  <si>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</si>
  <si>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</si>
  <si>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</si>
  <si>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</si>
  <si>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</si>
  <si>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</si>
  <si>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</si>
  <si>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</si>
  <si>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</si>
  <si>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</si>
  <si>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</si>
  <si>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</si>
  <si>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</si>
  <si>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</si>
  <si>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</si>
  <si>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</si>
  <si>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</si>
  <si>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</si>
  <si>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</si>
  <si>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</si>
  <si>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</si>
  <si>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</si>
  <si>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</si>
  <si>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</si>
  <si>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</si>
  <si>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</si>
  <si>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</si>
  <si>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</si>
  <si>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</si>
  <si>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</si>
  <si>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</si>
  <si>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</si>
  <si>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</si>
  <si>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</si>
  <si>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</si>
  <si>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</si>
  <si>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</si>
  <si>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</si>
  <si>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</si>
  <si>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</si>
  <si>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</si>
  <si>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</si>
  <si>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</si>
  <si>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</si>
  <si>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</si>
  <si>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</si>
  <si>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</si>
  <si>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</si>
  <si>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</si>
  <si>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</si>
  <si>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</si>
  <si>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</si>
  <si>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</si>
  <si>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</si>
  <si>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</si>
  <si>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</si>
  <si>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</si>
  <si>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</si>
  <si>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</si>
  <si>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</si>
  <si>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</si>
  <si>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</si>
  <si>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</si>
  <si>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</si>
  <si>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</si>
  <si>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</si>
  <si>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</si>
  <si>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</si>
  <si>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</si>
  <si>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</si>
  <si>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</si>
  <si>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</si>
  <si>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</si>
  <si>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</si>
  <si>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</si>
  <si>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</si>
  <si>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</si>
  <si>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</si>
  <si>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</si>
  <si>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</si>
  <si>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</si>
  <si>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</si>
  <si>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</si>
  <si>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</si>
  <si>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</si>
  <si>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</si>
  <si>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</si>
  <si>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</si>
  <si>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</si>
  <si>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</si>
  <si>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</si>
  <si>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</si>
  <si>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</si>
  <si>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</si>
  <si>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</si>
  <si>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</si>
  <si>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</si>
  <si>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</si>
  <si>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</si>
  <si>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</si>
  <si>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</si>
  <si>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</si>
  <si>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</si>
  <si>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</si>
  <si>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</si>
  <si>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</si>
  <si>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</si>
  <si>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</si>
  <si>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</si>
  <si>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</si>
  <si>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</si>
  <si>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</si>
  <si>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</si>
  <si>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</si>
  <si>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</si>
  <si>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</si>
  <si>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</si>
  <si>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</si>
  <si>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</si>
  <si>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</si>
  <si>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</si>
  <si>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</si>
  <si>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</si>
  <si>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</si>
  <si>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</si>
  <si>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</si>
  <si>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</si>
  <si>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</si>
  <si>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</si>
  <si>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</si>
  <si>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</si>
  <si>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</si>
  <si>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</si>
  <si>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</si>
  <si>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</si>
  <si>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</si>
  <si>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</si>
  <si>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</si>
  <si>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</si>
  <si>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</si>
  <si>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</si>
  <si>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</si>
  <si>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</si>
  <si>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</si>
  <si>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</si>
  <si>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</si>
  <si>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</si>
  <si>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</si>
  <si>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</si>
  <si>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</si>
  <si>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</si>
  <si>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</si>
  <si>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</si>
  <si>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</si>
  <si>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</si>
  <si>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</si>
  <si>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</si>
  <si>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</si>
  <si>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</si>
  <si>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</si>
  <si>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</si>
  <si>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</si>
  <si>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</si>
  <si>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</si>
  <si>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</si>
  <si>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</si>
  <si>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</si>
  <si>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</si>
  <si>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</si>
  <si>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</si>
  <si>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</si>
  <si>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</si>
  <si>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</si>
  <si>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</si>
  <si>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</si>
  <si>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</si>
  <si>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</si>
  <si>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</si>
  <si>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</si>
  <si>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</si>
  <si>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</si>
  <si>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</si>
  <si>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</si>
  <si>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</si>
  <si>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</si>
  <si>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</si>
  <si>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</si>
  <si>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</si>
  <si>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</si>
  <si>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</si>
  <si>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</si>
  <si>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</si>
  <si>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</si>
  <si>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</si>
  <si>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</si>
  <si>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</si>
  <si>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</si>
  <si>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</si>
  <si>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</si>
  <si>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</si>
  <si>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</si>
  <si>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</si>
  <si>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</si>
  <si>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</si>
  <si>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</si>
  <si>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</si>
  <si>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</si>
  <si>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</si>
  <si>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</si>
  <si>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</si>
  <si>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</si>
  <si>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</si>
  <si>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</si>
  <si>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</si>
  <si>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</si>
  <si>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</si>
  <si>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</si>
  <si>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</si>
  <si>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</si>
  <si>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</si>
  <si>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</si>
  <si>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</si>
  <si>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</si>
  <si>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</si>
  <si>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</si>
  <si>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</si>
  <si>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</si>
  <si>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</si>
  <si>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</si>
  <si>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</si>
  <si>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</si>
  <si>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</si>
  <si>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</si>
  <si>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</si>
  <si>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</si>
  <si>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</si>
  <si>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</si>
  <si>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</si>
  <si>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</si>
  <si>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</si>
  <si>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</si>
  <si>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</si>
  <si>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</si>
  <si>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</si>
  <si>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</si>
  <si>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</si>
  <si>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</si>
  <si>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</si>
  <si>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</si>
  <si>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</si>
  <si>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</si>
  <si>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</si>
  <si>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</si>
  <si>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</si>
  <si>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</si>
  <si>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</si>
  <si>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</si>
  <si>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</si>
  <si>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</si>
  <si>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</si>
  <si>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</si>
  <si>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</si>
  <si>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</si>
  <si>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</si>
  <si>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</si>
  <si>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</si>
  <si>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</si>
  <si>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</si>
  <si>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</si>
  <si>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</si>
  <si>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</si>
  <si>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</si>
  <si>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</si>
  <si>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</si>
  <si>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</si>
  <si>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</si>
  <si>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</si>
  <si>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</si>
  <si>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</si>
  <si>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</si>
  <si>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</si>
  <si>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</si>
  <si>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</si>
  <si>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</si>
  <si>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</si>
  <si>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</si>
  <si>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</si>
  <si>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</si>
  <si>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</si>
  <si>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</si>
  <si>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</si>
  <si>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</si>
  <si>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</si>
  <si>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</si>
  <si>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</si>
  <si>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</si>
  <si>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</si>
  <si>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</si>
  <si>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</si>
  <si>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</si>
  <si>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</si>
  <si>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</si>
  <si>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</si>
  <si>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</si>
  <si>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</si>
  <si>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</si>
  <si>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</si>
  <si>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</si>
  <si>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</si>
  <si>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</si>
  <si>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</si>
  <si>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</si>
  <si>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</si>
  <si>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</si>
  <si>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</si>
  <si>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</si>
  <si>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</si>
  <si>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</si>
  <si>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</si>
  <si>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</si>
  <si>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</si>
  <si>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</si>
  <si>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</si>
  <si>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</si>
  <si>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</si>
  <si>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</si>
  <si>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</si>
  <si>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</si>
  <si>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</si>
  <si>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</si>
  <si>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</si>
  <si>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</si>
  <si>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</si>
  <si>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</si>
  <si>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</si>
  <si>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</si>
  <si>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</si>
  <si>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</si>
  <si>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</si>
  <si>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</si>
  <si>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</si>
  <si>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</si>
  <si>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</si>
  <si>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</si>
  <si>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</si>
  <si>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</si>
  <si>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</si>
  <si>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</si>
  <si>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</si>
  <si>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</si>
  <si>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</si>
  <si>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</si>
  <si>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</si>
  <si>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</si>
  <si>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</si>
  <si>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</si>
  <si>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</si>
  <si>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</si>
  <si>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</si>
  <si>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</si>
  <si>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</si>
  <si>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</si>
  <si>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</si>
  <si>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</si>
  <si>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</si>
  <si>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</si>
  <si>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</si>
  <si>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</si>
  <si>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</si>
  <si>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</si>
  <si>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</si>
  <si>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</si>
  <si>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</si>
  <si>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</si>
  <si>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</si>
  <si>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</si>
  <si>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</si>
  <si>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</si>
  <si>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</si>
  <si>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</si>
  <si>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</si>
  <si>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</si>
  <si>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</si>
  <si>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</si>
  <si>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</si>
  <si>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</si>
  <si>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</si>
  <si>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</si>
  <si>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</si>
  <si>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</si>
  <si>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</si>
  <si>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</si>
  <si>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</si>
  <si>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</si>
  <si>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</si>
  <si>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</si>
  <si>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</si>
  <si>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</si>
  <si>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</si>
  <si>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</si>
  <si>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</si>
  <si>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</si>
  <si>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</si>
  <si>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</si>
  <si>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</si>
  <si>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</si>
  <si>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</si>
  <si>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</si>
  <si>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</si>
  <si>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</si>
  <si>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</si>
  <si>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</si>
  <si>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</si>
  <si>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</si>
  <si>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</si>
  <si>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</si>
  <si>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</si>
  <si>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</si>
  <si>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</si>
  <si>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</si>
  <si>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</si>
  <si>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</si>
  <si>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</si>
  <si>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</si>
  <si>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</si>
  <si>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</si>
  <si>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</si>
  <si>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</si>
  <si>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</si>
  <si>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</si>
  <si>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</si>
  <si>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</si>
  <si>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</si>
  <si>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</si>
  <si>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</si>
  <si>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</si>
  <si>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</si>
  <si>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</si>
  <si>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</si>
  <si>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</si>
  <si>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</si>
  <si>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</si>
  <si>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</si>
  <si>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</si>
  <si>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</si>
  <si>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</si>
  <si>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</si>
  <si>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</si>
  <si>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</si>
  <si>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</si>
  <si>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</si>
  <si>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</si>
  <si>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</si>
  <si>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</si>
  <si>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</si>
  <si>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</si>
  <si>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</si>
  <si>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</si>
  <si>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</si>
  <si>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</si>
  <si>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</si>
  <si>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</si>
  <si>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</si>
  <si>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</si>
  <si>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</si>
  <si>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</si>
  <si>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</si>
  <si>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</si>
  <si>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</si>
  <si>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</si>
  <si>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</si>
  <si>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</si>
  <si>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</si>
  <si>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</si>
  <si>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</si>
  <si>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</si>
  <si>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</si>
  <si>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</si>
  <si>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</si>
  <si>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</si>
  <si>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</si>
  <si>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</si>
  <si>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</si>
  <si>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</si>
  <si>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</si>
  <si>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</si>
  <si>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</si>
  <si>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</si>
  <si>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</si>
  <si>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</si>
  <si>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</si>
  <si>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</si>
  <si>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</si>
  <si>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</si>
  <si>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</si>
  <si>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</si>
  <si>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</si>
  <si>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</si>
  <si>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</si>
  <si>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</si>
  <si>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</si>
  <si>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</si>
  <si>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</si>
  <si>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</si>
  <si>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</si>
  <si>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</si>
  <si>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</si>
  <si>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</si>
  <si>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</si>
  <si>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</si>
  <si>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</si>
  <si>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</si>
  <si>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</si>
  <si>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</si>
  <si>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</si>
  <si>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</si>
  <si>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</si>
  <si>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</si>
  <si>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</si>
  <si>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</si>
  <si>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</si>
  <si>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</si>
  <si>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</si>
  <si>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</si>
  <si>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</si>
  <si>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</si>
  <si>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</si>
  <si>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</si>
  <si>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</si>
  <si>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</si>
  <si>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</si>
  <si>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</si>
  <si>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</si>
  <si>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</si>
  <si>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</si>
  <si>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</si>
  <si>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</si>
  <si>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</si>
  <si>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</si>
  <si>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</si>
  <si>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</si>
  <si>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</si>
  <si>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</si>
  <si>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</si>
  <si>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</si>
  <si>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</si>
  <si>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</si>
  <si>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</si>
  <si>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</si>
  <si>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</si>
  <si>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</si>
  <si>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</si>
  <si>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</si>
  <si>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</si>
  <si>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</si>
  <si>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</si>
  <si>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</si>
  <si>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</si>
  <si>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</si>
  <si>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</si>
  <si>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</si>
  <si>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</si>
  <si>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</si>
  <si>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</si>
  <si>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</si>
  <si>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</si>
  <si>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</si>
  <si>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</si>
  <si>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</si>
  <si>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</si>
  <si>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</si>
  <si>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</si>
  <si>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</si>
  <si>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</si>
  <si>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</si>
  <si>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</si>
  <si>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</si>
  <si>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</si>
  <si>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</si>
  <si>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</si>
  <si>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</si>
  <si>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</si>
  <si>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</si>
  <si>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</si>
  <si>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</si>
  <si>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</si>
  <si>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</si>
  <si>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</si>
  <si>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</si>
  <si>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</si>
  <si>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</si>
  <si>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</si>
  <si>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</si>
  <si>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</si>
  <si>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</si>
  <si>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</si>
  <si>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</si>
  <si>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</si>
  <si>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</si>
  <si>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</si>
  <si>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</si>
  <si>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</si>
  <si>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</si>
  <si>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</si>
  <si>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</si>
  <si>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</si>
  <si>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</si>
  <si>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</si>
  <si>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</si>
  <si>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</si>
  <si>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</si>
  <si>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</si>
  <si>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</si>
  <si>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</si>
  <si>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</si>
  <si>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</si>
  <si>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</si>
  <si>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</si>
  <si>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</si>
  <si>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</si>
  <si>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</si>
  <si>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</si>
  <si>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</si>
  <si>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</si>
  <si>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</si>
  <si>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</si>
  <si>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</si>
  <si>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</si>
  <si>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</si>
  <si>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</si>
  <si>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</si>
  <si>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</si>
  <si>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</si>
  <si>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</si>
  <si>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</si>
  <si>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</si>
  <si>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</si>
  <si>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</si>
  <si>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</si>
  <si>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</si>
  <si>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</si>
  <si>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</si>
  <si>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</si>
  <si>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</si>
  <si>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</si>
  <si>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</si>
  <si>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</si>
  <si>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</si>
  <si>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</si>
  <si>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</si>
  <si>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</si>
  <si>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</si>
  <si>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</si>
  <si>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</si>
  <si>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</si>
  <si>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</si>
  <si>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</si>
  <si>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</si>
  <si>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</si>
  <si>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</si>
  <si>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</si>
  <si>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</si>
  <si>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</si>
  <si>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</si>
  <si>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</si>
  <si>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</si>
  <si>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</si>
  <si>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</si>
  <si>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</si>
  <si>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</si>
  <si>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</si>
  <si>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</si>
  <si>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</si>
  <si>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</si>
  <si>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</si>
  <si>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</si>
  <si>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</si>
  <si>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</si>
  <si>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</si>
  <si>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</si>
  <si>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</si>
  <si>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</si>
  <si>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</si>
  <si>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</si>
  <si>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</si>
  <si>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</si>
  <si>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</si>
  <si>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</si>
  <si>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</si>
  <si>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</si>
  <si>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</si>
  <si>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</si>
  <si>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</si>
  <si>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</si>
  <si>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</si>
  <si>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</si>
  <si>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</si>
  <si>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</si>
  <si>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</si>
  <si>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</si>
  <si>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</si>
  <si>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</si>
  <si>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</si>
  <si>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</si>
  <si>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</si>
  <si>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</si>
  <si>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</si>
  <si>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</si>
  <si>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</si>
  <si>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</si>
  <si>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</si>
  <si>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</si>
  <si>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</si>
  <si>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</si>
  <si>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</si>
  <si>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</si>
  <si>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</si>
  <si>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</si>
  <si>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</si>
  <si>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</si>
  <si>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</si>
  <si>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</si>
  <si>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</si>
  <si>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</si>
  <si>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</si>
  <si>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</si>
  <si>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</si>
  <si>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</si>
  <si>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</si>
  <si>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</si>
  <si>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</si>
  <si>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</si>
  <si>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</si>
  <si>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</si>
  <si>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</si>
  <si>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</si>
  <si>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</si>
  <si>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</si>
  <si>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</si>
  <si>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</si>
  <si>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</si>
  <si>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</si>
  <si>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</si>
  <si>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</si>
  <si>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</si>
  <si>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</si>
  <si>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</si>
  <si>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</si>
  <si>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</si>
  <si>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</si>
  <si>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</si>
  <si>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</si>
  <si>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</si>
  <si>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</si>
  <si>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</si>
  <si>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</si>
  <si>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</si>
  <si>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</si>
  <si>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</si>
  <si>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</si>
  <si>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</si>
  <si>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</si>
  <si>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</si>
  <si>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</si>
  <si>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</si>
  <si>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</si>
  <si>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</si>
  <si>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</si>
  <si>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</si>
  <si>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</si>
  <si>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</si>
  <si>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</si>
  <si>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</si>
  <si>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</si>
  <si>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</si>
  <si>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</si>
  <si>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</si>
  <si>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</si>
  <si>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</si>
  <si>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</si>
  <si>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</si>
  <si>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</si>
  <si>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</si>
  <si>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</si>
  <si>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</si>
  <si>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</si>
  <si>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</si>
  <si>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</si>
  <si>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</si>
  <si>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</si>
  <si>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</si>
  <si>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</si>
  <si>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</si>
  <si>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</si>
  <si>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</si>
  <si>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</si>
  <si>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</si>
  <si>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</si>
  <si>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</si>
  <si>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</si>
  <si>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</si>
  <si>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</si>
  <si>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</si>
  <si>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</si>
  <si>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</si>
  <si>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</si>
  <si>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</si>
  <si>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</si>
  <si>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</si>
  <si>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</si>
  <si>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</si>
  <si>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</si>
  <si>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</si>
  <si>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</si>
  <si>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</si>
  <si>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</si>
  <si>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</si>
  <si>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</si>
  <si>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</si>
  <si>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</si>
  <si>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</si>
  <si>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</si>
  <si>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</si>
  <si>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</si>
  <si>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</si>
  <si>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</si>
  <si>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</si>
  <si>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</si>
  <si>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</si>
  <si>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</si>
  <si>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</si>
  <si>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</si>
  <si>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</si>
  <si>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</si>
  <si>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</si>
  <si>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</si>
  <si>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</si>
  <si>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</si>
  <si>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</si>
  <si>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</si>
  <si>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</si>
  <si>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</si>
  <si>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</si>
  <si>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</si>
  <si>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</si>
  <si>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</si>
  <si>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</si>
  <si>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</si>
  <si>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</si>
  <si>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</si>
  <si>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</si>
  <si>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</si>
  <si>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</si>
  <si>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</si>
  <si>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</si>
  <si>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</si>
  <si>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</si>
  <si>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</si>
  <si>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</si>
  <si>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</si>
  <si>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</si>
  <si>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</si>
  <si>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</si>
  <si>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</si>
  <si>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</si>
  <si>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</si>
  <si>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</si>
  <si>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</si>
  <si>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</si>
  <si>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</si>
  <si>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</si>
  <si>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</si>
  <si>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</si>
  <si>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</si>
  <si>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</si>
  <si>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</si>
  <si>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</si>
  <si>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</si>
  <si>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</si>
  <si>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</si>
  <si>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</si>
  <si>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</si>
  <si>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</si>
  <si>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</si>
  <si>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</si>
  <si>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</si>
  <si>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</si>
  <si>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</si>
  <si>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</si>
  <si>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</si>
  <si>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</si>
  <si>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</si>
  <si>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</si>
  <si>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</si>
  <si>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</si>
  <si>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</si>
  <si>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</si>
  <si>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</si>
  <si>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</si>
  <si>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</si>
  <si>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</si>
  <si>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</si>
  <si>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</si>
  <si>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</si>
  <si>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</si>
  <si>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</si>
  <si>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</si>
  <si>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</si>
  <si>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</si>
  <si>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</si>
  <si>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</si>
  <si>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</si>
  <si>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</si>
  <si>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</si>
  <si>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</si>
  <si>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</si>
  <si>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</si>
  <si>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</si>
  <si>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</si>
  <si>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</si>
  <si>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</si>
  <si>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</si>
  <si>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</si>
  <si>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</si>
  <si>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</si>
  <si>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</si>
  <si>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</si>
  <si>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</si>
  <si>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</si>
  <si>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</si>
  <si>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</si>
  <si>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</si>
  <si>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</si>
  <si>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</si>
  <si>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</si>
  <si>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</si>
  <si>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</si>
  <si>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</si>
  <si>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</si>
  <si>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</si>
  <si>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</si>
  <si>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</si>
  <si>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</si>
  <si>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</si>
  <si>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</si>
  <si>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</si>
  <si>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</si>
  <si>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</si>
  <si>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</si>
  <si>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</si>
  <si>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</si>
  <si>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</si>
  <si>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</si>
  <si>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</si>
  <si>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</si>
  <si>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</si>
  <si>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</si>
  <si>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</si>
  <si>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</si>
  <si>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</si>
  <si>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</si>
  <si>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</si>
  <si>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</si>
  <si>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</si>
  <si>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</si>
  <si>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</si>
  <si>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</si>
  <si>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</si>
  <si>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</si>
  <si>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</si>
  <si>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</si>
  <si>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</si>
  <si>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</si>
  <si>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</si>
  <si>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</si>
  <si>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</si>
  <si>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</si>
  <si>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</si>
  <si>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</si>
  <si>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</si>
  <si>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</si>
  <si>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</si>
  <si>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</si>
  <si>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</si>
  <si>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</si>
  <si>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</si>
  <si>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</si>
  <si>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</si>
  <si>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</si>
  <si>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</si>
  <si>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</si>
  <si>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</si>
  <si>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</si>
  <si>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</si>
  <si>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</si>
  <si>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</si>
  <si>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</si>
  <si>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</si>
  <si>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</si>
  <si>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</si>
  <si>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</si>
  <si>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</si>
  <si>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</si>
  <si>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</si>
  <si>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</si>
  <si>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</si>
  <si>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</si>
  <si>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</si>
  <si>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</si>
  <si>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</si>
  <si>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</si>
  <si>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</si>
  <si>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</si>
  <si>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</si>
  <si>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</si>
  <si>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</si>
  <si>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</si>
  <si>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</si>
  <si>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</si>
  <si>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</si>
  <si>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</si>
  <si>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</si>
  <si>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</si>
  <si>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</si>
  <si>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</si>
  <si>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</si>
  <si>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</si>
  <si>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</si>
  <si>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</si>
  <si>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</si>
  <si>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</si>
  <si>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</si>
  <si>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</si>
  <si>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</si>
  <si>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</si>
  <si>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</si>
  <si>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</si>
  <si>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</si>
  <si>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</si>
  <si>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</si>
  <si>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</si>
  <si>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</si>
  <si>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</si>
  <si>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</si>
  <si>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</si>
  <si>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</si>
  <si>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</si>
  <si>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</si>
  <si>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</si>
  <si>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</si>
  <si>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</si>
  <si>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</si>
  <si>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</si>
  <si>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</si>
  <si>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</si>
  <si>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</si>
  <si>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</si>
  <si>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</si>
  <si>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</si>
  <si>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</si>
  <si>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</si>
  <si>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</si>
  <si>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</si>
  <si>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</si>
  <si>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</si>
  <si>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</si>
  <si>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</si>
  <si>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</si>
  <si>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</si>
  <si>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</si>
  <si>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</si>
  <si>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</si>
  <si>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</si>
  <si>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</si>
  <si>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</si>
  <si>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</si>
  <si>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</si>
  <si>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</si>
  <si>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</si>
  <si>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</si>
  <si>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</si>
  <si>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</si>
  <si>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</si>
  <si>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</si>
  <si>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</si>
  <si>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</si>
  <si>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</si>
  <si>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</si>
  <si>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</si>
  <si>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</si>
  <si>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</si>
  <si>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</si>
  <si>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</si>
  <si>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</si>
  <si>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</si>
  <si>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</si>
  <si>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</si>
  <si>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</si>
  <si>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</si>
  <si>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</si>
  <si>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</si>
  <si>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</si>
  <si>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</si>
  <si>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</si>
  <si>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</si>
  <si>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</si>
  <si>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</si>
  <si>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</si>
  <si>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</si>
  <si>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</si>
  <si>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</si>
  <si>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</si>
  <si>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</si>
  <si>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</si>
  <si>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</si>
  <si>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</si>
  <si>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</si>
  <si>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</si>
  <si>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</si>
  <si>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</si>
  <si>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</si>
  <si>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</si>
  <si>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</si>
  <si>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</si>
  <si>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</si>
  <si>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</si>
  <si>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</si>
  <si>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</si>
  <si>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</si>
  <si>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</si>
  <si>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</si>
  <si>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</si>
  <si>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</si>
  <si>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</si>
  <si>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</si>
  <si>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</si>
  <si>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</si>
  <si>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</si>
  <si>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</si>
  <si>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</si>
  <si>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</si>
  <si>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</si>
  <si>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</si>
  <si>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</si>
  <si>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</si>
  <si>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</si>
  <si>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</si>
  <si>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</si>
  <si>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</si>
  <si>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</si>
  <si>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</si>
  <si>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</si>
  <si>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</si>
  <si>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</si>
  <si>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</si>
  <si>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</si>
  <si>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</si>
  <si>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</si>
  <si>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</si>
  <si>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</si>
  <si>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</si>
  <si>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</si>
  <si>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</si>
  <si>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</si>
  <si>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</si>
  <si>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</si>
  <si>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</si>
  <si>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</si>
  <si>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</si>
  <si>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</si>
  <si>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</si>
  <si>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</si>
  <si>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</si>
  <si>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</si>
  <si>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</si>
  <si>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</si>
  <si>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</si>
  <si>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</si>
  <si>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</si>
  <si>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</si>
  <si>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</si>
  <si>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</si>
  <si>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</si>
  <si>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</si>
  <si>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</si>
  <si>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</si>
  <si>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</si>
  <si>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</si>
  <si>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</si>
  <si>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</si>
  <si>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</si>
  <si>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</si>
  <si>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</si>
  <si>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</si>
  <si>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</si>
  <si>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</si>
  <si>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</si>
  <si>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</si>
  <si>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</si>
  <si>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</si>
  <si>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</si>
  <si>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</si>
  <si>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</si>
  <si>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</si>
  <si>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</si>
  <si>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</si>
  <si>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</si>
  <si>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</si>
  <si>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</si>
  <si>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</si>
  <si>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</si>
  <si>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</si>
  <si>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</si>
  <si>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</si>
  <si>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</si>
  <si>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</si>
  <si>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</si>
  <si>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</si>
  <si>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</si>
  <si>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</si>
  <si>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</si>
  <si>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</si>
  <si>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</si>
  <si>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</si>
  <si>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</si>
  <si>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</si>
  <si>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</si>
  <si>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</si>
  <si>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</si>
  <si>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</si>
  <si>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</si>
  <si>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</si>
  <si>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</si>
  <si>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</si>
  <si>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</si>
  <si>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</si>
  <si>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</si>
  <si>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</si>
  <si>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</si>
  <si>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</si>
  <si>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</si>
  <si>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</si>
  <si>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</si>
  <si>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</si>
  <si>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</si>
  <si>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</si>
  <si>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</si>
  <si>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</si>
  <si>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</si>
  <si>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</si>
  <si>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</si>
  <si>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</si>
  <si>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</si>
  <si>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</si>
  <si>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</si>
  <si>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</si>
  <si>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</si>
  <si>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</si>
  <si>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</si>
  <si>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</si>
  <si>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</si>
  <si>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</si>
  <si>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</si>
  <si>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</si>
  <si>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</si>
  <si>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</si>
  <si>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</si>
  <si>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</si>
  <si>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</si>
  <si>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</si>
  <si>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</si>
  <si>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</si>
  <si>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</si>
  <si>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</si>
  <si>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</si>
  <si>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</si>
  <si>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</si>
  <si>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</si>
  <si>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</si>
  <si>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</si>
  <si>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</si>
  <si>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</si>
  <si>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</si>
  <si>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</si>
  <si>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</si>
  <si>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</si>
  <si>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</si>
  <si>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</si>
  <si>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</si>
  <si>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</si>
  <si>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</si>
  <si>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</si>
  <si>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</si>
  <si>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</si>
  <si>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</si>
  <si>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</si>
  <si>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</si>
  <si>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</si>
  <si>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</si>
  <si>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</si>
  <si>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</si>
  <si>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</si>
  <si>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</si>
  <si>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</si>
  <si>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</si>
  <si>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</si>
  <si>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</si>
  <si>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</si>
  <si>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</si>
  <si>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</si>
  <si>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</si>
  <si>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</si>
  <si>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</si>
  <si>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</si>
  <si>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</si>
  <si>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</si>
  <si>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</si>
  <si>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</si>
  <si>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</si>
  <si>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</si>
  <si>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</si>
  <si>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</si>
  <si>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</si>
  <si>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</si>
  <si>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</si>
  <si>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</si>
  <si>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</si>
  <si>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</si>
  <si>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</si>
  <si>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</si>
  <si>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</si>
  <si>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</si>
  <si>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</si>
  <si>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</si>
  <si>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</si>
  <si>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</si>
  <si>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</si>
  <si>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</si>
  <si>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</si>
  <si>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</si>
  <si>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</si>
  <si>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</si>
  <si>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</si>
  <si>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</si>
  <si>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</si>
  <si>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</si>
  <si>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</si>
  <si>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</si>
  <si>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</si>
  <si>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</si>
  <si>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</si>
  <si>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</si>
  <si>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</si>
  <si>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</si>
  <si>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</si>
  <si>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</si>
  <si>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</si>
  <si>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</si>
  <si>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</si>
  <si>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</si>
  <si>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</si>
  <si>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</si>
  <si>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</si>
  <si>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</si>
  <si>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</si>
  <si>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</si>
  <si>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</si>
  <si>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</si>
  <si>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</si>
  <si>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</si>
  <si>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</si>
  <si>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</si>
  <si>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</si>
  <si>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</si>
  <si>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</si>
  <si>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</si>
  <si>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</si>
  <si>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</si>
  <si>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</si>
  <si>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</si>
  <si>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</si>
  <si>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</si>
  <si>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</si>
  <si>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</si>
  <si>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</si>
  <si>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</si>
  <si>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</si>
  <si>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</si>
  <si>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</si>
  <si>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</si>
  <si>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</si>
  <si>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</si>
  <si>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</si>
  <si>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</si>
  <si>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</si>
  <si>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</si>
  <si>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</si>
  <si>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</si>
  <si>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</si>
  <si>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</si>
  <si>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</si>
  <si>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</si>
  <si>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</si>
  <si>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</si>
  <si>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</si>
  <si>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</si>
  <si>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</si>
  <si>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</si>
  <si>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</si>
  <si>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</si>
  <si>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</si>
  <si>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</si>
  <si>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</si>
  <si>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</si>
  <si>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</si>
  <si>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</si>
  <si>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</si>
  <si>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</si>
  <si>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</si>
  <si>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</si>
  <si>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</si>
  <si>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</si>
  <si>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</si>
  <si>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</si>
  <si>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</si>
  <si>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</si>
  <si>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</si>
  <si>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</si>
  <si>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</si>
  <si>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</si>
  <si>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</si>
  <si>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</si>
  <si>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</si>
  <si>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</si>
  <si>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</si>
  <si>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</si>
  <si>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</si>
  <si>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</si>
  <si>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</si>
  <si>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</si>
  <si>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</si>
  <si>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</si>
  <si>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</si>
  <si>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</si>
  <si>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</si>
  <si>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</si>
  <si>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</si>
  <si>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</si>
  <si>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</si>
  <si>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</si>
  <si>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</si>
  <si>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</si>
  <si>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</si>
  <si>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</si>
  <si>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</si>
  <si>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</si>
  <si>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</si>
  <si>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</si>
  <si>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</si>
  <si>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</si>
  <si>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</si>
  <si>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</si>
  <si>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</si>
  <si>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</si>
  <si>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</si>
  <si>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</si>
  <si>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</si>
  <si>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</si>
  <si>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</si>
  <si>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</si>
  <si>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</si>
  <si>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</si>
  <si>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</si>
  <si>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</si>
  <si>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</si>
  <si>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</si>
  <si>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</si>
  <si>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</si>
  <si>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</si>
  <si>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</si>
  <si>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</si>
  <si>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</si>
  <si>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</si>
  <si>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</si>
  <si>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</si>
  <si>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</si>
  <si>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</si>
  <si>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</si>
  <si>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</si>
  <si>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</si>
  <si>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</si>
  <si>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</si>
  <si>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</si>
  <si>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</si>
  <si>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</si>
  <si>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</si>
  <si>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</si>
  <si>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</si>
  <si>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</si>
  <si>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</si>
  <si>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</si>
  <si>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</si>
  <si>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</si>
  <si>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</si>
  <si>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</si>
  <si>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</si>
  <si>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</si>
  <si>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</si>
  <si>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</si>
  <si>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</si>
  <si>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</si>
  <si>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</si>
  <si>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</si>
  <si>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</si>
  <si>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</si>
  <si>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</si>
  <si>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</si>
  <si>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</si>
  <si>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</si>
  <si>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</si>
  <si>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</si>
  <si>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</si>
  <si>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</si>
  <si>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</si>
  <si>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</si>
  <si>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</si>
  <si>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</si>
  <si>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</si>
  <si>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</si>
  <si>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</si>
  <si>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</si>
  <si>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</si>
  <si>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</si>
  <si>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</si>
  <si>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</si>
  <si>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</si>
  <si>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</si>
  <si>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</si>
  <si>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</si>
  <si>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</si>
  <si>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</si>
  <si>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</si>
  <si>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</si>
  <si>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</si>
  <si>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</si>
  <si>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</si>
  <si>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</si>
  <si>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</si>
  <si>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</si>
  <si>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</si>
  <si>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</si>
  <si>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</si>
  <si>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</si>
  <si>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</si>
  <si>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</si>
  <si>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</si>
  <si>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</si>
  <si>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</si>
  <si>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</si>
  <si>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</si>
  <si>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</si>
  <si>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</si>
  <si>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</si>
  <si>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</si>
  <si>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</si>
  <si>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</si>
  <si>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</si>
  <si>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</si>
  <si>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</si>
  <si>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</si>
  <si>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</si>
  <si>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</si>
  <si>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</si>
  <si>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</si>
  <si>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</si>
  <si>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</si>
  <si>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</si>
  <si>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</si>
  <si>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</si>
  <si>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</si>
  <si>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</si>
  <si>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</si>
  <si>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</si>
  <si>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</si>
  <si>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</si>
  <si>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</si>
  <si>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</si>
  <si>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</si>
  <si>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</si>
  <si>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</si>
  <si>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</si>
  <si>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</si>
  <si>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</si>
  <si>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</si>
  <si>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</si>
  <si>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</si>
  <si>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</si>
  <si>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</si>
  <si>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</si>
  <si>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</si>
  <si>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</si>
  <si>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</si>
  <si>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</si>
  <si>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</si>
  <si>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</si>
  <si>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</si>
  <si>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</si>
  <si>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</si>
  <si>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</si>
  <si>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</si>
  <si>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</si>
  <si>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</si>
  <si>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</si>
  <si>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</si>
  <si>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</si>
  <si>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</si>
  <si>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</si>
  <si>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</si>
  <si>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</si>
  <si>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</si>
  <si>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</si>
  <si>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</si>
  <si>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</si>
  <si>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</si>
  <si>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</si>
  <si>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</si>
  <si>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</si>
  <si>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</si>
  <si>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</si>
  <si>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</si>
  <si>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</si>
  <si>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</si>
  <si>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</si>
  <si>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</si>
  <si>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</si>
  <si>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</si>
  <si>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</si>
  <si>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</si>
  <si>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</si>
  <si>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</si>
  <si>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</si>
  <si>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</si>
  <si>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</si>
  <si>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</si>
  <si>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</si>
  <si>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</si>
  <si>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</si>
  <si>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</si>
  <si>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</si>
  <si>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</si>
  <si>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</si>
  <si>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</si>
  <si>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</si>
  <si>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</si>
  <si>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</si>
  <si>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</si>
  <si>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</si>
  <si>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</si>
  <si>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</si>
  <si>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</si>
  <si>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</si>
  <si>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</si>
  <si>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</si>
  <si>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</si>
  <si>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</si>
  <si>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</si>
  <si>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</si>
  <si>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</si>
  <si>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</si>
  <si>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</si>
  <si>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</si>
  <si>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</si>
  <si>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</si>
  <si>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</si>
  <si>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</si>
  <si>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</si>
  <si>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</si>
  <si>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</si>
  <si>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</si>
  <si>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</si>
  <si>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</si>
  <si>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</si>
  <si>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</si>
  <si>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</si>
  <si>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</si>
  <si>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</si>
  <si>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</si>
  <si>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</si>
  <si>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</si>
  <si>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</si>
  <si>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</si>
  <si>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</si>
  <si>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</si>
  <si>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</si>
  <si>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</si>
  <si>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</si>
  <si>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</si>
  <si>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</si>
  <si>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</si>
  <si>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</si>
  <si>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</si>
  <si>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</si>
  <si>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</si>
  <si>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</si>
  <si>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</si>
  <si>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</si>
  <si>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</si>
  <si>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</si>
  <si>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</si>
  <si>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</si>
  <si>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</si>
  <si>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</si>
  <si>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</si>
  <si>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</si>
  <si>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</si>
  <si>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</si>
  <si>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</si>
  <si>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</si>
  <si>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</si>
  <si>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</si>
  <si>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</si>
  <si>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</si>
  <si>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</si>
  <si>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</si>
  <si>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</si>
  <si>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</si>
  <si>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</si>
  <si>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</si>
  <si>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</si>
  <si>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</si>
  <si>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</si>
  <si>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</si>
  <si>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</si>
  <si>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</si>
  <si>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</si>
  <si>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</si>
  <si>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</si>
  <si>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</si>
  <si>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</si>
  <si>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</si>
  <si>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</si>
  <si>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</si>
  <si>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</si>
  <si>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</si>
  <si>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</si>
  <si>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</si>
  <si>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</si>
  <si>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</si>
  <si>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</si>
  <si>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</si>
  <si>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</si>
  <si>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</si>
  <si>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</si>
  <si>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</si>
  <si>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</si>
  <si>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</si>
  <si>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</si>
  <si>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</si>
  <si>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</si>
  <si>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</si>
  <si>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</si>
  <si>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</si>
  <si>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</si>
  <si>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</si>
  <si>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</si>
  <si>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</si>
  <si>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</si>
  <si>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</si>
  <si>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</si>
  <si>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</si>
  <si>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</si>
  <si>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</si>
  <si>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</si>
  <si>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</si>
  <si>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</si>
  <si>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</si>
  <si>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</si>
  <si>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</si>
  <si>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</si>
  <si>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</si>
  <si>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</si>
  <si>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</si>
  <si>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</si>
  <si>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</si>
  <si>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</si>
  <si>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</si>
  <si>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</si>
  <si>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</si>
  <si>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</si>
  <si>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</si>
  <si>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</si>
  <si>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</si>
  <si>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</si>
  <si>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</si>
  <si>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</si>
  <si>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</si>
  <si>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</si>
  <si>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</si>
  <si>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</si>
  <si>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</si>
  <si>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</si>
  <si>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</si>
  <si>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</si>
  <si>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</si>
  <si>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</si>
  <si>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</si>
  <si>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</si>
  <si>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</si>
  <si>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</si>
  <si>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</si>
  <si>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</si>
  <si>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</si>
  <si>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</si>
  <si>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</si>
  <si>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</si>
  <si>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</si>
  <si>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</si>
  <si>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</si>
  <si>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</si>
  <si>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</si>
  <si>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</si>
  <si>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</si>
  <si>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</si>
  <si>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</si>
  <si>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</si>
  <si>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</si>
  <si>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</si>
  <si>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</si>
  <si>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</si>
  <si>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</si>
  <si>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</si>
  <si>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</si>
  <si>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</si>
  <si>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</si>
  <si>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</si>
  <si>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</si>
  <si>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</si>
  <si>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</si>
  <si>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</si>
  <si>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</si>
  <si>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</si>
  <si>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</si>
  <si>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</si>
  <si>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</si>
  <si>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</si>
  <si>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</si>
  <si>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</si>
  <si>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</si>
  <si>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</si>
  <si>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</si>
  <si>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</si>
  <si>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</si>
  <si>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</si>
  <si>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</si>
  <si>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</si>
  <si>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</si>
  <si>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</si>
  <si>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</si>
  <si>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</si>
  <si>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</si>
  <si>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</si>
  <si>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</si>
  <si>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</si>
  <si>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</si>
  <si>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</si>
  <si>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</si>
  <si>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</si>
  <si>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</si>
  <si>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</si>
  <si>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</si>
  <si>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</si>
  <si>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</si>
  <si>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</si>
  <si>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</si>
  <si>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</si>
  <si>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</si>
  <si>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</si>
  <si>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</si>
  <si>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</si>
  <si>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</si>
  <si>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</si>
  <si>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</si>
  <si>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</si>
  <si>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</si>
  <si>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</si>
  <si>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</si>
  <si>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</si>
  <si>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</si>
  <si>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</si>
  <si>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</si>
  <si>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</si>
  <si>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</si>
  <si>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</si>
  <si>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</si>
  <si>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</si>
  <si>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</si>
  <si>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</si>
  <si>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</si>
  <si>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</si>
  <si>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</si>
  <si>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</si>
  <si>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</si>
  <si>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</si>
  <si>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</si>
  <si>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</si>
  <si>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</si>
  <si>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</si>
  <si>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</si>
  <si>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</si>
  <si>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</si>
  <si>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</si>
  <si>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</si>
  <si>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</si>
  <si>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</si>
  <si>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</si>
  <si>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</si>
  <si>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</si>
  <si>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</si>
  <si>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</si>
  <si>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</si>
  <si>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</si>
  <si>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</si>
  <si>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</si>
  <si>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</si>
  <si>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</si>
  <si>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</si>
  <si>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</si>
  <si>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</si>
  <si>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</si>
  <si>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</si>
  <si>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</si>
  <si>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</si>
  <si>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</si>
  <si>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</si>
  <si>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</si>
  <si>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</si>
  <si>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</si>
  <si>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</si>
  <si>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</si>
  <si>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</si>
  <si>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</si>
  <si>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</si>
  <si>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</si>
  <si>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</si>
  <si>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</si>
  <si>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</si>
  <si>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</si>
  <si>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</si>
  <si>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</si>
  <si>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</si>
  <si>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</si>
  <si>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</si>
  <si>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</si>
  <si>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</si>
  <si>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</si>
  <si>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</si>
  <si>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</si>
  <si>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</si>
  <si>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</si>
  <si>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</si>
  <si>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</si>
  <si>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</si>
  <si>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</si>
  <si>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</si>
  <si>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</si>
  <si>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</si>
  <si>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</si>
  <si>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</si>
  <si>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</si>
  <si>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</si>
  <si>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</si>
  <si>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</si>
  <si>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</si>
  <si>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</si>
  <si>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</si>
  <si>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</si>
  <si>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</si>
  <si>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</si>
  <si>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</si>
  <si>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</si>
  <si>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</si>
  <si>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</si>
  <si>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</si>
  <si>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</si>
  <si>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</si>
  <si>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</si>
  <si>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</si>
  <si>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</si>
  <si>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</si>
  <si>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</si>
  <si>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</si>
  <si>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</si>
  <si>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</si>
  <si>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</si>
  <si>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</si>
  <si>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</si>
  <si>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</si>
  <si>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</si>
  <si>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</si>
  <si>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</si>
  <si>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</si>
  <si>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</si>
  <si>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</si>
  <si>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</si>
  <si>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</si>
  <si>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</si>
  <si>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</si>
  <si>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</si>
  <si>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</si>
  <si>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</si>
  <si>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</si>
  <si>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</si>
  <si>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</si>
  <si>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</si>
  <si>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</si>
  <si>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</si>
  <si>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</si>
  <si>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</si>
  <si>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</si>
  <si>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</si>
  <si>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</si>
  <si>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</si>
  <si>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</si>
  <si>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</si>
  <si>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</si>
  <si>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</si>
  <si>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</si>
  <si>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</si>
  <si>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</si>
  <si>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</si>
  <si>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</si>
  <si>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</si>
  <si>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</si>
  <si>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</si>
  <si>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</si>
  <si>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</si>
  <si>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</si>
  <si>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</si>
  <si>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</si>
  <si>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</si>
  <si>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</si>
  <si>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</si>
  <si>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</si>
  <si>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</si>
  <si>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</si>
  <si>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</si>
  <si>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</si>
  <si>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</si>
  <si>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</si>
  <si>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</si>
  <si>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</si>
  <si>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</si>
  <si>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</si>
  <si>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</si>
  <si>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</si>
  <si>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</si>
  <si>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</si>
  <si>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</si>
  <si>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</si>
  <si>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</si>
  <si>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</si>
  <si>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</si>
  <si>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</si>
  <si>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</si>
  <si>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</si>
  <si>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</si>
  <si>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</si>
  <si>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</si>
  <si>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</si>
  <si>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</si>
  <si>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</si>
  <si>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</si>
  <si>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</si>
  <si>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</si>
  <si>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</si>
  <si>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</si>
  <si>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</si>
  <si>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</si>
  <si>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</si>
  <si>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</si>
  <si>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</si>
  <si>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</si>
  <si>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</si>
  <si>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</si>
  <si>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</si>
  <si>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</si>
  <si>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</si>
  <si>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</si>
  <si>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</si>
  <si>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</si>
  <si>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</si>
  <si>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</si>
  <si>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</si>
  <si>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</si>
  <si>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</si>
  <si>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</si>
  <si>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</si>
  <si>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</si>
  <si>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</si>
  <si>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</si>
  <si>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</si>
  <si>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</si>
  <si>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</si>
  <si>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</si>
  <si>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</si>
  <si>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</si>
  <si>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</si>
  <si>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</si>
  <si>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</si>
  <si>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</si>
  <si>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</si>
  <si>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</si>
  <si>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</si>
  <si>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</si>
  <si>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</si>
  <si>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</si>
  <si>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</si>
  <si>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</si>
  <si>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</si>
  <si>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</si>
  <si>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</si>
  <si>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</si>
  <si>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</si>
  <si>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</si>
  <si>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</si>
  <si>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</si>
  <si>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</si>
  <si>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</si>
  <si>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</si>
  <si>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</si>
  <si>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</si>
  <si>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</si>
  <si>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</si>
  <si>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</si>
  <si>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</si>
  <si>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</si>
  <si>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</si>
  <si>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</si>
  <si>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</si>
  <si>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</si>
  <si>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</si>
  <si>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</si>
  <si>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</si>
  <si>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</si>
  <si>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</si>
  <si>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</si>
  <si>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</si>
  <si>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</si>
  <si>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</si>
  <si>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</si>
  <si>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</si>
  <si>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</si>
  <si>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</si>
  <si>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</si>
  <si>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</si>
  <si>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</si>
  <si>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</si>
  <si>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</si>
  <si>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</si>
  <si>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</si>
  <si>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</si>
  <si>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</si>
  <si>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</si>
  <si>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</si>
  <si>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</si>
  <si>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</si>
  <si>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</si>
  <si>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</si>
  <si>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</si>
  <si>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</si>
  <si>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</si>
  <si>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</si>
  <si>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</si>
  <si>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</si>
  <si>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</si>
  <si>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</si>
  <si>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</si>
  <si>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</si>
  <si>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</si>
  <si>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</si>
  <si>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</si>
  <si>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</si>
  <si>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</si>
  <si>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</si>
  <si>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</si>
  <si>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</si>
  <si>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</si>
  <si>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</si>
  <si>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</si>
  <si>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</si>
  <si>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</si>
  <si>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</si>
  <si>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</si>
  <si>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</si>
  <si>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</si>
  <si>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</si>
  <si>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</si>
  <si>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</si>
  <si>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</si>
  <si>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</si>
  <si>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</si>
  <si>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</si>
  <si>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</si>
  <si>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</si>
  <si>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</si>
  <si>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</si>
  <si>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</si>
  <si>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</si>
  <si>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</si>
  <si>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</si>
  <si>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</si>
  <si>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</si>
  <si>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</si>
  <si>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</si>
  <si>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</si>
  <si>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</si>
  <si>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</si>
  <si>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</si>
  <si>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</si>
  <si>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</si>
  <si>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</si>
  <si>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</si>
  <si>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</si>
  <si>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</si>
  <si>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</si>
  <si>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</si>
  <si>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</si>
  <si>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</si>
  <si>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</si>
  <si>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</si>
  <si>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</si>
  <si>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</si>
  <si>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</si>
  <si>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</si>
  <si>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</si>
  <si>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</si>
  <si>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</si>
  <si>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</si>
  <si>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</si>
  <si>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</si>
  <si>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</si>
  <si>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</si>
  <si>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</si>
  <si>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</si>
  <si>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</si>
  <si>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</si>
  <si>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</si>
  <si>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</si>
  <si>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</si>
  <si>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</si>
  <si>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</si>
  <si>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</si>
  <si>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</si>
  <si>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</si>
  <si>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</si>
  <si>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</si>
  <si>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</si>
  <si>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</si>
  <si>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</si>
  <si>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</si>
  <si>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</si>
  <si>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</si>
  <si>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</si>
  <si>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</si>
  <si>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</si>
  <si>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</si>
  <si>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</si>
  <si>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</si>
  <si>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</si>
  <si>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</si>
  <si>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</si>
  <si>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</si>
  <si>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</si>
  <si>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</si>
  <si>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</si>
  <si>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</si>
  <si>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</si>
  <si>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</si>
  <si>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</si>
  <si>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</si>
  <si>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</si>
  <si>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</si>
  <si>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</si>
  <si>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</si>
  <si>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</si>
  <si>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</si>
  <si>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</si>
  <si>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</si>
  <si>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</si>
  <si>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</si>
  <si>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</si>
  <si>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</si>
  <si>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</si>
  <si>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</si>
  <si>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</si>
  <si>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</si>
  <si>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</si>
  <si>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</si>
  <si>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</si>
  <si>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</si>
  <si>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</si>
  <si>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</si>
  <si>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</si>
  <si>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</si>
  <si>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</si>
  <si>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</si>
  <si>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</si>
  <si>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</si>
  <si>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</si>
  <si>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</si>
  <si>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</si>
  <si>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</si>
  <si>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</si>
  <si>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</si>
  <si>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</si>
  <si>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</si>
  <si>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</si>
  <si>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</si>
  <si>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</si>
  <si>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</si>
  <si>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</si>
  <si>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</si>
  <si>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</si>
  <si>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</si>
  <si>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</si>
  <si>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</si>
  <si>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</si>
  <si>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</si>
  <si>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</si>
  <si>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</si>
  <si>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</si>
  <si>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</si>
  <si>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</si>
  <si>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</si>
  <si>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</si>
  <si>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</si>
  <si>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</si>
  <si>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</si>
  <si>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</si>
  <si>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</si>
  <si>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</si>
  <si>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</si>
  <si>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</si>
  <si>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</si>
  <si>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</si>
  <si>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</si>
  <si>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</si>
  <si>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</si>
  <si>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</si>
  <si>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</si>
  <si>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</si>
  <si>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</si>
  <si>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</si>
  <si>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</si>
  <si>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</si>
  <si>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</si>
  <si>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</si>
  <si>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</si>
  <si>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</si>
  <si>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</si>
  <si>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</si>
  <si>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</si>
  <si>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</si>
  <si>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</si>
  <si>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</si>
  <si>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</si>
  <si>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</si>
  <si>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</si>
  <si>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</si>
  <si>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</si>
  <si>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</si>
  <si>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</si>
  <si>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</si>
  <si>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</si>
  <si>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</si>
  <si>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</si>
  <si>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</si>
  <si>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</si>
  <si>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</si>
  <si>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</si>
  <si>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</si>
  <si>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</si>
  <si>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</si>
  <si>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</si>
  <si>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</si>
  <si>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</si>
  <si>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</si>
  <si>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</si>
  <si>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</si>
  <si>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</si>
  <si>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</si>
  <si>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</si>
  <si>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</si>
  <si>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</si>
  <si>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</si>
  <si>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</si>
  <si>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</si>
  <si>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</si>
  <si>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</si>
  <si>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</si>
  <si>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</si>
  <si>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</si>
  <si>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</si>
  <si>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</si>
  <si>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</si>
  <si>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</si>
  <si>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</si>
  <si>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</si>
  <si>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</si>
  <si>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</si>
  <si>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</si>
  <si>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</si>
  <si>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</si>
  <si>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</si>
  <si>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</si>
  <si>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</si>
  <si>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</si>
  <si>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</si>
  <si>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</si>
  <si>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</si>
  <si>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</si>
  <si>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</si>
  <si>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</si>
  <si>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</si>
  <si>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</si>
  <si>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</si>
  <si>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</si>
  <si>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</si>
  <si>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</si>
  <si>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</si>
  <si>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</si>
  <si>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</si>
  <si>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</si>
  <si>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</si>
  <si>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</si>
  <si>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</si>
  <si>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</si>
  <si>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</si>
  <si>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</si>
  <si>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</si>
  <si>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</si>
  <si>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</si>
  <si>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</si>
  <si>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</si>
  <si>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</si>
  <si>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</si>
  <si>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</si>
  <si>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</si>
  <si>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</si>
  <si>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</si>
  <si>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</si>
  <si>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</si>
  <si>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</si>
  <si>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</si>
  <si>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</si>
  <si>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</si>
  <si>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</si>
  <si>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</si>
  <si>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</si>
  <si>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</si>
  <si>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</si>
  <si>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</si>
  <si>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</si>
  <si>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</si>
  <si>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</si>
  <si>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</si>
  <si>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</si>
  <si>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</si>
  <si>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</si>
  <si>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</si>
  <si>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</si>
  <si>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</si>
  <si>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</si>
  <si>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</si>
  <si>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</si>
  <si>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</si>
  <si>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</si>
  <si>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</si>
  <si>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</si>
  <si>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</si>
  <si>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</si>
  <si>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</si>
  <si>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</si>
  <si>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</si>
  <si>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</si>
  <si>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</si>
  <si>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</si>
  <si>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</si>
  <si>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</si>
  <si>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</si>
  <si>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</si>
  <si>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</si>
  <si>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</si>
  <si>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</si>
  <si>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</si>
  <si>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</si>
  <si>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</si>
  <si>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</si>
  <si>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</si>
  <si>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</si>
  <si>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</si>
  <si>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</si>
  <si>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</si>
  <si>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</si>
  <si>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</si>
  <si>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</si>
  <si>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</si>
  <si>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</si>
  <si>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</si>
  <si>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</si>
  <si>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</si>
  <si>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</si>
  <si>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</si>
  <si>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</si>
  <si>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</si>
  <si>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</si>
  <si>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</si>
  <si>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</si>
  <si>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</si>
  <si>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</si>
  <si>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</si>
  <si>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</si>
  <si>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</si>
  <si>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</si>
  <si>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</si>
  <si>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</si>
  <si>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</si>
  <si>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</si>
  <si>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</si>
  <si>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</si>
  <si>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</si>
  <si>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</si>
  <si>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</si>
  <si>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</si>
  <si>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</si>
  <si>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</si>
  <si>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</si>
  <si>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</si>
  <si>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</si>
  <si>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</si>
  <si>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</si>
  <si>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</si>
  <si>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</si>
  <si>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</si>
  <si>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</si>
  <si>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</si>
  <si>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</si>
  <si>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</si>
  <si>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</si>
  <si>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</si>
  <si>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</si>
  <si>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</si>
  <si>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</si>
  <si>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</si>
  <si>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</si>
  <si>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</si>
  <si>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</si>
  <si>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</si>
  <si>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</si>
  <si>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</si>
  <si>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</si>
  <si>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</si>
  <si>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</si>
  <si>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</si>
  <si>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</si>
  <si>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</si>
  <si>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</si>
  <si>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</si>
  <si>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</si>
  <si>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</si>
  <si>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</si>
  <si>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</si>
  <si>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</si>
  <si>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</si>
  <si>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</si>
  <si>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</si>
  <si>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</si>
  <si>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</si>
  <si>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</si>
  <si>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</si>
  <si>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</si>
  <si>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</si>
  <si>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</si>
  <si>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</si>
  <si>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</si>
  <si>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</si>
  <si>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</si>
  <si>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</si>
  <si>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</si>
  <si>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</si>
  <si>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</si>
  <si>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</si>
  <si>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</si>
  <si>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</si>
  <si>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</si>
  <si>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</si>
  <si>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</si>
  <si>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</si>
  <si>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</si>
  <si>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</si>
  <si>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</si>
  <si>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</si>
  <si>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</si>
  <si>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</si>
  <si>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</si>
  <si>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</si>
  <si>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</si>
  <si>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</si>
  <si>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</si>
  <si>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</si>
  <si>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</si>
  <si>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</si>
  <si>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</si>
  <si>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</si>
  <si>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</si>
  <si>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</si>
  <si>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</si>
  <si>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</si>
  <si>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</si>
  <si>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</si>
  <si>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</si>
  <si>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</si>
  <si>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</si>
  <si>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</si>
  <si>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</si>
  <si>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</si>
  <si>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</si>
  <si>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</si>
  <si>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</si>
  <si>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</si>
  <si>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</si>
  <si>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</si>
  <si>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</si>
  <si>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</si>
  <si>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</si>
  <si>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</si>
  <si>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</si>
  <si>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</si>
  <si>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</si>
  <si>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</si>
  <si>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</si>
  <si>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</si>
  <si>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</si>
  <si>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</si>
  <si>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</si>
  <si>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</si>
  <si>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</si>
  <si>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</si>
  <si>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</si>
  <si>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</si>
  <si>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</si>
  <si>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</si>
  <si>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</si>
  <si>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</si>
  <si>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</si>
  <si>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</si>
  <si>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</si>
  <si>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</si>
  <si>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</si>
  <si>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</si>
  <si>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</si>
  <si>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</si>
  <si>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</si>
  <si>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</si>
  <si>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</si>
  <si>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</si>
  <si>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</si>
  <si>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</si>
  <si>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</si>
  <si>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</si>
  <si>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</si>
  <si>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</si>
  <si>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</si>
  <si>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</si>
  <si>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</si>
  <si>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</si>
  <si>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</si>
  <si>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</si>
  <si>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</si>
  <si>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</si>
  <si>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</si>
  <si>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</si>
  <si>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</si>
  <si>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</si>
  <si>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</si>
  <si>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</si>
  <si>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</si>
  <si>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</si>
  <si>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</si>
  <si>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</si>
  <si>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</si>
  <si>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</si>
  <si>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</si>
  <si>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</si>
  <si>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</si>
  <si>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</si>
  <si>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</si>
  <si>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</si>
  <si>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</si>
  <si>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</si>
  <si>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</si>
  <si>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</si>
  <si>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</si>
  <si>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</si>
  <si>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</si>
  <si>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</si>
  <si>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</si>
  <si>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</si>
  <si>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</si>
  <si>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</si>
  <si>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</si>
  <si>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</si>
  <si>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</si>
  <si>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</si>
  <si>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</si>
  <si>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</si>
  <si>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</si>
  <si>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</si>
  <si>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</si>
  <si>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</si>
  <si>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</si>
  <si>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</si>
  <si>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</si>
  <si>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</si>
  <si>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</si>
  <si>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</si>
  <si>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</si>
  <si>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</si>
  <si>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</si>
  <si>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</si>
  <si>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</si>
  <si>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</si>
  <si>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</si>
  <si>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</si>
  <si>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</si>
  <si>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</si>
  <si>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</si>
  <si>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</si>
  <si>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</si>
  <si>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</si>
  <si>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</si>
  <si>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</si>
  <si>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</si>
  <si>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</si>
  <si>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</si>
  <si>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</si>
  <si>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</si>
  <si>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</si>
  <si>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</si>
  <si>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</si>
  <si>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</si>
  <si>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</si>
  <si>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</si>
  <si>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</si>
  <si>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</si>
  <si>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</si>
  <si>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</si>
  <si>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</si>
  <si>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</si>
  <si>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</si>
  <si>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</si>
  <si>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</si>
  <si>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</si>
  <si>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</si>
  <si>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</si>
  <si>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</si>
  <si>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</si>
  <si>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</si>
  <si>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</si>
  <si>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</si>
  <si>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</si>
  <si>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</si>
  <si>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</si>
  <si>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</si>
  <si>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</si>
  <si>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</si>
  <si>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</si>
  <si>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</si>
  <si>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</si>
  <si>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</si>
  <si>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</si>
  <si>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</si>
  <si>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</si>
  <si>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</si>
  <si>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</si>
  <si>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</si>
  <si>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</si>
  <si>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</si>
  <si>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</si>
  <si>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</si>
  <si>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</si>
  <si>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</si>
  <si>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</si>
  <si>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</si>
  <si>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</si>
  <si>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</si>
  <si>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</si>
  <si>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</si>
  <si>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</si>
  <si>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</si>
  <si>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</si>
  <si>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</si>
  <si>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</si>
  <si>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</si>
  <si>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</si>
  <si>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</si>
  <si>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</si>
  <si>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</si>
  <si>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</si>
  <si>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</si>
  <si>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</si>
  <si>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</si>
  <si>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</si>
  <si>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</si>
  <si>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</si>
  <si>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</si>
  <si>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</si>
  <si>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</si>
  <si>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</si>
  <si>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</si>
  <si>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</si>
  <si>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</si>
  <si>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</si>
  <si>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</si>
  <si>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</si>
  <si>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</si>
  <si>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</si>
  <si>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</si>
  <si>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</si>
  <si>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</si>
  <si>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</si>
  <si>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</si>
  <si>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</si>
  <si>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</si>
  <si>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</si>
  <si>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</si>
  <si>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</si>
  <si>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</si>
  <si>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</si>
  <si>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</si>
  <si>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</si>
  <si>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</si>
  <si>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</si>
  <si>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</si>
  <si>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</si>
  <si>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</si>
  <si>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</si>
  <si>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</si>
  <si>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</si>
  <si>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</si>
  <si>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</si>
  <si>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</si>
  <si>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</si>
  <si>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</si>
  <si>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</si>
  <si>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</si>
  <si>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</si>
  <si>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</si>
  <si>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</si>
  <si>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</si>
  <si>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</si>
  <si>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</si>
  <si>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</si>
  <si>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</si>
  <si>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</si>
  <si>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</si>
  <si>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</si>
  <si>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</si>
  <si>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</si>
  <si>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</si>
  <si>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</si>
  <si>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</si>
  <si>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</si>
  <si>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</si>
  <si>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</si>
  <si>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</si>
  <si>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</si>
  <si>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</si>
  <si>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</si>
  <si>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</si>
  <si>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</si>
  <si>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</si>
  <si>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</si>
  <si>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</si>
  <si>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</si>
  <si>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</si>
  <si>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</si>
  <si>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</si>
  <si>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</si>
  <si>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</si>
  <si>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</si>
  <si>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</si>
  <si>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</si>
  <si>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</si>
  <si>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</si>
  <si>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</si>
  <si>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</si>
  <si>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</si>
  <si>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</si>
  <si>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</si>
  <si>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</si>
  <si>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</si>
  <si>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</si>
  <si>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</si>
  <si>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</si>
  <si>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</si>
  <si>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</si>
  <si>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</si>
  <si>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</si>
  <si>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</si>
  <si>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</si>
  <si>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</si>
  <si>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</si>
  <si>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</si>
  <si>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</si>
  <si>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</si>
  <si>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</si>
  <si>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</si>
  <si>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</si>
  <si>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</si>
  <si>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</si>
  <si>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</si>
  <si>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</si>
  <si>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</si>
  <si>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</si>
  <si>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</si>
  <si>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</si>
  <si>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</si>
  <si>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</si>
  <si>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</si>
  <si>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</si>
  <si>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</si>
  <si>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</si>
  <si>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</si>
  <si>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</si>
  <si>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</si>
  <si>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</si>
  <si>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</si>
  <si>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</si>
  <si>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</si>
  <si>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</si>
  <si>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</si>
  <si>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</si>
  <si>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</si>
  <si>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</si>
  <si>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</si>
  <si>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</si>
  <si>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</si>
  <si>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</si>
  <si>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</si>
  <si>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</si>
  <si>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</si>
  <si>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</si>
  <si>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</si>
  <si>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</si>
  <si>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</si>
  <si>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</si>
  <si>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</si>
  <si>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</si>
  <si>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</si>
  <si>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</si>
  <si>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</si>
  <si>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</si>
  <si>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</si>
  <si>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</si>
  <si>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</si>
  <si>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</si>
  <si>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</si>
  <si>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</si>
  <si>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</si>
  <si>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</si>
  <si>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</si>
  <si>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</si>
  <si>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</si>
  <si>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</si>
  <si>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</si>
  <si>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</si>
  <si>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</si>
  <si>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</si>
  <si>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</si>
  <si>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</si>
  <si>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</si>
  <si>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</si>
  <si>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</si>
  <si>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</si>
  <si>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</si>
  <si>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</si>
  <si>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</si>
  <si>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</si>
  <si>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</si>
  <si>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</si>
  <si>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</si>
  <si>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</si>
  <si>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</si>
  <si>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</si>
  <si>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</si>
  <si>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</si>
  <si>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</si>
  <si>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</si>
  <si>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</si>
  <si>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</si>
  <si>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</si>
  <si>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</si>
  <si>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</si>
  <si>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</si>
  <si>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</si>
  <si>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</si>
  <si>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</si>
  <si>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</si>
  <si>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</si>
  <si>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</si>
  <si>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</si>
  <si>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</si>
  <si>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</si>
  <si>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</si>
  <si>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</si>
  <si>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</si>
  <si>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</si>
  <si>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</si>
  <si>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</si>
  <si>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</si>
  <si>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</si>
  <si>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</si>
  <si>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</si>
  <si>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</si>
  <si>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</si>
  <si>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</si>
  <si>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</si>
  <si>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</si>
  <si>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</si>
  <si>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</si>
  <si>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</si>
  <si>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</si>
  <si>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</si>
  <si>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</si>
  <si>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</si>
  <si>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</si>
  <si>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</si>
  <si>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</si>
  <si>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</si>
  <si>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</si>
  <si>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</si>
  <si>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</si>
  <si>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</si>
  <si>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</si>
  <si>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</si>
  <si>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</si>
  <si>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</si>
  <si>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</si>
  <si>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</si>
  <si>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</si>
  <si>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</si>
  <si>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</si>
  <si>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</si>
  <si>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</si>
  <si>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</si>
  <si>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</si>
  <si>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</si>
  <si>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</si>
  <si>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</si>
  <si>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</si>
  <si>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</si>
  <si>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</si>
  <si>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</si>
  <si>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</si>
  <si>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</si>
  <si>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</si>
  <si>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</si>
  <si>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</si>
  <si>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</si>
  <si>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</si>
  <si>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</si>
  <si>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</si>
  <si>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</si>
  <si>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</si>
  <si>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</si>
  <si>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</si>
  <si>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</si>
  <si>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</si>
  <si>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</si>
  <si>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</si>
  <si>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</si>
  <si>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</si>
  <si>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</si>
  <si>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</si>
  <si>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</si>
  <si>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</si>
  <si>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</si>
  <si>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</si>
  <si>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</si>
  <si>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</si>
  <si>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</si>
  <si>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</si>
  <si>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</si>
  <si>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</si>
  <si>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</si>
  <si>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</si>
  <si>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</si>
  <si>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</si>
  <si>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</si>
  <si>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</si>
  <si>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</si>
  <si>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</si>
  <si>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</si>
  <si>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</si>
  <si>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</si>
  <si>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</si>
  <si>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</si>
  <si>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</si>
  <si>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</si>
  <si>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</si>
  <si>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</si>
  <si>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</si>
  <si>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</si>
  <si>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</si>
  <si>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</si>
  <si>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</si>
  <si>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</si>
  <si>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</si>
  <si>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</si>
  <si>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</si>
  <si>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</si>
  <si>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</si>
  <si>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</si>
  <si>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</si>
  <si>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</si>
  <si>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</si>
  <si>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</si>
  <si>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</si>
  <si>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</si>
  <si>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</si>
  <si>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</si>
  <si>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</si>
  <si>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</si>
  <si>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</si>
  <si>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</si>
  <si>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</si>
  <si>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</si>
  <si>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</si>
  <si>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</si>
  <si>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</si>
  <si>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</si>
  <si>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</si>
  <si>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</si>
  <si>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</si>
  <si>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</si>
  <si>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</si>
  <si>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</si>
  <si>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</si>
  <si>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</si>
  <si>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</si>
  <si>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</si>
  <si>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</si>
  <si>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</si>
  <si>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</si>
  <si>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</si>
  <si>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</si>
  <si>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</si>
  <si>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</si>
  <si>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</si>
  <si>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</si>
  <si>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</si>
  <si>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</si>
  <si>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</si>
  <si>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</si>
  <si>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</si>
  <si>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</si>
  <si>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</si>
  <si>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</si>
  <si>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</si>
  <si>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</si>
  <si>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</si>
  <si>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</si>
  <si>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</si>
  <si>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</si>
  <si>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</si>
  <si>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</si>
  <si>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</si>
  <si>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</si>
  <si>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</si>
  <si>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</si>
  <si>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</si>
  <si>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</si>
  <si>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</si>
  <si>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</si>
  <si>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</si>
  <si>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</si>
  <si>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</si>
  <si>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</si>
  <si>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</si>
  <si>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</si>
  <si>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</si>
  <si>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</si>
  <si>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</si>
  <si>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</si>
  <si>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</si>
  <si>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</si>
  <si>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</si>
  <si>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</si>
  <si>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</si>
  <si>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</si>
  <si>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</si>
  <si>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</si>
  <si>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</si>
  <si>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</si>
  <si>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</si>
  <si>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</si>
  <si>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</si>
  <si>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</si>
  <si>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</si>
  <si>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</si>
  <si>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</si>
  <si>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</si>
  <si>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</si>
  <si>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</si>
  <si>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</si>
  <si>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</si>
  <si>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</si>
  <si>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</si>
  <si>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</si>
  <si>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</si>
  <si>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</si>
  <si>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</si>
  <si>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</si>
  <si>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</si>
  <si>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</si>
  <si>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</si>
  <si>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</si>
  <si>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</si>
  <si>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</si>
  <si>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</si>
  <si>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</si>
  <si>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</si>
  <si>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</si>
  <si>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</si>
  <si>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</si>
  <si>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</si>
  <si>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</si>
  <si>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</si>
  <si>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</si>
  <si>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</si>
  <si>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</si>
  <si>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</si>
  <si>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</si>
  <si>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</si>
  <si>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</si>
  <si>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</si>
  <si>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</si>
  <si>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</si>
  <si>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</si>
  <si>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</si>
  <si>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</si>
  <si>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</si>
  <si>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</si>
  <si>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</si>
  <si>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</si>
  <si>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</si>
  <si>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</si>
  <si>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</si>
  <si>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</si>
  <si>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</si>
  <si>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</si>
  <si>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</si>
  <si>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</si>
  <si>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</si>
  <si>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</si>
  <si>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</si>
  <si>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</si>
  <si>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</si>
  <si>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</si>
  <si>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</si>
  <si>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</si>
  <si>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</si>
  <si>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</si>
  <si>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</si>
  <si>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</si>
  <si>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</si>
  <si>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</si>
  <si>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</si>
  <si>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</si>
  <si>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</si>
  <si>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</si>
  <si>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</si>
  <si>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</si>
  <si>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</si>
  <si>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</si>
  <si>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</si>
  <si>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</si>
  <si>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</si>
  <si>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</si>
  <si>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</si>
  <si>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</si>
  <si>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</si>
  <si>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</si>
  <si>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</si>
  <si>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</si>
  <si>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</si>
  <si>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</si>
  <si>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</si>
  <si>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</si>
  <si>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</si>
  <si>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</si>
  <si>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</si>
  <si>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</si>
  <si>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</si>
  <si>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</si>
  <si>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</si>
  <si>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</si>
  <si>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</si>
  <si>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</si>
  <si>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</si>
  <si>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</si>
  <si>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</si>
  <si>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</si>
  <si>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</si>
  <si>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</si>
  <si>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</si>
  <si>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</si>
  <si>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</si>
  <si>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</si>
  <si>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</si>
  <si>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</si>
  <si>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</si>
  <si>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</si>
  <si>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</si>
  <si>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</si>
  <si>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</si>
  <si>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</si>
  <si>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</si>
  <si>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</si>
  <si>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</si>
  <si>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</si>
  <si>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</si>
  <si>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</si>
  <si>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</si>
  <si>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</si>
  <si>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</si>
  <si>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</si>
  <si>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</si>
  <si>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</si>
  <si>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</si>
  <si>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</si>
  <si>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</si>
  <si>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</si>
  <si>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</si>
  <si>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</si>
  <si>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</si>
  <si>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</si>
  <si>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</si>
  <si>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</si>
  <si>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</si>
  <si>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</si>
  <si>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</si>
  <si>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</si>
  <si>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</si>
  <si>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</si>
  <si>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</si>
  <si>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</si>
  <si>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</si>
  <si>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</si>
  <si>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</si>
  <si>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</si>
  <si>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</si>
  <si>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</si>
  <si>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</si>
  <si>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</si>
  <si>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</si>
  <si>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</si>
  <si>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</si>
  <si>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</si>
  <si>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</si>
  <si>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</si>
  <si>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</si>
  <si>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</si>
  <si>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</si>
  <si>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</si>
  <si>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</si>
  <si>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</si>
  <si>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</si>
  <si>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</si>
  <si>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</si>
  <si>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</si>
  <si>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</si>
  <si>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</si>
  <si>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</si>
  <si>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</si>
  <si>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</si>
  <si>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</si>
  <si>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</si>
  <si>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</si>
  <si>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</si>
  <si>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</si>
  <si>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</si>
  <si>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</si>
  <si>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</si>
  <si>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</si>
  <si>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</si>
  <si>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</si>
  <si>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</si>
  <si>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</si>
  <si>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</si>
  <si>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</si>
  <si>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</si>
  <si>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</si>
  <si>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</si>
  <si>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</si>
  <si>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</si>
  <si>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</si>
  <si>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</si>
  <si>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</si>
  <si>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</si>
  <si>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</si>
  <si>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</si>
  <si>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</si>
  <si>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</si>
  <si>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</si>
  <si>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</si>
  <si>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</si>
  <si>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</si>
  <si>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</si>
  <si>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</si>
  <si>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</si>
  <si>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</si>
  <si>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</si>
  <si>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</si>
  <si>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</si>
  <si>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</si>
  <si>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</si>
  <si>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</si>
  <si>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</si>
  <si>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</si>
  <si>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</si>
  <si>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</si>
  <si>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</si>
  <si>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</si>
  <si>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</si>
  <si>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</si>
  <si>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</si>
  <si>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</si>
  <si>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</si>
  <si>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</si>
  <si>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</si>
  <si>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</si>
  <si>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</si>
  <si>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</si>
  <si>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</si>
  <si>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</si>
  <si>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</si>
  <si>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</si>
  <si>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</si>
  <si>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</si>
  <si>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</si>
  <si>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</si>
  <si>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</si>
  <si>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</si>
  <si>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</si>
  <si>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</si>
  <si>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</si>
  <si>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</si>
  <si>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</si>
  <si>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</si>
  <si>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</si>
  <si>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</si>
  <si>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</si>
  <si>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</si>
  <si>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</si>
  <si>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</si>
  <si>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</si>
  <si>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</si>
  <si>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</si>
  <si>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</si>
  <si>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</si>
  <si>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</si>
  <si>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</si>
  <si>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</si>
  <si>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</si>
  <si>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</si>
  <si>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</si>
  <si>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</si>
  <si>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</si>
  <si>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</si>
  <si>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</si>
  <si>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</si>
  <si>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</si>
  <si>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</si>
  <si>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</si>
  <si>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</si>
  <si>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</si>
  <si>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</si>
  <si>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</si>
  <si>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</si>
  <si>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</si>
  <si>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</si>
  <si>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</si>
  <si>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</si>
  <si>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</si>
  <si>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</si>
  <si>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</si>
  <si>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</si>
  <si>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</si>
  <si>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</si>
  <si>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</si>
  <si>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</si>
  <si>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</si>
  <si>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</si>
  <si>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</si>
  <si>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</si>
  <si>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</si>
  <si>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</si>
  <si>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</si>
  <si>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</si>
  <si>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</si>
  <si>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</si>
  <si>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</si>
  <si>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</si>
  <si>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</si>
  <si>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</si>
  <si>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</si>
  <si>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</si>
  <si>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</si>
  <si>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</si>
  <si>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</si>
  <si>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</si>
  <si>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</si>
  <si>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</si>
  <si>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</si>
  <si>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</si>
  <si>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</si>
  <si>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</si>
  <si>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</si>
  <si>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</si>
  <si>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</si>
  <si>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</si>
  <si>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</si>
  <si>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</si>
  <si>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</si>
  <si>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</si>
  <si>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</si>
  <si>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</si>
  <si>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</si>
  <si>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</si>
  <si>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</si>
  <si>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</si>
  <si>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</si>
  <si>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</si>
  <si>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</si>
  <si>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</si>
  <si>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</si>
  <si>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</si>
  <si>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</si>
  <si>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</si>
  <si>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</si>
  <si>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</si>
  <si>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</si>
  <si>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</si>
  <si>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</si>
  <si>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</si>
  <si>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</si>
  <si>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</si>
  <si>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</si>
  <si>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</si>
  <si>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</si>
  <si>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</si>
  <si>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</si>
  <si>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</si>
  <si>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</si>
  <si>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</si>
  <si>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</si>
  <si>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</si>
  <si>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</si>
  <si>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</si>
  <si>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</si>
  <si>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</si>
  <si>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</si>
  <si>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</si>
  <si>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</si>
  <si>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</si>
  <si>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</si>
  <si>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</si>
  <si>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</si>
  <si>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</si>
  <si>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</si>
  <si>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</si>
  <si>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</si>
  <si>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</si>
  <si>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</si>
  <si>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</si>
  <si>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</si>
  <si>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</si>
  <si>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</si>
  <si>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</si>
  <si>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</si>
  <si>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</si>
  <si>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</si>
  <si>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</si>
  <si>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</si>
  <si>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</si>
  <si>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</si>
  <si>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</si>
  <si>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</si>
  <si>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</si>
  <si>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</si>
  <si>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</si>
  <si>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</si>
  <si>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</si>
  <si>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</si>
  <si>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</si>
  <si>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</si>
  <si>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</si>
  <si>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</si>
  <si>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</si>
  <si>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</si>
  <si>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</si>
  <si>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</si>
  <si>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</si>
  <si>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</si>
  <si>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</si>
  <si>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</si>
  <si>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</si>
  <si>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</si>
  <si>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</si>
  <si>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</si>
  <si>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</si>
  <si>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</si>
  <si>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</si>
  <si>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</si>
  <si>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</si>
  <si>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</si>
  <si>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</si>
  <si>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</si>
  <si>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</si>
  <si>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</si>
  <si>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</si>
  <si>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</si>
  <si>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</si>
  <si>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</si>
  <si>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</si>
  <si>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</si>
  <si>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</si>
  <si>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</si>
  <si>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</si>
  <si>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</si>
  <si>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</si>
  <si>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</si>
  <si>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</si>
  <si>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</si>
  <si>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</si>
  <si>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</si>
  <si>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</si>
  <si>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</si>
  <si>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</si>
  <si>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</si>
  <si>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</si>
  <si>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</si>
  <si>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</si>
  <si>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</si>
  <si>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</si>
  <si>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</si>
  <si>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</si>
  <si>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</si>
  <si>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</si>
  <si>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</si>
  <si>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</si>
  <si>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</si>
  <si>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</si>
  <si>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</si>
  <si>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</si>
  <si>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</si>
  <si>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</si>
  <si>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</si>
  <si>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</si>
  <si>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</si>
  <si>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</si>
  <si>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</si>
  <si>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</si>
  <si>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</si>
  <si>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</si>
  <si>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</si>
  <si>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</si>
  <si>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</si>
  <si>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</si>
  <si>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</si>
  <si>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</si>
  <si>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</si>
  <si>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</si>
  <si>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</si>
  <si>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</si>
  <si>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</si>
  <si>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</si>
  <si>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</si>
  <si>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</si>
  <si>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</si>
  <si>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</si>
  <si>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</si>
  <si>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</si>
  <si>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</si>
  <si>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</si>
  <si>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</si>
  <si>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</si>
  <si>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</si>
  <si>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</si>
  <si>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</si>
  <si>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</si>
  <si>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</si>
  <si>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</si>
  <si>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</si>
  <si>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</si>
  <si>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</si>
  <si>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</si>
  <si>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</si>
  <si>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</si>
  <si>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</si>
  <si>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</si>
  <si>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</si>
  <si>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</si>
  <si>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</si>
  <si>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</si>
  <si>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</si>
  <si>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</si>
  <si>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</si>
  <si>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</si>
  <si>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</si>
  <si>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</si>
  <si>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</si>
  <si>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</si>
  <si>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</si>
  <si>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</si>
  <si>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</si>
  <si>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</si>
  <si>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</si>
  <si>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</si>
  <si>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</si>
  <si>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</si>
  <si>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</si>
  <si>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</si>
  <si>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</si>
  <si>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</si>
  <si>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</si>
  <si>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</si>
  <si>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</si>
  <si>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</si>
  <si>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</si>
  <si>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</si>
  <si>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</si>
  <si>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</si>
  <si>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</si>
  <si>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</si>
  <si>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</si>
  <si>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</si>
  <si>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</si>
  <si>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</si>
  <si>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</si>
  <si>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</si>
  <si>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</si>
  <si>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</si>
  <si>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</si>
  <si>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</si>
  <si>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</si>
  <si>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</si>
  <si>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</si>
  <si>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</si>
  <si>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</si>
  <si>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</si>
  <si>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</si>
  <si>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</si>
  <si>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</si>
  <si>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</si>
  <si>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</si>
  <si>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</si>
  <si>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</si>
  <si>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</si>
  <si>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</si>
  <si>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</si>
  <si>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</si>
  <si>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</si>
  <si>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</si>
  <si>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</si>
  <si>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</si>
  <si>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</si>
  <si>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</si>
  <si>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</si>
  <si>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</si>
  <si>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</si>
  <si>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</si>
  <si>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</si>
  <si>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</si>
  <si>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</si>
  <si>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</si>
  <si>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</si>
  <si>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</si>
  <si>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</si>
  <si>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</si>
  <si>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</si>
  <si>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</si>
  <si>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</si>
  <si>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</si>
  <si>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</si>
  <si>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</si>
  <si>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</si>
  <si>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</si>
  <si>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</si>
  <si>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</si>
  <si>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</si>
  <si>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</si>
  <si>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</si>
  <si>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</si>
  <si>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</si>
  <si>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</si>
  <si>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</si>
  <si>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</si>
  <si>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</si>
  <si>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</si>
  <si>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</si>
  <si>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</si>
  <si>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</si>
  <si>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</si>
  <si>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</si>
  <si>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</si>
  <si>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</si>
  <si>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</si>
  <si>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</si>
  <si>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</si>
  <si>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</si>
  <si>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</si>
  <si>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</si>
  <si>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</si>
  <si>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</si>
  <si>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</si>
  <si>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</si>
  <si>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</si>
  <si>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</si>
  <si>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</si>
  <si>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</si>
  <si>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</si>
  <si>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</si>
  <si>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</si>
  <si>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</si>
  <si>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</si>
  <si>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</si>
  <si>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</si>
  <si>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</si>
  <si>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</si>
  <si>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</si>
  <si>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</si>
  <si>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</si>
  <si>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</si>
  <si>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</si>
  <si>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</si>
  <si>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</si>
  <si>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</si>
  <si>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</si>
  <si>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</si>
  <si>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</si>
  <si>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</si>
  <si>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</si>
  <si>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</si>
  <si>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</si>
  <si>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</si>
  <si>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</si>
  <si>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</si>
  <si>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</si>
  <si>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</si>
  <si>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</si>
  <si>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</si>
  <si>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</si>
  <si>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</si>
  <si>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</si>
  <si>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</si>
  <si>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</si>
  <si>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</si>
  <si>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</si>
  <si>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</si>
  <si>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</si>
  <si>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</si>
  <si>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</si>
  <si>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</si>
  <si>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</si>
  <si>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</si>
  <si>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</si>
  <si>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</si>
  <si>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</si>
  <si>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</si>
  <si>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</si>
  <si>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</si>
  <si>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</si>
  <si>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</si>
  <si>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</si>
  <si>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</si>
  <si>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</si>
  <si>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</si>
  <si>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</si>
  <si>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</si>
  <si>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</si>
  <si>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</si>
  <si>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</si>
  <si>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</si>
  <si>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</si>
  <si>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</si>
  <si>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</si>
  <si>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</si>
  <si>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</si>
  <si>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</si>
  <si>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</si>
  <si>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</si>
  <si>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</si>
  <si>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</si>
  <si>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</si>
  <si>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</si>
  <si>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</si>
  <si>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</si>
  <si>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</si>
  <si>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</si>
  <si>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</si>
  <si>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</si>
  <si>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</si>
  <si>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</si>
  <si>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</si>
  <si>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</si>
  <si>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</si>
  <si>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</si>
  <si>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</si>
  <si>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</si>
  <si>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</si>
  <si>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</si>
  <si>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</si>
  <si>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</si>
  <si>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</si>
  <si>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</si>
  <si>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</si>
  <si>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</si>
  <si>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</si>
  <si>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</si>
  <si>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</si>
  <si>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</si>
  <si>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</si>
  <si>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</si>
  <si>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</si>
  <si>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</si>
  <si>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</si>
  <si>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</si>
  <si>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</si>
  <si>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</si>
  <si>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</si>
  <si>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</si>
  <si>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</si>
  <si>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</si>
  <si>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</si>
  <si>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</si>
  <si>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</si>
  <si>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</si>
  <si>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</si>
  <si>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</si>
  <si>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</si>
  <si>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</si>
  <si>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</si>
  <si>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</si>
  <si>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</si>
  <si>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</si>
  <si>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</si>
  <si>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</si>
  <si>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</si>
  <si>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</si>
  <si>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</si>
  <si>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</si>
  <si>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</si>
  <si>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</si>
  <si>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</si>
  <si>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</si>
  <si>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</si>
  <si>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</si>
  <si>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</si>
  <si>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</si>
  <si>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</si>
  <si>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</si>
  <si>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</si>
  <si>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</si>
  <si>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</si>
  <si>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</si>
  <si>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</si>
  <si>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</si>
  <si>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</si>
  <si>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</si>
  <si>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</si>
  <si>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</si>
  <si>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</si>
  <si>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</si>
  <si>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</si>
  <si>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</si>
  <si>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</si>
  <si>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</si>
  <si>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</si>
  <si>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</si>
  <si>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</si>
  <si>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</si>
  <si>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</si>
  <si>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</si>
  <si>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</si>
  <si>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</si>
  <si>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</si>
  <si>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</si>
  <si>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</si>
  <si>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</si>
  <si>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</si>
  <si>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</si>
  <si>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</si>
  <si>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</si>
  <si>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</si>
  <si>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</si>
  <si>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</si>
  <si>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</si>
  <si>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</si>
  <si>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</si>
  <si>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</si>
  <si>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</si>
  <si>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</si>
  <si>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</si>
  <si>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</si>
  <si>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</si>
  <si>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</si>
  <si>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</si>
  <si>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</si>
  <si>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</si>
  <si>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</si>
  <si>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</si>
  <si>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</si>
  <si>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</si>
  <si>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</si>
  <si>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</si>
  <si>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</si>
  <si>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</si>
  <si>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</si>
  <si>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</si>
  <si>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</si>
  <si>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</si>
  <si>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</si>
  <si>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</si>
  <si>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</si>
  <si>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</si>
  <si>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</si>
  <si>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</si>
  <si>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</si>
  <si>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</si>
  <si>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</si>
  <si>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</si>
  <si>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</si>
  <si>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</si>
  <si>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</si>
  <si>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</si>
  <si>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</si>
  <si>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</si>
  <si>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</si>
  <si>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</si>
  <si>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</si>
  <si>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</si>
  <si>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</si>
  <si>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</si>
  <si>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</si>
  <si>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</si>
  <si>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</si>
  <si>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</si>
  <si>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</si>
  <si>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</si>
  <si>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</si>
  <si>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</si>
  <si>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</si>
  <si>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</si>
  <si>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</si>
  <si>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</si>
  <si>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</si>
  <si>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</si>
  <si>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</si>
  <si>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</si>
  <si>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</si>
  <si>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</si>
  <si>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</si>
  <si>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</si>
  <si>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</si>
  <si>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</si>
  <si>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</si>
  <si>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</si>
  <si>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</si>
  <si>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</si>
  <si>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</si>
  <si>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</si>
  <si>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</si>
  <si>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</si>
  <si>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</si>
  <si>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</si>
  <si>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</si>
  <si>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</si>
  <si>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</si>
  <si>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</si>
  <si>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</si>
  <si>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</si>
  <si>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</si>
  <si>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</si>
  <si>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</si>
  <si>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</si>
  <si>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</si>
  <si>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</si>
  <si>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</si>
  <si>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</si>
  <si>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</si>
  <si>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</si>
  <si>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</si>
  <si>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</si>
  <si>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</si>
  <si>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</si>
  <si>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</si>
  <si>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</si>
  <si>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</si>
  <si>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</si>
  <si>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</si>
  <si>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</si>
  <si>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</si>
  <si>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</si>
  <si>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</si>
  <si>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</si>
  <si>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</si>
  <si>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</si>
  <si>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</si>
  <si>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</si>
  <si>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</si>
  <si>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</si>
  <si>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</si>
  <si>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</si>
  <si>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</si>
  <si>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</si>
  <si>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</si>
  <si>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</si>
  <si>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</si>
  <si>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</si>
  <si>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</si>
  <si>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</si>
  <si>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</si>
  <si>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</si>
  <si>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</si>
  <si>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</si>
  <si>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</si>
  <si>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</si>
  <si>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</si>
  <si>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</si>
  <si>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</si>
  <si>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</si>
  <si>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</si>
  <si>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</si>
  <si>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</si>
  <si>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</si>
  <si>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</si>
  <si>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</si>
  <si>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</si>
  <si>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</si>
  <si>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</si>
  <si>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</si>
  <si>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</si>
  <si>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</si>
  <si>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</si>
  <si>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</si>
  <si>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</si>
  <si>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</si>
  <si>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</si>
  <si>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</si>
  <si>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</si>
  <si>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</si>
  <si>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</si>
  <si>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</si>
  <si>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</si>
  <si>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</si>
  <si>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</si>
  <si>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</si>
  <si>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</si>
  <si>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</si>
  <si>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</si>
  <si>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</si>
  <si>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</si>
  <si>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</si>
  <si>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</si>
  <si>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</si>
  <si>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</si>
  <si>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</si>
  <si>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</si>
  <si>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</si>
  <si>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</si>
  <si>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</si>
  <si>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</si>
  <si>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</si>
  <si>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</si>
  <si>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</si>
  <si>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</si>
  <si>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</si>
  <si>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</si>
  <si>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</si>
  <si>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</si>
  <si>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</si>
  <si>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</si>
  <si>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</si>
  <si>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</si>
  <si>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</si>
  <si>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</si>
  <si>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</si>
  <si>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</si>
  <si>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</si>
  <si>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</si>
  <si>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</si>
  <si>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</si>
  <si>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</si>
  <si>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</si>
  <si>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</si>
  <si>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</si>
  <si>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</si>
  <si>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</si>
  <si>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</si>
  <si>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</si>
  <si>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</si>
  <si>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</si>
  <si>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</si>
  <si>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</si>
  <si>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</si>
  <si>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</si>
  <si>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</si>
  <si>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</si>
  <si>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</si>
  <si>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</si>
  <si>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</si>
  <si>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</si>
  <si>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</si>
  <si>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</si>
  <si>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</si>
  <si>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</si>
  <si>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</si>
  <si>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</si>
  <si>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</si>
  <si>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</si>
  <si>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</si>
  <si>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</si>
  <si>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</si>
  <si>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</si>
  <si>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</si>
  <si>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</si>
  <si>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</si>
  <si>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</si>
  <si>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</si>
  <si>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</si>
  <si>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</si>
  <si>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</si>
  <si>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</si>
  <si>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</si>
  <si>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</si>
  <si>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</si>
  <si>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</si>
  <si>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</si>
  <si>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</si>
  <si>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</si>
  <si>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</si>
  <si>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</si>
  <si>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</si>
  <si>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</si>
  <si>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</si>
  <si>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</si>
  <si>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</si>
  <si>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</si>
  <si>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</si>
  <si>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</si>
  <si>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</si>
  <si>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</si>
  <si>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</si>
  <si>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</si>
  <si>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</si>
  <si>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</si>
  <si>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</si>
  <si>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</si>
  <si>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</si>
  <si>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</si>
  <si>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</si>
  <si>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</si>
  <si>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</si>
  <si>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</si>
  <si>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</si>
  <si>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</si>
  <si>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</si>
  <si>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</si>
  <si>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</si>
  <si>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</si>
  <si>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</si>
  <si>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</si>
  <si>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</si>
  <si>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</si>
  <si>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</si>
  <si>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</si>
  <si>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</si>
  <si>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</si>
  <si>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</si>
  <si>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</si>
  <si>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</si>
  <si>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</si>
  <si>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</si>
  <si>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</si>
  <si>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</si>
  <si>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</si>
  <si>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</si>
  <si>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</si>
  <si>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</si>
  <si>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</si>
  <si>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</si>
  <si>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</si>
  <si>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</si>
  <si>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</si>
  <si>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</si>
  <si>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</si>
  <si>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</si>
  <si>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</si>
  <si>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</si>
  <si>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</si>
  <si>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</si>
  <si>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</si>
  <si>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</si>
  <si>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</si>
  <si>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</si>
  <si>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</si>
  <si>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</si>
  <si>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</si>
  <si>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</si>
  <si>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</si>
  <si>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</si>
  <si>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</si>
  <si>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</si>
  <si>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</si>
  <si>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</si>
  <si>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</si>
  <si>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</si>
  <si>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</si>
  <si>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</si>
  <si>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</si>
  <si>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</si>
  <si>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</si>
  <si>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</si>
  <si>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</si>
  <si>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</si>
  <si>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</si>
  <si>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</si>
  <si>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</si>
  <si>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</si>
  <si>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</si>
  <si>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</si>
  <si>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</si>
  <si>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</si>
  <si>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</si>
  <si>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</si>
  <si>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</si>
  <si>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</si>
  <si>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</si>
  <si>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</si>
  <si>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</si>
  <si>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</si>
  <si>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</si>
  <si>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</si>
  <si>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</si>
  <si>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</si>
  <si>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</si>
  <si>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</si>
  <si>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</si>
  <si>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</si>
  <si>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</si>
  <si>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</si>
  <si>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</si>
  <si>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</si>
  <si>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</si>
  <si>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</si>
  <si>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</si>
  <si>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</si>
  <si>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</si>
  <si>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</si>
  <si>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</si>
  <si>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</si>
  <si>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</si>
  <si>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</si>
  <si>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</si>
  <si>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</si>
  <si>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</si>
  <si>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</si>
  <si>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</si>
  <si>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</si>
  <si>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</si>
  <si>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</si>
  <si>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</si>
  <si>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</si>
  <si>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</si>
  <si>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</si>
  <si>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</si>
  <si>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</si>
  <si>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</si>
  <si>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</si>
  <si>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</si>
  <si>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</si>
  <si>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</si>
  <si>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</si>
  <si>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</si>
  <si>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</si>
  <si>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</si>
  <si>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</si>
  <si>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</si>
  <si>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</si>
  <si>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</si>
  <si>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</si>
  <si>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</si>
  <si>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</si>
  <si>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</si>
  <si>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</si>
  <si>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</si>
  <si>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</si>
  <si>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</si>
  <si>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</si>
  <si>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</si>
  <si>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</si>
  <si>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</si>
  <si>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</si>
  <si>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</si>
  <si>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</si>
  <si>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</si>
  <si>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</si>
  <si>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</si>
  <si>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</si>
  <si>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</si>
  <si>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</si>
  <si>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</si>
  <si>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</si>
  <si>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</si>
  <si>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</si>
  <si>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</si>
  <si>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</si>
  <si>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</si>
  <si>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</si>
  <si>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</si>
  <si>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</si>
  <si>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</si>
  <si>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</si>
  <si>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</si>
  <si>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</si>
  <si>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</si>
  <si>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</si>
  <si>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</si>
  <si>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</si>
  <si>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</si>
  <si>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</si>
  <si>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</si>
  <si>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</si>
  <si>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</si>
  <si>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</si>
  <si>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</si>
  <si>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</si>
  <si>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</si>
  <si>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</si>
  <si>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</si>
  <si>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</si>
  <si>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</si>
  <si>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</si>
  <si>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</si>
  <si>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</si>
  <si>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</si>
  <si>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</si>
  <si>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</si>
  <si>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</si>
  <si>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</si>
  <si>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</si>
  <si>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</si>
  <si>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</si>
  <si>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</si>
  <si>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</si>
  <si>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</si>
  <si>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</si>
  <si>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</si>
  <si>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</si>
  <si>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</si>
  <si>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</si>
  <si>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</si>
  <si>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</si>
  <si>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</si>
  <si>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</si>
  <si>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</si>
  <si>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</si>
  <si>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</si>
  <si>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</si>
  <si>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</si>
  <si>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</si>
  <si>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</si>
  <si>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</si>
  <si>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</si>
  <si>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</si>
  <si>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</si>
  <si>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</si>
  <si>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</si>
  <si>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</si>
  <si>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</si>
  <si>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</si>
  <si>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</si>
  <si>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</si>
  <si>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</si>
  <si>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</si>
  <si>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</si>
  <si>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</si>
  <si>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</si>
  <si>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</si>
  <si>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</si>
  <si>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</si>
  <si>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</si>
  <si>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</si>
  <si>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</si>
  <si>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</si>
  <si>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</si>
  <si>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</si>
  <si>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</si>
  <si>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</si>
  <si>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</si>
  <si>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</si>
  <si>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</si>
  <si>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</si>
  <si>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</si>
  <si>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</si>
  <si>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</si>
  <si>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</si>
  <si>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</si>
  <si>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</si>
  <si>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</si>
  <si>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</si>
  <si>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</si>
  <si>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</si>
  <si>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</si>
  <si>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</si>
  <si>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</si>
  <si>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</si>
  <si>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</si>
  <si>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</si>
  <si>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</si>
  <si>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</si>
  <si>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</si>
  <si>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</si>
  <si>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</si>
  <si>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</si>
  <si>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</si>
  <si>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</si>
  <si>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</si>
  <si>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</si>
  <si>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</si>
  <si>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</si>
  <si>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</si>
  <si>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</si>
  <si>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</si>
  <si>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</si>
  <si>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</si>
  <si>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</si>
  <si>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</si>
  <si>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</si>
  <si>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</si>
  <si>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</si>
  <si>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</si>
  <si>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</si>
  <si>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</si>
  <si>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</si>
  <si>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</si>
  <si>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</si>
  <si>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</si>
  <si>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</si>
  <si>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</si>
  <si>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</si>
  <si>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</si>
  <si>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</si>
  <si>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</si>
  <si>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</si>
  <si>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</si>
  <si>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</si>
  <si>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</si>
  <si>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</si>
  <si>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</si>
  <si>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</si>
  <si>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</si>
  <si>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</si>
  <si>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</si>
  <si>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</si>
  <si>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</si>
  <si>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</si>
  <si>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</si>
  <si>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</si>
  <si>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</si>
  <si>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</si>
  <si>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</si>
  <si>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</si>
  <si>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</si>
  <si>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</si>
  <si>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</si>
  <si>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</si>
  <si>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</si>
  <si>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</si>
  <si>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</si>
  <si>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</si>
  <si>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</si>
  <si>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</si>
  <si>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</si>
  <si>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</si>
  <si>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</si>
  <si>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</si>
  <si>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</si>
  <si>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</si>
  <si>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</si>
  <si>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</si>
  <si>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</si>
  <si>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</si>
  <si>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</si>
  <si>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</si>
  <si>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</si>
  <si>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</si>
  <si>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</si>
  <si>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</si>
  <si>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</si>
  <si>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</si>
  <si>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</si>
  <si>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</si>
  <si>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</si>
  <si>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</si>
  <si>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</si>
  <si>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</si>
  <si>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</si>
  <si>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</si>
  <si>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</si>
  <si>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</si>
  <si>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</si>
  <si>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</si>
  <si>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</si>
  <si>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</si>
  <si>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</si>
  <si>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</si>
  <si>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</si>
  <si>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</si>
  <si>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</si>
  <si>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</si>
  <si>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</si>
  <si>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</si>
  <si>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</si>
  <si>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</si>
  <si>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</si>
  <si>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</si>
  <si>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</si>
  <si>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</si>
  <si>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</si>
  <si>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</si>
  <si>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</si>
  <si>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</si>
  <si>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</si>
  <si>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</si>
  <si>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</si>
  <si>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</si>
  <si>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</si>
  <si>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</si>
  <si>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</si>
  <si>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</si>
  <si>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</si>
  <si>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</si>
  <si>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</si>
  <si>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</si>
  <si>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</si>
  <si>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</si>
  <si>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</si>
  <si>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</si>
  <si>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</si>
  <si>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</si>
  <si>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</si>
  <si>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</si>
  <si>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</si>
  <si>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</si>
  <si>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</si>
  <si>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</si>
  <si>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</si>
  <si>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</si>
  <si>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</si>
  <si>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</si>
  <si>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</si>
  <si>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</si>
  <si>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</si>
  <si>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</si>
  <si>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</si>
  <si>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</si>
  <si>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</si>
  <si>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</si>
  <si>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</si>
  <si>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</si>
  <si>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</si>
  <si>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</si>
  <si>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</si>
  <si>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</si>
  <si>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</si>
  <si>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</si>
  <si>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</si>
  <si>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</si>
  <si>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</si>
  <si>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</si>
  <si>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</si>
  <si>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</si>
  <si>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</si>
  <si>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</si>
  <si>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</si>
  <si>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</si>
  <si>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</si>
  <si>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</si>
  <si>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</si>
  <si>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</si>
  <si>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</si>
  <si>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</si>
  <si>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</si>
  <si>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</si>
  <si>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</si>
  <si>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</si>
  <si>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</si>
  <si>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</si>
  <si>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</si>
  <si>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</si>
  <si>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</si>
  <si>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</si>
  <si>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</si>
  <si>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</si>
  <si>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</si>
  <si>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</si>
  <si>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</si>
  <si>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</si>
  <si>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</si>
  <si>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</si>
  <si>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</si>
  <si>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</si>
  <si>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</si>
  <si>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</si>
  <si>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</si>
  <si>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</si>
  <si>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</si>
  <si>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</si>
  <si>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</si>
  <si>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</si>
  <si>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</si>
  <si>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</si>
  <si>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</si>
  <si>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</si>
  <si>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</si>
  <si>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</si>
  <si>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</si>
  <si>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</si>
  <si>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</si>
  <si>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</si>
  <si>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</si>
  <si>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</si>
  <si>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</si>
  <si>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</si>
  <si>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</si>
  <si>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</si>
  <si>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</si>
  <si>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</si>
  <si>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</si>
  <si>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</si>
  <si>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</si>
  <si>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</si>
  <si>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</si>
  <si>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</si>
  <si>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</si>
  <si>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</si>
  <si>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</si>
  <si>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</si>
  <si>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</si>
  <si>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</si>
  <si>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</si>
  <si>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</si>
  <si>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</si>
  <si>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</si>
  <si>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</si>
  <si>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</si>
  <si>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</si>
  <si>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</si>
  <si>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</si>
  <si>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</si>
  <si>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</si>
  <si>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</si>
  <si>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</si>
  <si>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</si>
  <si>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</si>
  <si>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</si>
  <si>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</si>
  <si>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</si>
  <si>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</si>
  <si>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</si>
  <si>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</si>
  <si>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</si>
  <si>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</si>
  <si>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</si>
  <si>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</si>
  <si>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</si>
  <si>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</si>
  <si>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</si>
  <si>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</si>
  <si>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</si>
  <si>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</si>
  <si>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</si>
  <si>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</si>
  <si>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</si>
  <si>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</si>
  <si>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</si>
  <si>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</si>
  <si>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</si>
  <si>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</si>
  <si>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</si>
  <si>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</si>
  <si>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</si>
  <si>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</si>
  <si>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</si>
  <si>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</si>
  <si>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</si>
  <si>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</si>
  <si>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</si>
  <si>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</si>
  <si>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</si>
  <si>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</si>
  <si>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</si>
  <si>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</si>
  <si>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</si>
  <si>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</si>
  <si>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</si>
  <si>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</si>
  <si>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</si>
  <si>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</si>
  <si>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</si>
  <si>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</si>
  <si>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</si>
  <si>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</si>
  <si>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</si>
  <si>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</si>
  <si>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</si>
  <si>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</si>
  <si>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</si>
  <si>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</si>
  <si>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</si>
  <si>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</si>
  <si>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</si>
  <si>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</si>
  <si>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</si>
  <si>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</si>
  <si>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</si>
  <si>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</si>
  <si>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</si>
  <si>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</si>
  <si>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</si>
  <si>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</si>
  <si>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</si>
  <si>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</si>
  <si>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</si>
  <si>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</si>
  <si>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</si>
  <si>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</si>
  <si>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</si>
  <si>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</si>
  <si>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</si>
  <si>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</si>
  <si>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</si>
  <si>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</si>
  <si>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</si>
  <si>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</si>
  <si>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</si>
  <si>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</si>
  <si>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</si>
  <si>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</si>
  <si>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</si>
  <si>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</si>
  <si>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</si>
  <si>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</si>
  <si>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</si>
  <si>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</si>
  <si>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</si>
  <si>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</si>
  <si>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</si>
  <si>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</si>
  <si>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</si>
  <si>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</si>
  <si>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</si>
  <si>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</si>
  <si>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</si>
  <si>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</si>
  <si>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</si>
  <si>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</si>
  <si>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</si>
  <si>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</si>
  <si>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</si>
  <si>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</si>
  <si>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</si>
  <si>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</si>
  <si>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</si>
  <si>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</si>
  <si>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</si>
  <si>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</si>
  <si>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</si>
  <si>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</si>
  <si>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</si>
  <si>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</si>
  <si>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</si>
  <si>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</si>
  <si>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</si>
  <si>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</si>
  <si>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</si>
  <si>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</si>
  <si>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</si>
  <si>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</si>
  <si>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</si>
  <si>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</si>
  <si>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</si>
  <si>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</si>
  <si>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</si>
  <si>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</si>
  <si>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</si>
  <si>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</si>
  <si>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</si>
  <si>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</si>
  <si>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</si>
  <si>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</si>
  <si>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</si>
  <si>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</si>
  <si>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</si>
  <si>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</si>
  <si>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</si>
  <si>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</si>
  <si>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</si>
  <si>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</si>
  <si>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</si>
  <si>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</si>
  <si>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</si>
  <si>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</si>
  <si>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</si>
  <si>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</si>
  <si>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</si>
  <si>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</si>
  <si>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</si>
  <si>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</si>
  <si>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</si>
  <si>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</si>
  <si>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</si>
  <si>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</si>
  <si>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</si>
  <si>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</si>
  <si>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</si>
  <si>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</si>
  <si>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</si>
  <si>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</si>
  <si>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</si>
  <si>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</si>
  <si>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</si>
  <si>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</si>
  <si>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</si>
  <si>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</si>
  <si>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</si>
  <si>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</si>
  <si>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</si>
  <si>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</si>
  <si>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</si>
  <si>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</si>
  <si>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</si>
  <si>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</si>
  <si>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</si>
  <si>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</si>
  <si>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</si>
  <si>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</si>
  <si>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</si>
  <si>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</si>
  <si>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</si>
  <si>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</si>
  <si>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</si>
  <si>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</si>
  <si>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</si>
  <si>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</si>
  <si>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</si>
  <si>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</si>
  <si>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</si>
  <si>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</si>
  <si>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</si>
  <si>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</si>
  <si>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</si>
  <si>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</si>
  <si>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</si>
  <si>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</si>
  <si>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</si>
  <si>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</si>
  <si>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</si>
  <si>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</si>
  <si>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</si>
  <si>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</si>
  <si>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</si>
  <si>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</si>
  <si>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</si>
  <si>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</si>
  <si>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</si>
  <si>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</si>
  <si>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</si>
  <si>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</si>
  <si>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</si>
  <si>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</si>
  <si>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</si>
  <si>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</si>
  <si>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</si>
  <si>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</si>
  <si>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</si>
  <si>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</si>
  <si>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</si>
  <si>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</si>
  <si>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</si>
  <si>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</si>
  <si>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</si>
  <si>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</si>
  <si>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</si>
  <si>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</si>
  <si>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</si>
  <si>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</si>
  <si>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</si>
  <si>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</si>
  <si>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</si>
  <si>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</si>
  <si>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</si>
  <si>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</si>
  <si>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</si>
  <si>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</si>
  <si>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</si>
  <si>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</si>
  <si>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</si>
  <si>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</si>
  <si>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</si>
  <si>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</si>
  <si>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</si>
  <si>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</si>
  <si>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</si>
  <si>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</si>
  <si>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</si>
  <si>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</si>
  <si>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</si>
  <si>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</si>
  <si>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</si>
  <si>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</si>
  <si>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</si>
  <si>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</si>
  <si>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</si>
  <si>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</si>
  <si>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</si>
  <si>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</si>
  <si>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</si>
  <si>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</si>
  <si>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</si>
  <si>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</si>
  <si>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</si>
  <si>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</si>
  <si>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</si>
  <si>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</si>
  <si>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</si>
  <si>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</si>
  <si>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</si>
  <si>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</si>
  <si>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</si>
  <si>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</si>
  <si>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</si>
  <si>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</si>
  <si>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</si>
  <si>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</si>
  <si>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</si>
  <si>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</si>
  <si>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</si>
  <si>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</si>
  <si>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</si>
  <si>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</si>
  <si>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</si>
  <si>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</si>
  <si>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</si>
  <si>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</si>
  <si>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</si>
  <si>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</si>
  <si>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</si>
  <si>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</si>
  <si>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</si>
  <si>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</si>
  <si>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</si>
  <si>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</si>
  <si>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</si>
  <si>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</si>
  <si>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</si>
  <si>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</si>
  <si>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</si>
  <si>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</si>
  <si>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</si>
  <si>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</si>
  <si>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</si>
  <si>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</si>
  <si>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</si>
  <si>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</si>
  <si>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</si>
  <si>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</si>
  <si>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</si>
  <si>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</si>
  <si>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</si>
  <si>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</si>
  <si>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</si>
  <si>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</si>
  <si>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</si>
  <si>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</si>
  <si>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</si>
  <si>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</si>
  <si>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</si>
  <si>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</si>
  <si>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</si>
  <si>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</si>
  <si>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</si>
  <si>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</si>
  <si>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</si>
  <si>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</si>
  <si>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</si>
  <si>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</si>
  <si>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</si>
  <si>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</si>
  <si>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</si>
  <si>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</si>
  <si>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</si>
  <si>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</si>
  <si>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</si>
  <si>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</si>
  <si>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</si>
  <si>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</si>
  <si>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</si>
  <si>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</si>
  <si>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</si>
  <si>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</si>
  <si>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</si>
  <si>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</si>
  <si>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</si>
  <si>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</si>
  <si>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</si>
  <si>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</si>
  <si>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</si>
  <si>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</si>
  <si>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</si>
  <si>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</si>
  <si>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</si>
  <si>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</si>
  <si>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</si>
  <si>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</si>
  <si>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</si>
  <si>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</si>
  <si>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</si>
  <si>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</si>
  <si>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</si>
  <si>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</si>
  <si>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</si>
  <si>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</si>
  <si>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</si>
  <si>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</si>
  <si>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</si>
  <si>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</si>
  <si>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</si>
  <si>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</si>
  <si>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</si>
  <si>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</si>
  <si>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</si>
  <si>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</si>
  <si>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</si>
  <si>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</si>
  <si>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</si>
  <si>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</si>
  <si>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</si>
  <si>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</si>
  <si>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</si>
  <si>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</si>
  <si>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</si>
  <si>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</si>
  <si>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</si>
  <si>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</si>
  <si>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</si>
  <si>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</si>
  <si>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</si>
  <si>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</si>
  <si>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</si>
  <si>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</si>
  <si>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</si>
  <si>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</si>
  <si>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</si>
  <si>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</si>
  <si>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</si>
  <si>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</si>
  <si>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</si>
  <si>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</si>
  <si>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</si>
  <si>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</si>
  <si>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</si>
  <si>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</si>
  <si>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</si>
  <si>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</si>
  <si>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</si>
  <si>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</si>
  <si>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</si>
  <si>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</si>
  <si>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</si>
  <si>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</si>
  <si>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</si>
  <si>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</si>
  <si>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</si>
  <si>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</si>
  <si>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</si>
  <si>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</si>
  <si>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</si>
  <si>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</si>
  <si>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</si>
  <si>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</si>
  <si>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</si>
  <si>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</si>
  <si>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</si>
  <si>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</si>
  <si>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</si>
  <si>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</si>
  <si>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</si>
  <si>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</si>
  <si>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</si>
  <si>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</si>
  <si>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</si>
  <si>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</si>
  <si>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</si>
  <si>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</si>
  <si>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</si>
  <si>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</si>
  <si>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</si>
  <si>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</si>
  <si>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</si>
  <si>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</si>
  <si>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</si>
  <si>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</si>
  <si>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</si>
  <si>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</si>
  <si>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</si>
  <si>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</si>
  <si>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</si>
  <si>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</si>
  <si>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</si>
  <si>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</si>
  <si>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</si>
  <si>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</si>
  <si>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</si>
  <si>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</si>
  <si>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</si>
  <si>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</si>
  <si>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</si>
  <si>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</si>
  <si>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</si>
  <si>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</si>
  <si>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</si>
  <si>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</si>
  <si>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</si>
  <si>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</si>
  <si>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</si>
  <si>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</si>
  <si>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</si>
  <si>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</si>
  <si>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</si>
  <si>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</si>
  <si>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</si>
  <si>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</si>
  <si>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</si>
  <si>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</si>
  <si>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</si>
  <si>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</si>
  <si>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</si>
  <si>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</si>
  <si>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</si>
  <si>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</si>
  <si>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</si>
  <si>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</si>
  <si>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</si>
  <si>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</si>
  <si>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</si>
  <si>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</si>
  <si>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</si>
  <si>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</si>
  <si>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</si>
  <si>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</si>
  <si>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</si>
  <si>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</si>
  <si>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</si>
  <si>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</si>
  <si>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</si>
  <si>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</si>
  <si>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</si>
  <si>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</si>
  <si>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</si>
  <si>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</si>
  <si>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</si>
  <si>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</si>
  <si>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</si>
  <si>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</si>
  <si>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</si>
  <si>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</si>
  <si>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</si>
  <si>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</si>
  <si>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</si>
  <si>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</si>
  <si>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</si>
  <si>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</si>
  <si>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</si>
  <si>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</si>
  <si>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</si>
  <si>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</si>
  <si>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</si>
  <si>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</si>
  <si>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</si>
  <si>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</si>
  <si>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</si>
  <si>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</si>
  <si>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</si>
  <si>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</si>
  <si>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</si>
  <si>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</si>
  <si>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</si>
  <si>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</si>
  <si>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</si>
  <si>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</si>
  <si>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</si>
  <si>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</si>
  <si>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</si>
  <si>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</si>
  <si>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</si>
  <si>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</si>
  <si>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</si>
  <si>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</si>
  <si>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</si>
  <si>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</si>
  <si>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</si>
  <si>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</si>
  <si>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</si>
  <si>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</si>
  <si>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</si>
  <si>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</si>
  <si>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</si>
  <si>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</si>
  <si>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</si>
  <si>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</si>
  <si>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</si>
  <si>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</si>
  <si>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</si>
  <si>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</si>
  <si>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</si>
  <si>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</si>
  <si>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</si>
  <si>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</si>
  <si>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</si>
  <si>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</si>
  <si>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</si>
  <si>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</si>
  <si>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</si>
  <si>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</si>
  <si>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</si>
  <si>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</si>
  <si>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</si>
  <si>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</si>
  <si>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</si>
  <si>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</si>
  <si>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</si>
  <si>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</si>
  <si>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</si>
  <si>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</si>
  <si>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</si>
  <si>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</si>
  <si>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</si>
  <si>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</si>
  <si>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</si>
  <si>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</si>
  <si>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</si>
  <si>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</si>
  <si>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</si>
  <si>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</si>
  <si>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</si>
  <si>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</si>
  <si>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</si>
  <si>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</si>
  <si>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</si>
  <si>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</si>
  <si>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</si>
  <si>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</si>
  <si>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</si>
  <si>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</si>
  <si>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</si>
  <si>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</si>
  <si>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</si>
  <si>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</si>
  <si>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</si>
  <si>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</si>
  <si>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</si>
  <si>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</si>
  <si>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</si>
  <si>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</si>
  <si>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</si>
  <si>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</si>
  <si>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</si>
  <si>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</si>
  <si>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</si>
  <si>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</si>
  <si>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</si>
  <si>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</si>
  <si>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</si>
  <si>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</si>
  <si>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</si>
  <si>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</si>
  <si>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</si>
  <si>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</si>
  <si>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</si>
  <si>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</si>
  <si>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</si>
  <si>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</si>
  <si>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</si>
  <si>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</si>
  <si>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</si>
  <si>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</si>
  <si>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</si>
  <si>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</si>
  <si>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</si>
  <si>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</si>
  <si>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</si>
  <si>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</si>
  <si>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</si>
  <si>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</si>
  <si>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</si>
  <si>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</si>
  <si>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</si>
  <si>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</si>
  <si>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</si>
  <si>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</si>
  <si>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</si>
  <si>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</si>
  <si>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</si>
  <si>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</si>
  <si>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</si>
  <si>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</si>
  <si>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</si>
  <si>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</si>
  <si>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</si>
  <si>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</si>
  <si>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</si>
  <si>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</si>
  <si>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</si>
  <si>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</si>
  <si>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</si>
  <si>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</si>
  <si>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</si>
  <si>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</si>
  <si>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</si>
  <si>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</si>
  <si>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</si>
  <si>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</si>
  <si>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</si>
  <si>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</si>
  <si>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</si>
  <si>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</si>
  <si>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</si>
  <si>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</si>
  <si>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</si>
  <si>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</si>
  <si>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</si>
  <si>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</si>
  <si>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</si>
  <si>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</si>
  <si>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</si>
  <si>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</si>
  <si>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</si>
  <si>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</si>
  <si>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</si>
  <si>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</si>
  <si>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</si>
  <si>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</si>
  <si>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</si>
  <si>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</si>
  <si>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</si>
  <si>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</si>
  <si>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</si>
  <si>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</si>
  <si>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</si>
  <si>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</si>
  <si>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</si>
  <si>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</si>
  <si>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</si>
  <si>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</si>
  <si>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</si>
  <si>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</si>
  <si>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</si>
  <si>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</si>
  <si>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</si>
  <si>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</si>
  <si>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</si>
  <si>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</si>
  <si>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</si>
  <si>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</si>
  <si>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</si>
  <si>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</si>
  <si>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</si>
  <si>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</si>
  <si>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</si>
  <si>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</si>
  <si>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</si>
  <si>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</si>
  <si>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</si>
  <si>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</si>
  <si>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</si>
  <si>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</si>
  <si>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</si>
  <si>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</si>
  <si>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</si>
  <si>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</si>
  <si>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</si>
  <si>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</si>
  <si>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</si>
  <si>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</si>
  <si>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</si>
  <si>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</si>
  <si>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</si>
  <si>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</si>
  <si>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</si>
  <si>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</si>
  <si>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</si>
  <si>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</si>
  <si>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</si>
  <si>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</si>
  <si>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</si>
  <si>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</si>
  <si>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</si>
  <si>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</si>
  <si>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</si>
  <si>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</si>
  <si>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</si>
  <si>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</si>
  <si>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</si>
  <si>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</si>
  <si>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</si>
  <si>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</si>
  <si>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</si>
  <si>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</si>
  <si>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</si>
  <si>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</si>
  <si>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</si>
  <si>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</si>
  <si>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</si>
  <si>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</si>
  <si>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</si>
  <si>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</si>
  <si>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</si>
  <si>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</si>
  <si>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</si>
  <si>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</si>
  <si>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</si>
  <si>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</si>
  <si>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</si>
  <si>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</si>
  <si>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</si>
  <si>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</si>
  <si>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</si>
  <si>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</si>
  <si>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</si>
  <si>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</si>
  <si>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</si>
  <si>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</si>
  <si>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</si>
  <si>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</si>
  <si>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</si>
  <si>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</si>
  <si>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</si>
  <si>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</si>
  <si>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</si>
  <si>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</si>
  <si>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</si>
  <si>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</si>
  <si>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</si>
  <si>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</si>
  <si>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</si>
  <si>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</si>
  <si>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</si>
  <si>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</si>
  <si>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</si>
  <si>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</si>
  <si>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</si>
  <si>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</si>
  <si>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</si>
  <si>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</si>
  <si>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</si>
  <si>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</si>
  <si>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</si>
  <si>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</si>
  <si>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</si>
  <si>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</si>
  <si>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</si>
  <si>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</si>
  <si>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</si>
  <si>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</si>
  <si>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</si>
  <si>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</si>
  <si>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</si>
  <si>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</si>
  <si>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</si>
  <si>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</si>
  <si>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</si>
  <si>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</si>
  <si>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</si>
  <si>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</si>
  <si>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</si>
  <si>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</si>
  <si>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</si>
  <si>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</si>
  <si>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</si>
  <si>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</si>
  <si>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</si>
  <si>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</si>
  <si>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</si>
  <si>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</si>
  <si>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</si>
  <si>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</si>
  <si>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</si>
  <si>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</si>
  <si>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</si>
  <si>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</si>
  <si>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</si>
  <si>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</si>
  <si>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</si>
  <si>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</si>
  <si>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</si>
  <si>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</si>
  <si>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</si>
  <si>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</si>
  <si>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</si>
  <si>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</si>
  <si>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</si>
  <si>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</si>
  <si>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</si>
  <si>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</si>
  <si>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</si>
  <si>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</si>
  <si>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</si>
  <si>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</si>
  <si>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</si>
  <si>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</si>
  <si>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</si>
  <si>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</si>
  <si>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</si>
  <si>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</si>
  <si>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</si>
  <si>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</si>
  <si>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</si>
  <si>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</si>
  <si>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</si>
  <si>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</si>
  <si>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</si>
  <si>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</si>
  <si>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</si>
  <si>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</si>
  <si>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</si>
  <si>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</si>
  <si>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</si>
  <si>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</si>
  <si>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</si>
  <si>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</si>
  <si>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</si>
  <si>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</si>
  <si>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</si>
  <si>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</si>
  <si>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</si>
  <si>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</si>
  <si>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</si>
  <si>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</si>
  <si>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</si>
  <si>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</si>
  <si>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</si>
  <si>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</si>
  <si>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</si>
  <si>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</si>
  <si>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</si>
  <si>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</si>
  <si>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</si>
  <si>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</si>
  <si>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</si>
  <si>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</si>
  <si>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</si>
  <si>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</si>
  <si>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</si>
  <si>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</si>
  <si>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</si>
  <si>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</si>
  <si>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</si>
  <si>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</si>
  <si>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</si>
  <si>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</si>
  <si>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</si>
  <si>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</si>
  <si>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</si>
  <si>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</si>
  <si>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</si>
  <si>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</si>
  <si>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</si>
  <si>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</si>
  <si>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</si>
  <si>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</si>
  <si>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</si>
  <si>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</si>
  <si>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</si>
  <si>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</si>
  <si>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</si>
  <si>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</si>
  <si>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</si>
  <si>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</si>
  <si>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</si>
  <si>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</si>
  <si>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</si>
  <si>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</si>
  <si>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</si>
  <si>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</si>
  <si>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</si>
  <si>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</si>
  <si>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</si>
  <si>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</si>
  <si>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</si>
  <si>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</si>
  <si>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</si>
  <si>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</si>
  <si>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</si>
  <si>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</si>
  <si>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</si>
  <si>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</si>
  <si>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</si>
  <si>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</si>
  <si>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</si>
  <si>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</si>
  <si>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</si>
  <si>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</si>
  <si>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</si>
  <si>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</si>
  <si>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</si>
  <si>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</si>
  <si>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</si>
  <si>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</si>
  <si>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</si>
  <si>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</si>
  <si>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</si>
  <si>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</si>
  <si>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</si>
  <si>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</si>
  <si>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</si>
  <si>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</si>
  <si>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</si>
  <si>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</si>
  <si>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</si>
  <si>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</si>
  <si>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</si>
  <si>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</si>
  <si>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</si>
  <si>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</si>
  <si>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</si>
  <si>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</si>
  <si>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</si>
  <si>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</si>
  <si>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</si>
  <si>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</si>
  <si>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</si>
  <si>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</si>
  <si>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</si>
  <si>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</si>
  <si>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</si>
  <si>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</si>
  <si>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</si>
  <si>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</si>
  <si>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</si>
  <si>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</si>
  <si>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</si>
  <si>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</si>
  <si>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</si>
  <si>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</si>
  <si>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</si>
  <si>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</si>
  <si>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</si>
  <si>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</si>
  <si>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</si>
  <si>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</si>
  <si>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</si>
  <si>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</si>
  <si>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</si>
  <si>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</si>
  <si>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</si>
  <si>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</si>
  <si>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</si>
  <si>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</si>
  <si>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</si>
  <si>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</si>
  <si>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</si>
  <si>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</si>
  <si>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</si>
  <si>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</si>
  <si>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</si>
  <si>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</si>
  <si>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</si>
  <si>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</si>
  <si>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</si>
  <si>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</si>
  <si>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</si>
  <si>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</si>
  <si>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</si>
  <si>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</si>
  <si>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</si>
  <si>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</si>
  <si>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</si>
  <si>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</si>
  <si>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</si>
  <si>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</si>
  <si>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</si>
  <si>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</si>
  <si>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</si>
  <si>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</si>
  <si>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</si>
  <si>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</si>
  <si>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</si>
  <si>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</si>
  <si>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</si>
  <si>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</si>
  <si>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</si>
  <si>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</si>
  <si>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</si>
  <si>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</si>
  <si>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</si>
  <si>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</si>
  <si>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</si>
  <si>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</si>
  <si>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</si>
  <si>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</si>
  <si>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</si>
  <si>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</si>
  <si>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</si>
  <si>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</si>
  <si>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</si>
  <si>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</si>
  <si>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</si>
  <si>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</si>
  <si>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</si>
  <si>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</si>
  <si>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</si>
  <si>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</si>
  <si>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</si>
  <si>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</si>
  <si>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</si>
  <si>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</si>
  <si>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</si>
  <si>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</si>
  <si>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</si>
  <si>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</si>
  <si>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</si>
  <si>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</si>
  <si>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</si>
  <si>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</si>
  <si>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</si>
  <si>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</si>
  <si>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</si>
  <si>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</si>
  <si>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</si>
  <si>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</si>
  <si>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</si>
  <si>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</si>
  <si>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</si>
  <si>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</si>
  <si>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</si>
  <si>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</si>
  <si>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</si>
  <si>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</si>
  <si>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</si>
  <si>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</si>
  <si>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</si>
  <si>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</si>
  <si>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</si>
  <si>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</si>
  <si>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</si>
  <si>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</si>
  <si>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</si>
  <si>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</si>
  <si>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</si>
  <si>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</si>
  <si>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</si>
  <si>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</si>
  <si>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</si>
  <si>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</si>
  <si>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</si>
  <si>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</si>
  <si>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</si>
  <si>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</si>
  <si>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</si>
  <si>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</si>
  <si>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</si>
  <si>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</si>
  <si>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</si>
  <si>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</si>
  <si>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</si>
  <si>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</si>
  <si>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</si>
  <si>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</si>
  <si>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</si>
  <si>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</si>
  <si>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</si>
  <si>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</si>
  <si>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</si>
  <si>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</si>
  <si>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</si>
  <si>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</si>
  <si>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</si>
  <si>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</si>
  <si>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</si>
  <si>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</si>
  <si>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</si>
  <si>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</si>
  <si>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</si>
  <si>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</si>
  <si>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</si>
  <si>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</si>
  <si>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</si>
  <si>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</si>
  <si>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</si>
  <si>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</si>
  <si>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</si>
  <si>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</si>
  <si>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</si>
  <si>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</si>
  <si>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</si>
  <si>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</si>
  <si>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</si>
  <si>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</si>
  <si>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</si>
  <si>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</si>
  <si>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</si>
  <si>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</si>
  <si>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</si>
  <si>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</si>
  <si>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</si>
  <si>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</si>
  <si>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</si>
  <si>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</si>
  <si>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</si>
  <si>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</si>
  <si>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</si>
  <si>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</si>
  <si>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</si>
  <si>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</si>
  <si>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</si>
  <si>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</si>
  <si>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</si>
  <si>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</si>
  <si>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</si>
  <si>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</si>
  <si>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</si>
  <si>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</si>
  <si>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</si>
  <si>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</si>
  <si>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</si>
  <si>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</si>
  <si>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</si>
  <si>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</si>
  <si>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</si>
  <si>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</si>
  <si>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</si>
  <si>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</si>
  <si>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</si>
  <si>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</si>
  <si>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</si>
  <si>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</si>
  <si>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</si>
  <si>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</si>
  <si>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</si>
  <si>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</si>
  <si>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</si>
  <si>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</si>
  <si>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</si>
  <si>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</si>
  <si>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</si>
  <si>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</si>
  <si>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</si>
  <si>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</si>
  <si>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</si>
  <si>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</si>
  <si>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</si>
  <si>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</si>
  <si>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</si>
  <si>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</si>
  <si>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</si>
  <si>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</si>
  <si>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</si>
  <si>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</si>
  <si>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</si>
  <si>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</si>
  <si>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</si>
  <si>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</si>
  <si>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</si>
  <si>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</si>
  <si>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</si>
  <si>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</si>
  <si>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</si>
  <si>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</si>
  <si>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</si>
  <si>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</si>
  <si>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</si>
  <si>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</si>
  <si>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</si>
  <si>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</si>
  <si>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</si>
  <si>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</si>
  <si>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</si>
  <si>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</si>
  <si>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</si>
  <si>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</si>
  <si>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</si>
  <si>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</si>
  <si>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</si>
  <si>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</si>
  <si>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</si>
  <si>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</si>
  <si>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</si>
  <si>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</si>
  <si>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</si>
  <si>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</si>
  <si>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</si>
  <si>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</si>
  <si>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</si>
  <si>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</si>
  <si>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</si>
  <si>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</si>
  <si>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</si>
  <si>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</si>
  <si>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</si>
  <si>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</si>
  <si>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</si>
  <si>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</si>
  <si>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</si>
  <si>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</si>
  <si>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</si>
  <si>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</si>
  <si>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</si>
  <si>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</si>
  <si>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</si>
  <si>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</si>
  <si>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</si>
  <si>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</si>
  <si>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</si>
  <si>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</si>
  <si>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</si>
  <si>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</si>
  <si>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</si>
  <si>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</si>
  <si>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</si>
  <si>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</si>
  <si>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</si>
  <si>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</si>
  <si>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</si>
  <si>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</si>
  <si>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</si>
  <si>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</si>
  <si>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</si>
  <si>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</si>
  <si>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</si>
  <si>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</si>
  <si>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</si>
  <si>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</si>
  <si>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</si>
  <si>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</si>
  <si>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</si>
  <si>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</si>
  <si>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</si>
  <si>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</si>
  <si>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</si>
  <si>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</si>
  <si>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</si>
  <si>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</si>
  <si>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</si>
  <si>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</si>
  <si>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</si>
  <si>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</si>
  <si>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</si>
  <si>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</si>
  <si>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</si>
  <si>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</si>
  <si>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</si>
  <si>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</si>
  <si>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</si>
  <si>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</si>
  <si>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</si>
  <si>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</si>
  <si>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</si>
  <si>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</si>
  <si>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</si>
  <si>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</si>
  <si>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</si>
  <si>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</si>
  <si>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</si>
  <si>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</si>
  <si>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</si>
  <si>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</si>
  <si>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</si>
  <si>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</si>
  <si>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</si>
  <si>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</si>
  <si>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</si>
  <si>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</si>
  <si>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</si>
  <si>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</si>
  <si>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</si>
  <si>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</si>
  <si>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</si>
  <si>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</si>
  <si>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</si>
  <si>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</si>
  <si>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</si>
  <si>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</si>
  <si>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</si>
  <si>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</si>
  <si>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</si>
  <si>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</si>
  <si>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</si>
  <si>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</si>
  <si>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</si>
  <si>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</si>
  <si>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</si>
  <si>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</si>
  <si>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</si>
  <si>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</si>
  <si>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</si>
  <si>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</si>
  <si>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</si>
  <si>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</si>
  <si>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</si>
  <si>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</si>
  <si>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</si>
  <si>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</si>
  <si>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</si>
  <si>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</si>
  <si>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</si>
  <si>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</si>
  <si>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</si>
  <si>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</si>
  <si>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</si>
  <si>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</si>
  <si>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</si>
  <si>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</si>
  <si>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</si>
  <si>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</si>
  <si>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</si>
  <si>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</si>
  <si>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</si>
  <si>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</si>
  <si>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</si>
  <si>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</si>
  <si>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</si>
  <si>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</si>
  <si>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</si>
  <si>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</si>
  <si>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</si>
  <si>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</si>
  <si>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</si>
  <si>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</si>
  <si>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</si>
  <si>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</si>
  <si>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</si>
  <si>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</si>
  <si>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</si>
  <si>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</si>
  <si>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</si>
  <si>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</si>
  <si>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</si>
  <si>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</si>
  <si>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</si>
  <si>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</si>
  <si>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</si>
  <si>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</si>
  <si>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</si>
  <si>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</si>
  <si>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</si>
  <si>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</si>
  <si>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</si>
  <si>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</si>
  <si>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</si>
  <si>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</si>
  <si>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</si>
  <si>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</si>
  <si>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</si>
  <si>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</si>
  <si>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</si>
  <si>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</si>
  <si>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</si>
  <si>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</si>
  <si>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</si>
  <si>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</si>
  <si>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</si>
  <si>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</si>
  <si>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</si>
  <si>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</si>
  <si>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</si>
  <si>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</si>
  <si>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</si>
  <si>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</si>
  <si>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</si>
  <si>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</si>
  <si>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</si>
  <si>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</si>
  <si>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</si>
  <si>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</si>
  <si>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</si>
  <si>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</si>
  <si>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</si>
  <si>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</si>
  <si>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</si>
  <si>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</si>
  <si>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</si>
  <si>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</si>
  <si>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</si>
  <si>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</si>
  <si>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</si>
  <si>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</si>
  <si>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</si>
  <si>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</si>
  <si>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</si>
  <si>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</si>
  <si>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</si>
  <si>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</si>
  <si>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</si>
  <si>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</si>
  <si>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</si>
  <si>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</si>
  <si>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</si>
  <si>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</si>
  <si>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</si>
  <si>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</si>
  <si>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</si>
  <si>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</si>
  <si>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</si>
  <si>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</si>
  <si>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</si>
  <si>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</si>
  <si>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</si>
  <si>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</si>
  <si>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</si>
  <si>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</si>
  <si>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</si>
  <si>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</si>
  <si>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</si>
  <si>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</si>
  <si>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</si>
  <si>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</si>
  <si>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</si>
  <si>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</si>
  <si>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</si>
  <si>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</si>
  <si>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</si>
  <si>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</si>
  <si>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</si>
  <si>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</si>
  <si>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</si>
  <si>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</si>
  <si>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</si>
  <si>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</si>
  <si>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</si>
  <si>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</si>
  <si>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</si>
  <si>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</si>
  <si>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</si>
  <si>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</si>
  <si>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</si>
  <si>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</si>
  <si>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</si>
  <si>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</si>
  <si>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</si>
  <si>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</si>
  <si>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</si>
  <si>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</si>
  <si>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</si>
  <si>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</si>
  <si>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</si>
  <si>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</si>
  <si>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</si>
  <si>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</si>
  <si>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</si>
  <si>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</si>
  <si>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</si>
  <si>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</si>
  <si>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</si>
  <si>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</si>
  <si>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</si>
  <si>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</si>
  <si>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</si>
  <si>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</si>
  <si>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</si>
  <si>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</si>
  <si>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DFLTGCOH_BF-C8_001022</t>
  </si>
  <si>
    <t>DFLTGCOH_BF-C8_001826</t>
  </si>
  <si>
    <t>CLFF_1000$$$AE50R0GR12 GRD-Global Health FBB</t>
  </si>
  <si>
    <t>CTEMPEU_1000GB10003254 M157883</t>
  </si>
  <si>
    <t>G000000775</t>
  </si>
  <si>
    <t>G000000776</t>
  </si>
  <si>
    <t>FR7831957</t>
  </si>
  <si>
    <t>CORAERP_MMOR1945.2450 2450 LS-SC - EW Global Eng and SMEs</t>
  </si>
  <si>
    <t>CNOW_7210$$$0000057021 LS-SC-EW 2047_Global Engineering &amp;SMEs</t>
  </si>
  <si>
    <t>FR7837035</t>
  </si>
  <si>
    <t xml:space="preserve">L000013867 </t>
  </si>
  <si>
    <t>L000013868</t>
  </si>
  <si>
    <t xml:space="preserve">L000013452 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</si>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</sst>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CSCALA_1022$ITX</v>
          </cell>
          <cell r="B1" t="str">
            <v>ITR_1000$$$1022ITX</v>
          </cell>
        </row>
        <row r="2">
          <cell r="A2" t="str">
            <v>CSCALA_1042$PMIT</v>
          </cell>
          <cell r="B2" t="str">
            <v>ITR_1000$$$1022ITX</v>
          </cell>
        </row>
        <row r="3">
          <cell r="A3" t="str">
            <v>CSCALA_1042$ITIW</v>
          </cell>
          <cell r="B3" t="str">
            <v>ITR_1000$$$1042PMIT</v>
          </cell>
        </row>
        <row r="4">
          <cell r="A4" t="str">
            <v>CFLTFLE_1075IT107503</v>
          </cell>
          <cell r="B4" t="str">
            <v>ITR_1000$$$1042ITIW</v>
          </cell>
        </row>
        <row r="5">
          <cell r="A5" t="str">
            <v>CTEMPEU_1000PL80GFO016</v>
          </cell>
          <cell r="B5" t="str">
            <v>G000000277</v>
          </cell>
        </row>
        <row r="6">
          <cell r="A6" t="str">
            <v>CTEMPNA_1000PH80GFO003</v>
          </cell>
          <cell r="B6" t="str">
            <v>G000001441</v>
          </cell>
        </row>
        <row r="7">
          <cell r="A7" t="str">
            <v>CTEMPNA_1000PH80GBTL55</v>
          </cell>
          <cell r="B7" t="str">
            <v>G000001441</v>
          </cell>
        </row>
        <row r="8">
          <cell r="A8" t="str">
            <v>CTEMPNA_1000PH80GFO026</v>
          </cell>
          <cell r="B8" t="str">
            <v>G000001444</v>
          </cell>
        </row>
        <row r="9">
          <cell r="A9" t="str">
            <v>CNOW_7210$$$0000052357</v>
          </cell>
          <cell r="B9" t="str">
            <v>G000001442</v>
          </cell>
        </row>
        <row r="10">
          <cell r="A10" t="str">
            <v>CNOW_AUS0$$$0000092051</v>
          </cell>
          <cell r="B10" t="str">
            <v>G000001235</v>
          </cell>
        </row>
        <row r="11">
          <cell r="A11" t="str">
            <v>CORAERP_MMOR1975.9083</v>
          </cell>
          <cell r="B11" t="str">
            <v>G000001234</v>
          </cell>
        </row>
        <row r="12">
          <cell r="A12" t="str">
            <v>CNOW_7210$$$0000010482</v>
          </cell>
          <cell r="B12" t="str">
            <v>L000013395</v>
          </cell>
        </row>
        <row r="13">
          <cell r="A13" t="str">
            <v>CNOW_7210$$$0000052358</v>
          </cell>
          <cell r="B13" t="str">
            <v>L000013395</v>
          </cell>
        </row>
        <row r="14">
          <cell r="A14" t="str">
            <v>CTEMPLA_1000BR10500200 EHS Alphaville</v>
          </cell>
          <cell r="B14" t="str">
            <v>L000013395</v>
          </cell>
        </row>
        <row r="15">
          <cell r="A15" t="str">
            <v>CORAERP_MMOR1945.9120 EU Facilities 3</v>
          </cell>
          <cell r="B15" t="str">
            <v>L000008037</v>
          </cell>
        </row>
        <row r="16">
          <cell r="A16" t="str">
            <v>CNOW_7210$$$0000058615 EHS Sigma Aldrich São Paulo</v>
          </cell>
          <cell r="B16" t="str">
            <v>L000005965</v>
          </cell>
        </row>
        <row r="17">
          <cell r="A17" t="str">
            <v>CNOW_7210$$$0000056343 AEM Strategy &amp;Transformation Projects</v>
          </cell>
          <cell r="B17" t="str">
            <v>L000008037</v>
          </cell>
        </row>
        <row r="18">
          <cell r="A18" t="str">
            <v>CORAERP_MMOR1945.2539 Strategy</v>
          </cell>
          <cell r="B18" t="str">
            <v>L000013866</v>
          </cell>
        </row>
        <row r="19">
          <cell r="A19" t="str">
            <v>CORAERP_MMOR1945.2239 Proj &amp; Eng - Central Europe</v>
          </cell>
          <cell r="B19" t="str">
            <v>L000013866</v>
          </cell>
        </row>
        <row r="20">
          <cell r="A20" t="str">
            <v>CPHOENX_01010000604453 LS-SC-EC Proj &amp; Eng-CentralEur</v>
          </cell>
          <cell r="B20" t="str">
            <v>L000013866</v>
          </cell>
        </row>
        <row r="21">
          <cell r="A21" t="str">
            <v>CNOW_7210$$$0000057019 Project Control</v>
          </cell>
          <cell r="B21" t="str">
            <v>L000013866</v>
          </cell>
        </row>
        <row r="22">
          <cell r="A22" t="str">
            <v>CORAERP_MMOR1945.5169 Molsheim E&amp;T</v>
          </cell>
          <cell r="B22" t="str">
            <v>L000013866</v>
          </cell>
        </row>
        <row r="23">
          <cell r="A23" t="str">
            <v>CORAERP_MMOR1945.2239 Proj &amp; Eng - Central Europe</v>
          </cell>
          <cell r="B23" t="str">
            <v>L000013866</v>
          </cell>
        </row>
        <row r="24">
          <cell r="A24" t="str">
            <v>CTEMPEU_1000FR60638000 LSS Global Ops Engineering</v>
          </cell>
          <cell r="B24" t="str">
            <v>L000013866</v>
          </cell>
        </row>
        <row r="25">
          <cell r="A25" t="str">
            <v>CNOW_7210$$$0024068118 LSS Global Engineering UK</v>
          </cell>
          <cell r="B25" t="str">
            <v>L000013866</v>
          </cell>
        </row>
        <row r="26">
          <cell r="A26" t="str">
            <v>CPHOENX_01010000664454 LS-SC-EAAC SME Global Automation CE</v>
          </cell>
          <cell r="B26" t="str">
            <v>L000013866</v>
          </cell>
        </row>
        <row r="27">
          <cell r="A27" t="str">
            <v>CEMERAL_70006101TM0100 E&amp;T Proj &amp; Eng - Central Europe</v>
          </cell>
          <cell r="B27" t="str">
            <v>L000013867</v>
          </cell>
        </row>
        <row r="28">
          <cell r="A28" t="str">
            <v>CNOW_7210$$$0000040193 Proj &amp; Eng - USA</v>
          </cell>
          <cell r="B28" t="str">
            <v>L000013867</v>
          </cell>
        </row>
        <row r="29">
          <cell r="A29" t="str">
            <v>CNOW_7210$$$0000268118 LSS Global Engineering - Rockville</v>
          </cell>
          <cell r="B29" t="str">
            <v>L000013867</v>
          </cell>
        </row>
        <row r="30">
          <cell r="A30" t="str">
            <v>CORAERP_MMOR1975.2696 Engineering - LSS Global Ops</v>
          </cell>
          <cell r="B30" t="str">
            <v>L000013867</v>
          </cell>
        </row>
        <row r="31">
          <cell r="A31" t="str">
            <v>CNOW_7210$$$0000056428</v>
          </cell>
          <cell r="B31" t="str">
            <v>L000013454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0" totalsRowShown="0">
  <autoFilter ref="A1:S4370" xr:uid="{678037D6-A574-4B81-B392-ED766472D9FE}">
    <filterColumn colId="0">
      <filters>
        <filter val="FR6943059"/>
        <filter val="FR6945251"/>
        <filter val="FR6948171"/>
        <filter val="FR6950020"/>
        <filter val="FR6951585"/>
        <filter val="FR6956164"/>
        <filter val="FR6966061"/>
        <filter val="FR6970242"/>
        <filter val="FR6974751"/>
        <filter val="FR6975197"/>
        <filter val="FR6978118"/>
        <filter val="FR6978512"/>
        <filter val="FR6981021"/>
        <filter val="FR6982139"/>
        <filter val="FR6982382"/>
        <filter val="FR6986301"/>
        <filter val="FR6988197"/>
        <filter val="FR7000149"/>
        <filter val="FR7000977"/>
        <filter val="FR7007038"/>
        <filter val="FR7010037"/>
        <filter val="FR7013508"/>
        <filter val="FR7018001"/>
        <filter val="FR7022004"/>
        <filter val="FR7022142"/>
        <filter val="FR7024407"/>
        <filter val="FR7025837"/>
        <filter val="FR7031618"/>
        <filter val="FR7032783"/>
        <filter val="FR7040552"/>
        <filter val="FR7040650"/>
        <filter val="FR7043643"/>
        <filter val="FR7044542"/>
        <filter val="FR7047182"/>
        <filter val="FR7049840"/>
        <filter val="FR7051498"/>
        <filter val="FR7051681"/>
        <filter val="FR7057554"/>
        <filter val="FR7057938"/>
        <filter val="FR7061005"/>
        <filter val="FR7064092"/>
        <filter val="FR7081100"/>
        <filter val="FR7083726"/>
        <filter val="FR7084082"/>
        <filter val="FR7084367"/>
        <filter val="FR7088415"/>
        <filter val="FR7088452"/>
        <filter val="FR7088907"/>
        <filter val="FR7089970"/>
        <filter val="FR7099781"/>
        <filter val="FR7099869"/>
        <filter val="FR7105221"/>
        <filter val="FR7105658"/>
        <filter val="FR7108798"/>
        <filter val="FR7108808"/>
        <filter val="FR7109079"/>
        <filter val="FR7109966"/>
        <filter val="FR7113391"/>
        <filter val="FR7114300"/>
        <filter val="FR7114891"/>
        <filter val="FR7119096"/>
        <filter val="FR7121419"/>
        <filter val="FR7121444"/>
        <filter val="FR7122316"/>
        <filter val="FR7122508"/>
        <filter val="FR7123793"/>
        <filter val="FR7127941"/>
        <filter val="FR7130653"/>
        <filter val="FR7131332"/>
        <filter val="FR7132388"/>
        <filter val="FR7136272"/>
        <filter val="FR7140268"/>
        <filter val="FR7150280"/>
        <filter val="FR7150528"/>
        <filter val="FR7161411"/>
        <filter val="FR7161858"/>
        <filter val="FR7166517"/>
        <filter val="FR7168978"/>
        <filter val="FR7170138"/>
        <filter val="FR7170712"/>
        <filter val="FR7173355"/>
        <filter val="FR7174669"/>
        <filter val="FR7182430"/>
        <filter val="FR7194402"/>
        <filter val="FR7201312"/>
        <filter val="FR7202707"/>
        <filter val="FR7202977"/>
        <filter val="FR7202987"/>
        <filter val="FR7205291"/>
        <filter val="FR7205855"/>
        <filter val="FR7212236"/>
        <filter val="FR7214613"/>
        <filter val="FR7215342"/>
        <filter val="FR7216010"/>
        <filter val="FR7216772"/>
        <filter val="FR7218063"/>
        <filter val="FR7218317"/>
        <filter val="FR7218977"/>
        <filter val="FR7220448"/>
        <filter val="FR7226507"/>
        <filter val="FR7228078"/>
        <filter val="FR7230888"/>
        <filter val="FR7231993"/>
        <filter val="FR7232089"/>
        <filter val="FR7233618"/>
        <filter val="FR7234075"/>
        <filter val="FR7235227"/>
        <filter val="FR7235622"/>
        <filter val="FR7240668"/>
        <filter val="FR7240736"/>
        <filter val="FR7249989"/>
        <filter val="FR7250776"/>
        <filter val="FR7252687"/>
        <filter val="FR7253856"/>
        <filter val="FR7259193"/>
        <filter val="FR7261475"/>
        <filter val="FR7262991"/>
        <filter val="FR7265072"/>
        <filter val="FR7267269"/>
        <filter val="FR7269207"/>
        <filter val="FR7272340"/>
        <filter val="FR7274431"/>
        <filter val="FR7280962"/>
        <filter val="FR7283426"/>
        <filter val="FR7287236"/>
        <filter val="FR7293971"/>
        <filter val="FR7294729"/>
        <filter val="FR7298409"/>
        <filter val="FR7298416"/>
        <filter val="FR7298556"/>
        <filter val="FR7300233"/>
        <filter val="FR7303087"/>
        <filter val="FR7311013"/>
        <filter val="FR7311374"/>
        <filter val="FR7311725"/>
        <filter val="FR7314300"/>
        <filter val="FR7317532"/>
        <filter val="FR7317802"/>
        <filter val="FR7318069"/>
        <filter val="FR7319861"/>
        <filter val="FR7319903"/>
        <filter val="FR7324504"/>
        <filter val="FR7324585"/>
        <filter val="FR7327207"/>
        <filter val="FR7328669"/>
        <filter val="FR7330120"/>
        <filter val="FR7332565"/>
        <filter val="FR7335135"/>
        <filter val="FR7336709"/>
        <filter val="FR7336726"/>
        <filter val="FR7337019"/>
        <filter val="FR7337931"/>
        <filter val="FR7337981"/>
        <filter val="FR7339023"/>
        <filter val="FR7339740"/>
        <filter val="FR7345542"/>
        <filter val="FR7345953"/>
        <filter val="FR7352048"/>
        <filter val="FR7352279"/>
        <filter val="FR7352478"/>
        <filter val="FR7352779"/>
        <filter val="FR7354774"/>
        <filter val="FR7354787"/>
        <filter val="FR7356287"/>
        <filter val="FR7357071"/>
        <filter val="FR7357987"/>
        <filter val="FR7365034"/>
        <filter val="FR7366903"/>
        <filter val="FR7368372"/>
        <filter val="FR7368411"/>
        <filter val="FR7368448"/>
        <filter val="FR7372363"/>
        <filter val="FR7372650"/>
        <filter val="FR7372864"/>
        <filter val="FR7372904"/>
        <filter val="FR7374774"/>
        <filter val="FR7376495"/>
        <filter val="FR7380686"/>
        <filter val="FR7382702"/>
        <filter val="FR7382732"/>
        <filter val="FR7385123"/>
        <filter val="FR7396570"/>
        <filter val="FR7400920"/>
        <filter val="FR7403248"/>
        <filter val="FR7416050"/>
        <filter val="FR7417161"/>
        <filter val="FR7417823"/>
        <filter val="FR7418685"/>
        <filter val="FR7418966"/>
        <filter val="FR7425378"/>
        <filter val="FR7426909"/>
        <filter val="FR7428161"/>
        <filter val="FR7436498"/>
        <filter val="FR7446458"/>
        <filter val="FR7449455"/>
        <filter val="FR7453635"/>
        <filter val="FR7456326"/>
        <filter val="FR7457278"/>
        <filter val="FR7458107"/>
        <filter val="FR7461875"/>
        <filter val="FR7465429"/>
        <filter val="FR7465457"/>
        <filter val="FR7467264"/>
        <filter val="FR7467597"/>
        <filter val="FR7477367"/>
        <filter val="FR7477845"/>
        <filter val="FR7479265"/>
        <filter val="FR7481165"/>
        <filter val="FR7481575"/>
        <filter val="FR7496486"/>
        <filter val="FR7496712"/>
        <filter val="FR7499694"/>
        <filter val="FR7507363"/>
        <filter val="FR7507479"/>
        <filter val="FR7508533"/>
        <filter val="FR7510313"/>
        <filter val="FR7515129"/>
        <filter val="FR7517047"/>
        <filter val="FR7519490"/>
        <filter val="FR7522204"/>
        <filter val="FR7526807"/>
        <filter val="FR7527104"/>
        <filter val="FR7529383"/>
        <filter val="FR7531920"/>
        <filter val="FR7536035"/>
        <filter val="FR7540274"/>
        <filter val="FR7551842"/>
        <filter val="FR7553566"/>
        <filter val="FR7558422"/>
        <filter val="FR7558717"/>
        <filter val="FR7569900"/>
        <filter val="FR7571211"/>
        <filter val="FR7571293"/>
        <filter val="FR7573365"/>
        <filter val="FR7580945"/>
        <filter val="FR7581232"/>
        <filter val="FR7589717"/>
        <filter val="FR7591041"/>
        <filter val="FR7595707"/>
        <filter val="FR7596042"/>
        <filter val="FR7600506"/>
        <filter val="FR7600515"/>
        <filter val="FR7600523"/>
        <filter val="FR7608837"/>
        <filter val="FR7612893"/>
        <filter val="FR7615323"/>
        <filter val="FR7615386"/>
        <filter val="FR7615420"/>
        <filter val="FR7619559"/>
        <filter val="FR7626038"/>
        <filter val="FR7636902"/>
        <filter val="FR7637010"/>
        <filter val="FR7639219"/>
        <filter val="FR7640621"/>
        <filter val="FR7648582"/>
        <filter val="FR7653134"/>
        <filter val="FR7659713"/>
        <filter val="FR7665415"/>
        <filter val="FR7669094"/>
        <filter val="FR7680650"/>
        <filter val="FR7697758"/>
        <filter val="FR7700603"/>
        <filter val="FR7701239"/>
        <filter val="FR7705866"/>
        <filter val="FR7721947"/>
        <filter val="FR7742424"/>
        <filter val="FR7743836"/>
        <filter val="FR7754101"/>
        <filter val="FR7761858"/>
        <filter val="FR7774847"/>
        <filter val="FR7775027"/>
        <filter val="FR7778538"/>
        <filter val="FR7781427"/>
        <filter val="FR7785982"/>
        <filter val="FR7804042"/>
        <filter val="FR7811994"/>
        <filter val="FR7823194"/>
        <filter val="FR7823548"/>
        <filter val="FR7823579"/>
        <filter val="FR7825748"/>
        <filter val="FR7831957"/>
        <filter val="FR7837035"/>
        <filter val="FR7837365"/>
      </filters>
    </filterColumn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0"/>
  <sheetViews>
    <sheetView tabSelected="1" zoomScale="105" zoomScaleNormal="105" workbookViewId="0">
      <selection activeCell="C4323" sqref="C432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71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71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71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71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71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71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71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71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71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71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46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46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46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46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46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46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46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46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46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46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46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46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46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46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46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46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46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46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46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46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46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46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46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46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46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46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46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46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46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46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46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46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46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46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46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46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46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46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46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46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46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46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46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46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46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46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46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46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46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46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46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46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46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46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46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46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46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46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46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46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46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46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46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46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46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46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46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46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46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46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46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46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46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46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46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46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46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46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46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46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46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46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46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46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46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46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46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46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46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46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46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46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46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46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46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46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46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46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46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46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46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46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46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46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46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46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46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46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46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46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46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46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46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46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46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46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46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46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46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46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46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46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46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46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46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46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46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46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46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46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46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46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46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46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46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46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46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46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46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46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46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46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46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46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46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46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46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46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46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46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46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46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46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46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46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46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46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46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46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46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46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46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46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46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46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46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46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46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46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46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46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46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46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46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46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46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46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46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33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33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33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33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33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33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33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33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33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33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33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27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27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27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27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27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27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27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27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27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27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27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27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27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27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27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27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27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21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15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14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14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14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14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14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14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14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14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14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14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14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6520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13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</v>
      </c>
      <c r="R4288" s="153" t="s">
        <v>780</v>
      </c>
      <c r="S4288" s="150"/>
    </row>
    <row r="4289" spans="1:19" s="149" customFormat="1" hidden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</v>
      </c>
      <c r="R4289" s="154" t="s">
        <v>515</v>
      </c>
      <c r="S4289" s="150"/>
    </row>
    <row r="4290" spans="1:19" s="149" customFormat="1" hidden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5</v>
      </c>
      <c r="R4290" s="154" t="s">
        <v>780</v>
      </c>
      <c r="S4290" s="150"/>
    </row>
    <row r="4291" spans="1:19" s="149" customFormat="1" hidden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5</v>
      </c>
      <c r="R4291" s="154" t="s">
        <v>780</v>
      </c>
      <c r="S4291" s="150"/>
    </row>
    <row r="4292" spans="1:19" s="149" customFormat="1" hidden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5</v>
      </c>
      <c r="R4292" s="154" t="s">
        <v>780</v>
      </c>
      <c r="S4292" s="150"/>
    </row>
    <row r="4293" spans="1:19" s="149" customFormat="1" hidden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5</v>
      </c>
      <c r="R4293" s="154" t="s">
        <v>780</v>
      </c>
      <c r="S4293" s="150"/>
    </row>
    <row r="4294" spans="1:19" hidden="1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5</v>
      </c>
      <c r="R4294" s="154" t="s">
        <v>410</v>
      </c>
      <c r="S4294" s="150"/>
    </row>
    <row r="4295" spans="1:19" hidden="1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5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tr">
        <f>VLOOKUP(Proc[[#This Row],[Obj]],[1]Sheet1!$A$1:$B$31,2,FALSE)</f>
        <v>ITR_1000$$$1022ITX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3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tr">
        <f>VLOOKUP(Proc[[#This Row],[Obj]],[1]Sheet1!$A$1:$B$31,2,FALSE)</f>
        <v>ITR_1000$$$1022ITX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3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tr">
        <f>VLOOKUP(Proc[[#This Row],[Obj]],[1]Sheet1!$A$1:$B$31,2,FALSE)</f>
        <v>ITR_1000$$$1042PMIT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3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tr">
        <f>VLOOKUP(Proc[[#This Row],[Obj]],[1]Sheet1!$A$1:$B$31,2,FALSE)</f>
        <v>ITR_1000$$$1042ITIW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3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tr">
        <f>VLOOKUP(Proc[[#This Row],[Obj]],[1]Sheet1!$A$1:$B$31,2,FALSE)</f>
        <v>G000000277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3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tr">
        <f>VLOOKUP(Proc[[#This Row],[Obj]],[1]Sheet1!$A$1:$B$31,2,FALSE)</f>
        <v>G000001441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3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tr">
        <f>VLOOKUP(Proc[[#This Row],[Obj]],[1]Sheet1!$A$1:$B$31,2,FALSE)</f>
        <v>G000001441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3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tr">
        <f>VLOOKUP(Proc[[#This Row],[Obj]],[1]Sheet1!$A$1:$B$31,2,FALSE)</f>
        <v>G000001444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3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3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3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3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3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3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tr">
        <f>VLOOKUP(Proc[[#This Row],[Obj]],[1]Sheet1!$A$1:$B$31,2,FALSE)</f>
        <v>G000001442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3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3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3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tr">
        <f>VLOOKUP(Proc[[#This Row],[Obj]],[1]Sheet1!$A$1:$B$31,2,FALSE)</f>
        <v>G000001235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3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3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tr">
        <f>VLOOKUP(Proc[[#This Row],[Obj]],[1]Sheet1!$A$1:$B$31,2,FALSE)</f>
        <v>G000001234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3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tr">
        <f>VLOOKUP(Proc[[#This Row],[Obj]],[1]Sheet1!$A$1:$B$31,2,FALSE)</f>
        <v>L000013395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3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tr">
        <f>VLOOKUP(Proc[[#This Row],[Obj]],[1]Sheet1!$A$1:$B$31,2,FALSE)</f>
        <v>L000013395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3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tr">
        <f>VLOOKUP(Proc[[#This Row],[Obj]],[1]Sheet1!$A$1:$B$31,2,FALSE)</f>
        <v>L000013395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3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tr">
        <f>VLOOKUP(Proc[[#This Row],[Obj]],[1]Sheet1!$A$1:$B$31,2,FALSE)</f>
        <v>L000008037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3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3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tr">
        <f>VLOOKUP(Proc[[#This Row],[Obj]],[1]Sheet1!$A$1:$B$31,2,FALSE)</f>
        <v>L000005965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3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3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tr">
        <f>VLOOKUP(Proc[[#This Row],[Obj]],[1]Sheet1!$A$1:$B$31,2,FALSE)</f>
        <v>L000008037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3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tr">
        <f>VLOOKUP(Proc[[#This Row],[Obj]],[1]Sheet1!$A$1:$B$31,2,FALSE)</f>
        <v>L000013866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3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tr">
        <f>VLOOKUP(Proc[[#This Row],[Obj]],[1]Sheet1!$A$1:$B$31,2,FALSE)</f>
        <v>L000013866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3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tr">
        <f>VLOOKUP(Proc[[#This Row],[Obj]],[1]Sheet1!$A$1:$B$31,2,FALSE)</f>
        <v>L000013866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3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3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3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tr">
        <f>VLOOKUP(Proc[[#This Row],[Obj]],[1]Sheet1!$A$1:$B$31,2,FALSE)</f>
        <v>L000013866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3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tr">
        <f>VLOOKUP(Proc[[#This Row],[Obj]],[1]Sheet1!$A$1:$B$31,2,FALSE)</f>
        <v>L000013866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3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tr">
        <f>VLOOKUP(Proc[[#This Row],[Obj]],[1]Sheet1!$A$1:$B$31,2,FALSE)</f>
        <v>L000013866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3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tr">
        <f>VLOOKUP(Proc[[#This Row],[Obj]],[1]Sheet1!$A$1:$B$31,2,FALSE)</f>
        <v>L000013866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3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tr">
        <f>VLOOKUP(Proc[[#This Row],[Obj]],[1]Sheet1!$A$1:$B$31,2,FALSE)</f>
        <v>L000013866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3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tr">
        <f>VLOOKUP(Proc[[#This Row],[Obj]],[1]Sheet1!$A$1:$B$31,2,FALSE)</f>
        <v>L000013866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3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tr">
        <f>VLOOKUP(Proc[[#This Row],[Obj]],[1]Sheet1!$A$1:$B$31,2,FALSE)</f>
        <v>L000013867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3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tr">
        <f>VLOOKUP(Proc[[#This Row],[Obj]],[1]Sheet1!$A$1:$B$31,2,FALSE)</f>
        <v>L000013867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3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3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tr">
        <f>VLOOKUP(Proc[[#This Row],[Obj]],[1]Sheet1!$A$1:$B$31,2,FALSE)</f>
        <v>L000013867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3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tr">
        <f>VLOOKUP(Proc[[#This Row],[Obj]],[1]Sheet1!$A$1:$B$31,2,FALSE)</f>
        <v>L000013867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3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tr">
        <f>VLOOKUP(Proc[[#This Row],[Obj]],[1]Sheet1!$A$1:$B$31,2,FALSE)</f>
        <v>L000013454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3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3</v>
      </c>
      <c r="R4340" s="154" t="s">
        <v>489</v>
      </c>
      <c r="S4340" s="150"/>
    </row>
    <row r="4341" spans="1:19">
      <c r="A4341" t="s">
        <v>6490</v>
      </c>
      <c r="B4341" s="150" t="str">
        <f>IFERROR(VLOOKUP(Proc[[#This Row],[App]],Table2[],3,0),"open")</f>
        <v>open</v>
      </c>
      <c r="C4341" t="s">
        <v>370</v>
      </c>
      <c r="D4341" t="s">
        <v>6521</v>
      </c>
      <c r="E4341" t="s">
        <v>424</v>
      </c>
      <c r="F4341" s="150" t="s">
        <v>6491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3</v>
      </c>
      <c r="R4341" s="156" t="s">
        <v>1459</v>
      </c>
      <c r="S4341" s="150"/>
    </row>
    <row r="4342" spans="1:19">
      <c r="A4342" t="s">
        <v>6490</v>
      </c>
      <c r="B4342" s="150" t="str">
        <f>IFERROR(VLOOKUP(Proc[[#This Row],[App]],Table2[],3,0),"open")</f>
        <v>open</v>
      </c>
      <c r="C4342" s="149" t="s">
        <v>370</v>
      </c>
      <c r="D4342" t="s">
        <v>6522</v>
      </c>
      <c r="E4342" t="s">
        <v>425</v>
      </c>
      <c r="F4342" s="150" t="s">
        <v>6492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3</v>
      </c>
      <c r="R4342" s="156" t="s">
        <v>1459</v>
      </c>
      <c r="S4342" s="150"/>
    </row>
    <row r="4343" spans="1:19">
      <c r="A4343" t="s">
        <v>6497</v>
      </c>
      <c r="B4343" s="150" t="str">
        <f>IFERROR(VLOOKUP(Proc[[#This Row],[App]],Table2[],3,0),"open")</f>
        <v>open</v>
      </c>
      <c r="C4343" t="s">
        <v>375</v>
      </c>
      <c r="D4343" t="s">
        <v>6493</v>
      </c>
      <c r="E4343" t="s">
        <v>4766</v>
      </c>
      <c r="F4343" s="150" t="s">
        <v>6495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1</v>
      </c>
      <c r="R4343" s="156" t="s">
        <v>410</v>
      </c>
      <c r="S4343" s="150"/>
    </row>
    <row r="4344" spans="1:19">
      <c r="A4344" s="149" t="s">
        <v>6497</v>
      </c>
      <c r="B4344" s="150" t="str">
        <f>IFERROR(VLOOKUP(Proc[[#This Row],[App]],Table2[],3,0),"open")</f>
        <v>open</v>
      </c>
      <c r="C4344" t="s">
        <v>370</v>
      </c>
      <c r="D4344" t="s">
        <v>6494</v>
      </c>
      <c r="E4344" t="s">
        <v>4766</v>
      </c>
      <c r="F4344" s="150" t="s">
        <v>6496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1</v>
      </c>
      <c r="R4344" s="156" t="s">
        <v>410</v>
      </c>
      <c r="S4344" s="150"/>
    </row>
    <row r="4345" spans="1:19">
      <c r="A4345" t="s">
        <v>6500</v>
      </c>
      <c r="B4345" s="150" t="str">
        <f>IFERROR(VLOOKUP(Proc[[#This Row],[App]],Table2[],3,0),"open")</f>
        <v>open</v>
      </c>
      <c r="C4345" s="149" t="s">
        <v>370</v>
      </c>
      <c r="D4345" t="s">
        <v>6498</v>
      </c>
      <c r="E4345" t="s">
        <v>6501</v>
      </c>
      <c r="F4345" s="150" t="s">
        <v>6502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45937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1</v>
      </c>
      <c r="R4345" s="156" t="s">
        <v>489</v>
      </c>
      <c r="S4345" s="150"/>
    </row>
    <row r="4346" spans="1:19">
      <c r="A4346" t="s">
        <v>6500</v>
      </c>
      <c r="B4346" s="150" t="str">
        <f>IFERROR(VLOOKUP(Proc[[#This Row],[App]],Table2[],3,0),"open")</f>
        <v>open</v>
      </c>
      <c r="C4346" s="149" t="s">
        <v>370</v>
      </c>
      <c r="D4346" t="s">
        <v>6499</v>
      </c>
      <c r="E4346" t="s">
        <v>6501</v>
      </c>
      <c r="F4346" s="150" t="s">
        <v>6503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0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1</v>
      </c>
      <c r="R4346" s="156" t="s">
        <v>489</v>
      </c>
      <c r="S4346" s="150"/>
    </row>
    <row r="4347" spans="1:19">
      <c r="A4347" t="s">
        <v>6504</v>
      </c>
      <c r="B4347" s="150" t="str">
        <f>IFERROR(VLOOKUP(Proc[[#This Row],[App]],Table2[],3,0),"open")</f>
        <v>open</v>
      </c>
      <c r="C4347" t="s">
        <v>370</v>
      </c>
      <c r="D4347" t="s">
        <v>6505</v>
      </c>
      <c r="E4347" t="s">
        <v>6479</v>
      </c>
      <c r="F4347" s="150"/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0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6438</v>
      </c>
      <c r="M4347" s="155">
        <v>45937</v>
      </c>
      <c r="N4347" s="155"/>
      <c r="O4347" s="155"/>
      <c r="P4347" s="156" t="str">
        <f ca="1">IF(Proc[[#This Row],[DaysAgeing]]&gt;5,"yep","on track")</f>
        <v>on track</v>
      </c>
      <c r="Q4347" s="3">
        <f ca="1">IF(Proc[[#This Row],[DateClosed]]="",ABS(NETWORKDAYS(Proc[[#This Row],[DateOpened]],TODAY()))-1,ABS(NETWORKDAYS(Proc[[#This Row],[DateOpened]],Proc[[#This Row],[DateClosed]]))-1)</f>
        <v>1</v>
      </c>
      <c r="R4347" s="156" t="s">
        <v>489</v>
      </c>
      <c r="S4347" s="150"/>
    </row>
    <row r="4348" spans="1:19">
      <c r="A4348" t="s">
        <v>6504</v>
      </c>
      <c r="B4348" s="150" t="str">
        <f>IFERROR(VLOOKUP(Proc[[#This Row],[App]],Table2[],3,0),"open")</f>
        <v>open</v>
      </c>
      <c r="C4348" t="s">
        <v>370</v>
      </c>
      <c r="D4348" t="s">
        <v>6506</v>
      </c>
      <c r="E4348" t="s">
        <v>2367</v>
      </c>
      <c r="F4348" s="150"/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0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6438</v>
      </c>
      <c r="M4348" s="155">
        <v>45937</v>
      </c>
      <c r="N4348" s="155"/>
      <c r="O4348" s="155"/>
      <c r="P4348" s="156" t="str">
        <f ca="1">IF(Proc[[#This Row],[DaysAgeing]]&gt;5,"yep","on track")</f>
        <v>on track</v>
      </c>
      <c r="Q4348" s="3">
        <f ca="1">IF(Proc[[#This Row],[DateClosed]]="",ABS(NETWORKDAYS(Proc[[#This Row],[DateOpened]],TODAY()))-1,ABS(NETWORKDAYS(Proc[[#This Row],[DateOpened]],Proc[[#This Row],[DateClosed]]))-1)</f>
        <v>1</v>
      </c>
      <c r="R4348" s="156" t="s">
        <v>489</v>
      </c>
      <c r="S4348" s="150"/>
    </row>
    <row r="4349" spans="1:19">
      <c r="A4349" s="149" t="s">
        <v>6504</v>
      </c>
      <c r="B4349" s="150" t="str">
        <f>IFERROR(VLOOKUP(Proc[[#This Row],[App]],Table2[],3,0),"open")</f>
        <v>open</v>
      </c>
      <c r="C4349" s="149" t="s">
        <v>370</v>
      </c>
      <c r="D4349" t="s">
        <v>6507</v>
      </c>
      <c r="E4349" t="s">
        <v>2367</v>
      </c>
      <c r="F4349" s="150"/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0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6438</v>
      </c>
      <c r="M4349" s="155">
        <v>45937</v>
      </c>
      <c r="N4349" s="155"/>
      <c r="O4349" s="155"/>
      <c r="P4349" s="156" t="str">
        <f ca="1">IF(Proc[[#This Row],[DaysAgeing]]&gt;5,"yep","on track")</f>
        <v>on track</v>
      </c>
      <c r="Q4349" s="3">
        <f ca="1">IF(Proc[[#This Row],[DateClosed]]="",ABS(NETWORKDAYS(Proc[[#This Row],[DateOpened]],TODAY()))-1,ABS(NETWORKDAYS(Proc[[#This Row],[DateOpened]],Proc[[#This Row],[DateClosed]]))-1)</f>
        <v>1</v>
      </c>
      <c r="R4349" s="156" t="s">
        <v>489</v>
      </c>
      <c r="S4349" s="150"/>
    </row>
    <row r="4350" spans="1:19">
      <c r="A4350" s="149" t="s">
        <v>6504</v>
      </c>
      <c r="B4350" s="150" t="str">
        <f>IFERROR(VLOOKUP(Proc[[#This Row],[App]],Table2[],3,0),"open")</f>
        <v>open</v>
      </c>
      <c r="C4350" s="149" t="s">
        <v>370</v>
      </c>
      <c r="D4350" t="s">
        <v>6508</v>
      </c>
      <c r="E4350" t="s">
        <v>2367</v>
      </c>
      <c r="F4350" s="150"/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0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6438</v>
      </c>
      <c r="M4350" s="155">
        <v>45937</v>
      </c>
      <c r="N4350" s="155"/>
      <c r="O4350" s="155"/>
      <c r="P4350" s="156" t="str">
        <f ca="1">IF(Proc[[#This Row],[DaysAgeing]]&gt;5,"yep","on track")</f>
        <v>on track</v>
      </c>
      <c r="Q4350" s="3">
        <f ca="1">IF(Proc[[#This Row],[DateClosed]]="",ABS(NETWORKDAYS(Proc[[#This Row],[DateOpened]],TODAY()))-1,ABS(NETWORKDAYS(Proc[[#This Row],[DateOpened]],Proc[[#This Row],[DateClosed]]))-1)</f>
        <v>1</v>
      </c>
      <c r="R4350" s="156" t="s">
        <v>489</v>
      </c>
      <c r="S4350" s="150"/>
    </row>
    <row r="4351" spans="1:19">
      <c r="A4351" s="149" t="s">
        <v>6504</v>
      </c>
      <c r="B4351" s="150" t="str">
        <f>IFERROR(VLOOKUP(Proc[[#This Row],[App]],Table2[],3,0),"open")</f>
        <v>open</v>
      </c>
      <c r="C4351" s="149" t="s">
        <v>370</v>
      </c>
      <c r="D4351" t="s">
        <v>6509</v>
      </c>
      <c r="E4351" t="s">
        <v>2367</v>
      </c>
      <c r="F4351" s="150"/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0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6438</v>
      </c>
      <c r="M4351" s="155">
        <v>45937</v>
      </c>
      <c r="N4351" s="155"/>
      <c r="O4351" s="155"/>
      <c r="P4351" s="156" t="str">
        <f ca="1">IF(Proc[[#This Row],[DaysAgeing]]&gt;5,"yep","on track")</f>
        <v>on track</v>
      </c>
      <c r="Q4351" s="3">
        <f ca="1">IF(Proc[[#This Row],[DateClosed]]="",ABS(NETWORKDAYS(Proc[[#This Row],[DateOpened]],TODAY()))-1,ABS(NETWORKDAYS(Proc[[#This Row],[DateOpened]],Proc[[#This Row],[DateClosed]]))-1)</f>
        <v>1</v>
      </c>
      <c r="R4351" s="156" t="s">
        <v>489</v>
      </c>
      <c r="S4351" s="150"/>
    </row>
    <row r="4352" spans="1:19">
      <c r="A4352" s="149" t="s">
        <v>6504</v>
      </c>
      <c r="B4352" s="150" t="str">
        <f>IFERROR(VLOOKUP(Proc[[#This Row],[App]],Table2[],3,0),"open")</f>
        <v>open</v>
      </c>
      <c r="C4352" s="149" t="s">
        <v>370</v>
      </c>
      <c r="D4352" t="s">
        <v>6510</v>
      </c>
      <c r="E4352" t="s">
        <v>6517</v>
      </c>
      <c r="F4352" s="150"/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0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6438</v>
      </c>
      <c r="M4352" s="155">
        <v>45937</v>
      </c>
      <c r="N4352" s="155"/>
      <c r="O4352" s="155"/>
      <c r="P4352" s="156" t="str">
        <f ca="1">IF(Proc[[#This Row],[DaysAgeing]]&gt;5,"yep","on track")</f>
        <v>on track</v>
      </c>
      <c r="Q4352" s="3">
        <f ca="1">IF(Proc[[#This Row],[DateClosed]]="",ABS(NETWORKDAYS(Proc[[#This Row],[DateOpened]],TODAY()))-1,ABS(NETWORKDAYS(Proc[[#This Row],[DateOpened]],Proc[[#This Row],[DateClosed]]))-1)</f>
        <v>1</v>
      </c>
      <c r="R4352" s="156" t="s">
        <v>489</v>
      </c>
      <c r="S4352" s="150"/>
    </row>
    <row r="4353" spans="1:19">
      <c r="A4353" s="149" t="s">
        <v>6504</v>
      </c>
      <c r="B4353" s="150" t="str">
        <f>IFERROR(VLOOKUP(Proc[[#This Row],[App]],Table2[],3,0),"open")</f>
        <v>open</v>
      </c>
      <c r="C4353" s="149" t="s">
        <v>370</v>
      </c>
      <c r="D4353" t="s">
        <v>6511</v>
      </c>
      <c r="E4353" t="s">
        <v>2200</v>
      </c>
      <c r="F4353" s="150"/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0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6438</v>
      </c>
      <c r="M4353" s="155">
        <v>45937</v>
      </c>
      <c r="N4353" s="155"/>
      <c r="O4353" s="155"/>
      <c r="P4353" s="156" t="str">
        <f ca="1">IF(Proc[[#This Row],[DaysAgeing]]&gt;5,"yep","on track")</f>
        <v>on track</v>
      </c>
      <c r="Q4353" s="3">
        <f ca="1">IF(Proc[[#This Row],[DateClosed]]="",ABS(NETWORKDAYS(Proc[[#This Row],[DateOpened]],TODAY()))-1,ABS(NETWORKDAYS(Proc[[#This Row],[DateOpened]],Proc[[#This Row],[DateClosed]]))-1)</f>
        <v>1</v>
      </c>
      <c r="R4353" s="156" t="s">
        <v>489</v>
      </c>
      <c r="S4353" s="150"/>
    </row>
    <row r="4354" spans="1:19">
      <c r="A4354" s="149" t="s">
        <v>6504</v>
      </c>
      <c r="B4354" s="150" t="str">
        <f>IFERROR(VLOOKUP(Proc[[#This Row],[App]],Table2[],3,0),"open")</f>
        <v>open</v>
      </c>
      <c r="C4354" s="149" t="s">
        <v>370</v>
      </c>
      <c r="D4354" t="s">
        <v>6512</v>
      </c>
      <c r="E4354" t="s">
        <v>6518</v>
      </c>
      <c r="F4354" s="150"/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0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6438</v>
      </c>
      <c r="M4354" s="155">
        <v>45937</v>
      </c>
      <c r="N4354" s="155"/>
      <c r="O4354" s="155"/>
      <c r="P4354" s="156" t="str">
        <f ca="1">IF(Proc[[#This Row],[DaysAgeing]]&gt;5,"yep","on track")</f>
        <v>on track</v>
      </c>
      <c r="Q4354" s="3">
        <f ca="1">IF(Proc[[#This Row],[DateClosed]]="",ABS(NETWORKDAYS(Proc[[#This Row],[DateOpened]],TODAY()))-1,ABS(NETWORKDAYS(Proc[[#This Row],[DateOpened]],Proc[[#This Row],[DateClosed]]))-1)</f>
        <v>1</v>
      </c>
      <c r="R4354" s="156" t="s">
        <v>489</v>
      </c>
      <c r="S4354" s="150"/>
    </row>
    <row r="4355" spans="1:19">
      <c r="A4355" s="149" t="s">
        <v>6504</v>
      </c>
      <c r="B4355" s="150" t="str">
        <f>IFERROR(VLOOKUP(Proc[[#This Row],[App]],Table2[],3,0),"open")</f>
        <v>open</v>
      </c>
      <c r="C4355" s="149" t="s">
        <v>370</v>
      </c>
      <c r="D4355" t="s">
        <v>6513</v>
      </c>
      <c r="E4355" t="s">
        <v>3616</v>
      </c>
      <c r="F4355" s="150"/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0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6438</v>
      </c>
      <c r="M4355" s="155">
        <v>45937</v>
      </c>
      <c r="N4355" s="155"/>
      <c r="O4355" s="155"/>
      <c r="P4355" s="156" t="str">
        <f ca="1">IF(Proc[[#This Row],[DaysAgeing]]&gt;5,"yep","on track")</f>
        <v>on track</v>
      </c>
      <c r="Q4355" s="3">
        <f ca="1">IF(Proc[[#This Row],[DateClosed]]="",ABS(NETWORKDAYS(Proc[[#This Row],[DateOpened]],TODAY()))-1,ABS(NETWORKDAYS(Proc[[#This Row],[DateOpened]],Proc[[#This Row],[DateClosed]]))-1)</f>
        <v>1</v>
      </c>
      <c r="R4355" s="156" t="s">
        <v>489</v>
      </c>
      <c r="S4355" s="150"/>
    </row>
    <row r="4356" spans="1:19">
      <c r="A4356" s="149" t="s">
        <v>6504</v>
      </c>
      <c r="B4356" s="150" t="str">
        <f>IFERROR(VLOOKUP(Proc[[#This Row],[App]],Table2[],3,0),"open")</f>
        <v>open</v>
      </c>
      <c r="C4356" s="149" t="s">
        <v>370</v>
      </c>
      <c r="D4356" t="s">
        <v>6514</v>
      </c>
      <c r="E4356" t="s">
        <v>4892</v>
      </c>
      <c r="F4356" s="150"/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0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6438</v>
      </c>
      <c r="M4356" s="155">
        <v>45937</v>
      </c>
      <c r="N4356" s="155"/>
      <c r="O4356" s="155"/>
      <c r="P4356" s="156" t="str">
        <f ca="1">IF(Proc[[#This Row],[DaysAgeing]]&gt;5,"yep","on track")</f>
        <v>on track</v>
      </c>
      <c r="Q4356" s="3">
        <f ca="1">IF(Proc[[#This Row],[DateClosed]]="",ABS(NETWORKDAYS(Proc[[#This Row],[DateOpened]],TODAY()))-1,ABS(NETWORKDAYS(Proc[[#This Row],[DateOpened]],Proc[[#This Row],[DateClosed]]))-1)</f>
        <v>1</v>
      </c>
      <c r="R4356" s="156" t="s">
        <v>489</v>
      </c>
      <c r="S4356" s="150"/>
    </row>
    <row r="4357" spans="1:19">
      <c r="A4357" s="149" t="s">
        <v>6504</v>
      </c>
      <c r="B4357" s="150" t="str">
        <f>IFERROR(VLOOKUP(Proc[[#This Row],[App]],Table2[],3,0),"open")</f>
        <v>open</v>
      </c>
      <c r="C4357" s="149" t="s">
        <v>370</v>
      </c>
      <c r="D4357" t="s">
        <v>6515</v>
      </c>
      <c r="E4357" t="s">
        <v>6519</v>
      </c>
      <c r="F4357" s="150"/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0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6438</v>
      </c>
      <c r="M4357" s="155">
        <v>45937</v>
      </c>
      <c r="N4357" s="155"/>
      <c r="O4357" s="155"/>
      <c r="P4357" s="156" t="str">
        <f ca="1">IF(Proc[[#This Row],[DaysAgeing]]&gt;5,"yep","on track")</f>
        <v>on track</v>
      </c>
      <c r="Q4357" s="3">
        <f ca="1">IF(Proc[[#This Row],[DateClosed]]="",ABS(NETWORKDAYS(Proc[[#This Row],[DateOpened]],TODAY()))-1,ABS(NETWORKDAYS(Proc[[#This Row],[DateOpened]],Proc[[#This Row],[DateClosed]]))-1)</f>
        <v>1</v>
      </c>
      <c r="R4357" s="156" t="s">
        <v>489</v>
      </c>
      <c r="S4357" s="150"/>
    </row>
    <row r="4358" spans="1:19">
      <c r="A4358" s="149" t="s">
        <v>6504</v>
      </c>
      <c r="B4358" s="150" t="str">
        <f>IFERROR(VLOOKUP(Proc[[#This Row],[App]],Table2[],3,0),"open")</f>
        <v>open</v>
      </c>
      <c r="C4358" s="149" t="s">
        <v>370</v>
      </c>
      <c r="D4358" t="s">
        <v>6516</v>
      </c>
      <c r="E4358" t="s">
        <v>2178</v>
      </c>
      <c r="F4358" s="150"/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0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6438</v>
      </c>
      <c r="M4358" s="155">
        <v>45937</v>
      </c>
      <c r="N4358" s="155"/>
      <c r="O4358" s="155"/>
      <c r="P4358" s="156" t="str">
        <f ca="1">IF(Proc[[#This Row],[DaysAgeing]]&gt;5,"yep","on track")</f>
        <v>on track</v>
      </c>
      <c r="Q4358" s="3">
        <f ca="1">IF(Proc[[#This Row],[DateClosed]]="",ABS(NETWORKDAYS(Proc[[#This Row],[DateOpened]],TODAY()))-1,ABS(NETWORKDAYS(Proc[[#This Row],[DateOpened]],Proc[[#This Row],[DateClosed]]))-1)</f>
        <v>1</v>
      </c>
      <c r="R4358" s="156" t="s">
        <v>489</v>
      </c>
      <c r="S4358" s="150"/>
    </row>
    <row r="4359" spans="1:19" hidden="1">
      <c r="A4359" s="149" t="s">
        <v>6347</v>
      </c>
      <c r="B4359" s="150" t="str">
        <f>IFERROR(VLOOKUP(Proc[[#This Row],[App]],Table2[],3,0),"open")</f>
        <v>ok</v>
      </c>
      <c r="C4359" t="s">
        <v>375</v>
      </c>
      <c r="D4359" s="149" t="s">
        <v>6336</v>
      </c>
      <c r="E4359" s="149" t="s">
        <v>6520</v>
      </c>
      <c r="F4359" s="150"/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0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4896</v>
      </c>
      <c r="M4359" s="156">
        <v>45937</v>
      </c>
      <c r="N4359" s="157"/>
      <c r="O4359" s="157"/>
      <c r="P4359" s="156" t="str">
        <f ca="1">IF(Proc[[#This Row],[DaysAgeing]]&gt;5,"yep","on track")</f>
        <v>on track</v>
      </c>
      <c r="Q4359" s="3">
        <f ca="1">IF(Proc[[#This Row],[DateClosed]]="",ABS(NETWORKDAYS(Proc[[#This Row],[DateOpened]],TODAY()))-1,ABS(NETWORKDAYS(Proc[[#This Row],[DateOpened]],Proc[[#This Row],[DateClosed]]))-1)</f>
        <v>1</v>
      </c>
      <c r="R4359" s="156" t="s">
        <v>780</v>
      </c>
      <c r="S4359" s="150"/>
    </row>
    <row r="4360" spans="1:19" hidden="1">
      <c r="A4360" s="149" t="s">
        <v>6347</v>
      </c>
      <c r="B4360" s="150" t="str">
        <f>IFERROR(VLOOKUP(Proc[[#This Row],[App]],Table2[],3,0),"open")</f>
        <v>ok</v>
      </c>
      <c r="C4360" s="149" t="s">
        <v>375</v>
      </c>
      <c r="D4360" s="149" t="s">
        <v>6337</v>
      </c>
      <c r="E4360" s="149" t="s">
        <v>6520</v>
      </c>
      <c r="F4360" s="150"/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0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4896</v>
      </c>
      <c r="M4360" s="156">
        <v>45937</v>
      </c>
      <c r="N4360" s="157"/>
      <c r="O4360" s="157"/>
      <c r="P4360" s="156" t="str">
        <f ca="1">IF(Proc[[#This Row],[DaysAgeing]]&gt;5,"yep","on track")</f>
        <v>on track</v>
      </c>
      <c r="Q4360" s="3">
        <f ca="1">IF(Proc[[#This Row],[DateClosed]]="",ABS(NETWORKDAYS(Proc[[#This Row],[DateOpened]],TODAY()))-1,ABS(NETWORKDAYS(Proc[[#This Row],[DateOpened]],Proc[[#This Row],[DateClosed]]))-1)</f>
        <v>1</v>
      </c>
      <c r="R4360" s="156" t="s">
        <v>780</v>
      </c>
      <c r="S4360" s="150"/>
    </row>
    <row r="4361" spans="1:19" hidden="1">
      <c r="A4361" s="149" t="s">
        <v>6347</v>
      </c>
      <c r="B4361" s="150" t="str">
        <f>IFERROR(VLOOKUP(Proc[[#This Row],[App]],Table2[],3,0),"open")</f>
        <v>ok</v>
      </c>
      <c r="C4361" s="149" t="s">
        <v>375</v>
      </c>
      <c r="D4361" s="149" t="s">
        <v>6338</v>
      </c>
      <c r="E4361" s="149" t="s">
        <v>6520</v>
      </c>
      <c r="F4361" s="150"/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0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4896</v>
      </c>
      <c r="M4361" s="156">
        <v>45937</v>
      </c>
      <c r="N4361" s="157"/>
      <c r="O4361" s="157"/>
      <c r="P4361" s="156" t="str">
        <f ca="1">IF(Proc[[#This Row],[DaysAgeing]]&gt;5,"yep","on track")</f>
        <v>on track</v>
      </c>
      <c r="Q4361" s="3">
        <f ca="1">IF(Proc[[#This Row],[DateClosed]]="",ABS(NETWORKDAYS(Proc[[#This Row],[DateOpened]],TODAY()))-1,ABS(NETWORKDAYS(Proc[[#This Row],[DateOpened]],Proc[[#This Row],[DateClosed]]))-1)</f>
        <v>1</v>
      </c>
      <c r="R4361" s="156" t="s">
        <v>780</v>
      </c>
      <c r="S4361" s="150"/>
    </row>
    <row r="4362" spans="1:19" hidden="1">
      <c r="A4362" s="149" t="s">
        <v>6347</v>
      </c>
      <c r="B4362" s="150" t="str">
        <f>IFERROR(VLOOKUP(Proc[[#This Row],[App]],Table2[],3,0),"open")</f>
        <v>ok</v>
      </c>
      <c r="C4362" s="149" t="s">
        <v>375</v>
      </c>
      <c r="D4362" s="149" t="s">
        <v>6339</v>
      </c>
      <c r="E4362" s="149" t="s">
        <v>6520</v>
      </c>
      <c r="F4362" s="150"/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0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4896</v>
      </c>
      <c r="M4362" s="156">
        <v>45937</v>
      </c>
      <c r="N4362" s="157"/>
      <c r="O4362" s="157"/>
      <c r="P4362" s="156" t="str">
        <f ca="1">IF(Proc[[#This Row],[DaysAgeing]]&gt;5,"yep","on track")</f>
        <v>on track</v>
      </c>
      <c r="Q4362" s="3">
        <f ca="1">IF(Proc[[#This Row],[DateClosed]]="",ABS(NETWORKDAYS(Proc[[#This Row],[DateOpened]],TODAY()))-1,ABS(NETWORKDAYS(Proc[[#This Row],[DateOpened]],Proc[[#This Row],[DateClosed]]))-1)</f>
        <v>1</v>
      </c>
      <c r="R4362" s="156" t="s">
        <v>780</v>
      </c>
      <c r="S4362" s="150"/>
    </row>
    <row r="4363" spans="1:19" hidden="1">
      <c r="A4363" s="149" t="s">
        <v>6347</v>
      </c>
      <c r="B4363" s="150" t="str">
        <f>IFERROR(VLOOKUP(Proc[[#This Row],[App]],Table2[],3,0),"open")</f>
        <v>ok</v>
      </c>
      <c r="C4363" s="149" t="s">
        <v>375</v>
      </c>
      <c r="D4363" s="149" t="s">
        <v>6340</v>
      </c>
      <c r="E4363" s="149" t="s">
        <v>6520</v>
      </c>
      <c r="F4363" s="150"/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0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4896</v>
      </c>
      <c r="M4363" s="156">
        <v>45937</v>
      </c>
      <c r="N4363" s="157"/>
      <c r="O4363" s="157"/>
      <c r="P4363" s="156" t="str">
        <f ca="1">IF(Proc[[#This Row],[DaysAgeing]]&gt;5,"yep","on track")</f>
        <v>on track</v>
      </c>
      <c r="Q4363" s="3">
        <f ca="1">IF(Proc[[#This Row],[DateClosed]]="",ABS(NETWORKDAYS(Proc[[#This Row],[DateOpened]],TODAY()))-1,ABS(NETWORKDAYS(Proc[[#This Row],[DateOpened]],Proc[[#This Row],[DateClosed]]))-1)</f>
        <v>1</v>
      </c>
      <c r="R4363" s="156" t="s">
        <v>780</v>
      </c>
      <c r="S4363" s="150"/>
    </row>
    <row r="4364" spans="1:19" hidden="1">
      <c r="A4364" s="149" t="s">
        <v>6347</v>
      </c>
      <c r="B4364" s="150" t="str">
        <f>IFERROR(VLOOKUP(Proc[[#This Row],[App]],Table2[],3,0),"open")</f>
        <v>ok</v>
      </c>
      <c r="C4364" s="149" t="s">
        <v>375</v>
      </c>
      <c r="D4364" s="149" t="s">
        <v>6341</v>
      </c>
      <c r="E4364" s="149" t="s">
        <v>6520</v>
      </c>
      <c r="F4364" s="150"/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0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4896</v>
      </c>
      <c r="M4364" s="156">
        <v>45937</v>
      </c>
      <c r="N4364" s="157"/>
      <c r="O4364" s="157"/>
      <c r="P4364" s="156" t="str">
        <f ca="1">IF(Proc[[#This Row],[DaysAgeing]]&gt;5,"yep","on track")</f>
        <v>on track</v>
      </c>
      <c r="Q4364" s="3">
        <f ca="1">IF(Proc[[#This Row],[DateClosed]]="",ABS(NETWORKDAYS(Proc[[#This Row],[DateOpened]],TODAY()))-1,ABS(NETWORKDAYS(Proc[[#This Row],[DateOpened]],Proc[[#This Row],[DateClosed]]))-1)</f>
        <v>1</v>
      </c>
      <c r="R4364" s="156" t="s">
        <v>780</v>
      </c>
      <c r="S4364" s="150"/>
    </row>
    <row r="4365" spans="1:19" hidden="1">
      <c r="A4365" s="149" t="s">
        <v>6347</v>
      </c>
      <c r="B4365" s="150" t="str">
        <f>IFERROR(VLOOKUP(Proc[[#This Row],[App]],Table2[],3,0),"open")</f>
        <v>ok</v>
      </c>
      <c r="C4365" s="149" t="s">
        <v>370</v>
      </c>
      <c r="D4365" s="149" t="s">
        <v>6353</v>
      </c>
      <c r="E4365" s="149" t="s">
        <v>6520</v>
      </c>
      <c r="F4365" s="150"/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0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4896</v>
      </c>
      <c r="M4365" s="156">
        <v>45937</v>
      </c>
      <c r="N4365" s="157"/>
      <c r="O4365" s="157"/>
      <c r="P4365" s="156" t="str">
        <f ca="1">IF(Proc[[#This Row],[DaysAgeing]]&gt;5,"yep","on track")</f>
        <v>on track</v>
      </c>
      <c r="Q4365" s="3">
        <f ca="1">IF(Proc[[#This Row],[DateClosed]]="",ABS(NETWORKDAYS(Proc[[#This Row],[DateOpened]],TODAY()))-1,ABS(NETWORKDAYS(Proc[[#This Row],[DateOpened]],Proc[[#This Row],[DateClosed]]))-1)</f>
        <v>1</v>
      </c>
      <c r="R4365" s="156" t="s">
        <v>780</v>
      </c>
      <c r="S4365" s="150"/>
    </row>
    <row r="4366" spans="1:19" hidden="1">
      <c r="A4366" s="149" t="s">
        <v>6347</v>
      </c>
      <c r="B4366" s="150" t="str">
        <f>IFERROR(VLOOKUP(Proc[[#This Row],[App]],Table2[],3,0),"open")</f>
        <v>ok</v>
      </c>
      <c r="C4366" s="149" t="s">
        <v>375</v>
      </c>
      <c r="D4366" s="149" t="s">
        <v>6342</v>
      </c>
      <c r="E4366" s="149" t="s">
        <v>6520</v>
      </c>
      <c r="F4366" s="150"/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0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4896</v>
      </c>
      <c r="M4366" s="156">
        <v>45937</v>
      </c>
      <c r="N4366" s="157"/>
      <c r="O4366" s="157"/>
      <c r="P4366" s="156" t="str">
        <f ca="1">IF(Proc[[#This Row],[DaysAgeing]]&gt;5,"yep","on track")</f>
        <v>on track</v>
      </c>
      <c r="Q4366" s="3">
        <f ca="1">IF(Proc[[#This Row],[DateClosed]]="",ABS(NETWORKDAYS(Proc[[#This Row],[DateOpened]],TODAY()))-1,ABS(NETWORKDAYS(Proc[[#This Row],[DateOpened]],Proc[[#This Row],[DateClosed]]))-1)</f>
        <v>1</v>
      </c>
      <c r="R4366" s="156" t="s">
        <v>780</v>
      </c>
      <c r="S4366" s="150"/>
    </row>
    <row r="4367" spans="1:19" hidden="1">
      <c r="A4367" s="149" t="s">
        <v>6347</v>
      </c>
      <c r="B4367" s="150" t="str">
        <f>IFERROR(VLOOKUP(Proc[[#This Row],[App]],Table2[],3,0),"open")</f>
        <v>ok</v>
      </c>
      <c r="C4367" s="149" t="s">
        <v>375</v>
      </c>
      <c r="D4367" s="149" t="s">
        <v>6343</v>
      </c>
      <c r="E4367" s="149" t="s">
        <v>6520</v>
      </c>
      <c r="F4367" s="150"/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0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4896</v>
      </c>
      <c r="M4367" s="156">
        <v>45937</v>
      </c>
      <c r="N4367" s="157"/>
      <c r="O4367" s="157"/>
      <c r="P4367" s="156" t="str">
        <f ca="1">IF(Proc[[#This Row],[DaysAgeing]]&gt;5,"yep","on track")</f>
        <v>on track</v>
      </c>
      <c r="Q4367" s="3">
        <f ca="1">IF(Proc[[#This Row],[DateClosed]]="",ABS(NETWORKDAYS(Proc[[#This Row],[DateOpened]],TODAY()))-1,ABS(NETWORKDAYS(Proc[[#This Row],[DateOpened]],Proc[[#This Row],[DateClosed]]))-1)</f>
        <v>1</v>
      </c>
      <c r="R4367" s="156" t="s">
        <v>780</v>
      </c>
      <c r="S4367" s="150"/>
    </row>
    <row r="4368" spans="1:19" hidden="1">
      <c r="A4368" s="149" t="s">
        <v>6347</v>
      </c>
      <c r="B4368" s="150" t="str">
        <f>IFERROR(VLOOKUP(Proc[[#This Row],[App]],Table2[],3,0),"open")</f>
        <v>ok</v>
      </c>
      <c r="C4368" s="149" t="s">
        <v>375</v>
      </c>
      <c r="D4368" s="149" t="s">
        <v>6344</v>
      </c>
      <c r="E4368" s="149" t="s">
        <v>6520</v>
      </c>
      <c r="F4368" s="150"/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0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4896</v>
      </c>
      <c r="M4368" s="156">
        <v>45937</v>
      </c>
      <c r="N4368" s="157"/>
      <c r="O4368" s="157"/>
      <c r="P4368" s="156" t="str">
        <f ca="1">IF(Proc[[#This Row],[DaysAgeing]]&gt;5,"yep","on track")</f>
        <v>on track</v>
      </c>
      <c r="Q4368" s="3">
        <f ca="1">IF(Proc[[#This Row],[DateClosed]]="",ABS(NETWORKDAYS(Proc[[#This Row],[DateOpened]],TODAY()))-1,ABS(NETWORKDAYS(Proc[[#This Row],[DateOpened]],Proc[[#This Row],[DateClosed]]))-1)</f>
        <v>1</v>
      </c>
      <c r="R4368" s="156" t="s">
        <v>780</v>
      </c>
      <c r="S4368" s="150"/>
    </row>
    <row r="4369" spans="1:19" hidden="1">
      <c r="A4369" s="149" t="s">
        <v>6347</v>
      </c>
      <c r="B4369" s="150" t="str">
        <f>IFERROR(VLOOKUP(Proc[[#This Row],[App]],Table2[],3,0),"open")</f>
        <v>ok</v>
      </c>
      <c r="C4369" s="149" t="s">
        <v>375</v>
      </c>
      <c r="D4369" s="149" t="s">
        <v>6345</v>
      </c>
      <c r="E4369" s="149" t="s">
        <v>6520</v>
      </c>
      <c r="F4369" s="150"/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0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4896</v>
      </c>
      <c r="M4369" s="156">
        <v>45937</v>
      </c>
      <c r="N4369" s="157"/>
      <c r="O4369" s="157"/>
      <c r="P4369" s="156" t="str">
        <f ca="1">IF(Proc[[#This Row],[DaysAgeing]]&gt;5,"yep","on track")</f>
        <v>on track</v>
      </c>
      <c r="Q4369" s="3">
        <f ca="1">IF(Proc[[#This Row],[DateClosed]]="",ABS(NETWORKDAYS(Proc[[#This Row],[DateOpened]],TODAY()))-1,ABS(NETWORKDAYS(Proc[[#This Row],[DateOpened]],Proc[[#This Row],[DateClosed]]))-1)</f>
        <v>1</v>
      </c>
      <c r="R4369" s="156" t="s">
        <v>780</v>
      </c>
      <c r="S4369" s="150"/>
    </row>
    <row r="4370" spans="1:19" hidden="1">
      <c r="A4370" s="149" t="s">
        <v>6347</v>
      </c>
      <c r="B4370" s="150" t="str">
        <f>IFERROR(VLOOKUP(Proc[[#This Row],[App]],Table2[],3,0),"open")</f>
        <v>ok</v>
      </c>
      <c r="C4370" s="149" t="s">
        <v>375</v>
      </c>
      <c r="D4370" s="149" t="s">
        <v>6346</v>
      </c>
      <c r="E4370" s="149" t="s">
        <v>6520</v>
      </c>
      <c r="F4370" s="150"/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0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4896</v>
      </c>
      <c r="M4370" s="156">
        <v>45937</v>
      </c>
      <c r="N4370" s="157"/>
      <c r="O4370" s="157"/>
      <c r="P4370" s="156" t="str">
        <f ca="1">IF(Proc[[#This Row],[DaysAgeing]]&gt;5,"yep","on track")</f>
        <v>on track</v>
      </c>
      <c r="Q4370" s="3">
        <f ca="1">IF(Proc[[#This Row],[DateClosed]]="",ABS(NETWORKDAYS(Proc[[#This Row],[DateOpened]],TODAY()))-1,ABS(NETWORKDAYS(Proc[[#This Row],[DateOpened]],Proc[[#This Row],[DateClosed]]))-1)</f>
        <v>1</v>
      </c>
      <c r="R4370" s="156" t="s">
        <v>780</v>
      </c>
      <c r="S4370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5"/>
  <cols>
    <col min="1" max="1" width="64" bestFit="1" customWidth="1"/>
    <col min="2" max="2" width="24.85546875" bestFit="1" customWidth="1"/>
    <col min="3" max="3" width="20.285156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2025-10-07T18:50:38Z</dcterms:modified>
  <cp:category/>
  <cp:contentStatus/>
</cp:coreProperties>
</file>