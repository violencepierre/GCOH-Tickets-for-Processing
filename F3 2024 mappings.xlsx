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F8BE4D4-FA41-4366-92C9-E77024F98A47}" xr6:coauthVersionLast="47" xr6:coauthVersionMax="47" xr10:uidLastSave="{00000000-0000-0000-0000-000000000000}"/>
  <bookViews>
    <workbookView xWindow="4680" yWindow="4680" windowWidth="19245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63" i="1" l="1"/>
  <c r="J4262" i="1"/>
  <c r="J4261" i="1"/>
  <c r="J4260" i="1"/>
  <c r="J4246" i="1"/>
  <c r="J4245" i="1"/>
  <c r="J4243" i="1"/>
  <c r="J4241" i="1"/>
  <c r="J4240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28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<sst xmlns="http://schemas.openxmlformats.org/spreadsheetml/2006/main" count="38388" uniqueCount="6446">
  <si>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</si>
  <si>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</si>
  <si>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</si>
  <si>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</si>
  <si>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</si>
  <si>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</si>
  <si>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</si>
  <si>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</si>
  <si>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</si>
  <si>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</si>
  <si>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</si>
  <si>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</si>
  <si>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</si>
  <si>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</si>
  <si>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</si>
  <si>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</si>
  <si>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</si>
  <si>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</si>
  <si>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</si>
  <si>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</si>
  <si>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</si>
  <si>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</si>
  <si>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</si>
  <si>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</si>
  <si>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</si>
  <si>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</si>
  <si>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</si>
  <si>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</si>
  <si>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</si>
  <si>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</si>
  <si>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</si>
  <si>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</si>
  <si>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</si>
  <si>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</si>
  <si>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</si>
  <si>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</si>
  <si>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</si>
  <si>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</si>
  <si>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</si>
  <si>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</si>
  <si>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</si>
  <si>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</si>
  <si>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</si>
  <si>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</si>
  <si>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</si>
  <si>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</si>
  <si>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</si>
  <si>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</si>
  <si>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</si>
  <si>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</si>
  <si>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</si>
  <si>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</si>
  <si>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</si>
  <si>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</si>
  <si>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</si>
  <si>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</si>
  <si>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</si>
  <si>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</si>
  <si>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</si>
  <si>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</si>
  <si>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</si>
  <si>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</si>
  <si>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</si>
  <si>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</si>
  <si>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</si>
  <si>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</si>
  <si>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</si>
  <si>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</si>
  <si>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</si>
  <si>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</si>
  <si>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</si>
  <si>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</si>
  <si>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</si>
  <si>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</si>
  <si>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</si>
  <si>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</si>
  <si>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</si>
  <si>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</si>
  <si>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</si>
  <si>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</si>
  <si>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</si>
  <si>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</si>
  <si>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</si>
  <si>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</si>
  <si>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</si>
  <si>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</si>
  <si>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</si>
  <si>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</si>
  <si>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</si>
  <si>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</si>
  <si>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</si>
  <si>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</si>
  <si>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</si>
  <si>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</si>
  <si>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</si>
  <si>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</si>
  <si>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</si>
  <si>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</si>
  <si>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</si>
  <si>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</si>
  <si>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</si>
  <si>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</si>
  <si>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</si>
  <si>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</si>
  <si>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</si>
  <si>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</si>
  <si>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</si>
  <si>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</si>
  <si>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</si>
  <si>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</si>
  <si>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</si>
  <si>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</si>
  <si>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</si>
  <si>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</si>
  <si>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</si>
  <si>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</si>
  <si>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</si>
  <si>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</si>
  <si>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</si>
  <si>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</si>
  <si>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</si>
  <si>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</si>
  <si>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</si>
  <si>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</si>
  <si>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</si>
  <si>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</si>
  <si>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</si>
  <si>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</si>
  <si>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</si>
  <si>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</si>
  <si>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</si>
  <si>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</si>
  <si>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</si>
  <si>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</si>
  <si>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</si>
  <si>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</si>
  <si>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</si>
  <si>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</si>
  <si>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</si>
  <si>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</si>
  <si>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</si>
  <si>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</si>
  <si>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</si>
  <si>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</si>
  <si>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</si>
  <si>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</si>
  <si>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</si>
  <si>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</si>
  <si>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</si>
  <si>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</si>
  <si>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</si>
  <si>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</si>
  <si>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</si>
  <si>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</si>
  <si>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</si>
  <si>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</si>
  <si>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</si>
  <si>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</si>
  <si>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</si>
  <si>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</si>
  <si>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</si>
  <si>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</si>
  <si>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</si>
  <si>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</si>
  <si>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</si>
  <si>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</si>
  <si>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</si>
  <si>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</si>
  <si>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</si>
  <si>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</si>
  <si>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</si>
  <si>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</si>
  <si>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</si>
  <si>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</si>
  <si>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</si>
  <si>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</si>
  <si>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</si>
  <si>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</si>
  <si>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</si>
  <si>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</si>
  <si>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</si>
  <si>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</si>
  <si>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</si>
  <si>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</si>
  <si>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</si>
  <si>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</si>
  <si>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</si>
  <si>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</si>
  <si>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</si>
  <si>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</si>
  <si>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</si>
  <si>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</si>
  <si>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</si>
  <si>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</si>
  <si>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</si>
  <si>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</si>
  <si>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</si>
  <si>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</si>
  <si>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</si>
  <si>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</si>
  <si>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</si>
  <si>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</si>
  <si>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</si>
  <si>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</si>
  <si>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</si>
  <si>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</si>
  <si>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</si>
  <si>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</si>
  <si>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</si>
  <si>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</si>
  <si>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</si>
  <si>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</si>
  <si>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</si>
  <si>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</si>
  <si>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</si>
  <si>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</si>
  <si>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</si>
  <si>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</si>
  <si>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</si>
  <si>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</si>
  <si>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</si>
  <si>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</si>
  <si>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</si>
  <si>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</si>
  <si>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</si>
  <si>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</si>
  <si>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</si>
  <si>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</si>
  <si>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</si>
  <si>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</si>
  <si>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</si>
  <si>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</si>
  <si>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</si>
  <si>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</si>
  <si>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</si>
  <si>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</si>
  <si>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</si>
  <si>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</si>
  <si>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</si>
  <si>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</si>
  <si>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</si>
  <si>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</si>
  <si>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</si>
  <si>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</si>
  <si>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</si>
  <si>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</si>
  <si>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</si>
  <si>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</si>
  <si>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</si>
  <si>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</si>
  <si>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</si>
  <si>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</si>
  <si>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</si>
  <si>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</si>
  <si>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</si>
  <si>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</si>
  <si>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</si>
  <si>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</si>
  <si>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</si>
  <si>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</si>
  <si>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</si>
  <si>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</si>
  <si>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</si>
  <si>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</si>
  <si>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</si>
  <si>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</si>
  <si>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</si>
  <si>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</si>
  <si>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</si>
  <si>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</si>
  <si>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</si>
  <si>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</si>
  <si>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</si>
  <si>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</si>
  <si>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</si>
  <si>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</si>
  <si>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</si>
  <si>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</si>
  <si>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</si>
  <si>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</si>
  <si>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</si>
  <si>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</si>
  <si>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</si>
  <si>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</si>
  <si>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</si>
  <si>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</si>
  <si>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</si>
  <si>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</si>
  <si>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</si>
  <si>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</si>
  <si>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</si>
  <si>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</si>
  <si>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</si>
  <si>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</si>
  <si>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</si>
  <si>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</si>
  <si>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</si>
  <si>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</si>
  <si>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</si>
  <si>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</si>
  <si>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</si>
  <si>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</si>
  <si>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</si>
  <si>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</si>
  <si>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</si>
  <si>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</si>
  <si>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</si>
  <si>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</si>
  <si>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</si>
  <si>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</si>
  <si>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</si>
  <si>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</si>
  <si>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</si>
  <si>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</si>
  <si>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</si>
  <si>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</si>
  <si>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</si>
  <si>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</si>
  <si>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</si>
  <si>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</si>
  <si>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</si>
  <si>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</si>
  <si>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</si>
  <si>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</si>
  <si>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</si>
  <si>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</si>
  <si>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</si>
  <si>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</si>
  <si>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</si>
  <si>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</si>
  <si>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</si>
  <si>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</si>
  <si>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</si>
  <si>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</si>
  <si>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</si>
  <si>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</si>
  <si>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</si>
  <si>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</si>
  <si>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</si>
  <si>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</si>
  <si>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</si>
  <si>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</si>
  <si>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</si>
  <si>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</si>
  <si>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</si>
  <si>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</si>
  <si>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</si>
  <si>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</si>
  <si>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</si>
  <si>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</si>
  <si>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</si>
  <si>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</si>
  <si>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</si>
  <si>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</si>
  <si>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</si>
  <si>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</si>
  <si>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</si>
  <si>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</si>
  <si>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</si>
  <si>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</si>
  <si>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</si>
  <si>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</si>
  <si>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</si>
  <si>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</si>
  <si>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</si>
  <si>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</si>
  <si>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</si>
  <si>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</si>
  <si>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</si>
  <si>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</si>
  <si>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</si>
  <si>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</si>
  <si>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</si>
  <si>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</si>
  <si>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</si>
  <si>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</si>
  <si>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</si>
  <si>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</si>
  <si>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</si>
  <si>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</si>
  <si>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</si>
  <si>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</si>
  <si>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</si>
  <si>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</si>
  <si>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</si>
  <si>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</si>
  <si>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</si>
  <si>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</si>
  <si>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</si>
  <si>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</si>
  <si>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</si>
  <si>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</si>
  <si>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</si>
  <si>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</si>
  <si>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</si>
  <si>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</si>
  <si>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</si>
  <si>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</si>
  <si>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</si>
  <si>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</si>
  <si>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</si>
  <si>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</si>
  <si>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</si>
  <si>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</si>
  <si>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</si>
  <si>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</si>
  <si>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</si>
  <si>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</si>
  <si>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</si>
  <si>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</si>
  <si>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</si>
  <si>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</si>
  <si>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</si>
  <si>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</si>
  <si>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</si>
  <si>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</si>
  <si>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</si>
  <si>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</si>
  <si>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</si>
  <si>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</si>
  <si>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</si>
  <si>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</si>
  <si>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</si>
  <si>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</si>
  <si>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</si>
  <si>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</si>
  <si>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</si>
  <si>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</si>
  <si>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</si>
  <si>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</si>
  <si>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</si>
  <si>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</si>
  <si>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</si>
  <si>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</si>
  <si>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</si>
  <si>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</si>
  <si>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</si>
  <si>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</si>
  <si>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</si>
  <si>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</si>
  <si>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</si>
  <si>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</si>
  <si>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</si>
  <si>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</si>
  <si>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</si>
  <si>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</si>
  <si>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</si>
  <si>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</si>
  <si>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</si>
  <si>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</si>
  <si>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</si>
  <si>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</si>
  <si>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</si>
  <si>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</si>
  <si>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</si>
  <si>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</si>
  <si>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</si>
  <si>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</si>
  <si>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</si>
  <si>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</si>
  <si>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</si>
  <si>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</si>
  <si>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</si>
  <si>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</si>
  <si>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</si>
  <si>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</si>
  <si>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</si>
  <si>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</si>
  <si>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</si>
  <si>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</si>
  <si>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</si>
  <si>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</si>
  <si>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</si>
  <si>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</si>
  <si>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</si>
  <si>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</si>
  <si>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</si>
  <si>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</si>
  <si>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</si>
  <si>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</si>
  <si>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</si>
  <si>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</si>
  <si>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</si>
  <si>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</si>
  <si>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</si>
  <si>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</si>
  <si>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</si>
  <si>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</si>
  <si>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</si>
  <si>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</si>
  <si>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</si>
  <si>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</si>
  <si>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</si>
  <si>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</si>
  <si>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</si>
  <si>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</si>
  <si>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</si>
  <si>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</si>
  <si>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</si>
  <si>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</si>
  <si>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</si>
  <si>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</si>
  <si>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</si>
  <si>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</si>
  <si>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</si>
  <si>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</si>
  <si>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</si>
  <si>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</si>
  <si>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</si>
  <si>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</si>
  <si>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</si>
  <si>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</si>
  <si>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</si>
  <si>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</si>
  <si>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</si>
  <si>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</si>
  <si>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</si>
  <si>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</si>
  <si>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</si>
  <si>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</si>
  <si>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</si>
  <si>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</si>
  <si>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</si>
  <si>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</si>
  <si>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</si>
  <si>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</si>
  <si>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</si>
  <si>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</si>
  <si>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</si>
  <si>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</si>
  <si>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</si>
  <si>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</si>
  <si>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</si>
  <si>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</si>
  <si>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</si>
  <si>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</si>
  <si>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</si>
  <si>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</si>
  <si>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</si>
  <si>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</si>
  <si>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</si>
  <si>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</si>
  <si>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</si>
  <si>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</si>
  <si>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</si>
  <si>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</si>
  <si>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</si>
  <si>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</si>
  <si>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</si>
  <si>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</si>
  <si>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</si>
  <si>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</si>
  <si>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</si>
  <si>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</si>
  <si>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</si>
  <si>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</si>
  <si>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</si>
  <si>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</si>
  <si>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</si>
  <si>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</si>
  <si>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</si>
  <si>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</si>
  <si>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</si>
  <si>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</si>
  <si>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</si>
  <si>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</si>
  <si>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</si>
  <si>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</si>
  <si>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</si>
  <si>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</si>
  <si>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</si>
  <si>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</si>
  <si>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</si>
  <si>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</si>
  <si>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</si>
  <si>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</si>
  <si>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</si>
  <si>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</si>
  <si>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</si>
  <si>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</si>
  <si>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</si>
  <si>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</si>
  <si>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</si>
  <si>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</si>
  <si>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</si>
  <si>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</si>
  <si>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</si>
  <si>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</si>
  <si>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</si>
  <si>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</si>
  <si>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</si>
  <si>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</si>
  <si>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</si>
  <si>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</si>
  <si>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</si>
  <si>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</si>
  <si>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</si>
  <si>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</si>
  <si>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</si>
  <si>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</si>
  <si>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</si>
  <si>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</si>
  <si>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</si>
  <si>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</si>
  <si>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</si>
  <si>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</si>
  <si>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</si>
  <si>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</si>
  <si>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</si>
  <si>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</si>
  <si>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</si>
  <si>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</si>
  <si>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</si>
  <si>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</si>
  <si>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</si>
  <si>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</si>
  <si>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</si>
  <si>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</si>
  <si>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</si>
  <si>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</si>
  <si>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</si>
  <si>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</si>
  <si>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</si>
  <si>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</si>
  <si>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</si>
  <si>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</si>
  <si>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</si>
  <si>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</si>
  <si>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</si>
  <si>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</si>
  <si>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</si>
  <si>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</si>
  <si>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</si>
  <si>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</si>
  <si>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</si>
  <si>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</si>
  <si>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</si>
  <si>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</si>
  <si>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</si>
  <si>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</si>
  <si>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</si>
  <si>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</si>
  <si>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</si>
  <si>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</si>
  <si>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</si>
  <si>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</si>
  <si>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</si>
  <si>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</si>
  <si>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</si>
  <si>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</si>
  <si>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</si>
  <si>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</si>
  <si>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</si>
  <si>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</si>
  <si>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</si>
  <si>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</si>
  <si>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</si>
  <si>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</si>
  <si>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</si>
  <si>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</si>
  <si>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</si>
  <si>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</si>
  <si>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</si>
  <si>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</si>
  <si>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</si>
  <si>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</si>
  <si>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</si>
  <si>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</si>
  <si>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</si>
  <si>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</si>
  <si>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</si>
  <si>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</si>
  <si>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</si>
  <si>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</si>
  <si>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</si>
  <si>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</si>
  <si>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</si>
  <si>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</si>
  <si>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</si>
  <si>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</si>
  <si>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</si>
  <si>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</si>
  <si>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</si>
  <si>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</si>
  <si>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</si>
  <si>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</si>
  <si>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</si>
  <si>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</si>
  <si>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</si>
  <si>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</si>
  <si>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</si>
  <si>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</si>
  <si>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</si>
  <si>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</si>
  <si>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</si>
  <si>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</si>
  <si>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</si>
  <si>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</si>
  <si>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</si>
  <si>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</si>
  <si>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</si>
  <si>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</si>
  <si>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</si>
  <si>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</si>
  <si>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</si>
  <si>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</si>
  <si>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</si>
  <si>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</si>
  <si>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</si>
  <si>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</si>
  <si>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</si>
  <si>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</si>
  <si>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</si>
  <si>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</si>
  <si>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</si>
  <si>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</si>
  <si>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</si>
  <si>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</si>
  <si>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</si>
  <si>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</si>
  <si>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</si>
  <si>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</si>
  <si>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</si>
  <si>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</si>
  <si>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</si>
  <si>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</si>
  <si>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</si>
  <si>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</si>
  <si>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</si>
  <si>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</si>
  <si>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</si>
  <si>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</si>
  <si>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</si>
  <si>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</si>
  <si>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</si>
  <si>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</si>
  <si>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</si>
  <si>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</si>
  <si>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</si>
  <si>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</si>
  <si>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</si>
  <si>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</si>
  <si>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</si>
  <si>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</si>
  <si>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</si>
  <si>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</si>
  <si>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</si>
  <si>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</si>
  <si>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</si>
  <si>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</si>
  <si>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</si>
  <si>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</si>
  <si>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</si>
  <si>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</si>
  <si>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</si>
  <si>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</si>
  <si>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</si>
  <si>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</si>
  <si>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</si>
  <si>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</si>
  <si>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</si>
  <si>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</si>
  <si>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</si>
  <si>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</si>
  <si>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</si>
  <si>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</si>
  <si>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</si>
  <si>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</si>
  <si>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</si>
  <si>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</si>
  <si>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</si>
  <si>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</si>
  <si>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</si>
  <si>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</si>
  <si>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</si>
  <si>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</si>
  <si>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</si>
  <si>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</si>
  <si>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</si>
  <si>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</si>
  <si>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</si>
  <si>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</si>
  <si>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</si>
  <si>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</si>
  <si>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</si>
  <si>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</si>
  <si>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</si>
  <si>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</si>
  <si>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</si>
  <si>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</si>
  <si>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</si>
  <si>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</si>
  <si>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</si>
  <si>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</si>
  <si>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</si>
  <si>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</si>
  <si>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</si>
  <si>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</si>
  <si>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</si>
  <si>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</si>
  <si>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</si>
  <si>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</si>
  <si>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</si>
  <si>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</si>
  <si>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</si>
  <si>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</si>
  <si>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</si>
  <si>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</si>
  <si>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</si>
  <si>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</si>
  <si>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</si>
  <si>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</si>
  <si>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</si>
  <si>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</si>
  <si>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</si>
  <si>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</si>
  <si>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</si>
  <si>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</si>
  <si>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</si>
  <si>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</si>
  <si>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</si>
  <si>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</si>
  <si>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</si>
  <si>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</si>
  <si>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</si>
  <si>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</si>
  <si>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</si>
  <si>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</si>
  <si>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</si>
  <si>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</si>
  <si>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</si>
  <si>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</si>
  <si>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</si>
  <si>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</si>
  <si>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</si>
  <si>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</si>
  <si>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</si>
  <si>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</si>
  <si>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</si>
  <si>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</si>
  <si>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</si>
  <si>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</si>
  <si>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</si>
  <si>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</si>
  <si>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</si>
  <si>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</si>
  <si>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</si>
  <si>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</si>
  <si>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</si>
  <si>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</si>
  <si>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</si>
  <si>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</si>
  <si>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</si>
  <si>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</si>
  <si>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</si>
  <si>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</si>
  <si>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</si>
  <si>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</si>
  <si>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</si>
  <si>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</si>
  <si>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</si>
  <si>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</si>
  <si>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</si>
  <si>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</si>
  <si>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</si>
  <si>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</si>
  <si>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</si>
  <si>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</si>
  <si>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</si>
  <si>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</si>
  <si>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</si>
  <si>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</si>
  <si>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</si>
  <si>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</si>
  <si>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</si>
  <si>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</si>
  <si>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</si>
  <si>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</si>
  <si>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</si>
  <si>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</si>
  <si>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</si>
  <si>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</si>
  <si>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</si>
  <si>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</si>
  <si>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</si>
  <si>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</si>
  <si>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</si>
  <si>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</si>
  <si>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</si>
  <si>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</si>
  <si>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</si>
  <si>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</si>
  <si>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</si>
  <si>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</si>
  <si>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</si>
  <si>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</si>
  <si>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</si>
  <si>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</si>
  <si>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</si>
  <si>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</si>
  <si>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</si>
  <si>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</si>
  <si>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</si>
  <si>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</si>
  <si>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</si>
  <si>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</si>
  <si>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</si>
  <si>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</si>
  <si>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</si>
  <si>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</si>
  <si>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</si>
  <si>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</si>
  <si>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</si>
  <si>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</si>
  <si>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</si>
  <si>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</si>
  <si>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</si>
  <si>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</si>
  <si>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</si>
  <si>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</si>
  <si>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</si>
  <si>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</si>
  <si>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</si>
  <si>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</si>
  <si>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</si>
  <si>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</si>
  <si>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</si>
  <si>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</si>
  <si>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</si>
  <si>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</si>
  <si>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</si>
  <si>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</si>
  <si>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</si>
  <si>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</si>
  <si>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</si>
  <si>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</si>
  <si>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</si>
  <si>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</si>
  <si>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</si>
  <si>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</si>
  <si>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</si>
  <si>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</si>
  <si>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</si>
  <si>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</si>
  <si>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</si>
  <si>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</si>
  <si>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</si>
  <si>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</si>
  <si>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</si>
  <si>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</si>
  <si>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</si>
  <si>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</si>
  <si>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</si>
  <si>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</si>
  <si>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</si>
  <si>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</si>
  <si>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</si>
  <si>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</si>
  <si>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</si>
  <si>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</si>
  <si>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</si>
  <si>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</si>
  <si>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</si>
  <si>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</si>
  <si>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</si>
  <si>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</si>
  <si>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</si>
  <si>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</si>
  <si>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</si>
  <si>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</si>
  <si>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</si>
  <si>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</si>
  <si>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</si>
  <si>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</si>
  <si>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</si>
  <si>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</si>
  <si>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</si>
  <si>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</si>
  <si>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</si>
  <si>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</si>
  <si>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</si>
  <si>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</si>
  <si>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</si>
  <si>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</si>
  <si>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</si>
  <si>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</si>
  <si>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</si>
  <si>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</si>
  <si>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</si>
  <si>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</si>
  <si>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</si>
  <si>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</si>
  <si>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</si>
  <si>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</si>
  <si>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</si>
  <si>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</si>
  <si>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</si>
  <si>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</si>
  <si>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</si>
  <si>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</si>
  <si>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</si>
  <si>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</si>
  <si>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</si>
  <si>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</si>
  <si>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</si>
  <si>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</si>
  <si>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</si>
  <si>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</si>
  <si>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</si>
  <si>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</si>
  <si>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</si>
  <si>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</si>
  <si>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</si>
  <si>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</si>
  <si>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</si>
  <si>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</si>
  <si>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</si>
  <si>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</si>
  <si>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</si>
  <si>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</si>
  <si>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</si>
  <si>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</si>
  <si>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</si>
  <si>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</si>
  <si>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</si>
  <si>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</si>
  <si>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</si>
  <si>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</si>
  <si>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</si>
  <si>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</si>
  <si>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</si>
  <si>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</si>
  <si>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</si>
  <si>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</si>
  <si>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</si>
  <si>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</si>
  <si>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</si>
  <si>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</si>
  <si>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</si>
  <si>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</si>
  <si>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</si>
  <si>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</si>
  <si>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</si>
  <si>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</si>
  <si>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</si>
  <si>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</si>
  <si>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</si>
  <si>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</si>
  <si>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</si>
  <si>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</si>
  <si>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</si>
  <si>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</si>
  <si>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</si>
  <si>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</si>
  <si>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</si>
  <si>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</si>
  <si>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</si>
  <si>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</si>
  <si>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</si>
  <si>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</si>
  <si>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</si>
  <si>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</si>
  <si>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</si>
  <si>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</si>
  <si>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</si>
  <si>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</si>
  <si>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</si>
  <si>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</si>
  <si>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</si>
  <si>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</si>
  <si>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</si>
  <si>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</si>
  <si>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</si>
  <si>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</si>
  <si>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</si>
  <si>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</si>
  <si>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</si>
  <si>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</si>
  <si>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</si>
  <si>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</si>
  <si>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</si>
  <si>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</si>
  <si>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</si>
  <si>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</si>
  <si>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</si>
  <si>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</si>
  <si>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</si>
  <si>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</si>
  <si>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</si>
  <si>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</si>
  <si>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</si>
  <si>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</si>
  <si>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</si>
  <si>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</si>
  <si>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</si>
  <si>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</si>
  <si>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</si>
  <si>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</si>
  <si>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</si>
  <si>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</si>
  <si>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</si>
  <si>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</si>
  <si>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</si>
  <si>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</si>
  <si>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</si>
  <si>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</si>
  <si>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</si>
  <si>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</si>
  <si>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</si>
  <si>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</si>
  <si>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</si>
  <si>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</si>
  <si>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</si>
  <si>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</si>
  <si>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</si>
  <si>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</si>
  <si>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</si>
  <si>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</si>
  <si>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</si>
  <si>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</si>
  <si>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</si>
  <si>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</si>
  <si>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</si>
  <si>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</si>
  <si>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</si>
  <si>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</si>
  <si>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</si>
  <si>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</si>
  <si>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</si>
  <si>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</si>
  <si>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</si>
  <si>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</si>
  <si>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</si>
  <si>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</si>
  <si>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</si>
  <si>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</si>
  <si>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</si>
  <si>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</si>
  <si>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</si>
  <si>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</si>
  <si>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</si>
  <si>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</si>
  <si>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</si>
  <si>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</si>
  <si>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</si>
  <si>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</si>
  <si>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</si>
  <si>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</si>
  <si>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</si>
  <si>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</si>
  <si>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</si>
  <si>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</si>
  <si>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</si>
  <si>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</si>
  <si>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</si>
  <si>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</si>
  <si>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</si>
  <si>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</si>
  <si>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</si>
  <si>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</si>
  <si>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</si>
  <si>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</si>
  <si>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</si>
  <si>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</si>
  <si>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</si>
  <si>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</si>
  <si>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</si>
  <si>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</si>
  <si>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</si>
  <si>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</si>
  <si>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</si>
  <si>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</si>
  <si>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</si>
  <si>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</si>
  <si>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</si>
  <si>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</si>
  <si>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</si>
  <si>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</si>
  <si>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</si>
  <si>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</si>
  <si>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</si>
  <si>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</si>
  <si>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</si>
  <si>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</si>
  <si>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</si>
  <si>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</si>
  <si>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</si>
  <si>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</si>
  <si>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</si>
  <si>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</si>
  <si>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</si>
  <si>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</si>
  <si>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</si>
  <si>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</si>
  <si>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</si>
  <si>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</si>
  <si>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</si>
  <si>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</si>
  <si>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</si>
  <si>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</si>
  <si>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</si>
  <si>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</si>
  <si>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</si>
  <si>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</si>
  <si>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</si>
  <si>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</si>
  <si>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</si>
  <si>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</si>
  <si>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</si>
  <si>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</si>
  <si>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</si>
  <si>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</si>
  <si>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</si>
  <si>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</si>
  <si>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</si>
  <si>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</si>
  <si>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</si>
  <si>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</si>
  <si>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</si>
  <si>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</si>
  <si>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</si>
  <si>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</si>
  <si>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</si>
  <si>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</si>
  <si>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</si>
  <si>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</si>
  <si>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</si>
  <si>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</si>
  <si>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</si>
  <si>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</si>
  <si>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</si>
  <si>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</si>
  <si>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</si>
  <si>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</si>
  <si>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</si>
  <si>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</si>
  <si>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</si>
  <si>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</si>
  <si>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</si>
  <si>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</si>
  <si>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</si>
  <si>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</si>
  <si>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</si>
  <si>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</si>
  <si>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</si>
  <si>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</si>
  <si>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</si>
  <si>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</si>
  <si>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</si>
  <si>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</si>
  <si>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</si>
  <si>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</si>
  <si>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</si>
  <si>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</si>
  <si>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</si>
  <si>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</si>
  <si>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</si>
  <si>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</si>
  <si>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</si>
  <si>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</si>
  <si>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</si>
  <si>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</si>
  <si>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</si>
  <si>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</si>
  <si>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</si>
  <si>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</si>
  <si>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</si>
  <si>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</si>
  <si>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</si>
  <si>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</si>
  <si>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</si>
  <si>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</si>
  <si>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</si>
  <si>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</si>
  <si>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</si>
  <si>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</si>
  <si>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</si>
  <si>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</si>
  <si>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</si>
  <si>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</si>
  <si>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</si>
  <si>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</si>
  <si>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</si>
  <si>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</si>
  <si>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</si>
  <si>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</si>
  <si>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</si>
  <si>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</si>
  <si>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</si>
  <si>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</si>
  <si>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</si>
  <si>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</si>
  <si>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</si>
  <si>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</si>
  <si>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</si>
  <si>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</si>
  <si>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</si>
  <si>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</si>
  <si>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</si>
  <si>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</si>
  <si>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</si>
  <si>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</si>
  <si>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</si>
  <si>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</si>
  <si>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</si>
  <si>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</si>
  <si>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</si>
  <si>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</si>
  <si>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</si>
  <si>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</si>
  <si>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</si>
  <si>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</si>
  <si>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</si>
  <si>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</si>
  <si>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</si>
  <si>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</si>
  <si>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</si>
  <si>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</si>
  <si>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</si>
  <si>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</si>
  <si>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</si>
  <si>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</si>
  <si>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</si>
  <si>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</si>
  <si>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</si>
  <si>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</si>
  <si>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</si>
  <si>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</si>
  <si>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</si>
  <si>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</si>
  <si>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</si>
  <si>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</si>
  <si>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</si>
  <si>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</si>
  <si>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</si>
  <si>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</si>
  <si>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</si>
  <si>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</si>
  <si>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</si>
  <si>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</si>
  <si>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</si>
  <si>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</si>
  <si>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</si>
  <si>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</si>
  <si>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</si>
  <si>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</si>
  <si>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</si>
  <si>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</si>
  <si>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</si>
  <si>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</si>
  <si>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</si>
  <si>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</si>
  <si>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</si>
  <si>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</si>
  <si>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</si>
  <si>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</si>
  <si>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</si>
  <si>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</si>
  <si>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</si>
  <si>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</si>
  <si>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</si>
  <si>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</si>
  <si>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</si>
  <si>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</si>
  <si>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</si>
  <si>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</si>
  <si>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</si>
  <si>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</si>
  <si>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</si>
  <si>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</si>
  <si>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</si>
  <si>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</si>
  <si>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</si>
  <si>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</si>
  <si>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</si>
  <si>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</si>
  <si>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</si>
  <si>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</si>
  <si>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</si>
  <si>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</si>
  <si>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</si>
  <si>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</si>
  <si>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</si>
  <si>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</si>
  <si>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</si>
  <si>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</si>
  <si>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</si>
  <si>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</si>
  <si>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</si>
  <si>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</si>
  <si>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</si>
  <si>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</si>
  <si>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</si>
  <si>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</si>
  <si>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</si>
  <si>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</si>
  <si>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</si>
  <si>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</si>
  <si>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</si>
  <si>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</si>
  <si>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</si>
  <si>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</si>
  <si>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</si>
  <si>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</si>
  <si>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</si>
  <si>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</si>
  <si>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</si>
  <si>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</si>
  <si>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</si>
  <si>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</si>
  <si>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</si>
  <si>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</si>
  <si>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</si>
  <si>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</si>
  <si>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</si>
  <si>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</si>
  <si>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</si>
  <si>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</si>
  <si>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</si>
  <si>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</si>
  <si>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</si>
  <si>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</si>
  <si>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</si>
  <si>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</si>
  <si>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</si>
  <si>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</si>
  <si>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</si>
  <si>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</si>
  <si>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</si>
  <si>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</si>
  <si>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</si>
  <si>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</si>
  <si>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</si>
  <si>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</si>
  <si>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</si>
  <si>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</si>
  <si>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</si>
  <si>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</si>
  <si>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</si>
  <si>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</si>
  <si>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</si>
  <si>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</si>
  <si>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</si>
  <si>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</si>
  <si>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</si>
  <si>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</si>
  <si>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</si>
  <si>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</si>
  <si>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</si>
  <si>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</si>
  <si>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</si>
  <si>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</si>
  <si>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</si>
  <si>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</si>
  <si>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</si>
  <si>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</si>
  <si>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</si>
  <si>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</si>
  <si>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</si>
  <si>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</si>
  <si>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</si>
  <si>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</si>
  <si>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</si>
  <si>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</si>
  <si>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</si>
  <si>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</si>
  <si>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</si>
  <si>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</si>
  <si>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</si>
  <si>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</si>
  <si>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</si>
  <si>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</si>
  <si>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</si>
  <si>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</si>
  <si>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</si>
  <si>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</si>
  <si>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</si>
  <si>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</si>
  <si>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</si>
  <si>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</si>
  <si>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</si>
  <si>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</si>
  <si>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</si>
  <si>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</si>
  <si>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</si>
  <si>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</si>
  <si>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</si>
  <si>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</si>
  <si>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</si>
  <si>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</si>
  <si>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</si>
  <si>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</si>
  <si>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</si>
  <si>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</si>
  <si>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</si>
  <si>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</si>
  <si>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</si>
  <si>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</si>
  <si>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</si>
  <si>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</si>
  <si>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</si>
  <si>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</si>
  <si>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</si>
  <si>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</si>
  <si>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</si>
  <si>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</si>
  <si>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</si>
  <si>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</si>
  <si>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</si>
  <si>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</si>
  <si>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</si>
  <si>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</si>
  <si>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</si>
  <si>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</si>
  <si>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</si>
  <si>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</si>
  <si>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</si>
  <si>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</si>
  <si>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</si>
  <si>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</si>
  <si>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</si>
  <si>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</si>
  <si>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</si>
  <si>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</si>
  <si>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</si>
  <si>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</si>
  <si>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</si>
  <si>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</si>
  <si>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</si>
  <si>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</si>
  <si>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</si>
  <si>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</si>
  <si>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</si>
  <si>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</si>
  <si>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</si>
  <si>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</si>
  <si>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</si>
  <si>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</si>
  <si>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</si>
  <si>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</si>
  <si>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</si>
  <si>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</si>
  <si>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</si>
  <si>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</si>
  <si>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</si>
  <si>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</si>
  <si>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</si>
  <si>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</si>
  <si>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</si>
  <si>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</si>
  <si>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</si>
  <si>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</si>
  <si>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</si>
  <si>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</si>
  <si>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</si>
  <si>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</si>
  <si>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</si>
  <si>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</si>
  <si>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</si>
  <si>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</si>
  <si>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</si>
  <si>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</si>
  <si>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</si>
  <si>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</si>
  <si>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</si>
  <si>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</si>
  <si>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</si>
  <si>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</si>
  <si>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</si>
  <si>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</si>
  <si>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</si>
  <si>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</si>
  <si>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</si>
  <si>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</si>
  <si>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</si>
  <si>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</si>
  <si>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</si>
  <si>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</si>
  <si>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</si>
  <si>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</si>
  <si>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</si>
  <si>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</si>
  <si>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</si>
  <si>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</si>
  <si>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</si>
  <si>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</si>
  <si>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</si>
  <si>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</si>
  <si>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</si>
  <si>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</si>
  <si>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</si>
  <si>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</si>
  <si>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</si>
  <si>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</si>
  <si>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</si>
  <si>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</si>
  <si>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</si>
  <si>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</si>
  <si>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</si>
  <si>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</si>
  <si>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</si>
  <si>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</si>
  <si>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</si>
  <si>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</si>
  <si>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</si>
  <si>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</si>
  <si>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</si>
  <si>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</si>
  <si>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</si>
  <si>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</si>
  <si>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</si>
  <si>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</si>
  <si>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</si>
  <si>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</si>
  <si>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</si>
  <si>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</si>
  <si>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</si>
  <si>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</si>
  <si>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</si>
  <si>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</si>
  <si>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</si>
  <si>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</si>
  <si>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</si>
  <si>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</si>
  <si>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</si>
  <si>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</si>
  <si>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</si>
  <si>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</si>
  <si>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</si>
  <si>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</si>
  <si>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</si>
  <si>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</si>
  <si>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</si>
  <si>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</si>
  <si>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</si>
  <si>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</si>
  <si>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</si>
  <si>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</si>
  <si>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</si>
  <si>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</si>
  <si>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</si>
  <si>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</si>
  <si>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</si>
  <si>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</si>
  <si>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</si>
  <si>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</si>
  <si>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</si>
  <si>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</si>
  <si>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</si>
  <si>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</si>
  <si>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</si>
  <si>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</si>
  <si>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</si>
  <si>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</si>
  <si>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</si>
  <si>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</si>
  <si>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</si>
  <si>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</si>
  <si>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</si>
  <si>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</si>
  <si>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</si>
  <si>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</si>
  <si>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</si>
  <si>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</si>
  <si>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</si>
  <si>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</si>
  <si>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</si>
  <si>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</si>
  <si>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</si>
  <si>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</si>
  <si>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</si>
  <si>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</si>
  <si>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</si>
  <si>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</si>
  <si>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</si>
  <si>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</si>
  <si>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</si>
  <si>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</si>
  <si>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</si>
  <si>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</si>
  <si>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</si>
  <si>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</si>
  <si>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</si>
  <si>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</si>
  <si>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</si>
  <si>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</si>
  <si>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</si>
  <si>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</si>
  <si>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</si>
  <si>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</si>
  <si>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</si>
  <si>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</si>
  <si>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</si>
  <si>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</si>
  <si>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</si>
  <si>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</si>
  <si>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</si>
  <si>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</si>
  <si>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</si>
  <si>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</si>
  <si>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</si>
  <si>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</si>
  <si>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</si>
  <si>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</si>
  <si>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</si>
  <si>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</si>
  <si>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</si>
  <si>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</si>
  <si>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</si>
  <si>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</si>
  <si>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</si>
  <si>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</si>
  <si>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</si>
  <si>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</si>
  <si>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</si>
  <si>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</si>
  <si>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</si>
  <si>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</si>
  <si>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</si>
  <si>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</si>
  <si>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</si>
  <si>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</si>
  <si>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</si>
  <si>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</si>
  <si>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</si>
  <si>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</si>
  <si>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</si>
  <si>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</si>
  <si>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</si>
  <si>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</si>
  <si>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</si>
  <si>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</si>
  <si>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</si>
  <si>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</si>
  <si>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</si>
  <si>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</si>
  <si>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</si>
  <si>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</si>
  <si>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</si>
  <si>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</si>
  <si>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</si>
  <si>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</si>
  <si>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</si>
  <si>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</si>
  <si>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</si>
  <si>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</si>
  <si>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</si>
  <si>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</si>
  <si>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</si>
  <si>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</si>
  <si>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</si>
  <si>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</si>
  <si>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</si>
  <si>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</si>
  <si>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</si>
  <si>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</si>
  <si>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</si>
  <si>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</si>
  <si>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</si>
  <si>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</si>
  <si>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</si>
  <si>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</si>
  <si>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</si>
  <si>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</si>
  <si>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</si>
  <si>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</si>
  <si>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</si>
  <si>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</si>
  <si>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</si>
  <si>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</si>
  <si>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</si>
  <si>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</si>
  <si>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</si>
  <si>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</si>
  <si>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</si>
  <si>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</si>
  <si>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</si>
  <si>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</si>
  <si>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</si>
  <si>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</si>
  <si>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</si>
  <si>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</si>
  <si>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</si>
  <si>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</si>
  <si>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</si>
  <si>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</si>
  <si>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</si>
  <si>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</si>
  <si>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</si>
  <si>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</si>
  <si>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</si>
  <si>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</si>
  <si>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</si>
  <si>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</si>
  <si>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</si>
  <si>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</si>
  <si>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</si>
  <si>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</si>
  <si>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</si>
  <si>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</si>
  <si>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</si>
  <si>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</si>
  <si>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</si>
  <si>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</si>
  <si>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</si>
  <si>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</si>
  <si>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</si>
  <si>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</si>
  <si>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</si>
  <si>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</si>
  <si>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</si>
  <si>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</si>
  <si>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</si>
  <si>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</si>
  <si>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</si>
  <si>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</si>
  <si>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</si>
  <si>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</si>
  <si>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</si>
  <si>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</si>
  <si>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</si>
  <si>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</si>
  <si>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</si>
  <si>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</si>
  <si>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</si>
  <si>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</si>
  <si>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</si>
  <si>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</si>
  <si>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</si>
  <si>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</si>
  <si>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</si>
  <si>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</si>
  <si>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</si>
  <si>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</si>
  <si>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</si>
  <si>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</si>
  <si>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</si>
  <si>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</si>
  <si>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</si>
  <si>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</si>
  <si>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</si>
  <si>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</si>
  <si>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</si>
  <si>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</si>
  <si>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</si>
  <si>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</si>
  <si>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</si>
  <si>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</si>
  <si>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</si>
  <si>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</si>
  <si>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</si>
  <si>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</si>
  <si>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</si>
  <si>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</si>
  <si>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</si>
  <si>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</si>
  <si>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</si>
  <si>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</si>
  <si>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</si>
  <si>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</si>
  <si>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</si>
  <si>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</si>
  <si>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</si>
  <si>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</si>
  <si>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</si>
  <si>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</si>
  <si>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</si>
  <si>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</si>
  <si>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</si>
  <si>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</si>
  <si>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</si>
  <si>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</si>
  <si>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</si>
  <si>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</si>
  <si>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</si>
  <si>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</si>
  <si>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</si>
  <si>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</si>
  <si>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</si>
  <si>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</si>
  <si>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</si>
  <si>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</si>
  <si>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</si>
  <si>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</si>
  <si>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</si>
  <si>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</si>
  <si>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</si>
  <si>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</si>
  <si>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</si>
  <si>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</si>
  <si>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</si>
  <si>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</si>
  <si>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</si>
  <si>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</si>
  <si>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</si>
  <si>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</si>
  <si>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</si>
  <si>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</si>
  <si>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</si>
  <si>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</si>
  <si>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</si>
  <si>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</si>
  <si>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</si>
  <si>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</si>
  <si>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</si>
  <si>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</si>
  <si>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</si>
  <si>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</si>
  <si>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</si>
  <si>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</si>
  <si>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</si>
  <si>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</si>
  <si>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</si>
  <si>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</si>
  <si>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</si>
  <si>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</si>
  <si>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</si>
  <si>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</si>
  <si>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</si>
  <si>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</si>
  <si>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</si>
  <si>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</si>
  <si>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</si>
  <si>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</si>
  <si>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</si>
  <si>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</si>
  <si>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</si>
  <si>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</si>
  <si>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</si>
  <si>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</si>
  <si>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</si>
  <si>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</si>
  <si>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</si>
  <si>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</si>
  <si>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</si>
  <si>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</si>
  <si>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</si>
  <si>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</si>
  <si>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</si>
  <si>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</si>
  <si>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</si>
  <si>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</si>
  <si>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</si>
  <si>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</si>
  <si>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</si>
  <si>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</si>
  <si>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</si>
  <si>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</si>
  <si>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</si>
  <si>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</si>
  <si>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</si>
  <si>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</si>
  <si>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</si>
  <si>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</si>
  <si>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</si>
  <si>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</si>
  <si>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</si>
  <si>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</si>
  <si>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</si>
  <si>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</si>
  <si>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</si>
  <si>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</si>
  <si>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</si>
  <si>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</si>
  <si>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</si>
  <si>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</si>
  <si>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</si>
  <si>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</si>
  <si>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</si>
  <si>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</si>
  <si>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</si>
  <si>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</si>
  <si>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</si>
  <si>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</si>
  <si>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</si>
  <si>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</si>
  <si>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</si>
  <si>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</si>
  <si>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</si>
  <si>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</si>
  <si>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</si>
  <si>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</si>
  <si>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</si>
  <si>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</si>
  <si>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</si>
  <si>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</si>
  <si>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</si>
  <si>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</si>
  <si>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</si>
  <si>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</si>
  <si>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</si>
  <si>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</si>
  <si>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</si>
  <si>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</si>
  <si>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</si>
  <si>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</si>
  <si>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</si>
  <si>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</si>
  <si>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</si>
  <si>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</si>
  <si>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</si>
  <si>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</si>
  <si>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</si>
  <si>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</si>
  <si>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</si>
  <si>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</si>
  <si>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</si>
  <si>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</si>
  <si>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</si>
  <si>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</si>
  <si>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</si>
  <si>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</si>
  <si>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</si>
  <si>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</si>
  <si>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</si>
  <si>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</si>
  <si>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</si>
  <si>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</si>
  <si>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</si>
  <si>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</si>
  <si>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</si>
  <si>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</si>
  <si>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</si>
  <si>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</si>
  <si>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</si>
  <si>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</si>
  <si>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</si>
  <si>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</si>
  <si>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</si>
  <si>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</si>
  <si>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</si>
  <si>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</si>
  <si>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</si>
  <si>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</si>
  <si>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</si>
  <si>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</si>
  <si>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</si>
  <si>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</si>
  <si>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</si>
  <si>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</si>
  <si>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</si>
  <si>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</si>
  <si>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</si>
  <si>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</si>
  <si>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</si>
  <si>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</si>
  <si>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</si>
  <si>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</si>
  <si>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</si>
  <si>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</si>
  <si>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</si>
  <si>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</si>
  <si>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</si>
  <si>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</si>
  <si>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</si>
  <si>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</si>
  <si>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</si>
  <si>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</si>
  <si>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</si>
  <si>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</si>
  <si>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</si>
  <si>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</si>
  <si>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</si>
  <si>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</si>
  <si>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</si>
  <si>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</si>
  <si>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</si>
  <si>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</si>
  <si>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</si>
  <si>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</si>
  <si>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</si>
  <si>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</si>
  <si>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</si>
  <si>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</si>
  <si>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</si>
  <si>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</si>
  <si>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</si>
  <si>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</si>
  <si>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</si>
  <si>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</si>
  <si>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</si>
  <si>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</si>
  <si>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</si>
  <si>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</si>
  <si>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</si>
  <si>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</si>
  <si>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</si>
  <si>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</si>
  <si>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</si>
  <si>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</si>
  <si>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</si>
  <si>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</si>
  <si>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</si>
  <si>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</si>
  <si>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</si>
  <si>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</si>
  <si>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</si>
  <si>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</si>
  <si>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</si>
  <si>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</si>
  <si>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</si>
  <si>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</si>
  <si>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</si>
  <si>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</si>
  <si>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</si>
  <si>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</si>
  <si>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</si>
  <si>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</si>
  <si>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</si>
  <si>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</si>
  <si>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</si>
  <si>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</si>
  <si>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</si>
  <si>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</si>
  <si>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</si>
  <si>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</si>
  <si>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</si>
  <si>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</si>
  <si>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</si>
  <si>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</si>
  <si>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</si>
  <si>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</si>
  <si>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</si>
  <si>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</si>
  <si>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</si>
  <si>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</si>
  <si>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</si>
  <si>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</si>
  <si>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</si>
  <si>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</si>
  <si>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</si>
  <si>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</si>
  <si>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</si>
  <si>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</si>
  <si>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</si>
  <si>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</si>
  <si>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</si>
  <si>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</si>
  <si>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</si>
  <si>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</si>
  <si>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</si>
  <si>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</si>
  <si>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</si>
  <si>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</si>
  <si>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</si>
  <si>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</si>
  <si>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</si>
  <si>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</si>
  <si>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</si>
  <si>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</si>
  <si>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</si>
  <si>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</si>
  <si>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</si>
  <si>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</si>
  <si>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</si>
  <si>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</si>
  <si>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</si>
  <si>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</si>
  <si>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</si>
  <si>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</si>
  <si>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</si>
  <si>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</si>
  <si>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</si>
  <si>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</si>
  <si>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</si>
  <si>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</si>
  <si>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</si>
  <si>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</si>
  <si>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</si>
  <si>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</si>
  <si>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</si>
  <si>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</si>
  <si>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</si>
  <si>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</si>
  <si>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</si>
  <si>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</si>
  <si>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</si>
  <si>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</si>
  <si>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</si>
  <si>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</si>
  <si>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</si>
  <si>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</si>
  <si>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</si>
  <si>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</si>
  <si>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</si>
  <si>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</si>
  <si>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</si>
  <si>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</si>
  <si>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</si>
  <si>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</si>
  <si>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</si>
  <si>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</si>
  <si>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</si>
  <si>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</si>
  <si>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</si>
  <si>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</si>
  <si>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</si>
  <si>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</si>
  <si>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</si>
  <si>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</si>
  <si>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</si>
  <si>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</si>
  <si>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</si>
  <si>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</si>
  <si>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</si>
  <si>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</si>
  <si>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</si>
  <si>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</si>
  <si>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</si>
  <si>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</si>
  <si>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</si>
  <si>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</si>
  <si>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</si>
  <si>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</si>
  <si>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</si>
  <si>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</si>
  <si>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</si>
  <si>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</si>
  <si>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</si>
  <si>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</si>
  <si>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</si>
  <si>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</si>
  <si>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</si>
  <si>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</si>
  <si>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</si>
  <si>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</si>
  <si>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</si>
  <si>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</si>
  <si>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</si>
  <si>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</si>
  <si>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</si>
  <si>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</si>
  <si>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</si>
  <si>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</si>
  <si>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</si>
  <si>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</si>
  <si>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</si>
  <si>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</si>
  <si>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</si>
  <si>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</si>
  <si>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</si>
  <si>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</si>
  <si>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</si>
  <si>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</si>
  <si>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</si>
  <si>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</si>
  <si>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</si>
  <si>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</si>
  <si>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</si>
  <si>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</si>
  <si>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</si>
  <si>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</si>
  <si>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</si>
  <si>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</si>
  <si>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</si>
  <si>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</si>
  <si>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</si>
  <si>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</si>
  <si>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</si>
  <si>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</si>
  <si>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</si>
  <si>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</si>
  <si>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</si>
  <si>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</si>
  <si>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</si>
  <si>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</si>
  <si>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</si>
  <si>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</si>
  <si>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</si>
  <si>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</si>
  <si>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</si>
  <si>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</si>
  <si>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</si>
  <si>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</si>
  <si>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</si>
  <si>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</si>
  <si>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</si>
  <si>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</si>
  <si>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</si>
  <si>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</si>
  <si>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</si>
  <si>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</si>
  <si>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</si>
  <si>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</si>
  <si>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</si>
  <si>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</si>
  <si>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</si>
  <si>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</si>
  <si>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</si>
  <si>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</si>
  <si>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</si>
  <si>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</si>
  <si>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</si>
  <si>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</si>
  <si>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</si>
  <si>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</si>
  <si>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</si>
  <si>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</si>
  <si>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</si>
  <si>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</si>
  <si>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</si>
  <si>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</si>
  <si>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</si>
  <si>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</si>
  <si>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</si>
  <si>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</si>
  <si>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</si>
  <si>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</si>
  <si>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</si>
  <si>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</si>
  <si>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</si>
  <si>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</si>
  <si>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</si>
  <si>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</si>
  <si>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</si>
  <si>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</si>
  <si>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</si>
  <si>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</si>
  <si>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</si>
  <si>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</si>
  <si>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</si>
  <si>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</si>
  <si>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</si>
  <si>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</si>
  <si>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</si>
  <si>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</si>
  <si>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</si>
  <si>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</si>
  <si>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</si>
  <si>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</si>
  <si>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</si>
  <si>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</si>
  <si>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</si>
  <si>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</si>
  <si>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</si>
  <si>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</si>
  <si>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</si>
  <si>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</si>
  <si>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</si>
  <si>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</si>
  <si>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</si>
  <si>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</si>
  <si>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</si>
  <si>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</si>
  <si>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</si>
  <si>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</si>
  <si>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</si>
  <si>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</si>
  <si>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</si>
  <si>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</si>
  <si>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</si>
  <si>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</si>
  <si>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</si>
  <si>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</si>
  <si>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</si>
  <si>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</si>
  <si>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</si>
  <si>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</si>
  <si>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</si>
  <si>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</si>
  <si>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</si>
  <si>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</si>
  <si>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</si>
  <si>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</si>
  <si>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</si>
  <si>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</si>
  <si>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</si>
  <si>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</si>
  <si>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</si>
  <si>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</si>
  <si>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</si>
  <si>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</si>
  <si>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</si>
  <si>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</si>
  <si>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</si>
  <si>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</si>
  <si>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</si>
  <si>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</si>
  <si>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</si>
  <si>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</si>
  <si>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</si>
  <si>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</si>
  <si>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</si>
  <si>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</si>
  <si>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</si>
  <si>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</si>
  <si>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</si>
  <si>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</si>
  <si>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</si>
  <si>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</si>
  <si>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</si>
  <si>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</si>
  <si>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</si>
  <si>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</si>
  <si>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</si>
  <si>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</si>
  <si>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</si>
  <si>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</si>
  <si>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</si>
  <si>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</si>
  <si>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</si>
  <si>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</si>
  <si>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</si>
  <si>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</si>
  <si>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</si>
  <si>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</si>
  <si>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</si>
  <si>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</si>
  <si>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</si>
  <si>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</si>
  <si>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</si>
  <si>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</si>
  <si>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</si>
  <si>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</si>
  <si>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</si>
  <si>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</si>
  <si>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</si>
  <si>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</si>
  <si>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</si>
  <si>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</si>
  <si>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</si>
  <si>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</si>
  <si>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</si>
  <si>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</si>
  <si>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</si>
  <si>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</si>
  <si>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</si>
  <si>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</si>
  <si>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</si>
  <si>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</si>
  <si>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</si>
  <si>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</si>
  <si>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</si>
  <si>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</si>
  <si>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</si>
  <si>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</si>
  <si>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</si>
  <si>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</si>
  <si>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</si>
  <si>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</si>
  <si>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</si>
  <si>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</si>
  <si>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</si>
  <si>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</si>
  <si>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</si>
  <si>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</si>
  <si>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</si>
  <si>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</si>
  <si>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</si>
  <si>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</si>
  <si>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</si>
  <si>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</si>
  <si>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</si>
  <si>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</si>
  <si>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</si>
  <si>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</si>
  <si>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</si>
  <si>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</si>
  <si>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</si>
  <si>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</si>
  <si>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</si>
  <si>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</si>
  <si>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</si>
  <si>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</si>
  <si>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</si>
  <si>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</si>
  <si>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</si>
  <si>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</si>
  <si>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</si>
  <si>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</si>
  <si>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</si>
  <si>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</si>
  <si>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</si>
  <si>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</si>
  <si>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</si>
  <si>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</si>
  <si>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</si>
  <si>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</si>
  <si>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</si>
  <si>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</si>
  <si>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</si>
  <si>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</si>
  <si>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</si>
  <si>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</si>
  <si>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</si>
  <si>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</si>
  <si>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</si>
  <si>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</si>
  <si>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</si>
  <si>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</si>
  <si>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</si>
  <si>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</si>
  <si>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</si>
  <si>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</si>
  <si>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</si>
  <si>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</si>
  <si>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</si>
  <si>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</si>
  <si>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</si>
  <si>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</si>
  <si>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</si>
  <si>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</si>
  <si>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</si>
  <si>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</si>
  <si>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</si>
  <si>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</si>
  <si>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</si>
  <si>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</si>
  <si>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</si>
  <si>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</si>
  <si>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</si>
  <si>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</si>
  <si>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</si>
  <si>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</si>
  <si>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</si>
  <si>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</si>
  <si>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</si>
  <si>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</si>
  <si>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</si>
  <si>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</si>
  <si>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</si>
  <si>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</si>
  <si>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</si>
  <si>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</si>
  <si>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</si>
  <si>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</si>
  <si>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</si>
  <si>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</si>
  <si>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</si>
  <si>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</si>
  <si>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</si>
  <si>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</si>
  <si>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</si>
  <si>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</si>
  <si>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</si>
  <si>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</si>
  <si>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</si>
  <si>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</si>
  <si>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</si>
  <si>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</si>
  <si>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</si>
  <si>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</si>
  <si>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</si>
  <si>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</si>
  <si>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</si>
  <si>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</si>
  <si>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</si>
  <si>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</si>
  <si>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</si>
  <si>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</si>
  <si>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</si>
  <si>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</si>
  <si>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</si>
  <si>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</si>
  <si>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</si>
  <si>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</si>
  <si>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</si>
  <si>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</si>
  <si>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</si>
  <si>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</si>
  <si>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</si>
  <si>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</si>
  <si>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</si>
  <si>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</si>
  <si>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</si>
  <si>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</si>
  <si>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</si>
  <si>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</si>
  <si>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</si>
  <si>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</si>
  <si>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</si>
  <si>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</si>
  <si>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</si>
  <si>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</si>
  <si>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</si>
  <si>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</si>
  <si>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</si>
  <si>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</si>
  <si>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</si>
  <si>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</si>
  <si>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</si>
  <si>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</si>
  <si>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</si>
  <si>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</si>
  <si>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</si>
  <si>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</si>
  <si>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</si>
  <si>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</si>
  <si>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</si>
  <si>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</si>
  <si>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</si>
  <si>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</si>
  <si>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</si>
  <si>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</si>
  <si>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</si>
  <si>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</si>
  <si>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</si>
  <si>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</si>
  <si>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</si>
  <si>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</si>
  <si>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</si>
  <si>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</si>
  <si>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</si>
  <si>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</si>
  <si>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</si>
  <si>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</si>
  <si>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</si>
  <si>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</si>
  <si>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</si>
  <si>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</si>
  <si>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</si>
  <si>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</si>
  <si>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</si>
  <si>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</si>
  <si>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</si>
  <si>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</si>
  <si>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</si>
  <si>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</si>
  <si>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</si>
  <si>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</si>
  <si>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</si>
  <si>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</si>
  <si>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</si>
  <si>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</si>
  <si>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</si>
  <si>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</si>
  <si>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</si>
  <si>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</si>
  <si>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</si>
  <si>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</si>
  <si>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</si>
  <si>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</si>
  <si>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</si>
  <si>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</si>
  <si>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</si>
  <si>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</si>
  <si>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</si>
  <si>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</si>
  <si>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</si>
  <si>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</si>
  <si>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</si>
  <si>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</si>
  <si>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</si>
  <si>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</si>
  <si>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</si>
  <si>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</si>
  <si>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</si>
  <si>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</si>
  <si>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</si>
  <si>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</si>
  <si>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</si>
  <si>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</si>
  <si>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</si>
  <si>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</si>
  <si>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</si>
  <si>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</si>
  <si>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</si>
  <si>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</si>
  <si>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</si>
  <si>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</si>
  <si>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</si>
  <si>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</si>
  <si>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</si>
  <si>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</si>
  <si>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</si>
  <si>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</si>
  <si>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</si>
  <si>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</si>
  <si>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</si>
  <si>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</si>
  <si>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</si>
  <si>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</si>
  <si>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</si>
  <si>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</si>
  <si>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</si>
  <si>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</si>
  <si>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</si>
  <si>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</si>
  <si>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</si>
  <si>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</si>
  <si>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</si>
  <si>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</si>
  <si>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</si>
  <si>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</si>
  <si>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</si>
  <si>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</si>
  <si>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</si>
  <si>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</si>
  <si>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</si>
  <si>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</si>
  <si>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</si>
  <si>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</si>
  <si>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</si>
  <si>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</si>
  <si>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</si>
  <si>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</si>
  <si>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</si>
  <si>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</si>
  <si>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</si>
  <si>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</si>
  <si>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</si>
  <si>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</si>
  <si>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</si>
  <si>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</si>
  <si>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</si>
  <si>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</si>
  <si>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</si>
  <si>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</si>
  <si>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</si>
  <si>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</si>
  <si>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</si>
  <si>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</si>
  <si>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</si>
  <si>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</si>
  <si>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</si>
  <si>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</si>
  <si>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</si>
  <si>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</si>
  <si>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</si>
  <si>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</si>
  <si>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</si>
  <si>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</si>
  <si>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</si>
  <si>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</si>
  <si>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</si>
  <si>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</si>
  <si>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</si>
  <si>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</si>
  <si>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</si>
  <si>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</si>
  <si>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</si>
  <si>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</si>
  <si>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</si>
  <si>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</si>
  <si>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</si>
  <si>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</si>
  <si>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</si>
  <si>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</si>
  <si>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</si>
  <si>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</si>
  <si>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</si>
  <si>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</si>
  <si>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</si>
  <si>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</si>
  <si>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</si>
  <si>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</si>
  <si>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</si>
  <si>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</si>
  <si>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</si>
  <si>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</si>
  <si>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</si>
  <si>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</si>
  <si>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</si>
  <si>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</si>
  <si>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</si>
  <si>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</si>
  <si>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</si>
  <si>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</si>
  <si>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</si>
  <si>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</si>
  <si>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</si>
  <si>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</si>
  <si>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</si>
  <si>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</si>
  <si>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</si>
  <si>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</si>
  <si>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</si>
  <si>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</si>
  <si>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</si>
  <si>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</si>
  <si>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</si>
  <si>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</si>
  <si>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</si>
  <si>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</si>
  <si>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</si>
  <si>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</si>
  <si>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</si>
  <si>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</si>
  <si>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</si>
  <si>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</si>
  <si>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</si>
  <si>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</si>
  <si>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</si>
  <si>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</si>
  <si>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</si>
  <si>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</si>
  <si>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</si>
  <si>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</si>
  <si>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</si>
  <si>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</si>
  <si>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</si>
  <si>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</si>
  <si>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</si>
  <si>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</si>
  <si>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</si>
  <si>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</si>
  <si>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</si>
  <si>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</si>
  <si>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</si>
  <si>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</si>
  <si>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</si>
  <si>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</si>
  <si>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</si>
  <si>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</si>
  <si>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</si>
  <si>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</si>
  <si>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</si>
  <si>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</si>
  <si>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</si>
  <si>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</si>
  <si>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</si>
  <si>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</si>
  <si>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</si>
  <si>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</si>
  <si>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</si>
  <si>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</si>
  <si>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</si>
  <si>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</si>
  <si>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</si>
  <si>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</si>
  <si>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</si>
  <si>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</si>
  <si>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</si>
  <si>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</si>
  <si>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</si>
  <si>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</si>
  <si>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</si>
  <si>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</si>
  <si>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</si>
  <si>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</si>
  <si>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</si>
  <si>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</si>
  <si>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</si>
  <si>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</si>
  <si>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</si>
  <si>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</si>
  <si>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</si>
  <si>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</si>
  <si>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</si>
  <si>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</si>
  <si>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</si>
  <si>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</si>
  <si>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</si>
  <si>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</si>
  <si>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</si>
  <si>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</si>
  <si>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</si>
  <si>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</si>
  <si>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</si>
  <si>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</si>
  <si>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</si>
  <si>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</si>
  <si>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</si>
  <si>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</si>
  <si>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</si>
  <si>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</si>
  <si>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</si>
  <si>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</si>
  <si>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</si>
  <si>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</si>
  <si>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</si>
  <si>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</si>
  <si>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</si>
  <si>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</si>
  <si>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</si>
  <si>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</si>
  <si>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</si>
  <si>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</si>
  <si>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</si>
  <si>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</si>
  <si>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</si>
  <si>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</si>
  <si>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</si>
  <si>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</si>
  <si>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</si>
  <si>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</si>
  <si>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</si>
  <si>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</si>
  <si>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</si>
  <si>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</si>
  <si>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</si>
  <si>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</si>
  <si>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</si>
  <si>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</si>
  <si>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</si>
  <si>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</si>
  <si>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</si>
  <si>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</si>
  <si>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</si>
  <si>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</si>
  <si>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</si>
  <si>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</si>
  <si>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</si>
  <si>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</si>
  <si>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</si>
  <si>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</si>
  <si>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</si>
  <si>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</si>
  <si>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</si>
  <si>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</si>
  <si>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</si>
  <si>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</si>
  <si>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</si>
  <si>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</si>
  <si>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</si>
  <si>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</si>
  <si>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</si>
  <si>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</si>
  <si>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</si>
  <si>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</si>
  <si>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</si>
  <si>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</si>
  <si>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</si>
  <si>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</si>
  <si>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</si>
  <si>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</si>
  <si>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</si>
  <si>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</si>
  <si>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</si>
  <si>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</si>
  <si>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</si>
  <si>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</si>
  <si>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</si>
  <si>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</si>
  <si>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</si>
  <si>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</si>
  <si>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</si>
  <si>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</si>
  <si>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</si>
  <si>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</si>
  <si>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</si>
  <si>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</si>
  <si>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</si>
  <si>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</si>
  <si>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</si>
  <si>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</si>
  <si>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</si>
  <si>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</si>
  <si>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</si>
  <si>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</si>
  <si>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</si>
  <si>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</si>
  <si>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</si>
  <si>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</si>
  <si>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</si>
  <si>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</si>
  <si>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</si>
  <si>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</si>
  <si>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</si>
  <si>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</si>
  <si>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</si>
  <si>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</si>
  <si>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</si>
  <si>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</si>
  <si>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</si>
  <si>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</si>
  <si>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</si>
  <si>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</si>
  <si>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</si>
  <si>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</si>
  <si>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</si>
  <si>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</si>
  <si>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</si>
  <si>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</si>
  <si>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</si>
  <si>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</si>
  <si>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</si>
  <si>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</si>
  <si>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</si>
  <si>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</si>
  <si>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</si>
  <si>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</si>
  <si>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</si>
  <si>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</si>
  <si>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</si>
  <si>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</si>
  <si>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</si>
  <si>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</si>
  <si>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</si>
  <si>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</si>
  <si>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</si>
  <si>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</si>
  <si>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</si>
  <si>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</si>
  <si>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</si>
  <si>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</si>
  <si>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</si>
  <si>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</si>
  <si>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</si>
  <si>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</si>
  <si>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</si>
  <si>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</si>
  <si>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</si>
  <si>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</si>
  <si>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</si>
  <si>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</si>
  <si>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</si>
  <si>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</si>
  <si>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</si>
  <si>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</si>
  <si>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</si>
  <si>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</si>
  <si>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</si>
  <si>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</si>
  <si>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</si>
  <si>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</si>
  <si>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</si>
  <si>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</si>
  <si>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</si>
  <si>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</si>
  <si>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</si>
  <si>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</si>
  <si>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</si>
  <si>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</si>
  <si>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</si>
  <si>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</si>
  <si>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</si>
  <si>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</si>
  <si>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</si>
  <si>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</si>
  <si>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</si>
  <si>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</si>
  <si>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</si>
  <si>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</si>
  <si>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</si>
  <si>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</si>
  <si>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</si>
  <si>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</si>
  <si>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</si>
  <si>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</si>
  <si>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</si>
  <si>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</si>
  <si>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</si>
  <si>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</si>
  <si>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</si>
  <si>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</si>
  <si>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</si>
  <si>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</si>
  <si>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</si>
  <si>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</si>
  <si>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</si>
  <si>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</si>
  <si>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</si>
  <si>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</si>
  <si>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</si>
  <si>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</si>
  <si>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</si>
  <si>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</si>
  <si>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</si>
  <si>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</si>
  <si>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</si>
  <si>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</si>
  <si>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</si>
  <si>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</si>
  <si>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</si>
  <si>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</si>
  <si>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</si>
  <si>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</si>
  <si>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</si>
  <si>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</si>
  <si>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</si>
  <si>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</si>
  <si>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</si>
  <si>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</si>
  <si>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</si>
  <si>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</si>
  <si>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</si>
  <si>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</si>
  <si>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</si>
  <si>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</si>
  <si>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</si>
  <si>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</si>
  <si>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</si>
  <si>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</si>
  <si>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</si>
  <si>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</si>
  <si>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</si>
  <si>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</si>
  <si>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</si>
  <si>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</si>
  <si>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</si>
  <si>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</si>
  <si>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</si>
  <si>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</si>
  <si>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</si>
  <si>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</si>
  <si>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</si>
  <si>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</si>
  <si>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</si>
  <si>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</si>
  <si>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</si>
  <si>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</si>
  <si>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</si>
  <si>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</si>
  <si>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</si>
  <si>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</si>
  <si>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</si>
  <si>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</si>
  <si>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</si>
  <si>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</si>
  <si>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</si>
  <si>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</si>
  <si>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</si>
  <si>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</si>
  <si>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</si>
  <si>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</si>
  <si>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</si>
  <si>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</si>
  <si>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</si>
  <si>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</si>
  <si>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</si>
  <si>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</si>
  <si>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</si>
  <si>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</si>
  <si>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</si>
  <si>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</si>
  <si>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</si>
  <si>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</si>
  <si>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</si>
  <si>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</si>
  <si>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</si>
  <si>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</si>
  <si>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</si>
  <si>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</si>
  <si>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</si>
  <si>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</si>
  <si>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</si>
  <si>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</si>
  <si>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</si>
  <si>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</si>
  <si>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</si>
  <si>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</si>
  <si>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</si>
  <si>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</si>
  <si>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</si>
  <si>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</si>
  <si>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</si>
  <si>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</si>
  <si>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</si>
  <si>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</si>
  <si>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</si>
  <si>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</si>
  <si>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</si>
  <si>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</si>
  <si>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</si>
  <si>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</si>
  <si>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</si>
  <si>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</si>
  <si>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</si>
  <si>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</si>
  <si>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</si>
  <si>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</si>
  <si>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</si>
  <si>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</si>
  <si>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</si>
  <si>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</si>
  <si>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</si>
  <si>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</si>
  <si>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</si>
  <si>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</si>
  <si>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</si>
  <si>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</si>
  <si>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</si>
  <si>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</si>
  <si>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</si>
  <si>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</si>
  <si>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</si>
  <si>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</si>
  <si>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</si>
  <si>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</si>
  <si>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</si>
  <si>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</si>
  <si>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</si>
  <si>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</si>
  <si>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</si>
  <si>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</si>
  <si>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</si>
  <si>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</si>
  <si>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</si>
  <si>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</si>
  <si>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</si>
  <si>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</si>
  <si>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</si>
  <si>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</si>
  <si>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</si>
  <si>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</si>
  <si>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</si>
  <si>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</si>
  <si>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</si>
  <si>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</si>
  <si>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</si>
  <si>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</si>
  <si>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</si>
  <si>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</si>
  <si>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</si>
  <si>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</si>
  <si>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</si>
  <si>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</si>
  <si>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</si>
  <si>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</si>
  <si>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</si>
  <si>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</si>
  <si>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</si>
  <si>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</si>
  <si>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</si>
  <si>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</si>
  <si>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</si>
  <si>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</si>
  <si>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</si>
  <si>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</si>
  <si>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</si>
  <si>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</si>
  <si>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</si>
  <si>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</si>
  <si>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</si>
  <si>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</si>
  <si>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</si>
  <si>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</si>
  <si>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</si>
  <si>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</si>
  <si>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</si>
  <si>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</si>
  <si>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</si>
  <si>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</si>
  <si>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</si>
  <si>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</si>
  <si>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</si>
  <si>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</si>
  <si>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</si>
  <si>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</si>
  <si>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</si>
  <si>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</si>
  <si>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</si>
  <si>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</si>
  <si>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</si>
  <si>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</si>
  <si>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</si>
  <si>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</si>
  <si>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</si>
  <si>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</si>
  <si>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</si>
  <si>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</si>
  <si>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</si>
  <si>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</si>
  <si>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</si>
  <si>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</si>
  <si>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</si>
  <si>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</si>
  <si>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</si>
  <si>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</si>
  <si>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</si>
  <si>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</si>
  <si>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</si>
  <si>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</si>
  <si>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</si>
  <si>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</si>
  <si>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</si>
  <si>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</si>
  <si>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</si>
  <si>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</si>
  <si>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</si>
  <si>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</si>
  <si>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</si>
  <si>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</si>
  <si>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</si>
  <si>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</si>
  <si>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</si>
  <si>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</si>
  <si>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</si>
  <si>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</si>
  <si>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</si>
  <si>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</si>
  <si>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</si>
  <si>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</si>
  <si>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</si>
  <si>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</si>
  <si>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</si>
  <si>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</si>
  <si>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</si>
  <si>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</si>
  <si>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</si>
  <si>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</si>
  <si>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</si>
  <si>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</si>
  <si>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</si>
  <si>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</si>
  <si>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</si>
  <si>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</si>
  <si>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</si>
  <si>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</si>
  <si>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</si>
  <si>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</si>
  <si>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</si>
  <si>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</si>
  <si>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</si>
  <si>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</si>
  <si>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</si>
  <si>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</si>
  <si>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</si>
  <si>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</si>
  <si>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</si>
  <si>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</si>
  <si>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</si>
  <si>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</si>
  <si>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</si>
  <si>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</si>
  <si>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</si>
  <si>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</si>
  <si>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</si>
  <si>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</si>
  <si>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</si>
  <si>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</si>
  <si>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</si>
  <si>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</si>
  <si>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</si>
  <si>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</si>
  <si>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</si>
  <si>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</si>
  <si>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</si>
  <si>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</si>
  <si>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</si>
  <si>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</si>
  <si>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</si>
  <si>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</si>
  <si>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</si>
  <si>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</si>
  <si>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</si>
  <si>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</si>
  <si>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</si>
  <si>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</si>
  <si>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</si>
  <si>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</si>
  <si>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</si>
  <si>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</si>
  <si>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</si>
  <si>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</si>
  <si>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</si>
  <si>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</si>
  <si>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</si>
  <si>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</si>
  <si>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</si>
  <si>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</si>
  <si>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</si>
  <si>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</si>
  <si>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</si>
  <si>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</si>
  <si>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</si>
  <si>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</si>
  <si>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</si>
  <si>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</si>
  <si>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</si>
  <si>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</si>
  <si>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</si>
  <si>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</si>
  <si>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</si>
  <si>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</si>
  <si>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</si>
  <si>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</si>
  <si>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</si>
  <si>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</si>
  <si>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</si>
  <si>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</si>
  <si>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</si>
  <si>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</si>
  <si>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</si>
  <si>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</si>
  <si>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</si>
  <si>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</si>
  <si>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</si>
  <si>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</si>
  <si>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</si>
  <si>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</si>
  <si>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</si>
  <si>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</si>
  <si>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</si>
  <si>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</si>
  <si>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</si>
  <si>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</si>
  <si>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</si>
  <si>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</si>
  <si>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</si>
  <si>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</si>
  <si>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</si>
  <si>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</si>
  <si>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</si>
  <si>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</si>
  <si>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</si>
  <si>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</si>
  <si>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</si>
  <si>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</si>
  <si>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</si>
  <si>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</si>
  <si>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</si>
  <si>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</si>
  <si>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</si>
  <si>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</si>
  <si>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</si>
  <si>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</si>
  <si>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</si>
  <si>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</si>
  <si>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</si>
  <si>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</si>
  <si>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</si>
  <si>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</si>
  <si>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</si>
  <si>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</si>
  <si>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</si>
  <si>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</si>
  <si>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</si>
  <si>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</si>
  <si>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</si>
  <si>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</si>
  <si>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</si>
  <si>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</si>
  <si>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</si>
  <si>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</si>
  <si>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</si>
  <si>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</si>
  <si>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</si>
  <si>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</si>
  <si>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</si>
  <si>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</si>
  <si>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</si>
  <si>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</si>
  <si>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</si>
  <si>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</si>
  <si>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</si>
  <si>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</si>
  <si>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</si>
  <si>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</si>
  <si>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</si>
  <si>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</si>
  <si>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</si>
  <si>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</si>
  <si>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</si>
  <si>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</si>
  <si>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</si>
  <si>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</si>
  <si>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</si>
  <si>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</si>
  <si>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</si>
  <si>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</si>
  <si>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</si>
  <si>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</si>
  <si>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</si>
  <si>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</si>
  <si>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</si>
  <si>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</si>
  <si>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</si>
  <si>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</si>
  <si>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</si>
  <si>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</si>
  <si>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</si>
  <si>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</si>
  <si>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</si>
  <si>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</si>
  <si>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</si>
  <si>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</si>
  <si>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</si>
  <si>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</si>
  <si>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</si>
  <si>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</si>
  <si>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</si>
  <si>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</si>
  <si>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</si>
  <si>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</si>
  <si>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</si>
  <si>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</si>
  <si>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</si>
  <si>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</si>
  <si>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</si>
  <si>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</si>
  <si>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</si>
  <si>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</si>
  <si>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</si>
  <si>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</si>
  <si>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</si>
  <si>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</si>
  <si>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</si>
  <si>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</si>
  <si>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</si>
  <si>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</si>
  <si>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</si>
  <si>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</si>
  <si>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</si>
  <si>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</si>
  <si>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</si>
  <si>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</si>
  <si>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</si>
  <si>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</si>
  <si>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</si>
  <si>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</si>
  <si>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</si>
  <si>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</si>
  <si>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</si>
  <si>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</si>
  <si>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</si>
  <si>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</si>
  <si>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</si>
  <si>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</si>
  <si>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</si>
  <si>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</si>
  <si>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</si>
  <si>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</si>
  <si>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</si>
  <si>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</si>
  <si>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</si>
  <si>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</si>
  <si>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</si>
  <si>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</si>
  <si>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</si>
  <si>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</si>
  <si>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</si>
  <si>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</si>
  <si>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</si>
  <si>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</si>
  <si>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</si>
  <si>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</si>
  <si>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</si>
  <si>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</si>
  <si>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</si>
  <si>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</si>
  <si>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</si>
  <si>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</si>
  <si>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</si>
  <si>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</si>
  <si>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</si>
  <si>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</si>
  <si>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</si>
  <si>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</si>
  <si>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</si>
  <si>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</si>
  <si>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</si>
  <si>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</si>
  <si>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</si>
  <si>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</si>
  <si>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</si>
  <si>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</si>
  <si>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</si>
  <si>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</si>
  <si>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</si>
  <si>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</si>
  <si>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</si>
  <si>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</si>
  <si>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</si>
  <si>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</si>
  <si>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</si>
  <si>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</si>
  <si>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</si>
  <si>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</si>
  <si>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</si>
  <si>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</si>
  <si>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</si>
  <si>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</si>
  <si>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</si>
  <si>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</si>
  <si>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</si>
  <si>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</si>
  <si>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</si>
  <si>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</si>
  <si>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</si>
  <si>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</si>
  <si>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</si>
  <si>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</si>
  <si>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</si>
  <si>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</si>
  <si>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</si>
  <si>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</si>
  <si>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</si>
  <si>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</si>
  <si>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</si>
  <si>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</si>
  <si>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</si>
  <si>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</si>
  <si>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</si>
  <si>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</si>
  <si>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</si>
  <si>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</si>
  <si>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</si>
  <si>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</si>
  <si>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</si>
  <si>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</si>
  <si>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</si>
  <si>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</si>
  <si>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</si>
  <si>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</si>
  <si>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</si>
  <si>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</si>
  <si>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</si>
  <si>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</si>
  <si>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</si>
  <si>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</si>
  <si>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</si>
  <si>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</si>
  <si>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</si>
  <si>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</si>
  <si>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</si>
  <si>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</si>
  <si>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</si>
  <si>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</si>
  <si>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</si>
  <si>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</si>
  <si>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</si>
  <si>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</si>
  <si>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</si>
  <si>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</si>
  <si>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</si>
  <si>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</si>
  <si>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</si>
  <si>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</si>
  <si>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</si>
  <si>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</si>
  <si>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</si>
  <si>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</si>
  <si>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</si>
  <si>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</si>
  <si>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</si>
  <si>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</si>
  <si>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</si>
  <si>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</si>
  <si>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</si>
  <si>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</si>
  <si>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</si>
  <si>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</si>
  <si>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</si>
  <si>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</si>
  <si>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</si>
  <si>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</si>
  <si>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</si>
  <si>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</si>
  <si>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</si>
  <si>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</si>
  <si>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</si>
  <si>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</si>
  <si>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</si>
  <si>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</si>
  <si>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</si>
  <si>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</si>
  <si>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</si>
  <si>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</si>
  <si>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</si>
  <si>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</si>
  <si>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</si>
  <si>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</si>
  <si>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</si>
  <si>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</si>
  <si>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</si>
  <si>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</si>
  <si>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</si>
  <si>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</si>
  <si>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</si>
  <si>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</si>
  <si>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</si>
  <si>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</si>
  <si>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</si>
  <si>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</si>
  <si>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</si>
  <si>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</si>
  <si>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</si>
  <si>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</si>
  <si>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</si>
  <si>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</si>
  <si>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</si>
  <si>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</si>
  <si>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</si>
  <si>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</si>
  <si>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</si>
  <si>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</si>
  <si>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</si>
  <si>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</si>
  <si>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</si>
  <si>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</si>
  <si>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</si>
  <si>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</si>
  <si>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</si>
  <si>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</si>
  <si>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</si>
  <si>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</si>
  <si>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</si>
  <si>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</si>
  <si>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</si>
  <si>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</si>
  <si>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</si>
  <si>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</si>
  <si>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</si>
  <si>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</si>
  <si>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</si>
  <si>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</si>
  <si>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</si>
  <si>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</si>
  <si>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</si>
  <si>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</si>
  <si>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</si>
  <si>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</si>
  <si>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</si>
  <si>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</si>
  <si>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</si>
  <si>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</si>
  <si>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</si>
  <si>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</si>
  <si>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</si>
  <si>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</si>
  <si>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</si>
  <si>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</si>
  <si>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</si>
  <si>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</si>
  <si>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</si>
  <si>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</si>
  <si>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</si>
  <si>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</si>
  <si>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</si>
  <si>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</si>
  <si>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</si>
  <si>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</si>
  <si>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</si>
  <si>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</si>
  <si>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</si>
  <si>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</si>
  <si>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</si>
  <si>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</si>
  <si>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</si>
  <si>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</si>
  <si>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</si>
  <si>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</si>
  <si>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</si>
  <si>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</si>
  <si>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</si>
  <si>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</si>
  <si>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</si>
  <si>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</si>
  <si>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</si>
  <si>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</si>
  <si>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</si>
  <si>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</si>
  <si>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</si>
  <si>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</si>
  <si>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</si>
  <si>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</si>
  <si>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</si>
  <si>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</si>
  <si>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</si>
  <si>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</si>
  <si>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</si>
  <si>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</si>
  <si>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</si>
  <si>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</si>
  <si>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</si>
  <si>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</si>
  <si>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</si>
  <si>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</si>
  <si>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</si>
  <si>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</si>
  <si>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</si>
  <si>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</si>
  <si>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</si>
  <si>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</si>
  <si>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</si>
  <si>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</si>
  <si>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</si>
  <si>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</si>
  <si>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</si>
  <si>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</si>
  <si>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</si>
  <si>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</si>
  <si>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</si>
  <si>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</si>
  <si>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</si>
  <si>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</si>
  <si>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</si>
  <si>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</si>
  <si>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</si>
  <si>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</si>
  <si>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</si>
  <si>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</si>
  <si>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</si>
  <si>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</si>
  <si>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</si>
  <si>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</si>
  <si>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</si>
  <si>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</si>
  <si>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</si>
  <si>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</si>
  <si>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</si>
  <si>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</si>
  <si>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</si>
  <si>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</si>
  <si>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</si>
  <si>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</si>
  <si>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</si>
  <si>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</si>
  <si>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</si>
  <si>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</si>
  <si>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</si>
  <si>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</si>
  <si>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</si>
  <si>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</si>
  <si>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</si>
  <si>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</si>
  <si>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</si>
  <si>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</si>
  <si>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</si>
  <si>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</si>
  <si>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</si>
  <si>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</si>
  <si>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</si>
  <si>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</si>
  <si>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</si>
  <si>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</si>
  <si>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</si>
  <si>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</si>
  <si>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</si>
  <si>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</si>
  <si>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</si>
  <si>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</si>
  <si>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</si>
  <si>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</si>
  <si>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</si>
  <si>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</si>
  <si>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</si>
  <si>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</si>
  <si>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</si>
  <si>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</si>
  <si>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</si>
  <si>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</si>
  <si>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</si>
  <si>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</si>
  <si>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</si>
  <si>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</si>
  <si>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</si>
  <si>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</si>
  <si>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</si>
  <si>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</si>
  <si>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</si>
  <si>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</si>
  <si>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</si>
  <si>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</si>
  <si>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</si>
  <si>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</si>
  <si>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</si>
  <si>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</si>
  <si>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</si>
  <si>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</si>
  <si>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</si>
  <si>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</si>
  <si>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</si>
  <si>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</si>
  <si>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</si>
  <si>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</si>
  <si>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</si>
  <si>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</si>
  <si>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</si>
  <si>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</si>
  <si>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</si>
  <si>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</si>
  <si>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</si>
  <si>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</si>
  <si>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</si>
  <si>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</si>
  <si>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</si>
  <si>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</si>
  <si>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</si>
  <si>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</si>
  <si>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</si>
  <si>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</si>
  <si>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</si>
  <si>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</si>
  <si>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</si>
  <si>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</si>
  <si>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</si>
  <si>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</si>
  <si>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</si>
  <si>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</si>
  <si>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</si>
  <si>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</si>
  <si>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</si>
  <si>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</si>
  <si>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</si>
  <si>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</si>
  <si>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</si>
  <si>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</si>
  <si>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</si>
  <si>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</si>
  <si>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</si>
  <si>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</si>
  <si>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</si>
  <si>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</si>
  <si>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</si>
  <si>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</si>
  <si>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</si>
  <si>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</si>
  <si>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</si>
  <si>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</si>
  <si>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</si>
  <si>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</si>
  <si>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</si>
  <si>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</si>
  <si>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</si>
  <si>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</si>
  <si>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</si>
  <si>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</si>
  <si>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</si>
  <si>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</si>
  <si>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</si>
  <si>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</si>
  <si>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</si>
  <si>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</si>
  <si>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</si>
  <si>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</si>
  <si>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</si>
  <si>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</si>
  <si>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</si>
  <si>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</si>
  <si>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</si>
  <si>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</si>
  <si>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</si>
  <si>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</si>
  <si>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</si>
  <si>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</si>
  <si>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</si>
  <si>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</si>
  <si>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</si>
  <si>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</si>
  <si>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</si>
  <si>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</si>
  <si>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</si>
  <si>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</si>
  <si>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</si>
  <si>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</si>
  <si>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</si>
  <si>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</si>
  <si>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</si>
  <si>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</si>
  <si>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</si>
  <si>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</si>
  <si>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</si>
  <si>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</si>
  <si>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</si>
  <si>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</si>
  <si>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</si>
  <si>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</si>
  <si>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</si>
  <si>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</si>
  <si>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</si>
  <si>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</si>
  <si>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</si>
  <si>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</si>
  <si>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</si>
  <si>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</si>
  <si>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</si>
  <si>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</si>
  <si>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</si>
  <si>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</si>
  <si>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</si>
  <si>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</si>
  <si>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</si>
  <si>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</si>
  <si>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</si>
  <si>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</si>
  <si>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</si>
  <si>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</si>
  <si>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</si>
  <si>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</si>
  <si>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</si>
  <si>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</si>
  <si>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</si>
  <si>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</si>
  <si>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</si>
  <si>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</si>
  <si>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</si>
  <si>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</si>
  <si>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</si>
  <si>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</si>
  <si>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</si>
  <si>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</si>
  <si>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</si>
  <si>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</si>
  <si>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</si>
  <si>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</si>
  <si>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</si>
  <si>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</si>
  <si>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</si>
  <si>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</si>
  <si>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</si>
  <si>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</si>
  <si>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</si>
  <si>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</si>
  <si>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</si>
  <si>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</si>
  <si>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</si>
  <si>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</si>
  <si>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</si>
  <si>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</si>
  <si>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</si>
  <si>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</si>
  <si>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</si>
  <si>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</si>
  <si>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</si>
  <si>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</si>
  <si>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</si>
  <si>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</si>
  <si>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</si>
  <si>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</si>
  <si>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</si>
  <si>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</si>
  <si>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</si>
  <si>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</si>
  <si>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</si>
  <si>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</si>
  <si>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</si>
  <si>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</si>
  <si>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</si>
  <si>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</si>
  <si>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</si>
  <si>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</si>
  <si>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</si>
  <si>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</si>
  <si>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</si>
  <si>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</si>
  <si>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</si>
  <si>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</si>
  <si>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</si>
  <si>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</si>
  <si>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</si>
  <si>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</si>
  <si>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</si>
  <si>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</si>
  <si>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</si>
  <si>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</si>
  <si>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</si>
  <si>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</si>
  <si>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</si>
  <si>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</si>
  <si>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</si>
  <si>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</si>
  <si>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</si>
  <si>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</si>
  <si>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</si>
  <si>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</si>
  <si>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</si>
  <si>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</si>
  <si>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</si>
  <si>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</si>
  <si>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</si>
  <si>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</si>
  <si>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</si>
  <si>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</si>
  <si>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</si>
  <si>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</si>
  <si>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</si>
  <si>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</si>
  <si>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</si>
  <si>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</si>
  <si>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</si>
  <si>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</si>
  <si>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</si>
  <si>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</si>
  <si>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</si>
  <si>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</si>
  <si>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</si>
  <si>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</si>
  <si>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</si>
  <si>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</si>
  <si>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</si>
  <si>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</si>
  <si>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</si>
  <si>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</si>
  <si>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</si>
  <si>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</si>
  <si>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</si>
  <si>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</si>
  <si>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</si>
  <si>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</si>
  <si>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</si>
  <si>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</si>
  <si>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</si>
  <si>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</si>
  <si>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</si>
  <si>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</si>
  <si>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</si>
  <si>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</si>
  <si>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</si>
  <si>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</si>
  <si>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</si>
  <si>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</si>
  <si>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</si>
  <si>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</si>
  <si>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</si>
  <si>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</si>
  <si>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</si>
  <si>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</si>
  <si>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</si>
  <si>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</si>
  <si>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</si>
  <si>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</si>
  <si>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</si>
  <si>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</si>
  <si>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</si>
  <si>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</si>
  <si>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</si>
  <si>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</si>
  <si>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</si>
  <si>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</si>
  <si>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</si>
  <si>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</si>
  <si>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</si>
  <si>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</si>
  <si>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</si>
  <si>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</si>
  <si>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</si>
  <si>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</si>
  <si>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</si>
  <si>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</si>
  <si>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</si>
  <si>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</si>
  <si>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</si>
  <si>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</si>
  <si>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</si>
  <si>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</si>
  <si>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</si>
  <si>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</si>
  <si>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</si>
  <si>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</si>
  <si>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</si>
  <si>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</si>
  <si>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</si>
  <si>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</si>
  <si>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</si>
  <si>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</si>
  <si>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</si>
  <si>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</si>
  <si>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</si>
  <si>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</si>
  <si>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</si>
  <si>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</si>
  <si>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</si>
  <si>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</si>
  <si>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</si>
  <si>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</si>
  <si>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</si>
  <si>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</si>
  <si>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</si>
  <si>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</si>
  <si>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</si>
  <si>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</si>
  <si>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</si>
  <si>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</si>
  <si>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</si>
  <si>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</si>
  <si>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</si>
  <si>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</si>
  <si>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</si>
  <si>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</si>
  <si>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</si>
  <si>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</si>
  <si>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</si>
  <si>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</si>
  <si>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</si>
  <si>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</si>
  <si>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</si>
  <si>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</si>
  <si>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</si>
  <si>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</si>
  <si>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</si>
  <si>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</si>
  <si>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</si>
  <si>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</si>
  <si>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</si>
  <si>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</si>
  <si>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</si>
  <si>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</si>
  <si>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</si>
  <si>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</si>
  <si>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</si>
  <si>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</si>
  <si>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</si>
  <si>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</si>
  <si>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</si>
  <si>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</si>
  <si>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</si>
  <si>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</si>
  <si>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</si>
  <si>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</si>
  <si>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</si>
  <si>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</si>
  <si>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</si>
  <si>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</si>
  <si>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</si>
  <si>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</si>
  <si>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</si>
  <si>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</si>
  <si>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</si>
  <si>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</si>
  <si>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</si>
  <si>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</si>
  <si>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</si>
  <si>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</si>
  <si>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</si>
  <si>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</si>
  <si>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</si>
  <si>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</si>
  <si>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</si>
  <si>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</si>
  <si>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</si>
  <si>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</si>
  <si>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</si>
  <si>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</si>
  <si>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</si>
  <si>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</si>
  <si>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</si>
  <si>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</si>
  <si>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</si>
  <si>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</si>
  <si>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</si>
  <si>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</si>
  <si>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</si>
  <si>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</si>
  <si>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</si>
  <si>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</si>
  <si>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</si>
  <si>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</si>
  <si>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</si>
  <si>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</si>
  <si>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</si>
  <si>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</si>
  <si>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</si>
  <si>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</si>
  <si>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</si>
  <si>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</si>
  <si>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</si>
  <si>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</si>
  <si>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</si>
  <si>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</si>
  <si>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</si>
  <si>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</si>
  <si>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</si>
  <si>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</si>
  <si>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</si>
  <si>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</si>
  <si>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</si>
  <si>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</si>
  <si>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</si>
  <si>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</si>
  <si>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</si>
  <si>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</si>
  <si>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</si>
  <si>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</si>
  <si>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</si>
  <si>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</si>
  <si>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</si>
  <si>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</si>
  <si>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</si>
  <si>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</si>
  <si>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</si>
  <si>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</si>
  <si>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</si>
  <si>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</si>
  <si>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</si>
  <si>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</si>
  <si>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</si>
  <si>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</si>
  <si>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</si>
  <si>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</si>
  <si>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</si>
  <si>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</si>
  <si>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</si>
  <si>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</si>
  <si>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</si>
  <si>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</si>
  <si>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</si>
  <si>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</si>
  <si>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</si>
  <si>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</si>
  <si>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</si>
  <si>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</si>
  <si>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</si>
  <si>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</si>
  <si>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</si>
  <si>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</si>
  <si>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</si>
  <si>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</si>
  <si>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</si>
  <si>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</si>
  <si>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</si>
  <si>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</si>
  <si>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</si>
  <si>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</si>
  <si>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</si>
  <si>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</si>
  <si>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</si>
  <si>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</si>
  <si>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</si>
  <si>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</si>
  <si>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</si>
  <si>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</si>
  <si>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</si>
  <si>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</si>
  <si>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</si>
  <si>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</si>
  <si>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</si>
  <si>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</si>
  <si>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</si>
  <si>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</si>
  <si>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</si>
  <si>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</si>
  <si>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</si>
  <si>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</si>
  <si>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</si>
  <si>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</si>
  <si>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</si>
  <si>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</si>
  <si>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</si>
  <si>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</si>
  <si>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</si>
  <si>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</si>
  <si>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</si>
  <si>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</si>
  <si>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</si>
  <si>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</si>
  <si>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</si>
  <si>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</si>
  <si>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</si>
  <si>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</si>
  <si>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</si>
  <si>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</si>
  <si>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</si>
  <si>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</si>
  <si>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</si>
  <si>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</si>
  <si>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</si>
  <si>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</si>
  <si>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</si>
  <si>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</si>
  <si>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</si>
  <si>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</si>
  <si>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</si>
  <si>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</si>
  <si>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</si>
  <si>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</si>
  <si>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</si>
  <si>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</si>
  <si>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</si>
  <si>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</si>
  <si>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</si>
  <si>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</si>
  <si>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</si>
  <si>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</si>
  <si>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</si>
  <si>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</si>
  <si>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</si>
  <si>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</si>
  <si>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</si>
  <si>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</si>
  <si>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</si>
  <si>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</si>
  <si>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</si>
  <si>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</si>
  <si>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</si>
  <si>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</si>
  <si>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</si>
  <si>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</si>
  <si>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</si>
  <si>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</si>
  <si>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</si>
  <si>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</si>
  <si>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</si>
  <si>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</si>
  <si>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</si>
  <si>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</si>
  <si>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</si>
  <si>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</si>
  <si>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</si>
  <si>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</si>
  <si>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</si>
  <si>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</si>
  <si>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</si>
  <si>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</si>
  <si>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</si>
  <si>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</si>
  <si>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</si>
  <si>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</si>
  <si>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</si>
  <si>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</si>
  <si>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</si>
  <si>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</si>
  <si>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</si>
  <si>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</si>
  <si>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</si>
  <si>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</si>
  <si>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</si>
  <si>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</si>
  <si>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</si>
  <si>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</si>
  <si>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</si>
  <si>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</si>
  <si>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</si>
  <si>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</si>
  <si>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</si>
  <si>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</si>
  <si>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</si>
  <si>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</si>
  <si>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</si>
  <si>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</si>
  <si>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</si>
  <si>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</si>
  <si>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</si>
  <si>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</si>
  <si>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</si>
  <si>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</si>
  <si>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</si>
  <si>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</si>
  <si>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</si>
  <si>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</si>
  <si>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</si>
  <si>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</si>
  <si>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</si>
  <si>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</si>
  <si>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</si>
  <si>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</si>
  <si>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</si>
  <si>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</si>
  <si>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</si>
  <si>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</si>
  <si>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</si>
  <si>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</si>
  <si>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</si>
  <si>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</si>
  <si>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</si>
  <si>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</si>
  <si>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</si>
  <si>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</si>
  <si>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</si>
  <si>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</si>
  <si>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</si>
  <si>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</si>
  <si>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</si>
  <si>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</si>
  <si>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</si>
  <si>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</si>
  <si>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</si>
  <si>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</si>
  <si>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</si>
  <si>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</si>
  <si>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</si>
  <si>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</si>
  <si>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</si>
  <si>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</si>
  <si>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</si>
  <si>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</si>
  <si>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</si>
  <si>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</si>
  <si>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</si>
  <si>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</si>
  <si>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</si>
  <si>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</si>
  <si>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</si>
  <si>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</si>
  <si>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</si>
  <si>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</si>
  <si>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</si>
  <si>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</si>
  <si>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</si>
  <si>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</si>
  <si>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</si>
  <si>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</si>
  <si>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</si>
  <si>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</si>
  <si>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</si>
  <si>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</si>
  <si>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</si>
  <si>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</si>
  <si>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</si>
  <si>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</si>
  <si>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</si>
  <si>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</si>
  <si>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</si>
  <si>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</si>
  <si>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</si>
  <si>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</si>
  <si>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</si>
  <si>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</si>
  <si>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</si>
  <si>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</si>
  <si>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</si>
  <si>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</si>
  <si>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</si>
  <si>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</si>
  <si>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</si>
  <si>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</si>
  <si>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</si>
  <si>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</si>
  <si>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</si>
  <si>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</si>
  <si>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</si>
  <si>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</si>
  <si>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</si>
  <si>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</si>
  <si>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</si>
  <si>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</si>
  <si>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</si>
  <si>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</si>
  <si>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</si>
  <si>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</si>
  <si>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</si>
  <si>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</si>
  <si>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</si>
  <si>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</si>
  <si>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</si>
  <si>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</si>
  <si>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</si>
  <si>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</si>
  <si>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</si>
  <si>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</si>
  <si>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</si>
  <si>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</si>
  <si>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</si>
  <si>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</si>
  <si>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</si>
  <si>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</si>
  <si>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</si>
  <si>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</si>
  <si>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</si>
  <si>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</si>
  <si>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</si>
  <si>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</si>
  <si>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</si>
  <si>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</si>
  <si>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</si>
  <si>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</si>
  <si>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</si>
  <si>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</si>
  <si>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</si>
  <si>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</si>
  <si>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</si>
  <si>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</si>
  <si>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</si>
  <si>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</si>
  <si>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</si>
  <si>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</si>
  <si>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</si>
  <si>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</si>
  <si>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</si>
  <si>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</si>
  <si>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</si>
  <si>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</si>
  <si>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</si>
  <si>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</si>
  <si>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</si>
  <si>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</si>
  <si>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</si>
  <si>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</si>
  <si>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</si>
  <si>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</si>
  <si>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</si>
  <si>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</si>
  <si>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</si>
  <si>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</si>
  <si>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</si>
  <si>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</si>
  <si>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</si>
  <si>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</si>
  <si>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</si>
  <si>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</si>
  <si>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</si>
  <si>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</si>
  <si>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</si>
  <si>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</si>
  <si>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</si>
  <si>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</si>
  <si>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</si>
  <si>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</si>
  <si>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</si>
  <si>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</si>
  <si>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</si>
  <si>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</si>
  <si>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</si>
  <si>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</si>
  <si>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</si>
  <si>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</si>
  <si>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</si>
  <si>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</si>
  <si>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</si>
  <si>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</si>
  <si>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</si>
  <si>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</si>
  <si>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</si>
  <si>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</si>
  <si>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</si>
  <si>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</si>
  <si>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</si>
  <si>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</si>
  <si>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</si>
  <si>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</si>
  <si>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</si>
  <si>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</si>
  <si>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</si>
  <si>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</si>
  <si>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</si>
  <si>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</si>
  <si>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</si>
  <si>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</si>
  <si>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</si>
  <si>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</si>
  <si>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</si>
  <si>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</si>
  <si>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</si>
  <si>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</si>
  <si>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</si>
  <si>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</si>
  <si>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</si>
  <si>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</si>
  <si>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</si>
  <si>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</si>
  <si>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</si>
  <si>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</si>
  <si>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</si>
  <si>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</si>
  <si>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</si>
  <si>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</si>
  <si>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</si>
  <si>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</si>
  <si>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</si>
  <si>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</si>
  <si>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</si>
  <si>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</si>
  <si>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</si>
  <si>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</si>
  <si>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</si>
  <si>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</si>
  <si>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</si>
  <si>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</si>
  <si>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</si>
  <si>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</si>
  <si>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</si>
  <si>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</si>
  <si>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</si>
  <si>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</si>
  <si>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</si>
  <si>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</si>
  <si>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</si>
  <si>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</si>
  <si>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</si>
  <si>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</si>
  <si>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</si>
  <si>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</si>
  <si>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</si>
  <si>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</si>
  <si>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</si>
  <si>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</si>
  <si>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</si>
  <si>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</si>
  <si>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</si>
  <si>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</si>
  <si>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</si>
  <si>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</si>
  <si>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</si>
  <si>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</si>
  <si>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</si>
  <si>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</si>
  <si>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</si>
  <si>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</si>
  <si>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</si>
  <si>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</si>
  <si>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</si>
  <si>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</si>
  <si>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</si>
  <si>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</si>
  <si>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</si>
  <si>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</si>
  <si>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</si>
  <si>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</si>
  <si>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</si>
  <si>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</si>
  <si>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</si>
  <si>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</si>
  <si>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</si>
  <si>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</si>
  <si>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</si>
  <si>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</si>
  <si>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</si>
  <si>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</si>
  <si>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</si>
  <si>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</si>
  <si>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</si>
  <si>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</si>
  <si>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</si>
  <si>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</si>
  <si>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</si>
  <si>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</si>
  <si>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</si>
  <si>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</si>
  <si>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</si>
  <si>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</si>
  <si>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</si>
  <si>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</si>
  <si>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</si>
  <si>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</si>
  <si>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</si>
  <si>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</si>
  <si>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</si>
  <si>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</si>
  <si>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</si>
  <si>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</si>
  <si>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</si>
  <si>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</si>
  <si>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</si>
  <si>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</si>
  <si>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</si>
  <si>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</si>
  <si>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</si>
  <si>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</si>
  <si>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</si>
  <si>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</si>
  <si>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</si>
  <si>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</si>
  <si>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</si>
  <si>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</si>
  <si>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</si>
  <si>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</si>
  <si>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</si>
  <si>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</si>
  <si>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</si>
  <si>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</si>
  <si>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</si>
  <si>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</si>
  <si>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</si>
  <si>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</si>
  <si>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</si>
  <si>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</si>
  <si>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</si>
  <si>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</si>
  <si>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</si>
  <si>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</si>
  <si>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</si>
  <si>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</si>
  <si>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</si>
  <si>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</si>
  <si>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</si>
  <si>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</si>
  <si>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</si>
  <si>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</si>
  <si>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</si>
  <si>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</si>
  <si>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</si>
  <si>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</si>
  <si>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</si>
  <si>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</si>
  <si>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</si>
  <si>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</si>
  <si>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</si>
  <si>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</si>
  <si>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</si>
  <si>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</si>
  <si>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</si>
  <si>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</si>
  <si>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</si>
  <si>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</si>
  <si>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</si>
  <si>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</si>
  <si>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</si>
  <si>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</si>
  <si>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</si>
  <si>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</si>
  <si>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</si>
  <si>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</si>
  <si>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</si>
  <si>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</si>
  <si>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</si>
  <si>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</si>
  <si>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</si>
  <si>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</si>
  <si>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</si>
  <si>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</si>
  <si>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</si>
  <si>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</si>
  <si>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</si>
  <si>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</si>
  <si>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</si>
  <si>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</si>
  <si>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</si>
  <si>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</si>
  <si>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</si>
  <si>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</si>
  <si>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</si>
  <si>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</si>
  <si>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</si>
  <si>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</si>
  <si>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</si>
  <si>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</si>
  <si>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</si>
  <si>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</si>
  <si>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</si>
  <si>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</si>
  <si>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</si>
  <si>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</si>
  <si>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</si>
  <si>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</si>
  <si>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</si>
  <si>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</si>
  <si>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</si>
  <si>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</si>
  <si>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</si>
  <si>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</si>
  <si>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</si>
  <si>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</si>
  <si>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</si>
  <si>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</si>
  <si>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</si>
  <si>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</si>
  <si>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</si>
  <si>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</si>
  <si>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</si>
  <si>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</si>
  <si>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</si>
  <si>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</si>
  <si>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</si>
  <si>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</si>
  <si>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</si>
  <si>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</si>
  <si>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</si>
  <si>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</si>
  <si>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</si>
  <si>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</si>
  <si>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</si>
  <si>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</si>
  <si>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</si>
  <si>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</si>
  <si>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</si>
  <si>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</si>
  <si>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</si>
  <si>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</si>
  <si>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</si>
  <si>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</si>
  <si>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</si>
  <si>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</si>
  <si>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</si>
  <si>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</si>
  <si>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</si>
  <si>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</si>
  <si>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</si>
  <si>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</si>
  <si>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</si>
  <si>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</si>
  <si>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</si>
  <si>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</si>
  <si>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</si>
  <si>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</si>
  <si>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</si>
  <si>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</si>
  <si>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</si>
  <si>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</si>
  <si>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</si>
  <si>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</si>
  <si>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</si>
  <si>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</si>
  <si>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</si>
  <si>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</si>
  <si>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</si>
  <si>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</si>
  <si>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</si>
  <si>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</si>
  <si>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</si>
  <si>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</si>
  <si>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</si>
  <si>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</si>
  <si>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</si>
  <si>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</si>
  <si>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</si>
  <si>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</si>
  <si>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</si>
  <si>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</si>
  <si>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</si>
  <si>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</si>
  <si>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</si>
  <si>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</si>
  <si>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</si>
  <si>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</si>
  <si>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</si>
  <si>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</si>
  <si>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</si>
  <si>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</si>
  <si>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</si>
  <si>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</si>
  <si>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</si>
  <si>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</si>
  <si>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</si>
  <si>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</si>
  <si>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</si>
  <si>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</si>
  <si>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</si>
  <si>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</si>
  <si>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</si>
  <si>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</si>
  <si>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</si>
  <si>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</si>
  <si>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</si>
  <si>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</si>
  <si>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</si>
  <si>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</si>
  <si>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</si>
  <si>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</si>
  <si>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</si>
  <si>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</si>
  <si>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</si>
  <si>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</si>
  <si>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</si>
  <si>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</si>
  <si>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</si>
  <si>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</si>
  <si>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</si>
  <si>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</si>
  <si>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</si>
  <si>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</si>
  <si>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</si>
  <si>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</si>
  <si>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</si>
  <si>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</si>
  <si>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</si>
  <si>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</si>
  <si>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</si>
  <si>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</si>
  <si>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</si>
  <si>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</si>
  <si>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</si>
  <si>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</si>
  <si>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</si>
  <si>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</si>
  <si>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</si>
  <si>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</si>
  <si>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</si>
  <si>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</si>
  <si>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</si>
  <si>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</si>
  <si>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</si>
  <si>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</si>
  <si>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</si>
  <si>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</si>
  <si>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</si>
  <si>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</si>
  <si>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</si>
  <si>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</si>
  <si>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</si>
  <si>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</si>
  <si>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</si>
  <si>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</si>
  <si>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</si>
  <si>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</si>
  <si>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</si>
  <si>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</si>
  <si>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</si>
  <si>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</si>
  <si>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</si>
  <si>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</si>
  <si>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</si>
  <si>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</si>
  <si>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</si>
  <si>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</si>
  <si>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</si>
  <si>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</si>
  <si>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</si>
  <si>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</si>
  <si>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</si>
  <si>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</si>
  <si>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</si>
  <si>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</si>
  <si>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</si>
  <si>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</si>
  <si>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</si>
  <si>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</si>
  <si>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</si>
  <si>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</si>
  <si>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</si>
  <si>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</si>
  <si>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</si>
  <si>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</si>
  <si>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</si>
  <si>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</si>
  <si>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</si>
  <si>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</si>
  <si>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</si>
  <si>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</si>
  <si>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</si>
  <si>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</si>
  <si>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</si>
  <si>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</si>
  <si>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</si>
  <si>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</si>
  <si>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</si>
  <si>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</si>
  <si>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</si>
  <si>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</si>
  <si>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</si>
  <si>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</si>
  <si>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</si>
  <si>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</si>
  <si>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</si>
  <si>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</si>
  <si>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</si>
  <si>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</si>
  <si>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</si>
  <si>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</si>
  <si>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</si>
  <si>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</si>
  <si>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</si>
  <si>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</si>
  <si>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</si>
  <si>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</si>
  <si>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</si>
  <si>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</si>
  <si>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</si>
  <si>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</si>
  <si>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</si>
  <si>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</si>
  <si>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</si>
  <si>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</si>
  <si>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</si>
  <si>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</si>
  <si>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</si>
  <si>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</si>
  <si>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</si>
  <si>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</si>
  <si>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</si>
  <si>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</si>
  <si>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</si>
  <si>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</si>
  <si>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</si>
  <si>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</si>
  <si>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</si>
  <si>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</si>
  <si>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</si>
  <si>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</si>
  <si>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</si>
  <si>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</si>
  <si>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</si>
  <si>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</si>
  <si>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</si>
  <si>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</si>
  <si>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</si>
  <si>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</si>
  <si>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</si>
  <si>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</si>
  <si>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</si>
  <si>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</si>
  <si>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</si>
  <si>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</si>
  <si>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</si>
  <si>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</si>
  <si>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</si>
  <si>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</si>
  <si>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</si>
  <si>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</si>
  <si>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</si>
  <si>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</si>
  <si>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</si>
  <si>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</si>
  <si>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</si>
  <si>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</si>
  <si>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</si>
  <si>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</si>
  <si>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</si>
  <si>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</si>
  <si>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</si>
  <si>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</si>
  <si>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</si>
  <si>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</si>
  <si>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</si>
  <si>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</si>
  <si>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</si>
  <si>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</si>
  <si>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</si>
  <si>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</si>
  <si>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</si>
  <si>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</si>
  <si>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</si>
  <si>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</si>
  <si>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</si>
  <si>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</si>
  <si>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</si>
  <si>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</si>
  <si>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</si>
  <si>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</si>
  <si>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</si>
  <si>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</si>
  <si>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</si>
  <si>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</si>
  <si>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</si>
  <si>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</si>
  <si>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</si>
  <si>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</si>
  <si>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</si>
  <si>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</si>
  <si>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</si>
  <si>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</si>
  <si>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</si>
  <si>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</si>
  <si>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</si>
  <si>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</si>
  <si>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</si>
  <si>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</si>
  <si>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</si>
  <si>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</si>
  <si>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</si>
  <si>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</si>
  <si>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</si>
  <si>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</si>
  <si>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</si>
  <si>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</si>
  <si>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</si>
  <si>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</si>
  <si>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</si>
  <si>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</si>
  <si>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</si>
  <si>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</si>
  <si>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</si>
  <si>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</si>
  <si>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</si>
  <si>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</si>
  <si>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</si>
  <si>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</si>
  <si>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</si>
  <si>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</si>
  <si>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</si>
  <si>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</si>
  <si>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</si>
  <si>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</si>
  <si>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</si>
  <si>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</si>
  <si>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</si>
  <si>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</si>
  <si>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</si>
  <si>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</si>
  <si>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</si>
  <si>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</si>
  <si>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</si>
  <si>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</si>
  <si>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</si>
  <si>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</si>
  <si>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</si>
  <si>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</si>
  <si>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</si>
  <si>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</si>
  <si>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</si>
  <si>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</si>
  <si>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</si>
  <si>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</si>
  <si>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</si>
  <si>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</si>
  <si>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</si>
  <si>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</si>
  <si>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</si>
  <si>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</si>
  <si>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</si>
  <si>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</si>
  <si>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</si>
  <si>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</si>
  <si>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</si>
  <si>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</si>
  <si>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</si>
  <si>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</si>
  <si>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</si>
  <si>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</si>
  <si>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</si>
  <si>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</si>
  <si>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</si>
  <si>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</si>
  <si>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</si>
  <si>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</si>
  <si>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</si>
  <si>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</si>
  <si>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</si>
  <si>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</si>
  <si>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</si>
  <si>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</si>
  <si>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</si>
  <si>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</si>
  <si>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</si>
  <si>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</si>
  <si>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</si>
  <si>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</si>
  <si>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</si>
  <si>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</si>
  <si>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</si>
  <si>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</si>
  <si>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</si>
  <si>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</si>
  <si>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</si>
  <si>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</si>
  <si>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</si>
  <si>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</si>
  <si>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</si>
  <si>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</si>
  <si>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</si>
  <si>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</si>
  <si>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</si>
  <si>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</si>
  <si>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</si>
  <si>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</si>
  <si>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</si>
  <si>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</si>
  <si>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</si>
  <si>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</si>
  <si>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</si>
  <si>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</si>
  <si>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</si>
  <si>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</si>
  <si>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</si>
  <si>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</si>
  <si>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</si>
  <si>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</si>
  <si>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</si>
  <si>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</si>
  <si>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</si>
  <si>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</si>
  <si>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</si>
  <si>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</si>
  <si>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</si>
  <si>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</si>
  <si>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</si>
  <si>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</si>
  <si>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</si>
  <si>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</si>
  <si>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</si>
  <si>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</si>
  <si>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</si>
  <si>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</si>
  <si>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</si>
  <si>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</si>
  <si>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</si>
  <si>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</si>
  <si>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</si>
  <si>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</si>
  <si>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</si>
  <si>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</si>
  <si>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</si>
  <si>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</si>
  <si>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</si>
  <si>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</si>
  <si>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</si>
  <si>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</si>
  <si>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</si>
  <si>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</si>
  <si>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</si>
  <si>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</si>
  <si>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</si>
  <si>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</si>
  <si>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</si>
  <si>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</si>
  <si>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</si>
  <si>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</si>
  <si>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</si>
  <si>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</si>
  <si>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</si>
  <si>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</si>
  <si>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</si>
  <si>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</si>
  <si>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</si>
  <si>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</si>
  <si>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</si>
  <si>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</si>
  <si>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</si>
  <si>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</si>
  <si>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</si>
  <si>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</si>
  <si>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</si>
  <si>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</si>
  <si>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</si>
  <si>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</si>
  <si>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</si>
  <si>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</si>
  <si>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</si>
  <si>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</si>
  <si>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</si>
  <si>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</si>
  <si>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</si>
  <si>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</si>
  <si>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</si>
  <si>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</si>
  <si>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</si>
  <si>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</si>
  <si>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</si>
  <si>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</si>
  <si>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</si>
  <si>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</si>
  <si>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</si>
  <si>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</si>
  <si>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</si>
  <si>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</si>
  <si>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</si>
  <si>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</si>
  <si>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</si>
  <si>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</si>
  <si>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</si>
  <si>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</si>
  <si>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</si>
  <si>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</si>
  <si>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</si>
  <si>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</si>
  <si>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</si>
  <si>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</si>
  <si>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</si>
  <si>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</si>
  <si>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</si>
  <si>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</si>
  <si>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</si>
  <si>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</si>
  <si>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</si>
  <si>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</si>
  <si>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</si>
  <si>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</si>
  <si>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</si>
  <si>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</si>
  <si>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</si>
  <si>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</si>
  <si>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</si>
  <si>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</si>
  <si>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</si>
  <si>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</si>
  <si>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</si>
  <si>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</si>
  <si>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</si>
  <si>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</si>
  <si>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</si>
  <si>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</si>
  <si>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</si>
  <si>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</si>
  <si>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</si>
  <si>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</si>
  <si>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</si>
  <si>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</si>
  <si>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</si>
  <si>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</si>
  <si>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</si>
  <si>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</si>
  <si>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</si>
  <si>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</si>
  <si>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</si>
  <si>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</si>
  <si>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</si>
  <si>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</si>
  <si>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</si>
  <si>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</si>
  <si>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</si>
  <si>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</si>
  <si>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</si>
  <si>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</si>
  <si>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</si>
  <si>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</si>
  <si>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</si>
  <si>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</si>
  <si>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</si>
  <si>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</si>
  <si>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</si>
  <si>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</si>
  <si>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</si>
  <si>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</si>
  <si>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</si>
  <si>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</si>
  <si>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</si>
  <si>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</si>
  <si>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</si>
  <si>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</si>
  <si>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</si>
  <si>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</si>
  <si>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</si>
  <si>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</si>
  <si>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</si>
  <si>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</si>
  <si>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</si>
  <si>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</si>
  <si>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</si>
  <si>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</si>
  <si>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</si>
  <si>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</si>
  <si>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</si>
  <si>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</si>
  <si>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</si>
  <si>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</si>
  <si>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</si>
  <si>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</si>
  <si>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</si>
  <si>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</si>
  <si>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</si>
  <si>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</si>
  <si>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</si>
  <si>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</si>
  <si>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</si>
  <si>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</si>
  <si>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</si>
  <si>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</si>
  <si>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</si>
  <si>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</si>
  <si>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</si>
  <si>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</si>
  <si>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</si>
  <si>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</si>
  <si>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</si>
  <si>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</si>
  <si>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</si>
  <si>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</si>
  <si>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</si>
  <si>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</si>
  <si>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</si>
  <si>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</si>
  <si>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</si>
  <si>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</si>
  <si>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</si>
  <si>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</si>
  <si>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</si>
  <si>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</si>
  <si>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</si>
  <si>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</si>
  <si>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</si>
  <si>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</si>
  <si>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</si>
  <si>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</si>
  <si>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</si>
  <si>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</si>
  <si>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</si>
  <si>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</si>
  <si>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</si>
  <si>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</si>
  <si>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</si>
  <si>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</si>
  <si>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</si>
  <si>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</si>
  <si>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</si>
  <si>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</si>
  <si>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</si>
  <si>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</si>
  <si>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</si>
  <si>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</si>
  <si>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</si>
  <si>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</si>
  <si>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</si>
  <si>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</si>
  <si>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</si>
  <si>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</si>
  <si>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</si>
  <si>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</si>
  <si>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</si>
  <si>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</si>
  <si>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</si>
  <si>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</si>
  <si>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</si>
  <si>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</si>
  <si>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</si>
  <si>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</si>
  <si>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</si>
  <si>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</si>
  <si>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</si>
  <si>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</si>
  <si>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</si>
  <si>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</si>
  <si>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</si>
  <si>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</si>
  <si>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</si>
  <si>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</si>
  <si>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</si>
  <si>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</si>
  <si>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</si>
  <si>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</si>
  <si>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</si>
  <si>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</si>
  <si>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</si>
  <si>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</si>
  <si>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</si>
  <si>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</si>
  <si>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</si>
  <si>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</si>
  <si>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</si>
  <si>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</si>
  <si>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</si>
  <si>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</si>
  <si>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</si>
  <si>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</si>
  <si>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</si>
  <si>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</si>
  <si>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</si>
  <si>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</si>
  <si>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</si>
  <si>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</si>
  <si>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</si>
  <si>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</si>
  <si>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</si>
  <si>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</si>
  <si>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</si>
  <si>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</si>
  <si>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</si>
  <si>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</si>
  <si>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</si>
  <si>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</si>
  <si>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</si>
  <si>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</si>
  <si>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</si>
  <si>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</si>
  <si>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</si>
  <si>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</si>
  <si>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</si>
  <si>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</si>
  <si>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</si>
  <si>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</si>
  <si>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</si>
  <si>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</si>
  <si>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</si>
  <si>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</si>
  <si>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</si>
  <si>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</si>
  <si>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</si>
  <si>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</si>
  <si>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</si>
  <si>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</si>
  <si>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</si>
  <si>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</si>
  <si>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</si>
  <si>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</si>
  <si>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</si>
  <si>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</si>
  <si>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</si>
  <si>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</si>
  <si>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</si>
  <si>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</si>
  <si>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</si>
  <si>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</si>
  <si>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</si>
  <si>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</si>
  <si>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</si>
  <si>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</si>
  <si>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</si>
  <si>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</si>
  <si>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</si>
  <si>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</si>
  <si>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</si>
  <si>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</si>
  <si>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</si>
  <si>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</si>
  <si>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</si>
  <si>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</si>
  <si>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</si>
  <si>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</si>
  <si>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</si>
  <si>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</si>
  <si>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</si>
  <si>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</si>
  <si>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</si>
  <si>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</si>
  <si>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</si>
  <si>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</si>
  <si>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</si>
  <si>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</si>
  <si>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</si>
  <si>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</si>
  <si>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</si>
  <si>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</si>
  <si>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</si>
  <si>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</si>
  <si>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</si>
  <si>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</si>
  <si>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</si>
  <si>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</si>
  <si>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</si>
  <si>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</si>
  <si>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</si>
  <si>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</si>
  <si>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</si>
  <si>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</si>
  <si>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</si>
  <si>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</si>
  <si>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</si>
  <si>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</si>
  <si>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</si>
  <si>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</si>
  <si>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</si>
  <si>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</si>
  <si>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</si>
  <si>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</si>
  <si>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</si>
  <si>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</si>
  <si>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</si>
  <si>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</si>
  <si>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</si>
  <si>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</si>
  <si>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</si>
  <si>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</si>
  <si>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</si>
  <si>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</si>
  <si>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</si>
  <si>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</si>
  <si>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</si>
  <si>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</si>
  <si>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</si>
  <si>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</si>
  <si>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</si>
  <si>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</si>
  <si>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</si>
  <si>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</si>
  <si>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</si>
  <si>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</si>
  <si>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</si>
  <si>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</si>
  <si>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</si>
  <si>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</si>
  <si>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</si>
  <si>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</si>
  <si>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</si>
  <si>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</si>
  <si>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</si>
  <si>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</si>
  <si>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</si>
  <si>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</si>
  <si>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</si>
  <si>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</si>
  <si>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</si>
  <si>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</si>
  <si>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</si>
  <si>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</si>
  <si>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</si>
  <si>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</si>
  <si>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</si>
  <si>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</si>
  <si>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</si>
  <si>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</si>
  <si>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</si>
  <si>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</si>
  <si>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</si>
  <si>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</si>
  <si>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</si>
  <si>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</si>
  <si>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</si>
  <si>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</si>
  <si>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</si>
  <si>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</si>
  <si>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</si>
  <si>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</si>
  <si>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</si>
  <si>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</si>
  <si>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</si>
  <si>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</si>
  <si>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</si>
  <si>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</si>
  <si>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</si>
  <si>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</si>
  <si>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</si>
  <si>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</si>
  <si>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</si>
  <si>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</si>
  <si>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</si>
  <si>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</si>
  <si>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</si>
  <si>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</si>
  <si>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</si>
  <si>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</si>
  <si>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</si>
  <si>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</si>
  <si>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</si>
  <si>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</si>
  <si>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</si>
  <si>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</si>
  <si>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</si>
  <si>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</si>
  <si>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</si>
  <si>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</si>
  <si>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</si>
  <si>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</si>
  <si>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</si>
  <si>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</si>
  <si>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</si>
  <si>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</si>
  <si>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</si>
  <si>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</si>
  <si>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</si>
  <si>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</si>
  <si>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</si>
  <si>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</si>
  <si>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</si>
  <si>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</si>
  <si>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</si>
  <si>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</si>
  <si>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</si>
  <si>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</si>
  <si>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</si>
  <si>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</si>
  <si>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</si>
  <si>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</si>
  <si>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</si>
  <si>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</si>
  <si>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</si>
  <si>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</si>
  <si>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</si>
  <si>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</si>
  <si>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</si>
  <si>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</si>
  <si>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</si>
  <si>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</si>
  <si>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</si>
  <si>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</si>
  <si>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</si>
  <si>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</si>
  <si>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</si>
  <si>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</si>
  <si>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</si>
  <si>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</si>
  <si>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</si>
  <si>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</si>
  <si>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</si>
  <si>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</si>
  <si>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</si>
  <si>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</si>
  <si>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</si>
  <si>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</si>
  <si>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</si>
  <si>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</si>
  <si>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</si>
  <si>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</si>
  <si>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</si>
  <si>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</si>
  <si>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</si>
  <si>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</si>
  <si>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</si>
  <si>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</si>
  <si>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</si>
  <si>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</si>
  <si>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</si>
  <si>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</si>
  <si>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</si>
  <si>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</si>
  <si>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</si>
  <si>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</si>
  <si>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</si>
  <si>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</si>
  <si>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</si>
  <si>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</si>
  <si>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</si>
  <si>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</si>
  <si>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</si>
  <si>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</si>
  <si>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</si>
  <si>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</si>
  <si>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</si>
  <si>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</si>
  <si>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</si>
  <si>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</si>
  <si>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</si>
  <si>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</si>
  <si>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</si>
  <si>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</si>
  <si>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</si>
  <si>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</si>
  <si>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</si>
  <si>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</si>
  <si>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</si>
  <si>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</si>
  <si>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</si>
  <si>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</si>
  <si>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</si>
  <si>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</si>
  <si>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</si>
  <si>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</si>
  <si>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</si>
  <si>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</si>
  <si>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</si>
  <si>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</si>
  <si>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</si>
  <si>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</si>
  <si>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</si>
  <si>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</si>
  <si>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</si>
  <si>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</si>
  <si>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</si>
  <si>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</si>
  <si>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</si>
  <si>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</si>
  <si>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</si>
  <si>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</si>
  <si>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</si>
  <si>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</si>
  <si>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</si>
  <si>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</si>
  <si>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</si>
  <si>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</si>
  <si>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</si>
  <si>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</si>
  <si>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</si>
  <si>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</si>
  <si>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</si>
  <si>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</si>
  <si>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</si>
  <si>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</si>
  <si>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</si>
  <si>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</si>
  <si>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</si>
  <si>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</si>
  <si>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</si>
  <si>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</si>
  <si>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</si>
  <si>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</si>
  <si>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</si>
  <si>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</si>
  <si>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</si>
  <si>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</si>
  <si>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</si>
  <si>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</si>
  <si>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</si>
  <si>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</si>
  <si>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</si>
  <si>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</si>
  <si>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</si>
  <si>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</si>
  <si>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</si>
  <si>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</si>
  <si>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</si>
  <si>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</si>
  <si>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</si>
  <si>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</si>
  <si>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</si>
  <si>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</si>
  <si>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</si>
  <si>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</si>
  <si>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</si>
  <si>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</si>
  <si>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</si>
  <si>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</si>
  <si>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</si>
  <si>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</si>
  <si>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</si>
  <si>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</si>
  <si>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</si>
  <si>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</si>
  <si>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</si>
  <si>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</si>
  <si>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</si>
  <si>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</si>
  <si>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</si>
  <si>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</si>
  <si>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</si>
  <si>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</si>
  <si>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</si>
  <si>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</si>
  <si>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</si>
  <si>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</si>
  <si>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</si>
  <si>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</si>
  <si>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</si>
  <si>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</si>
  <si>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</si>
  <si>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</si>
  <si>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</si>
  <si>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</si>
  <si>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</si>
  <si>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</si>
  <si>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</si>
  <si>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</si>
  <si>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</si>
  <si>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</si>
  <si>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</si>
  <si>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</si>
  <si>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</si>
  <si>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</si>
  <si>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</si>
  <si>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</si>
  <si>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</si>
  <si>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</si>
  <si>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</si>
  <si>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</si>
  <si>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</si>
  <si>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</si>
  <si>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</si>
  <si>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</si>
  <si>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</si>
  <si>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</si>
  <si>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</si>
  <si>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</si>
  <si>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</si>
  <si>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</si>
  <si>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</si>
  <si>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</si>
  <si>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</si>
  <si>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</si>
  <si>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</si>
  <si>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</si>
  <si>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</si>
  <si>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</si>
  <si>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</si>
  <si>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</si>
  <si>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</si>
  <si>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</si>
  <si>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</si>
  <si>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</si>
  <si>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</si>
  <si>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</si>
  <si>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</si>
  <si>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</si>
  <si>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</si>
  <si>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</si>
  <si>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</si>
  <si>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</si>
  <si>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</si>
  <si>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</si>
  <si>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</si>
  <si>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</si>
  <si>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</si>
  <si>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</si>
  <si>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</si>
  <si>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</si>
  <si>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</si>
  <si>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</si>
  <si>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</si>
  <si>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</si>
  <si>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</si>
  <si>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</si>
  <si>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</si>
  <si>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</si>
  <si>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</si>
  <si>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</si>
  <si>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</si>
  <si>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</si>
  <si>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</si>
  <si>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</si>
  <si>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</si>
  <si>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</si>
  <si>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</si>
  <si>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</si>
  <si>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</si>
  <si>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</si>
  <si>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</si>
  <si>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</si>
  <si>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</si>
  <si>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</si>
  <si>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</si>
  <si>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</si>
  <si>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</si>
  <si>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</si>
  <si>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</si>
  <si>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</si>
  <si>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</si>
  <si>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</si>
  <si>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</si>
  <si>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</si>
  <si>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</si>
  <si>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</si>
  <si>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</si>
  <si>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</si>
  <si>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</si>
  <si>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</si>
  <si>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</si>
  <si>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</si>
  <si>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</si>
  <si>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</si>
  <si>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</si>
  <si>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</si>
  <si>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</si>
  <si>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</si>
  <si>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</si>
  <si>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</si>
  <si>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</si>
  <si>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</si>
  <si>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</si>
  <si>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</si>
  <si>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</si>
  <si>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</si>
  <si>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</si>
  <si>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</si>
  <si>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</si>
  <si>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</si>
  <si>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</si>
  <si>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</si>
  <si>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</si>
  <si>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</si>
  <si>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</si>
  <si>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</si>
  <si>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</si>
  <si>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</si>
  <si>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</si>
  <si>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</si>
  <si>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</si>
  <si>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</si>
  <si>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</si>
  <si>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</si>
  <si>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</si>
  <si>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</si>
  <si>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</si>
  <si>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</si>
  <si>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</si>
  <si>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</si>
  <si>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</si>
  <si>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</si>
  <si>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</si>
  <si>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</si>
  <si>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</si>
  <si>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</si>
  <si>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</si>
  <si>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</si>
  <si>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</si>
  <si>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</si>
  <si>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</si>
  <si>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</si>
  <si>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</si>
  <si>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</si>
  <si>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</si>
  <si>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</si>
  <si>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</si>
  <si>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</si>
  <si>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</si>
  <si>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</si>
  <si>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</si>
  <si>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</si>
  <si>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</si>
  <si>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</si>
  <si>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</si>
  <si>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</si>
  <si>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</si>
  <si>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</si>
  <si>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</si>
  <si>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</si>
  <si>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</si>
  <si>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</si>
  <si>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</si>
  <si>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</si>
  <si>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</si>
  <si>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</si>
  <si>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</si>
  <si>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</si>
  <si>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</si>
  <si>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</si>
  <si>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</si>
  <si>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</si>
  <si>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</si>
  <si>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</si>
  <si>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</si>
  <si>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</si>
  <si>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</si>
  <si>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</si>
  <si>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</si>
  <si>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</si>
  <si>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</si>
  <si>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</si>
  <si>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</si>
  <si>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</si>
  <si>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</si>
  <si>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</si>
  <si>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</si>
  <si>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</si>
  <si>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</si>
  <si>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</si>
  <si>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</si>
  <si>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</si>
  <si>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</si>
  <si>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</si>
  <si>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</si>
  <si>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</si>
  <si>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</si>
  <si>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</si>
  <si>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</si>
  <si>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</si>
  <si>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</si>
  <si>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</si>
  <si>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</si>
  <si>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</si>
  <si>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</si>
  <si>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</si>
  <si>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</si>
  <si>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</si>
  <si>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</si>
  <si>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</si>
  <si>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</si>
  <si>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</si>
  <si>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</si>
  <si>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</si>
  <si>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</si>
  <si>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</si>
  <si>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</si>
  <si>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</si>
  <si>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</si>
  <si>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</si>
  <si>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</si>
  <si>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</si>
  <si>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</si>
  <si>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</si>
  <si>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</si>
  <si>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</si>
  <si>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</si>
  <si>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</si>
  <si>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</si>
  <si>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</si>
  <si>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</si>
  <si>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</si>
  <si>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</si>
  <si>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</si>
  <si>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</si>
  <si>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</si>
  <si>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</si>
  <si>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</si>
  <si>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</si>
  <si>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</si>
  <si>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</si>
  <si>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</si>
  <si>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</si>
  <si>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</si>
  <si>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</si>
  <si>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</si>
  <si>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</si>
  <si>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</si>
  <si>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</si>
  <si>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</si>
  <si>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</si>
  <si>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</si>
  <si>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</si>
  <si>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</si>
  <si>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</si>
  <si>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</si>
  <si>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</si>
  <si>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</si>
  <si>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</si>
  <si>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</si>
  <si>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</si>
  <si>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</si>
  <si>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</si>
  <si>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</si>
  <si>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</si>
  <si>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</si>
  <si>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</si>
  <si>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</si>
  <si>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</si>
  <si>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</si>
  <si>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</si>
  <si>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</si>
  <si>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</si>
  <si>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</si>
  <si>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</si>
  <si>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</si>
  <si>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</si>
  <si>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</si>
  <si>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</si>
  <si>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</si>
  <si>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</si>
  <si>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</si>
  <si>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</si>
  <si>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</si>
  <si>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</si>
  <si>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</si>
  <si>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</si>
  <si>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</si>
  <si>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</si>
  <si>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</si>
  <si>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</si>
  <si>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</si>
  <si>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</si>
  <si>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</si>
  <si>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</si>
  <si>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</si>
  <si>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</si>
  <si>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</si>
  <si>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</si>
  <si>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</si>
  <si>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</si>
  <si>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</si>
  <si>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</si>
  <si>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</si>
  <si>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</si>
  <si>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</si>
  <si>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</si>
  <si>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</si>
  <si>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</si>
  <si>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</si>
  <si>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</si>
  <si>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</si>
  <si>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</si>
  <si>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</si>
  <si>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</si>
  <si>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</si>
  <si>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</si>
  <si>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</si>
  <si>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</si>
  <si>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</si>
  <si>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</si>
  <si>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</si>
  <si>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</si>
  <si>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</si>
  <si>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</si>
  <si>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</si>
  <si>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</si>
  <si>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</si>
  <si>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</si>
  <si>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</si>
  <si>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</si>
  <si>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</si>
  <si>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</si>
  <si>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</si>
  <si>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</si>
  <si>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</si>
  <si>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</si>
  <si>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</si>
  <si>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</si>
  <si>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</si>
  <si>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</si>
  <si>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</si>
  <si>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</si>
  <si>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</si>
  <si>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</si>
  <si>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</si>
  <si>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</si>
  <si>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</si>
  <si>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</si>
  <si>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</si>
  <si>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</si>
  <si>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</si>
  <si>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</si>
  <si>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</si>
  <si>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</si>
  <si>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</si>
  <si>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</si>
  <si>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</si>
  <si>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</si>
  <si>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</si>
  <si>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</si>
  <si>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</si>
  <si>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</si>
  <si>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</si>
  <si>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</si>
  <si>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</si>
  <si>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</si>
  <si>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</si>
  <si>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</si>
  <si>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</si>
  <si>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</si>
  <si>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</si>
  <si>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</si>
  <si>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</si>
  <si>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</si>
  <si>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</si>
  <si>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</si>
  <si>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</si>
  <si>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</si>
  <si>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</si>
  <si>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</si>
  <si>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</si>
  <si>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</si>
  <si>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</si>
  <si>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</si>
  <si>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</si>
  <si>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</si>
  <si>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</si>
  <si>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</si>
  <si>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</si>
  <si>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</si>
  <si>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</si>
  <si>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</si>
  <si>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</si>
  <si>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</si>
  <si>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</si>
  <si>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</si>
  <si>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</si>
  <si>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</si>
  <si>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</si>
  <si>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</si>
  <si>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</si>
  <si>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</si>
  <si>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</si>
  <si>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</si>
  <si>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</si>
  <si>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</si>
  <si>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</si>
  <si>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</si>
  <si>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</si>
  <si>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</si>
  <si>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</si>
  <si>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</si>
  <si>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</si>
  <si>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</si>
  <si>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</si>
  <si>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</si>
  <si>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</si>
  <si>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</si>
  <si>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</si>
  <si>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</si>
  <si>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</si>
  <si>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</si>
  <si>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</si>
  <si>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</si>
  <si>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</si>
  <si>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</si>
  <si>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</si>
  <si>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</si>
  <si>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</si>
  <si>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</si>
  <si>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</si>
  <si>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</si>
  <si>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</si>
  <si>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</si>
  <si>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</si>
  <si>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</si>
  <si>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</si>
  <si>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</si>
  <si>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</si>
  <si>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</si>
  <si>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</si>
  <si>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</si>
  <si>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</si>
  <si>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</si>
  <si>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</si>
  <si>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</si>
  <si>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</si>
  <si>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</si>
  <si>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</si>
  <si>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</si>
  <si>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</si>
  <si>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</si>
  <si>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</si>
  <si>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</si>
  <si>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</si>
  <si>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</si>
  <si>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</si>
  <si>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</si>
  <si>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</si>
  <si>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</si>
  <si>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</si>
  <si>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</si>
  <si>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</si>
  <si>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</si>
  <si>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</si>
  <si>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</si>
  <si>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</si>
  <si>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</si>
  <si>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</si>
  <si>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</si>
  <si>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</si>
  <si>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</si>
  <si>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</si>
  <si>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</si>
  <si>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</si>
  <si>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</si>
  <si>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</si>
  <si>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</si>
  <si>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</si>
  <si>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</si>
  <si>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</si>
  <si>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</si>
  <si>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</si>
  <si>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</si>
  <si>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</si>
  <si>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</si>
  <si>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</si>
  <si>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</si>
  <si>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</si>
  <si>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</si>
  <si>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</si>
  <si>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</si>
  <si>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</si>
  <si>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</si>
  <si>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</si>
  <si>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</si>
  <si>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</si>
  <si>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</si>
  <si>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</si>
  <si>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</si>
  <si>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</si>
  <si>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</si>
  <si>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</si>
  <si>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</si>
  <si>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</si>
  <si>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</si>
  <si>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</si>
  <si>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</si>
  <si>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</si>
  <si>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</si>
  <si>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</si>
  <si>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</si>
  <si>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</si>
  <si>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</si>
  <si>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</si>
  <si>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</si>
  <si>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</si>
  <si>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</si>
  <si>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</si>
  <si>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</si>
  <si>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</si>
  <si>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</si>
  <si>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</si>
  <si>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</si>
  <si>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</si>
  <si>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</si>
  <si>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</si>
  <si>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</si>
  <si>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</si>
  <si>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</si>
  <si>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</si>
  <si>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</si>
  <si>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</si>
  <si>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</si>
  <si>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</si>
  <si>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</si>
  <si>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</si>
  <si>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</si>
  <si>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</si>
  <si>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</si>
  <si>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</si>
  <si>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</si>
  <si>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</si>
  <si>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</si>
  <si>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</si>
  <si>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</si>
  <si>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</si>
  <si>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</si>
  <si>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</si>
  <si>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</si>
  <si>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</si>
  <si>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</si>
  <si>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</si>
  <si>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</si>
  <si>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</si>
  <si>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</si>
  <si>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</si>
  <si>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</si>
  <si>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</si>
  <si>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</si>
  <si>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</si>
  <si>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</si>
  <si>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L000005145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</si>
  <si>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</si>
  <si>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</si>
  <si>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</si>
  <si>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</si>
  <si>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</si>
  <si>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</si>
  <si>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</si>
  <si>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</si>
  <si>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</si>
  <si>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</si>
  <si>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</si>
  <si>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</si>
  <si>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</si>
  <si>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</si>
  <si>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P000001010 TF R&amp;D Projects</t>
  </si>
  <si>
    <t>P000001013 PAT R&amp;D Projects</t>
  </si>
  <si>
    <t>P000001019 SG R&amp;D Projects</t>
  </si>
  <si>
    <t>DFLTPGCOH Default - Unmapped Objects</t>
  </si>
  <si>
    <t>FR7785982</t>
  </si>
  <si>
    <t>D00129800000000</t>
  </si>
  <si>
    <t>DP000021000000</t>
  </si>
  <si>
    <t>D00129400000000</t>
  </si>
  <si>
    <t>D00129900000000</t>
  </si>
  <si>
    <t>D00130400000000</t>
  </si>
  <si>
    <t>D00130500000000</t>
  </si>
  <si>
    <t>D00130700000000</t>
  </si>
  <si>
    <t>D00129600000000</t>
  </si>
  <si>
    <t>TEMPNA_1000US20GPA004</t>
  </si>
  <si>
    <t>FLTFLE_NO_PROJECT_DEF_ASSIGNED</t>
  </si>
  <si>
    <t>DFLTPGCOH_BF-HE_002066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</si>
</sst>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4.069407870367" createdVersion="7" refreshedVersion="7" minRefreshableVersion="3" recordCount="4223" xr:uid="{11839AE3-6158-4318-87AD-2C711D0BF451}">
  <cacheSource type="worksheet">
    <worksheetSource name="Proc"/>
  </cacheSource>
  <cacheFields count="19">
    <cacheField name="App" numFmtId="0">
      <sharedItems containsBlank="1" count="15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3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3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3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3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3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3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3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5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5"/>
    <s v="CLFF_1000$$$DE10O05003"/>
    <s v="P000001321"/>
    <s v="P000001322"/>
    <s v="LFF (MDG-F)"/>
    <s v="DE10O05003"/>
    <m/>
    <b v="0"/>
    <x v="3"/>
    <x v="3"/>
    <d v="2025-09-18T00:00:00"/>
    <m/>
    <m/>
    <x v="0"/>
    <n v="4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0"/>
    <n v="4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4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4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4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3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3"/>
    <s v="Roselle Delos Angeles"/>
    <m/>
  </r>
  <r>
    <x v="375"/>
    <x v="1"/>
    <x v="5"/>
    <s v="CORAERP_MMOR1975.3541 "/>
    <s v="L000006987"/>
    <m/>
    <s v="Non-LFF"/>
    <s v=""/>
    <m/>
    <b v="0"/>
    <x v="2"/>
    <x v="3"/>
    <d v="2025-09-24T00:00:00"/>
    <m/>
    <m/>
    <x v="0"/>
    <n v="0"/>
    <s v="Ruby Grace Garcia"/>
    <m/>
  </r>
  <r>
    <x v="376"/>
    <x v="1"/>
    <x v="5"/>
    <s v="D30013500000000"/>
    <s v="L000006623"/>
    <m/>
    <s v="Non-LFF"/>
    <s v=""/>
    <m/>
    <b v="0"/>
    <x v="2"/>
    <x v="3"/>
    <d v="2025-09-24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559">
        <item m="1" x="943"/>
        <item x="0"/>
        <item m="1" x="1013"/>
        <item m="1" x="1434"/>
        <item m="1" x="596"/>
        <item m="1" x="1451"/>
        <item m="1" x="973"/>
        <item m="1" x="1063"/>
        <item m="1" x="1484"/>
        <item m="1" x="1278"/>
        <item m="1" x="966"/>
        <item m="1" x="1550"/>
        <item m="1" x="1296"/>
        <item m="1" x="1540"/>
        <item m="1" x="914"/>
        <item m="1" x="815"/>
        <item m="1" x="519"/>
        <item m="1" x="780"/>
        <item m="1" x="1504"/>
        <item m="1" x="572"/>
        <item m="1" x="880"/>
        <item m="1" x="1248"/>
        <item m="1" x="963"/>
        <item m="1" x="1056"/>
        <item m="1" x="1352"/>
        <item m="1" x="1537"/>
        <item m="1" x="998"/>
        <item m="1" x="1020"/>
        <item m="1" x="785"/>
        <item m="1" x="1186"/>
        <item m="1" x="945"/>
        <item m="1" x="1491"/>
        <item m="1" x="1148"/>
        <item m="1" x="581"/>
        <item m="1" x="689"/>
        <item m="1" x="1476"/>
        <item m="1" x="1240"/>
        <item m="1" x="494"/>
        <item m="1" x="1326"/>
        <item m="1" x="992"/>
        <item m="1" x="1287"/>
        <item m="1" x="873"/>
        <item m="1" x="1225"/>
        <item m="1" x="484"/>
        <item m="1" x="514"/>
        <item m="1" x="1553"/>
        <item m="1" x="1232"/>
        <item m="1" x="1300"/>
        <item m="1" x="1407"/>
        <item m="1" x="1176"/>
        <item m="1" x="1274"/>
        <item m="1" x="1113"/>
        <item m="1" x="568"/>
        <item m="1" x="759"/>
        <item m="1" x="1535"/>
        <item m="1" x="1103"/>
        <item m="1" x="1243"/>
        <item m="1" x="771"/>
        <item m="1" x="732"/>
        <item m="1" x="1024"/>
        <item m="1" x="916"/>
        <item m="1" x="949"/>
        <item m="1" x="508"/>
        <item m="1" x="647"/>
        <item m="1" x="1309"/>
        <item m="1" x="1526"/>
        <item m="1" x="712"/>
        <item m="1" x="1117"/>
        <item m="1" x="1127"/>
        <item m="1" x="1304"/>
        <item m="1" x="1414"/>
        <item m="1" x="1292"/>
        <item m="1" x="587"/>
        <item m="1" x="1435"/>
        <item m="1" x="1165"/>
        <item m="1" x="1152"/>
        <item m="1" x="687"/>
        <item m="1" x="1040"/>
        <item m="1" x="1387"/>
        <item m="1" x="505"/>
        <item m="1" x="1084"/>
        <item m="1" x="1437"/>
        <item m="1" x="1275"/>
        <item m="1" x="1010"/>
        <item m="1" x="1052"/>
        <item m="1" x="933"/>
        <item m="1" x="1168"/>
        <item m="1" x="980"/>
        <item m="1" x="1212"/>
        <item m="1" x="696"/>
        <item m="1" x="1525"/>
        <item m="1" x="1050"/>
        <item m="1" x="1336"/>
        <item m="1" x="413"/>
        <item m="1" x="1541"/>
        <item m="1" x="1077"/>
        <item m="1" x="1366"/>
        <item m="1" x="1279"/>
        <item m="1" x="1057"/>
        <item m="1" x="567"/>
        <item m="1" x="574"/>
        <item m="1" x="614"/>
        <item m="1" x="796"/>
        <item m="1" x="1220"/>
        <item m="1" x="981"/>
        <item m="1" x="1097"/>
        <item m="1" x="1160"/>
        <item m="1" x="1307"/>
        <item m="1" x="1390"/>
        <item m="1" x="952"/>
        <item m="1" x="673"/>
        <item m="1" x="516"/>
        <item m="1" x="659"/>
        <item m="1" x="1534"/>
        <item m="1" x="691"/>
        <item m="1" x="1372"/>
        <item m="1" x="1301"/>
        <item m="1" x="919"/>
        <item m="1" x="991"/>
        <item m="1" x="857"/>
        <item m="1" x="1114"/>
        <item m="1" x="1489"/>
        <item m="1" x="665"/>
        <item m="1" x="613"/>
        <item m="1" x="548"/>
        <item m="1" x="1214"/>
        <item m="1" x="1474"/>
        <item m="1" x="1402"/>
        <item m="1" x="1059"/>
        <item m="1" x="583"/>
        <item m="1" x="1308"/>
        <item m="1" x="760"/>
        <item m="1" x="1014"/>
        <item m="1" x="1189"/>
        <item m="1" x="1297"/>
        <item m="1" x="417"/>
        <item m="1" x="1246"/>
        <item m="1" x="1209"/>
        <item m="1" x="650"/>
        <item m="1" x="1098"/>
        <item m="1" x="986"/>
        <item m="1" x="939"/>
        <item m="1" x="672"/>
        <item m="1" x="608"/>
        <item m="1" x="848"/>
        <item m="1" x="1035"/>
        <item m="1" x="442"/>
        <item m="1" x="781"/>
        <item m="1" x="640"/>
        <item m="1" x="382"/>
        <item m="1" x="892"/>
        <item m="1" x="1093"/>
        <item m="1" x="975"/>
        <item m="1" x="1021"/>
        <item m="1" x="1340"/>
        <item m="1" x="922"/>
        <item m="1" x="1448"/>
        <item m="1" x="1172"/>
        <item m="1" x="1111"/>
        <item m="1" x="625"/>
        <item m="1" x="1258"/>
        <item m="1" x="1536"/>
        <item m="1" x="1224"/>
        <item m="1" x="1208"/>
        <item m="1" x="495"/>
        <item m="1" x="543"/>
        <item m="1" x="1078"/>
        <item m="1" x="584"/>
        <item m="1" x="1521"/>
        <item m="1" x="1187"/>
        <item m="1" x="1112"/>
        <item m="1" x="1064"/>
        <item m="1" x="865"/>
        <item m="1" x="493"/>
        <item m="1" x="593"/>
        <item m="1" x="699"/>
        <item m="1" x="1432"/>
        <item m="1" x="1464"/>
        <item m="1" x="1163"/>
        <item m="1" x="890"/>
        <item m="1" x="978"/>
        <item m="1" x="488"/>
        <item m="1" x="528"/>
        <item m="1" x="867"/>
        <item m="1" x="1092"/>
        <item m="1" x="1005"/>
        <item m="1" x="663"/>
        <item m="1" x="896"/>
        <item m="1" x="610"/>
        <item m="1" x="805"/>
        <item m="1" x="727"/>
        <item m="1" x="562"/>
        <item m="1" x="698"/>
        <item m="1" x="1068"/>
        <item m="1" x="478"/>
        <item m="1" x="717"/>
        <item m="1" x="509"/>
        <item m="1" x="1202"/>
        <item m="1" x="1391"/>
        <item m="1" x="1001"/>
        <item m="1" x="645"/>
        <item m="1" x="1295"/>
        <item m="1" x="1140"/>
        <item m="1" x="657"/>
        <item m="1" x="658"/>
        <item m="1" x="843"/>
        <item m="1" x="533"/>
        <item m="1" x="722"/>
        <item m="1" x="517"/>
        <item m="1" x="703"/>
        <item m="1" x="1271"/>
        <item m="1" x="782"/>
        <item m="1" x="1149"/>
        <item m="1" x="1199"/>
        <item m="1" x="1333"/>
        <item m="1" x="1337"/>
        <item m="1" x="1054"/>
        <item m="1" x="895"/>
        <item m="1" x="934"/>
        <item m="1" x="1501"/>
        <item m="1" x="794"/>
        <item m="1" x="606"/>
        <item m="1" x="984"/>
        <item m="1" x="441"/>
        <item m="1" x="1505"/>
        <item m="1" x="968"/>
        <item m="1" x="402"/>
        <item m="1" x="1423"/>
        <item m="1" x="1466"/>
        <item m="1" x="1303"/>
        <item m="1" x="680"/>
        <item m="1" x="419"/>
        <item m="1" x="1353"/>
        <item m="1" x="744"/>
        <item m="1" x="380"/>
        <item m="1" x="1524"/>
        <item m="1" x="768"/>
        <item m="1" x="923"/>
        <item m="1" x="1368"/>
        <item m="1" x="455"/>
        <item m="1" x="1280"/>
        <item m="1" x="1088"/>
        <item m="1" x="953"/>
        <item m="1" x="823"/>
        <item m="1" x="570"/>
        <item m="1" x="1071"/>
        <item m="1" x="773"/>
        <item m="1" x="1311"/>
        <item m="1" x="633"/>
        <item m="1" x="1381"/>
        <item m="1" x="1388"/>
        <item m="1" x="1072"/>
        <item m="1" x="1262"/>
        <item m="1" x="679"/>
        <item m="1" x="976"/>
        <item m="1" x="1265"/>
        <item m="1" x="849"/>
        <item m="1" x="1139"/>
        <item m="1" x="778"/>
        <item m="1" x="563"/>
        <item m="1" x="767"/>
        <item m="1" x="1533"/>
        <item m="1" x="1475"/>
        <item m="1" x="620"/>
        <item m="1" x="1421"/>
        <item m="1" x="427"/>
        <item m="1" x="1443"/>
        <item m="1" x="462"/>
        <item m="1" x="764"/>
        <item m="1" x="862"/>
        <item m="1" x="809"/>
        <item m="1" x="1416"/>
        <item m="1" x="1319"/>
        <item m="1" x="560"/>
        <item m="1" x="1130"/>
        <item m="1" x="1338"/>
        <item m="1" x="1472"/>
        <item m="1" x="1379"/>
        <item m="1" x="465"/>
        <item m="1" x="1545"/>
        <item m="1" x="616"/>
        <item m="1" x="897"/>
        <item m="1" x="1341"/>
        <item m="1" x="464"/>
        <item m="1" x="1400"/>
        <item m="1" x="629"/>
        <item m="1" x="1273"/>
        <item m="1" x="1137"/>
        <item m="1" x="1115"/>
        <item m="1" x="694"/>
        <item m="1" x="656"/>
        <item m="1" x="1468"/>
        <item m="1" x="409"/>
        <item m="1" x="591"/>
        <item m="1" x="1250"/>
        <item m="1" x="1361"/>
        <item m="1" x="1288"/>
        <item m="1" x="1492"/>
        <item m="1" x="996"/>
        <item m="1" x="623"/>
        <item m="1" x="743"/>
        <item m="1" x="1062"/>
        <item m="1" x="804"/>
        <item m="1" x="1132"/>
        <item m="1" x="745"/>
        <item m="1" x="547"/>
        <item m="1" x="1200"/>
        <item m="1" x="602"/>
        <item m="1" x="482"/>
        <item m="1" x="1334"/>
        <item m="1" x="1481"/>
        <item m="1" x="1182"/>
        <item m="1" x="447"/>
        <item m="1" x="1373"/>
        <item m="1" x="1171"/>
        <item m="1" x="1281"/>
        <item m="1" x="1420"/>
        <item m="1" x="648"/>
        <item m="1" x="840"/>
        <item m="1" x="678"/>
        <item m="1" x="946"/>
        <item m="1" x="870"/>
        <item m="1" x="900"/>
        <item m="1" x="1436"/>
        <item m="1" x="882"/>
        <item m="1" x="1085"/>
        <item m="1" x="617"/>
        <item m="1" x="816"/>
        <item m="1" x="790"/>
        <item m="1" x="1133"/>
        <item m="1" x="1036"/>
        <item m="1" x="1264"/>
        <item m="1" x="786"/>
        <item m="1" x="1422"/>
        <item m="1" x="624"/>
        <item m="1" x="550"/>
        <item m="1" x="806"/>
        <item m="1" x="1347"/>
        <item m="1" x="457"/>
        <item m="1" x="458"/>
        <item m="1" x="754"/>
        <item m="1" x="1427"/>
        <item m="1" x="821"/>
        <item m="1" x="466"/>
        <item m="1" x="626"/>
        <item m="1" x="868"/>
        <item m="1" x="1179"/>
        <item m="1" x="1151"/>
        <item m="1" x="822"/>
        <item m="1" x="403"/>
        <item m="1" x="541"/>
        <item m="1" x="753"/>
        <item m="1" x="641"/>
        <item m="1" x="398"/>
        <item m="1" x="1351"/>
        <item m="1" x="1480"/>
        <item m="1" x="950"/>
        <item m="1" x="1380"/>
        <item m="1" x="1440"/>
        <item m="1" x="463"/>
        <item m="1" x="1478"/>
        <item m="1" x="1216"/>
        <item m="1" x="639"/>
        <item m="1" x="825"/>
        <item m="1" x="729"/>
        <item m="1" x="1091"/>
        <item m="1" x="662"/>
        <item m="1" x="878"/>
        <item m="1" x="1173"/>
        <item m="1" x="1298"/>
        <item m="1" x="801"/>
        <item m="1" x="929"/>
        <item m="1" x="741"/>
        <item m="1" x="667"/>
        <item m="1" x="1178"/>
        <item m="1" x="1293"/>
        <item m="1" x="1455"/>
        <item m="1" x="497"/>
        <item m="1" x="701"/>
        <item m="1" x="1141"/>
        <item m="1" x="542"/>
        <item m="1" x="829"/>
        <item m="1" x="1210"/>
        <item m="1" x="475"/>
        <item m="1" x="685"/>
        <item m="1" x="795"/>
        <item m="1" x="1401"/>
        <item m="1" x="634"/>
        <item m="1" x="904"/>
        <item m="1" x="1457"/>
        <item m="1" x="585"/>
        <item m="1" x="774"/>
        <item m="1" x="962"/>
        <item m="1" x="1299"/>
        <item m="1" x="597"/>
        <item m="1" x="853"/>
        <item m="1" x="695"/>
        <item m="1" x="1191"/>
        <item m="1" x="1377"/>
        <item m="1" x="503"/>
        <item m="1" x="723"/>
        <item m="1" x="1459"/>
        <item m="1" x="1424"/>
        <item m="1" x="524"/>
        <item m="1" x="841"/>
        <item m="1" x="1365"/>
        <item m="1" x="1496"/>
        <item m="1" x="1367"/>
        <item m="1" x="1342"/>
        <item m="1" x="473"/>
        <item m="1" x="649"/>
        <item m="1" x="731"/>
        <item m="1" x="720"/>
        <item m="1" x="947"/>
        <item m="1" x="435"/>
        <item m="1" x="1134"/>
        <item m="1" x="1205"/>
        <item m="1" x="387"/>
        <item m="1" x="1465"/>
        <item m="1" x="1327"/>
        <item m="1" x="1456"/>
        <item m="1" x="1486"/>
        <item m="1" x="1522"/>
        <item m="1" x="1460"/>
        <item m="1" x="824"/>
        <item m="1" x="1184"/>
        <item m="1" x="791"/>
        <item m="1" x="1197"/>
        <item m="1" x="1162"/>
        <item m="1" x="600"/>
        <item m="1" x="638"/>
        <item m="1" x="776"/>
        <item m="1" x="1241"/>
        <item m="1" x="761"/>
        <item m="1" x="507"/>
        <item m="1" x="1506"/>
        <item m="1" x="1256"/>
        <item m="1" x="1089"/>
        <item m="1" x="1121"/>
        <item m="1" x="1170"/>
        <item m="1" x="595"/>
        <item m="1" x="937"/>
        <item m="1" x="1282"/>
        <item m="1" x="433"/>
        <item m="1" x="676"/>
        <item m="1" x="576"/>
        <item m="1" x="573"/>
        <item m="1" x="577"/>
        <item m="1" x="378"/>
        <item m="1" x="599"/>
        <item m="1" x="1396"/>
        <item m="1" x="400"/>
        <item m="1" x="1046"/>
        <item m="1" x="1483"/>
        <item m="1" x="1294"/>
        <item m="1" x="554"/>
        <item m="1" x="1554"/>
        <item m="1" x="483"/>
        <item m="1" x="850"/>
        <item m="1" x="1073"/>
        <item m="1" x="529"/>
        <item m="1" x="982"/>
        <item m="1" x="1142"/>
        <item m="1" x="1410"/>
        <item m="1" x="1312"/>
        <item m="1" x="391"/>
        <item m="1" x="1074"/>
        <item m="1" x="474"/>
        <item m="1" x="710"/>
        <item m="1" x="682"/>
        <item m="1" x="444"/>
        <item m="1" x="1037"/>
        <item m="1" x="1044"/>
        <item m="1" x="1144"/>
        <item m="1" x="893"/>
        <item m="1" x="1393"/>
        <item m="1" x="802"/>
        <item m="1" x="1512"/>
        <item m="1" x="1147"/>
        <item m="1" x="1038"/>
        <item m="1" x="702"/>
        <item m="1" x="1110"/>
        <item m="1" x="1408"/>
        <item m="1" x="1473"/>
        <item m="1" x="1452"/>
        <item m="1" x="1382"/>
        <item m="1" x="1131"/>
        <item m="1" x="1244"/>
        <item m="1" x="757"/>
        <item m="1" x="1206"/>
        <item m="1" x="1031"/>
        <item m="1" x="990"/>
        <item m="1" x="988"/>
        <item m="1" x="989"/>
        <item m="1" x="686"/>
        <item m="1" x="730"/>
        <item m="1" x="1343"/>
        <item m="1" x="908"/>
        <item m="1" x="750"/>
        <item m="1" x="792"/>
        <item m="1" x="838"/>
        <item m="1" x="1090"/>
        <item m="1" x="1428"/>
        <item m="1" x="1517"/>
        <item m="1" x="635"/>
        <item m="1" x="586"/>
        <item m="1" x="423"/>
        <item m="1" x="445"/>
        <item m="1" x="742"/>
        <item m="1" x="530"/>
        <item m="1" x="858"/>
        <item m="1" x="1394"/>
        <item m="1" x="735"/>
        <item m="1" x="527"/>
        <item m="1" x="1286"/>
        <item m="1" x="404"/>
        <item m="1" x="1412"/>
        <item m="1" x="1487"/>
        <item m="1" x="1551"/>
        <item m="1" x="1426"/>
        <item m="1" x="669"/>
        <item m="1" x="446"/>
        <item m="1" x="910"/>
        <item m="1" x="994"/>
        <item m="1" x="1190"/>
        <item m="1" x="1158"/>
        <item m="1" x="1194"/>
        <item m="1" x="971"/>
        <item m="1" x="1009"/>
        <item m="1" x="1450"/>
        <item m="1" x="1213"/>
        <item m="1" x="1183"/>
        <item m="1" x="1122"/>
        <item m="1" x="1195"/>
        <item m="1" x="396"/>
        <item m="1" x="401"/>
        <item m="1" x="1004"/>
        <item m="1" x="1389"/>
        <item m="1" x="959"/>
        <item m="1" x="1529"/>
        <item m="1" x="928"/>
        <item m="1" x="1104"/>
        <item m="1" x="1175"/>
        <item m="1" x="789"/>
        <item m="1" x="621"/>
        <item m="1" x="997"/>
        <item m="1" x="683"/>
        <item m="1" x="1538"/>
        <item m="1" x="1453"/>
        <item m="1" x="1266"/>
        <item m="1" x="523"/>
        <item m="1" x="450"/>
        <item m="1" x="1023"/>
        <item m="1" x="1267"/>
        <item m="1" x="1556"/>
        <item m="1" x="902"/>
        <item m="1" x="1503"/>
        <item m="1" x="437"/>
        <item m="1" x="551"/>
        <item m="1" x="863"/>
        <item m="1" x="954"/>
        <item m="1" x="1383"/>
        <item m="1" x="707"/>
        <item m="1" x="1386"/>
        <item m="1" x="803"/>
        <item m="1" x="1375"/>
        <item m="1" x="1539"/>
        <item m="1" x="467"/>
        <item m="1" x="1523"/>
        <item m="1" x="414"/>
        <item m="1" x="1276"/>
        <item m="1" x="894"/>
        <item m="1" x="725"/>
        <item m="1" x="688"/>
        <item m="1" x="832"/>
        <item m="1" x="431"/>
        <item m="1" x="1516"/>
        <item m="1" x="515"/>
        <item m="1" x="536"/>
        <item m="1" x="1409"/>
        <item m="1" x="1488"/>
        <item m="1" x="1002"/>
        <item m="1" x="1143"/>
        <item m="1" x="844"/>
        <item m="1" x="957"/>
        <item m="1" x="1106"/>
        <item m="1" x="1223"/>
        <item m="1" x="810"/>
        <item m="1" x="1086"/>
        <item m="1" x="905"/>
        <item m="1" x="1542"/>
        <item m="1" x="395"/>
        <item m="1" x="834"/>
        <item m="1" x="775"/>
        <item m="1" x="736"/>
        <item m="1" x="1530"/>
        <item m="1" x="1348"/>
        <item m="1" x="1479"/>
        <item m="1" x="492"/>
        <item m="1" x="1490"/>
        <item m="1" x="1477"/>
        <item m="1" x="1354"/>
        <item m="1" x="589"/>
        <item m="1" x="958"/>
        <item m="1" x="1051"/>
        <item m="1" x="797"/>
        <item m="1" x="1395"/>
        <item m="1" x="1181"/>
        <item m="1" x="1201"/>
        <item m="1" x="1095"/>
        <item m="1" x="438"/>
        <item m="1" x="1268"/>
        <item m="1" x="1430"/>
        <item m="1" x="835"/>
        <item m="1" x="1549"/>
        <item m="1" x="1043"/>
        <item m="1" x="630"/>
        <item m="1" x="763"/>
        <item m="1" x="799"/>
        <item m="1" x="1458"/>
        <item m="1" x="1442"/>
        <item m="1" x="502"/>
        <item m="1" x="504"/>
        <item m="1" x="418"/>
        <item m="1" x="1378"/>
        <item m="1" x="420"/>
        <item m="1" x="837"/>
        <item m="1" x="737"/>
        <item m="1" x="1193"/>
        <item m="1" x="1136"/>
        <item m="1" x="1485"/>
        <item m="1" x="1417"/>
        <item m="1" x="909"/>
        <item m="1" x="1123"/>
        <item m="1" x="1358"/>
        <item m="1" x="471"/>
        <item m="1" x="903"/>
        <item m="1" x="833"/>
        <item m="1" x="1527"/>
        <item m="1" x="1494"/>
        <item m="1" x="925"/>
        <item m="1" x="531"/>
        <item m="1" x="826"/>
        <item m="1" x="999"/>
        <item m="1" x="453"/>
        <item m="1" x="1289"/>
        <item m="1" x="883"/>
        <item m="1" x="693"/>
        <item m="1" x="787"/>
        <item m="1" x="1233"/>
        <item m="1" x="1532"/>
        <item m="1" x="611"/>
        <item m="1" x="1384"/>
        <item m="1" x="605"/>
        <item m="1" x="1169"/>
        <item m="1" x="941"/>
        <item m="1" x="872"/>
        <item m="1" x="594"/>
        <item m="1" x="661"/>
        <item m="1" x="449"/>
        <item m="1" x="1249"/>
        <item m="1" x="762"/>
        <item m="1" x="486"/>
        <item m="1" x="1100"/>
        <item m="1" x="1415"/>
        <item m="1" x="955"/>
        <item m="1" x="913"/>
        <item m="1" x="384"/>
        <item m="1" x="1520"/>
        <item m="1" x="770"/>
        <item m="1" x="830"/>
        <item m="1" x="1237"/>
        <item m="1" x="1514"/>
        <item m="1" x="1439"/>
        <item m="1" x="1290"/>
        <item m="1" x="1405"/>
        <item m="1" x="566"/>
        <item m="1" x="765"/>
        <item m="1" x="598"/>
        <item m="1" x="390"/>
        <item m="1" x="1003"/>
        <item m="1" x="452"/>
        <item m="1" x="674"/>
        <item m="1" x="618"/>
        <item m="1" x="564"/>
        <item m="1" x="1519"/>
        <item m="1" x="615"/>
        <item m="1" x="1217"/>
        <item m="1" x="1429"/>
        <item m="1" x="555"/>
        <item m="1" x="459"/>
        <item m="1" x="1252"/>
        <item m="1" x="1228"/>
        <item m="1" x="1269"/>
        <item m="1" x="1188"/>
        <item m="1" x="532"/>
        <item m="1" x="888"/>
        <item m="1" x="1156"/>
        <item m="1" x="1406"/>
        <item m="1" x="1000"/>
        <item m="1" x="1118"/>
        <item m="1" x="1462"/>
        <item m="1" x="874"/>
        <item m="1" x="718"/>
        <item m="1" x="951"/>
        <item m="1" x="898"/>
        <item m="1" x="828"/>
        <item m="1" x="1345"/>
        <item m="1" x="1032"/>
        <item m="1" x="1128"/>
        <item m="1" x="379"/>
        <item m="1" x="924"/>
        <item m="1" x="526"/>
        <item m="1" x="793"/>
        <item m="1" x="931"/>
        <item m="1" x="461"/>
        <item m="1" x="578"/>
        <item m="1" x="1033"/>
        <item m="1" x="1230"/>
        <item m="1" x="1500"/>
        <item m="1" x="1543"/>
        <item m="1" x="1153"/>
        <item m="1" x="501"/>
        <item m="1" x="429"/>
        <item m="1" x="1015"/>
        <item m="1" x="637"/>
        <item m="1" x="911"/>
        <item m="1" x="539"/>
        <item m="1" x="642"/>
        <item m="1" x="1069"/>
        <item m="1" x="1425"/>
        <item m="1" x="1356"/>
        <item m="1" x="772"/>
        <item m="1" x="807"/>
        <item m="1" x="1083"/>
        <item m="1" x="1513"/>
        <item m="1" x="1239"/>
        <item m="1" x="405"/>
        <item m="1" x="1467"/>
        <item m="1" x="513"/>
        <item m="1" x="1159"/>
        <item m="1" x="1204"/>
        <item m="1" x="1207"/>
        <item m="1" x="1547"/>
        <item m="1" x="440"/>
        <item m="1" x="1218"/>
        <item m="1" x="1315"/>
        <item m="1" x="1087"/>
        <item m="1" x="1257"/>
        <item m="1" x="499"/>
        <item m="1" x="891"/>
        <item m="1" x="738"/>
        <item m="1" x="1350"/>
        <item m="1" x="1445"/>
        <item m="1" x="974"/>
        <item m="1" x="1413"/>
        <item m="1" x="1461"/>
        <item m="1" x="814"/>
        <item m="1" x="1317"/>
        <item m="1" x="1180"/>
        <item m="1" x="1463"/>
        <item m="1" x="1507"/>
        <item m="1" x="1245"/>
        <item m="1" x="855"/>
        <item m="1" x="660"/>
        <item m="1" x="1495"/>
        <item m="1" x="1042"/>
        <item m="1" x="1016"/>
        <item m="1" x="1025"/>
        <item m="1" x="1546"/>
        <item m="1" x="1270"/>
        <item m="1" x="965"/>
        <item m="1" x="1234"/>
        <item m="1" x="1211"/>
        <item m="1" x="827"/>
        <item m="1" x="728"/>
        <item m="1" x="1227"/>
        <item m="1" x="622"/>
        <item m="1" x="579"/>
        <item m="1" x="521"/>
        <item m="1" x="1508"/>
        <item m="1" x="1124"/>
        <item m="1" x="859"/>
        <item m="1" x="940"/>
        <item m="1" x="421"/>
        <item m="1" x="1497"/>
        <item m="1" x="1048"/>
        <item m="1" x="1196"/>
        <item m="1" x="644"/>
        <item m="1" x="1328"/>
        <item m="1" x="831"/>
        <item m="1" x="724"/>
        <item m="1" x="1552"/>
        <item m="1" x="854"/>
        <item m="1" x="1493"/>
        <item m="1" x="1079"/>
        <item m="1" x="755"/>
        <item m="1" x="546"/>
        <item m="1" x="489"/>
        <item m="1" x="783"/>
        <item m="1" x="480"/>
        <item m="1" x="451"/>
        <item m="1" x="468"/>
        <item m="1" x="747"/>
        <item m="1" x="592"/>
        <item m="1" x="899"/>
        <item m="1" x="956"/>
        <item m="1" x="1055"/>
        <item m="1" x="926"/>
        <item m="1" x="1259"/>
        <item m="1" x="1323"/>
        <item m="1" x="535"/>
        <item m="1" x="545"/>
        <item m="1" x="734"/>
        <item m="1" x="876"/>
        <item m="1" x="666"/>
        <item m="1" x="1219"/>
        <item m="1" x="969"/>
        <item m="1" x="886"/>
        <item m="1" x="1019"/>
        <item m="1" x="1325"/>
        <item m="1" x="1263"/>
        <item m="1" x="1349"/>
        <item m="1" x="1105"/>
        <item m="1" x="525"/>
        <item m="1" x="1531"/>
        <item m="1" x="944"/>
        <item m="1" x="559"/>
        <item m="1" x="383"/>
        <item m="1" x="1528"/>
        <item m="1" x="1012"/>
        <item m="1" x="979"/>
        <item m="1" x="751"/>
        <item m="1" x="631"/>
        <item m="1" x="715"/>
        <item m="1" x="869"/>
        <item m="1" x="1444"/>
        <item m="1" x="1363"/>
        <item m="1" x="739"/>
        <item m="1" x="812"/>
        <item m="1" x="819"/>
        <item m="1" x="1357"/>
        <item m="1" x="960"/>
        <item m="1" x="432"/>
        <item m="1" x="993"/>
        <item m="1" x="1272"/>
        <item m="1" x="1398"/>
        <item m="1" x="1291"/>
        <item m="1" x="1099"/>
        <item m="1" x="1397"/>
        <item m="1" x="411"/>
        <item m="1" x="1314"/>
        <item m="1" x="393"/>
        <item m="1" x="733"/>
        <item m="1" x="397"/>
        <item m="1" x="556"/>
        <item m="1" x="646"/>
        <item m="1" x="652"/>
        <item m="1" x="1070"/>
        <item m="1" x="1324"/>
        <item m="1" x="851"/>
        <item m="1" x="422"/>
        <item m="1" x="628"/>
        <item m="1" x="416"/>
        <item m="1" x="1411"/>
        <item m="1" x="636"/>
        <item m="1" x="972"/>
        <item m="1" x="1431"/>
        <item m="1" x="758"/>
        <item m="1" x="700"/>
        <item m="1" x="1096"/>
        <item m="1" x="653"/>
        <item m="1" x="961"/>
        <item m="1" x="1255"/>
        <item m="1" x="394"/>
        <item m="1" x="907"/>
        <item m="1" x="1026"/>
        <item m="1" x="518"/>
        <item m="1" x="860"/>
        <item m="1" x="995"/>
        <item m="1" x="746"/>
        <item m="1" x="784"/>
        <item m="1" x="511"/>
        <item m="1" x="917"/>
        <item m="1" x="381"/>
        <item m="1" x="1053"/>
        <item m="1" x="1446"/>
        <item m="1" x="1167"/>
        <item m="1" x="1161"/>
        <item m="1" x="1060"/>
        <item m="1" x="386"/>
        <item m="1" x="1192"/>
        <item m="1" x="1235"/>
        <item m="1" x="1041"/>
        <item m="1" x="385"/>
        <item m="1" x="1392"/>
        <item m="1" x="1359"/>
        <item m="1" x="389"/>
        <item m="1" x="668"/>
        <item m="1" x="1058"/>
        <item m="1" x="1313"/>
        <item m="1" x="510"/>
        <item m="1" x="406"/>
        <item m="1" x="565"/>
        <item m="1" x="456"/>
        <item m="1" x="864"/>
        <item m="1" x="677"/>
        <item m="1" x="675"/>
        <item m="1" x="846"/>
        <item m="1" x="948"/>
        <item m="1" x="852"/>
        <item m="1" x="1049"/>
        <item m="1" x="901"/>
        <item m="1" x="766"/>
        <item m="1" x="881"/>
        <item m="1" x="1374"/>
        <item m="1" x="1469"/>
        <item m="1" x="726"/>
        <item m="1" x="1449"/>
        <item m="1" x="491"/>
        <item m="1" x="1438"/>
        <item m="1" x="1135"/>
        <item m="1" x="1306"/>
        <item m="1" x="1385"/>
        <item m="1" x="1065"/>
        <item m="1" x="1277"/>
        <item m="1" x="569"/>
        <item m="1" x="552"/>
        <item m="1" x="1174"/>
        <item m="1" x="1146"/>
        <item m="1" x="708"/>
        <item m="1" x="1544"/>
        <item m="1" x="1116"/>
        <item m="1" x="856"/>
        <item m="1" x="930"/>
        <item m="1" x="889"/>
        <item m="1" x="1399"/>
        <item m="1" x="1403"/>
        <item m="1" x="399"/>
        <item m="1" x="1283"/>
        <item m="1" x="1329"/>
        <item m="1" x="448"/>
        <item m="1" x="820"/>
        <item m="1" x="811"/>
        <item m="1" x="1318"/>
        <item m="1" x="1017"/>
        <item m="1" x="1221"/>
        <item m="1" x="887"/>
        <item m="1" x="1238"/>
        <item m="1" x="426"/>
        <item m="1" x="549"/>
        <item m="1" x="1518"/>
        <item m="1" x="1138"/>
        <item m="1" x="1510"/>
        <item m="1" x="430"/>
        <item m="1" x="690"/>
        <item m="1" x="506"/>
        <item m="1" x="439"/>
        <item m="1" x="454"/>
        <item m="1" x="1006"/>
        <item m="1" x="1039"/>
        <item m="1" x="711"/>
        <item m="1" x="1129"/>
        <item m="1" x="1447"/>
        <item m="1" x="798"/>
        <item m="1" x="877"/>
        <item m="1" x="1027"/>
        <item m="1" x="1515"/>
        <item m="1" x="692"/>
        <item m="1" x="704"/>
        <item m="1" x="714"/>
        <item m="1" x="1335"/>
        <item m="1" x="1471"/>
        <item m="1" x="388"/>
        <item m="1" x="1215"/>
        <item m="1" x="1511"/>
        <item m="1" x="612"/>
        <item m="1" x="927"/>
        <item m="1" x="1548"/>
        <item m="1" x="1454"/>
        <item m="1" x="601"/>
        <item m="1" x="713"/>
        <item m="1" x="800"/>
        <item m="1" x="1125"/>
        <item m="1" x="1322"/>
        <item m="1" x="557"/>
        <item m="1" x="1028"/>
        <item m="1" x="553"/>
        <item m="1" x="522"/>
        <item m="1" x="470"/>
        <item m="1" x="1441"/>
        <item m="1" x="1034"/>
        <item m="1" x="1482"/>
        <item m="1" x="875"/>
        <item m="1" x="1499"/>
        <item m="1" x="1251"/>
        <item m="1" x="540"/>
        <item m="1" x="1355"/>
        <item m="1" x="1369"/>
        <item m="1" x="1029"/>
        <item m="1" x="1404"/>
        <item m="1" x="1242"/>
        <item m="1" x="1107"/>
        <item m="1" x="424"/>
        <item m="1" x="1253"/>
        <item m="1" x="985"/>
        <item m="1" x="918"/>
        <item m="1" x="1261"/>
        <item m="1" x="845"/>
        <item m="1" x="479"/>
        <item m="1" x="651"/>
        <item m="1" x="428"/>
        <item m="1" x="777"/>
        <item m="1" x="1155"/>
        <item m="1" x="740"/>
        <item m="1" x="603"/>
        <item m="1" x="818"/>
        <item m="1" x="496"/>
        <item m="1" x="748"/>
        <item m="1" x="619"/>
        <item m="1" x="970"/>
        <item m="1" x="1557"/>
        <item m="1" x="1011"/>
        <item m="1" x="607"/>
        <item m="1" x="884"/>
        <item m="1" x="590"/>
        <item m="1" x="643"/>
        <item m="1" x="935"/>
        <item m="1" x="1203"/>
        <item m="1" x="920"/>
        <item m="1" x="1370"/>
        <item m="1" x="932"/>
        <item m="1" x="1166"/>
        <item m="1" x="481"/>
        <item m="1" x="964"/>
        <item m="1" x="604"/>
        <item m="1" x="534"/>
        <item m="1" x="1260"/>
        <item m="1" x="575"/>
        <item m="1" x="1284"/>
        <item m="1" x="476"/>
        <item m="1" x="1101"/>
        <item m="1" x="1108"/>
        <item m="1" x="512"/>
        <item m="1" x="1030"/>
        <item m="1" x="408"/>
        <item m="1" x="1231"/>
        <item m="1" x="936"/>
        <item m="1" x="1157"/>
        <item m="1" x="1126"/>
        <item m="1" x="1346"/>
        <item m="1" x="1119"/>
        <item m="1" x="697"/>
        <item m="1" x="1198"/>
        <item m="1" x="1332"/>
        <item m="1" x="1022"/>
        <item m="1" x="1154"/>
        <item m="1" x="487"/>
        <item m="1" x="1320"/>
        <item m="1" x="977"/>
        <item m="1" x="842"/>
        <item m="1" x="1226"/>
        <item m="1" x="752"/>
        <item m="1" x="1075"/>
        <item m="1" x="609"/>
        <item m="1" x="705"/>
        <item m="1" x="1102"/>
        <item m="1" x="871"/>
        <item m="1" x="415"/>
        <item m="1" x="749"/>
        <item m="1" x="1229"/>
        <item m="1" x="1331"/>
        <item m="1" x="434"/>
        <item m="1" x="719"/>
        <item m="1" x="654"/>
        <item m="1" x="987"/>
        <item m="1" x="1080"/>
        <item m="1" x="520"/>
        <item m="1" x="1502"/>
        <item m="1" x="485"/>
        <item m="1" x="558"/>
        <item m="1" x="1339"/>
        <item m="1" x="847"/>
        <item m="1" x="861"/>
        <item m="1" x="915"/>
        <item m="1" x="490"/>
        <item m="1" x="769"/>
        <item m="1" x="1164"/>
        <item m="1" x="1076"/>
        <item m="1" x="866"/>
        <item m="1" x="813"/>
        <item m="1" x="443"/>
        <item m="1" x="681"/>
        <item m="1" x="1145"/>
        <item m="1" x="779"/>
        <item m="1" x="942"/>
        <item m="1" x="879"/>
        <item m="1" x="1061"/>
        <item m="1" x="425"/>
        <item m="1" x="906"/>
        <item m="1" x="580"/>
        <item m="1" x="983"/>
        <item m="1" x="1109"/>
        <item m="1" x="1185"/>
        <item m="1" x="1120"/>
        <item m="1" x="1081"/>
        <item m="1" x="1007"/>
        <item m="1" x="1418"/>
        <item m="1" x="1310"/>
        <item m="1" x="561"/>
        <item m="1" x="1302"/>
        <item m="1" x="756"/>
        <item m="1" x="1066"/>
        <item m="1" x="472"/>
        <item m="1" x="1045"/>
        <item m="1" x="912"/>
        <item m="1" x="1344"/>
        <item m="1" x="498"/>
        <item m="1" x="1555"/>
        <item m="1" x="537"/>
        <item m="1" x="477"/>
        <item m="1" x="1047"/>
        <item m="1" x="1247"/>
        <item m="1" x="1150"/>
        <item m="1" x="436"/>
        <item m="1" x="588"/>
        <item m="1" x="1376"/>
        <item m="1" x="1316"/>
        <item m="1" x="571"/>
        <item m="1" x="544"/>
        <item m="1" x="839"/>
        <item m="1" x="460"/>
        <item m="1" x="1067"/>
        <item m="1" x="500"/>
        <item m="1" x="670"/>
        <item m="1" x="967"/>
        <item m="1" x="1498"/>
        <item m="1" x="538"/>
        <item m="1" x="808"/>
        <item m="1" x="655"/>
        <item m="1" x="817"/>
        <item m="1" x="1371"/>
        <item m="1" x="1254"/>
        <item m="1" x="716"/>
        <item m="1" x="469"/>
        <item m="1" x="1419"/>
        <item m="1" x="582"/>
        <item m="1" x="1364"/>
        <item m="1" x="921"/>
        <item m="1" x="1305"/>
        <item m="1" x="664"/>
        <item m="1" x="836"/>
        <item m="1" x="1321"/>
        <item m="1" x="1509"/>
        <item m="1" x="1285"/>
        <item m="1" x="684"/>
        <item m="1" x="627"/>
        <item m="1" x="1330"/>
        <item m="1" x="1094"/>
        <item m="1" x="938"/>
        <item m="1" x="1362"/>
        <item m="1" x="410"/>
        <item m="1" x="407"/>
        <item m="1" x="1082"/>
        <item m="1" x="1222"/>
        <item m="1" x="1177"/>
        <item m="1" x="1360"/>
        <item m="1" x="885"/>
        <item m="1" x="632"/>
        <item m="1" x="706"/>
        <item m="1" x="1236"/>
        <item m="1" x="788"/>
        <item m="1" x="1018"/>
        <item m="1" x="1433"/>
        <item m="1" x="671"/>
        <item m="1" x="1008"/>
        <item m="1" x="392"/>
        <item m="1" x="7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709"/>
        <item m="1" x="1470"/>
        <item m="1" x="412"/>
        <item m="1" x="3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550"/>
    </i>
    <i r="2">
      <x v="3"/>
    </i>
    <i r="2">
      <x v="4"/>
    </i>
    <i r="2">
      <x v="8"/>
    </i>
    <i r="1">
      <x v="1552"/>
    </i>
    <i r="2">
      <x v="8"/>
    </i>
    <i r="1">
      <x v="155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4">
  <autoFilter ref="A1:C129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88" totalsRowShown="0">
  <autoFilter ref="A1:S4288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tableColumns count="19">
    <tableColumn id="1" xr3:uid="{5BF112CC-BAD1-48FD-B930-E0EF8CA67570}" name="App"/>
    <tableColumn id="2" xr3:uid="{F44F7455-95E4-448C-84F7-0BD5E8515FF2}" name="Filter" dataDxfId="1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7"/>
    <tableColumn id="7" xr3:uid="{D69C8A00-2CB4-4F31-920A-C1D332375D40}" name="type"/>
    <tableColumn id="9" xr3:uid="{3D246B09-CC89-411A-9E7E-B79496797F29}" name="LFF_ID" dataDxfId="1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5">
      <calculatedColumnFormula>Proc[[#This Row],[Requested]]=Proc[[#This Row],[CurrentParent]]</calculatedColumnFormula>
    </tableColumn>
    <tableColumn id="24" xr3:uid="{9DAA192A-7AAB-4460-A9EA-787D5AF7E069}" name="Sector" dataDxfId="1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3"/>
    <tableColumn id="15" xr3:uid="{F0BFEDC5-AB85-4752-8DBE-1E2D2A86C38C}" name="DateOpened" dataDxfId="12"/>
    <tableColumn id="17" xr3:uid="{78B7D816-31FE-4F8F-8018-91CE8D5DE9A2}" name="DateMapped" dataDxfId="11"/>
    <tableColumn id="16" xr3:uid="{37F76675-DAA7-497A-B0C3-D5ADC87396FC}" name="DateClosed" dataDxfId="10"/>
    <tableColumn id="23" xr3:uid="{77371810-6F86-4EEF-85D0-5FCFC20B88DC}" name="Delayed?" dataDxfId="9">
      <calculatedColumnFormula>IF(Proc[[#This Row],[DaysAgeing]]&gt;5,"yep","on track")</calculatedColumnFormula>
    </tableColumn>
    <tableColumn id="18" xr3:uid="{6AC4A96E-CE6C-49CA-A4F1-794160BB5940}" name="DaysAgeing" dataDxfId="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7"/>
    <tableColumn id="22" xr3:uid="{87389AE1-9ECE-4C7F-80F9-48A35BE78A62}" name="Prognosis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988</v>
      </c>
    </row>
    <row r="15" spans="1:2">
      <c r="A15" s="111" t="s">
        <v>369</v>
      </c>
      <c r="B15" s="150">
        <v>964</v>
      </c>
    </row>
    <row r="16" spans="1:2">
      <c r="A16" s="111" t="s">
        <v>370</v>
      </c>
      <c r="B16" s="150">
        <v>2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1451</v>
      </c>
    </row>
    <row r="20" spans="1:2">
      <c r="A20" s="111" t="s">
        <v>369</v>
      </c>
      <c r="B20" s="150">
        <v>1435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421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4214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14</v>
      </c>
      <c r="C5"/>
      <c r="D5"/>
      <c r="E5"/>
    </row>
    <row r="6" spans="1:6">
      <c r="A6" s="111" t="s">
        <v>6314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6355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6359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4328</v>
      </c>
      <c r="B14" s="150">
        <v>218</v>
      </c>
      <c r="C14" s="126"/>
      <c r="D14"/>
    </row>
    <row r="15" spans="1:6">
      <c r="A15" s="111" t="s">
        <v>4414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5480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5774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6162</v>
      </c>
      <c r="B24" s="150">
        <v>17</v>
      </c>
    </row>
    <row r="25" spans="1:5">
      <c r="A25" s="112" t="s">
        <v>369</v>
      </c>
      <c r="B25" s="150">
        <v>14</v>
      </c>
      <c r="D25" s="124"/>
      <c r="E25" s="124"/>
    </row>
    <row r="26" spans="1:5">
      <c r="A26" s="112" t="s">
        <v>692</v>
      </c>
      <c r="B26" s="150">
        <v>3</v>
      </c>
      <c r="C26" s="126"/>
    </row>
    <row r="27" spans="1:5">
      <c r="A27" s="111" t="s">
        <v>6242</v>
      </c>
      <c r="B27" s="150">
        <v>1</v>
      </c>
    </row>
    <row r="28" spans="1:5">
      <c r="A28" s="112" t="s">
        <v>692</v>
      </c>
      <c r="B28" s="150">
        <v>1</v>
      </c>
    </row>
    <row r="29" spans="1:5">
      <c r="A29" s="17" t="s">
        <v>381</v>
      </c>
      <c r="B29" s="150">
        <v>232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27" priority="4"/>
  </conditionalFormatting>
  <conditionalFormatting sqref="A1284">
    <cfRule type="duplicateValues" dxfId="26" priority="2"/>
  </conditionalFormatting>
  <conditionalFormatting sqref="A1292">
    <cfRule type="duplicateValues" dxfId="2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88"/>
  <sheetViews>
    <sheetView tabSelected="1" zoomScale="105" zoomScaleNormal="105" workbookViewId="0">
      <selection activeCell="D4291" sqref="D429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113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98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98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98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98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98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98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98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98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98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98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98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98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98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98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98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98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98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98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98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98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95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95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95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95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94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94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94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94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94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94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94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94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94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94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94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94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94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94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94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94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94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94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94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94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94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94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94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94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94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94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94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94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94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94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93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93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93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93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93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93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93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93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93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93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93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93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93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93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93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93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93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93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89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89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89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89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89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89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89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89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89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89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89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89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89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89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89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89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89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89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89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89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89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89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89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89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89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89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89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89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89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89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89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89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89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89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89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89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89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89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89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89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89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89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89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89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89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89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89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89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89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89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89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89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89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89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89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89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89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89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89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89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89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89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89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89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89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89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89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89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89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89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89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89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89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89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89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89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89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89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89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89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89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89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89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89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89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89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89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89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89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89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89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89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83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83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78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78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73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73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73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73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73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73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73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73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73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73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73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73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73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73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73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73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73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73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73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73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73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73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73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73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73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73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73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73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73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73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73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73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73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73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73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73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73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73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73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73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73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73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73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73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73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73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73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73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73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73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73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73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73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73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73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73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73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73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73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73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73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73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73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73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73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73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73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73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73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73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73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73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73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73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73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73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73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73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73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73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73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73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73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73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73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73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73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73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73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73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73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73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73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73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73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73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73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73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73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73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73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73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73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73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73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70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70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70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70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71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68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68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63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63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63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63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63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63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63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63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63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63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63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61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61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61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61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61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61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61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61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61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61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61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61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61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61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61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61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61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61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61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61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61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61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61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61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61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61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61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61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61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61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61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61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61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61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61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61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61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61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61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61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61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61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61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61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61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61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61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61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61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61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61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61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61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61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61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61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61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61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61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61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61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61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61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61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61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61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61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61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61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61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61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61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61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61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61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61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61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61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61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61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61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61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61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61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61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61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61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61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61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61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61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61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61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61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61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61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61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61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61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61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61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61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61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61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61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61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61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61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61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61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61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61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61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61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61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61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61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61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61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61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61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61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61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61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61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61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61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61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61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61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61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61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61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61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61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61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61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61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61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61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61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61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61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61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61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61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61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61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61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61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61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61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61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61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61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61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61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61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61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61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61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61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61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61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61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61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61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61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61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61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61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61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61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61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61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61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61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61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61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61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61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61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61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61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61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61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61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61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61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61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61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61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61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61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61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61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61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61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61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61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61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61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61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61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61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61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61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61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61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61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61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61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61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61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61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61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61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61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61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61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61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61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61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61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61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61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61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61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61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61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61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61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61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61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61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61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61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61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61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61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61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61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61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61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61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61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61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61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61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61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61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61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61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61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61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61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61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61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61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61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61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61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61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61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61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61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61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61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61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61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61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61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61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61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61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61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61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61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61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61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61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61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61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61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61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61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61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61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61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61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61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61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61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61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61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61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61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61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61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61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61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61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61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61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61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61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61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61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61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61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61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61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61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61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61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61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61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61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61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61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61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61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61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61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61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61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61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61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61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61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61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61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61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61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61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59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59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59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59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59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59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59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59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59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59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58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58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58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57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57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57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57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57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57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56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56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54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53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53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53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52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52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52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50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50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50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50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50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50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50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47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47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47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47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47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47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47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47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47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47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47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47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47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47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47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47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47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47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47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47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47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47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47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47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47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47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47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47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47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46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46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44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44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44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44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44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44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44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44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44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44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42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42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42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42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42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42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42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42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41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41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41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41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41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41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41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41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41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41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41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41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41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41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41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41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41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39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39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39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39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39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39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39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39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39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39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39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39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39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39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39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39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39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39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39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39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39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39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39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39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39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39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39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39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39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39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39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39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39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39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39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39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39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39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39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39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39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39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39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39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39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39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39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39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39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39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39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39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39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39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39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39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39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39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39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39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39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39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39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39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39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39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39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39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39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39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39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39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39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39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39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39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39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39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39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39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39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39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39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39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39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39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39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39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39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39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39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39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39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39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39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39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39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39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39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39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39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39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39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39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39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39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39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39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39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39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39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39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39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39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39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39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39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39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39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39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39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39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39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39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39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39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39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39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39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39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39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39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39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39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39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39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39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39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39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39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39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39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39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39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39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39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39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39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39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39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39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39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39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39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39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39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39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39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39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39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39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39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39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39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39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39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39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39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39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39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39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39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39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39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39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39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39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39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39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39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39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39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39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39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39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39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39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39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39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39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39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39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39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39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39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39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39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39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39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39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39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39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39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39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39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39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39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39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39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39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39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39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39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39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39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39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39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39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39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39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39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39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39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39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39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39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39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39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39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39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39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39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39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39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39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39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39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39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39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39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39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39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39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39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39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39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39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39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39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39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39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39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39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39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39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39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39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39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39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39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39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39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39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39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39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39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39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39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39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39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39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39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39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39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39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39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39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39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39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39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39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39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39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39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39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39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39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39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39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39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39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39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39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39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39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38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38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38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38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38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38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38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38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38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38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38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38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38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38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38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38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38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38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38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38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38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38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38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38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38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38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38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38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38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38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38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38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38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38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38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38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38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38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38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38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38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38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38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38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38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38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38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38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38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38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38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38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38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38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38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38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38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38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38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38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38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38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38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38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38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38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38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38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38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38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38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38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38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38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38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38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38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38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38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38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38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38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38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38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38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38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38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38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38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38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38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38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38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38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38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38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38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38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38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38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38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38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38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38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38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38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38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38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38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38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38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38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38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38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38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38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38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38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38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38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38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38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38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38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38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38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38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38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38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38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38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38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38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38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38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38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38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38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38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38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38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38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38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38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38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38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38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38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38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38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38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38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38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38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38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38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38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38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38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38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38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38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38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38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38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38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38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38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38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38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38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38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38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38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38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38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38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38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38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38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38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38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38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38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38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38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38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38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38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38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38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38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38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38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38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38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38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38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38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38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38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38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35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35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35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35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35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35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35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35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35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35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35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35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35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35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35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35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35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35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35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35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35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35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35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35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35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35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35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35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35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35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35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35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35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35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35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35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35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35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35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35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35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35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35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34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34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33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33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33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33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33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33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33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32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32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32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31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31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31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31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31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31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31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31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31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31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31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31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31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31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31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31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31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31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31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31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31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31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31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31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31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31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31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31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31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31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31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31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31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31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31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31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31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31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31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31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31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31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31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31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31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31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31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31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31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31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31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31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31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31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31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31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31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31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31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31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31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31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31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31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31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31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31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31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31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31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31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31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31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31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31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31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31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31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31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31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31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31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31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31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31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31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31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31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31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31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31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31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31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31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30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30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30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30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30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30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30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30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30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30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30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30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30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30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30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30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30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30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30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29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29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29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29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29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29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29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29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29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29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29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29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29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29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29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29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29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29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28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28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28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28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28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28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28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28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28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28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28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28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25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25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25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25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25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25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25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25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25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25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25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25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25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25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25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25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25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25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25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25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25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25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25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25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25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25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25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25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25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24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24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24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24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24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24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24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24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24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24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24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24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24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24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24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24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24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24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24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24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24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24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24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24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24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24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24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24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24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24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24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24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24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24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24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23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23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23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23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23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23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23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23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23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23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23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23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23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23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23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23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23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23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23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23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23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23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23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23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23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23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23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23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23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23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23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23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23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23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23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23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23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23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23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23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23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23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23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23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23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23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23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23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23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23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23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23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23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23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23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23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23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23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23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23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23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23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23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23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23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23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23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23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23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23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23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23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23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23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23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23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23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23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23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23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23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23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23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23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23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23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23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23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23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23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23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23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23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23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23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23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23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23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23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23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23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23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23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23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23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23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23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23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23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23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23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23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23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23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23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23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23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23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23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23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23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23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23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23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23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23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23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23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23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23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23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23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23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23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23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23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23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23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23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23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23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23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23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23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23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23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23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23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23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23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23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23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23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23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23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23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23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23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23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23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23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23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23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23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23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23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23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23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23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23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23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23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23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23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23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23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23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23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23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23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23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23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23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23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23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23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23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23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23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23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23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23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23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23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23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23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23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23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23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23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23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23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23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23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23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23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23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23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23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23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23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23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23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23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23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23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23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23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23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23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23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23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23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23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23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23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23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23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23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23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23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23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23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23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23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23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21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21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21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21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21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21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21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21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21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21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21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21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21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21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21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21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20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20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20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20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20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20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20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20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20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20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20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20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20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20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20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20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20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20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20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20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20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20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20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20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20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20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20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20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20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20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20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20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20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20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20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20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20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20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20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19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19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19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19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19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19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19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19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19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19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19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19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19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19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19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19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19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19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18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18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18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18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18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18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18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18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18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18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18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18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18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18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18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18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18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18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18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18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18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18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18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18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18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18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18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18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18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18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18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18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18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18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18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18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18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18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18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18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18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18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18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18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18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18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18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18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18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18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18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18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18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18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18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18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18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18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18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18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18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18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18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18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18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18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18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18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18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18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18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18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18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18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18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18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18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18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18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18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18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18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18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18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18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18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18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18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18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18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18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18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18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18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18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18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18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18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18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18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18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18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18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18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18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18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18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18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18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18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18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18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18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18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18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14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14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14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14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14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14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14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14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14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14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14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14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13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13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13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13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13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13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13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13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13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13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13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13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13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13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13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13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13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13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13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13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13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13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13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13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13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13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13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13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13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13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13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7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7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7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7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7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7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7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7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7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7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7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7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7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7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7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7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7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7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7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7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5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5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5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5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5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5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5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5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5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5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5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5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open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2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open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2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2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2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2</v>
      </c>
      <c r="R4227" s="152" t="s">
        <v>410</v>
      </c>
      <c r="S4227" s="150"/>
    </row>
    <row r="4228" spans="1:19" hidden="1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2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2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2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2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2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2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2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2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2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2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2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2</v>
      </c>
      <c r="R4239" s="152" t="s">
        <v>410</v>
      </c>
      <c r="S4239" s="150"/>
    </row>
    <row r="4240" spans="1:19" hidden="1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2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2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2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2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2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2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2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2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2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2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2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2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2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2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2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2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2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377</v>
      </c>
      <c r="D4257" t="s">
        <v>6392</v>
      </c>
      <c r="E4257" t="s">
        <v>6407</v>
      </c>
      <c r="F4257" s="150" t="s">
        <v>5496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0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2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2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2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2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2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2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2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2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2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2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2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2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2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2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370</v>
      </c>
      <c r="D4271" t="s">
        <v>6409</v>
      </c>
      <c r="E4271" t="s">
        <v>6408</v>
      </c>
      <c r="F4271" s="150" t="s">
        <v>6443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0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2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2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open</v>
      </c>
      <c r="C4273" t="s">
        <v>370</v>
      </c>
      <c r="D4273" t="s">
        <v>6410</v>
      </c>
      <c r="E4273" t="s">
        <v>6413</v>
      </c>
      <c r="F4273" s="150" t="s">
        <v>6415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0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1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open</v>
      </c>
      <c r="C4274" t="s">
        <v>370</v>
      </c>
      <c r="D4274" t="s">
        <v>6411</v>
      </c>
      <c r="E4274" t="s">
        <v>6414</v>
      </c>
      <c r="F4274" s="150" t="s">
        <v>6415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0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1</v>
      </c>
      <c r="R4274" s="153" t="s">
        <v>489</v>
      </c>
      <c r="S4274" s="150"/>
    </row>
    <row r="4275" spans="1:19">
      <c r="A4275" t="s">
        <v>6434</v>
      </c>
      <c r="B4275" s="150" t="str">
        <f>IFERROR(VLOOKUP(Proc[[#This Row],[App]],Table2[],3,0),"open")</f>
        <v>open</v>
      </c>
      <c r="C4275" t="s">
        <v>405</v>
      </c>
      <c r="D4275" t="s">
        <v>6416</v>
      </c>
      <c r="E4275" t="s">
        <v>6430</v>
      </c>
      <c r="F4275" s="150" t="s">
        <v>6433</v>
      </c>
      <c r="G4275" t="s">
        <v>400</v>
      </c>
      <c r="H4275" s="150" t="str">
        <f>IF(Proc[[#This Row],[type]]="LFF (MDG-F)",MID(Proc[[#This Row],[Obj]],13,10),"")</f>
        <v/>
      </c>
      <c r="I4275" t="str">
        <f>VLOOKUP(Proc[[#This Row],[Obj]],Sheet1!A:B,2,0)</f>
        <v>D00129800000000</v>
      </c>
      <c r="J4275" s="150" t="b">
        <f>Proc[[#This Row],[Requested]]=Proc[[#This Row],[CurrentParent]]</f>
        <v>0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on track</v>
      </c>
      <c r="Q4275" s="3">
        <f ca="1">IF(Proc[[#This Row],[DateClosed]]="",ABS(NETWORKDAYS(Proc[[#This Row],[DateOpened]],TODAY()))-1,ABS(NETWORKDAYS(Proc[[#This Row],[DateOpened]],Proc[[#This Row],[DateClosed]]))-1)</f>
        <v>1</v>
      </c>
      <c r="R4275" s="153" t="s">
        <v>780</v>
      </c>
      <c r="S4275" s="150"/>
    </row>
    <row r="4276" spans="1:19">
      <c r="A4276" s="149" t="s">
        <v>6434</v>
      </c>
      <c r="B4276" s="150" t="str">
        <f>IFERROR(VLOOKUP(Proc[[#This Row],[App]],Table2[],3,0),"open")</f>
        <v>open</v>
      </c>
      <c r="C4276" s="149" t="s">
        <v>405</v>
      </c>
      <c r="D4276" t="s">
        <v>6417</v>
      </c>
      <c r="E4276" t="s">
        <v>6430</v>
      </c>
      <c r="F4276" s="150" t="s">
        <v>6433</v>
      </c>
      <c r="G4276" s="149" t="s">
        <v>400</v>
      </c>
      <c r="H4276" s="150" t="str">
        <f>IF(Proc[[#This Row],[type]]="LFF (MDG-F)",MID(Proc[[#This Row],[Obj]],13,10),"")</f>
        <v/>
      </c>
      <c r="I4276" s="149" t="str">
        <f>VLOOKUP(Proc[[#This Row],[Obj]],Sheet1!A:B,2,0)</f>
        <v>D00130700000000</v>
      </c>
      <c r="J4276" s="150" t="b">
        <f>Proc[[#This Row],[Requested]]=Proc[[#This Row],[CurrentParent]]</f>
        <v>0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on track</v>
      </c>
      <c r="Q4276" s="3">
        <f ca="1">IF(Proc[[#This Row],[DateClosed]]="",ABS(NETWORKDAYS(Proc[[#This Row],[DateOpened]],TODAY()))-1,ABS(NETWORKDAYS(Proc[[#This Row],[DateOpened]],Proc[[#This Row],[DateClosed]]))-1)</f>
        <v>1</v>
      </c>
      <c r="R4276" s="153" t="s">
        <v>780</v>
      </c>
      <c r="S4276" s="150"/>
    </row>
    <row r="4277" spans="1:19">
      <c r="A4277" s="149" t="s">
        <v>6434</v>
      </c>
      <c r="B4277" s="150" t="str">
        <f>IFERROR(VLOOKUP(Proc[[#This Row],[App]],Table2[],3,0),"open")</f>
        <v>open</v>
      </c>
      <c r="C4277" s="149" t="s">
        <v>405</v>
      </c>
      <c r="D4277" t="s">
        <v>6418</v>
      </c>
      <c r="E4277" t="s">
        <v>6430</v>
      </c>
      <c r="F4277" s="150" t="s">
        <v>6433</v>
      </c>
      <c r="G4277" s="149" t="s">
        <v>400</v>
      </c>
      <c r="H4277" s="150" t="str">
        <f>IF(Proc[[#This Row],[type]]="LFF (MDG-F)",MID(Proc[[#This Row],[Obj]],13,10),"")</f>
        <v/>
      </c>
      <c r="I4277" s="149" t="str">
        <f>VLOOKUP(Proc[[#This Row],[Obj]],Sheet1!A:B,2,0)</f>
        <v>DP000021000000</v>
      </c>
      <c r="J4277" s="150" t="b">
        <f>Proc[[#This Row],[Requested]]=Proc[[#This Row],[CurrentParent]]</f>
        <v>0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on track</v>
      </c>
      <c r="Q4277" s="3">
        <f ca="1">IF(Proc[[#This Row],[DateClosed]]="",ABS(NETWORKDAYS(Proc[[#This Row],[DateOpened]],TODAY()))-1,ABS(NETWORKDAYS(Proc[[#This Row],[DateOpened]],Proc[[#This Row],[DateClosed]]))-1)</f>
        <v>1</v>
      </c>
      <c r="R4277" s="153" t="s">
        <v>780</v>
      </c>
      <c r="S4277" s="150"/>
    </row>
    <row r="4278" spans="1:19" hidden="1">
      <c r="A4278" s="149" t="s">
        <v>6434</v>
      </c>
      <c r="B4278" s="150" t="str">
        <f>IFERROR(VLOOKUP(Proc[[#This Row],[App]],Table2[],3,0),"open")</f>
        <v>open</v>
      </c>
      <c r="C4278" s="149" t="s">
        <v>370</v>
      </c>
      <c r="D4278" t="s">
        <v>6419</v>
      </c>
      <c r="E4278" t="s">
        <v>6430</v>
      </c>
      <c r="F4278" s="150" t="s">
        <v>6444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0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on track</v>
      </c>
      <c r="Q4278" s="3">
        <f ca="1">IF(Proc[[#This Row],[DateClosed]]="",ABS(NETWORKDAYS(Proc[[#This Row],[DateOpened]],TODAY()))-1,ABS(NETWORKDAYS(Proc[[#This Row],[DateOpened]],Proc[[#This Row],[DateClosed]]))-1)</f>
        <v>1</v>
      </c>
      <c r="R4278" s="153" t="s">
        <v>780</v>
      </c>
      <c r="S4278" s="150"/>
    </row>
    <row r="4279" spans="1:19" hidden="1">
      <c r="A4279" s="149" t="s">
        <v>6434</v>
      </c>
      <c r="B4279" s="150" t="str">
        <f>IFERROR(VLOOKUP(Proc[[#This Row],[App]],Table2[],3,0),"open")</f>
        <v>open</v>
      </c>
      <c r="C4279" s="149" t="s">
        <v>370</v>
      </c>
      <c r="D4279" t="s">
        <v>6420</v>
      </c>
      <c r="E4279" t="s">
        <v>6430</v>
      </c>
      <c r="F4279" s="150" t="s">
        <v>6444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0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on track</v>
      </c>
      <c r="Q4279" s="3">
        <f ca="1">IF(Proc[[#This Row],[DateClosed]]="",ABS(NETWORKDAYS(Proc[[#This Row],[DateOpened]],TODAY()))-1,ABS(NETWORKDAYS(Proc[[#This Row],[DateOpened]],Proc[[#This Row],[DateClosed]]))-1)</f>
        <v>1</v>
      </c>
      <c r="R4279" s="153" t="s">
        <v>780</v>
      </c>
      <c r="S4279" s="150"/>
    </row>
    <row r="4280" spans="1:19" hidden="1">
      <c r="A4280" s="149" t="s">
        <v>6434</v>
      </c>
      <c r="B4280" s="150" t="str">
        <f>IFERROR(VLOOKUP(Proc[[#This Row],[App]],Table2[],3,0),"open")</f>
        <v>open</v>
      </c>
      <c r="C4280" s="149" t="s">
        <v>370</v>
      </c>
      <c r="D4280" t="s">
        <v>6421</v>
      </c>
      <c r="E4280" t="s">
        <v>6430</v>
      </c>
      <c r="F4280" s="150" t="s">
        <v>6444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0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on track</v>
      </c>
      <c r="Q4280" s="3">
        <f ca="1">IF(Proc[[#This Row],[DateClosed]]="",ABS(NETWORKDAYS(Proc[[#This Row],[DateOpened]],TODAY()))-1,ABS(NETWORKDAYS(Proc[[#This Row],[DateOpened]],Proc[[#This Row],[DateClosed]]))-1)</f>
        <v>1</v>
      </c>
      <c r="R4280" s="153" t="s">
        <v>780</v>
      </c>
      <c r="S4280" s="150"/>
    </row>
    <row r="4281" spans="1:19" hidden="1">
      <c r="A4281" s="149" t="s">
        <v>6434</v>
      </c>
      <c r="B4281" s="150" t="str">
        <f>IFERROR(VLOOKUP(Proc[[#This Row],[App]],Table2[],3,0),"open")</f>
        <v>open</v>
      </c>
      <c r="C4281" s="149" t="s">
        <v>370</v>
      </c>
      <c r="D4281" t="s">
        <v>6422</v>
      </c>
      <c r="E4281" t="s">
        <v>6430</v>
      </c>
      <c r="F4281" s="150" t="s">
        <v>6445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0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on track</v>
      </c>
      <c r="Q4281" s="3">
        <f ca="1">IF(Proc[[#This Row],[DateClosed]]="",ABS(NETWORKDAYS(Proc[[#This Row],[DateOpened]],TODAY()))-1,ABS(NETWORKDAYS(Proc[[#This Row],[DateOpened]],Proc[[#This Row],[DateClosed]]))-1)</f>
        <v>1</v>
      </c>
      <c r="R4281" s="153" t="s">
        <v>780</v>
      </c>
      <c r="S4281" s="150"/>
    </row>
    <row r="4282" spans="1:19">
      <c r="A4282" s="149" t="s">
        <v>6434</v>
      </c>
      <c r="B4282" s="150" t="str">
        <f>IFERROR(VLOOKUP(Proc[[#This Row],[App]],Table2[],3,0),"open")</f>
        <v>open</v>
      </c>
      <c r="C4282" s="149" t="s">
        <v>405</v>
      </c>
      <c r="D4282" t="s">
        <v>6423</v>
      </c>
      <c r="E4282" t="s">
        <v>6431</v>
      </c>
      <c r="F4282" s="150" t="s">
        <v>6433</v>
      </c>
      <c r="G4282" s="149" t="s">
        <v>400</v>
      </c>
      <c r="H4282" s="150" t="str">
        <f>IF(Proc[[#This Row],[type]]="LFF (MDG-F)",MID(Proc[[#This Row],[Obj]],13,10),"")</f>
        <v/>
      </c>
      <c r="I4282" s="149" t="str">
        <f>VLOOKUP(Proc[[#This Row],[Obj]],Sheet1!A:B,2,0)</f>
        <v>D00129400000000</v>
      </c>
      <c r="J4282" s="150" t="b">
        <f>Proc[[#This Row],[Requested]]=Proc[[#This Row],[CurrentParent]]</f>
        <v>0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on track</v>
      </c>
      <c r="Q4282" s="3">
        <f ca="1">IF(Proc[[#This Row],[DateClosed]]="",ABS(NETWORKDAYS(Proc[[#This Row],[DateOpened]],TODAY()))-1,ABS(NETWORKDAYS(Proc[[#This Row],[DateOpened]],Proc[[#This Row],[DateClosed]]))-1)</f>
        <v>1</v>
      </c>
      <c r="R4282" s="153" t="s">
        <v>780</v>
      </c>
      <c r="S4282" s="150"/>
    </row>
    <row r="4283" spans="1:19">
      <c r="A4283" s="149" t="s">
        <v>6434</v>
      </c>
      <c r="B4283" s="150" t="str">
        <f>IFERROR(VLOOKUP(Proc[[#This Row],[App]],Table2[],3,0),"open")</f>
        <v>open</v>
      </c>
      <c r="C4283" s="149" t="s">
        <v>405</v>
      </c>
      <c r="D4283" t="s">
        <v>6424</v>
      </c>
      <c r="E4283" t="s">
        <v>6431</v>
      </c>
      <c r="F4283" s="150" t="s">
        <v>6433</v>
      </c>
      <c r="G4283" s="149" t="s">
        <v>400</v>
      </c>
      <c r="H4283" s="150" t="str">
        <f>IF(Proc[[#This Row],[type]]="LFF (MDG-F)",MID(Proc[[#This Row],[Obj]],13,10),"")</f>
        <v/>
      </c>
      <c r="I4283" s="149" t="str">
        <f>VLOOKUP(Proc[[#This Row],[Obj]],Sheet1!A:B,2,0)</f>
        <v>D00129600000000</v>
      </c>
      <c r="J4283" s="150" t="b">
        <f>Proc[[#This Row],[Requested]]=Proc[[#This Row],[CurrentParent]]</f>
        <v>0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on track</v>
      </c>
      <c r="Q4283" s="3">
        <f ca="1">IF(Proc[[#This Row],[DateClosed]]="",ABS(NETWORKDAYS(Proc[[#This Row],[DateOpened]],TODAY()))-1,ABS(NETWORKDAYS(Proc[[#This Row],[DateOpened]],Proc[[#This Row],[DateClosed]]))-1)</f>
        <v>1</v>
      </c>
      <c r="R4283" s="153" t="s">
        <v>780</v>
      </c>
      <c r="S4283" s="150"/>
    </row>
    <row r="4284" spans="1:19">
      <c r="A4284" s="149" t="s">
        <v>6434</v>
      </c>
      <c r="B4284" s="150" t="str">
        <f>IFERROR(VLOOKUP(Proc[[#This Row],[App]],Table2[],3,0),"open")</f>
        <v>open</v>
      </c>
      <c r="C4284" s="149" t="s">
        <v>405</v>
      </c>
      <c r="D4284" t="s">
        <v>6425</v>
      </c>
      <c r="E4284" t="s">
        <v>6431</v>
      </c>
      <c r="F4284" s="150" t="s">
        <v>6433</v>
      </c>
      <c r="G4284" s="149" t="s">
        <v>400</v>
      </c>
      <c r="H4284" s="150" t="str">
        <f>IF(Proc[[#This Row],[type]]="LFF (MDG-F)",MID(Proc[[#This Row],[Obj]],13,10),"")</f>
        <v/>
      </c>
      <c r="I4284" s="149" t="str">
        <f>VLOOKUP(Proc[[#This Row],[Obj]],Sheet1!A:B,2,0)</f>
        <v>D00129900000000</v>
      </c>
      <c r="J4284" s="150" t="b">
        <f>Proc[[#This Row],[Requested]]=Proc[[#This Row],[CurrentParent]]</f>
        <v>0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on track</v>
      </c>
      <c r="Q4284" s="3">
        <f ca="1">IF(Proc[[#This Row],[DateClosed]]="",ABS(NETWORKDAYS(Proc[[#This Row],[DateOpened]],TODAY()))-1,ABS(NETWORKDAYS(Proc[[#This Row],[DateOpened]],Proc[[#This Row],[DateClosed]]))-1)</f>
        <v>1</v>
      </c>
      <c r="R4284" s="153" t="s">
        <v>780</v>
      </c>
      <c r="S4284" s="150"/>
    </row>
    <row r="4285" spans="1:19">
      <c r="A4285" s="149" t="s">
        <v>6434</v>
      </c>
      <c r="B4285" s="150" t="str">
        <f>IFERROR(VLOOKUP(Proc[[#This Row],[App]],Table2[],3,0),"open")</f>
        <v>open</v>
      </c>
      <c r="C4285" s="149" t="s">
        <v>405</v>
      </c>
      <c r="D4285" t="s">
        <v>6426</v>
      </c>
      <c r="E4285" t="s">
        <v>6431</v>
      </c>
      <c r="F4285" s="150" t="s">
        <v>6433</v>
      </c>
      <c r="G4285" s="149" t="s">
        <v>400</v>
      </c>
      <c r="H4285" s="150" t="str">
        <f>IF(Proc[[#This Row],[type]]="LFF (MDG-F)",MID(Proc[[#This Row],[Obj]],13,10),"")</f>
        <v/>
      </c>
      <c r="I4285" s="149" t="str">
        <f>VLOOKUP(Proc[[#This Row],[Obj]],Sheet1!A:B,2,0)</f>
        <v>D00129900000000</v>
      </c>
      <c r="J4285" s="150" t="b">
        <f>Proc[[#This Row],[Requested]]=Proc[[#This Row],[CurrentParent]]</f>
        <v>0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on track</v>
      </c>
      <c r="Q4285" s="3">
        <f ca="1">IF(Proc[[#This Row],[DateClosed]]="",ABS(NETWORKDAYS(Proc[[#This Row],[DateOpened]],TODAY()))-1,ABS(NETWORKDAYS(Proc[[#This Row],[DateOpened]],Proc[[#This Row],[DateClosed]]))-1)</f>
        <v>1</v>
      </c>
      <c r="R4285" s="153" t="s">
        <v>780</v>
      </c>
      <c r="S4285" s="150"/>
    </row>
    <row r="4286" spans="1:19">
      <c r="A4286" s="149" t="s">
        <v>6434</v>
      </c>
      <c r="B4286" s="150" t="str">
        <f>IFERROR(VLOOKUP(Proc[[#This Row],[App]],Table2[],3,0),"open")</f>
        <v>open</v>
      </c>
      <c r="C4286" s="149" t="s">
        <v>405</v>
      </c>
      <c r="D4286" t="s">
        <v>6427</v>
      </c>
      <c r="E4286" t="s">
        <v>6431</v>
      </c>
      <c r="F4286" s="150" t="s">
        <v>6433</v>
      </c>
      <c r="G4286" s="149" t="s">
        <v>400</v>
      </c>
      <c r="H4286" s="150" t="str">
        <f>IF(Proc[[#This Row],[type]]="LFF (MDG-F)",MID(Proc[[#This Row],[Obj]],13,10),"")</f>
        <v/>
      </c>
      <c r="I4286" s="149" t="str">
        <f>VLOOKUP(Proc[[#This Row],[Obj]],Sheet1!A:B,2,0)</f>
        <v>D00130400000000</v>
      </c>
      <c r="J4286" s="150" t="b">
        <f>Proc[[#This Row],[Requested]]=Proc[[#This Row],[CurrentParent]]</f>
        <v>0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on track</v>
      </c>
      <c r="Q4286" s="3">
        <f ca="1">IF(Proc[[#This Row],[DateClosed]]="",ABS(NETWORKDAYS(Proc[[#This Row],[DateOpened]],TODAY()))-1,ABS(NETWORKDAYS(Proc[[#This Row],[DateOpened]],Proc[[#This Row],[DateClosed]]))-1)</f>
        <v>1</v>
      </c>
      <c r="R4286" s="153" t="s">
        <v>780</v>
      </c>
      <c r="S4286" s="150"/>
    </row>
    <row r="4287" spans="1:19">
      <c r="A4287" s="149" t="s">
        <v>6434</v>
      </c>
      <c r="B4287" s="150" t="str">
        <f>IFERROR(VLOOKUP(Proc[[#This Row],[App]],Table2[],3,0),"open")</f>
        <v>open</v>
      </c>
      <c r="C4287" s="149" t="s">
        <v>405</v>
      </c>
      <c r="D4287" t="s">
        <v>6428</v>
      </c>
      <c r="E4287" t="s">
        <v>6431</v>
      </c>
      <c r="F4287" s="150" t="s">
        <v>6433</v>
      </c>
      <c r="G4287" s="149" t="s">
        <v>400</v>
      </c>
      <c r="H4287" s="150" t="str">
        <f>IF(Proc[[#This Row],[type]]="LFF (MDG-F)",MID(Proc[[#This Row],[Obj]],13,10),"")</f>
        <v/>
      </c>
      <c r="I4287" s="149" t="str">
        <f>VLOOKUP(Proc[[#This Row],[Obj]],Sheet1!A:B,2,0)</f>
        <v>D00130500000000</v>
      </c>
      <c r="J4287" s="150" t="b">
        <f>Proc[[#This Row],[Requested]]=Proc[[#This Row],[CurrentParent]]</f>
        <v>0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on track</v>
      </c>
      <c r="Q4287" s="3">
        <f ca="1">IF(Proc[[#This Row],[DateClosed]]="",ABS(NETWORKDAYS(Proc[[#This Row],[DateOpened]],TODAY()))-1,ABS(NETWORKDAYS(Proc[[#This Row],[DateOpened]],Proc[[#This Row],[DateClosed]]))-1)</f>
        <v>1</v>
      </c>
      <c r="R4287" s="153" t="s">
        <v>780</v>
      </c>
      <c r="S4287" s="150"/>
    </row>
    <row r="4288" spans="1:19">
      <c r="A4288" s="149" t="s">
        <v>6434</v>
      </c>
      <c r="B4288" s="150" t="str">
        <f>IFERROR(VLOOKUP(Proc[[#This Row],[App]],Table2[],3,0),"open")</f>
        <v>open</v>
      </c>
      <c r="C4288" s="149" t="s">
        <v>405</v>
      </c>
      <c r="D4288" t="s">
        <v>6429</v>
      </c>
      <c r="E4288" t="s">
        <v>6432</v>
      </c>
      <c r="F4288" s="150" t="s">
        <v>6433</v>
      </c>
      <c r="G4288" s="149" t="s">
        <v>400</v>
      </c>
      <c r="H4288" s="150" t="str">
        <f>IF(Proc[[#This Row],[type]]="LFF (MDG-F)",MID(Proc[[#This Row],[Obj]],13,10),"")</f>
        <v/>
      </c>
      <c r="I4288" s="149" t="str">
        <f>VLOOKUP(Proc[[#This Row],[Obj]],Sheet1!A:B,2,0)</f>
        <v>D00129400000000</v>
      </c>
      <c r="J4288" s="150" t="b">
        <f>Proc[[#This Row],[Requested]]=Proc[[#This Row],[CurrentParent]]</f>
        <v>0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on track</v>
      </c>
      <c r="Q4288" s="3">
        <f ca="1">IF(Proc[[#This Row],[DateClosed]]="",ABS(NETWORKDAYS(Proc[[#This Row],[DateOpened]],TODAY()))-1,ABS(NETWORKDAYS(Proc[[#This Row],[DateOpened]],Proc[[#This Row],[DateClosed]]))-1)</f>
        <v>1</v>
      </c>
      <c r="R4288" s="153" t="s">
        <v>780</v>
      </c>
      <c r="S4288" s="150"/>
    </row>
  </sheetData>
  <phoneticPr fontId="0" type="noConversion"/>
  <conditionalFormatting sqref="D642">
    <cfRule type="duplicateValues" dxfId="20" priority="3"/>
  </conditionalFormatting>
  <conditionalFormatting sqref="D1017:D1042">
    <cfRule type="duplicateValues" dxfId="1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G2:G4288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72A0D-1557-4995-BFE2-84AF82F54540}">
  <dimension ref="A1:C53"/>
  <sheetViews>
    <sheetView workbookViewId="0">
      <selection activeCell="A6" sqref="A6"/>
    </sheetView>
  </sheetViews>
  <sheetFormatPr defaultRowHeight="15"/>
  <cols>
    <col min="1" max="1" width="62.140625" bestFit="1" customWidth="1"/>
    <col min="2" max="2" width="34.140625" bestFit="1" customWidth="1"/>
    <col min="3" max="3" width="11.28515625" bestFit="1" customWidth="1"/>
  </cols>
  <sheetData>
    <row r="1" spans="1:2">
      <c r="A1" t="s">
        <v>6315</v>
      </c>
      <c r="B1" t="s">
        <v>6326</v>
      </c>
    </row>
    <row r="2" spans="1:2">
      <c r="A2" t="s">
        <v>6356</v>
      </c>
      <c r="B2" t="s">
        <v>6357</v>
      </c>
    </row>
    <row r="3" spans="1:2">
      <c r="A3" t="s">
        <v>6358</v>
      </c>
      <c r="B3" t="s">
        <v>2815</v>
      </c>
    </row>
    <row r="4" spans="1:2">
      <c r="A4" t="s">
        <v>6360</v>
      </c>
      <c r="B4" t="s">
        <v>6406</v>
      </c>
    </row>
    <row r="5" spans="1:2">
      <c r="A5" t="s">
        <v>6361</v>
      </c>
      <c r="B5" t="s">
        <v>6406</v>
      </c>
    </row>
    <row r="6" spans="1:2">
      <c r="A6" t="s">
        <v>6362</v>
      </c>
      <c r="B6" t="s">
        <v>6407</v>
      </c>
    </row>
    <row r="7" spans="1:2">
      <c r="A7" t="s">
        <v>6363</v>
      </c>
      <c r="B7" t="s">
        <v>5496</v>
      </c>
    </row>
    <row r="8" spans="1:2">
      <c r="A8" t="s">
        <v>6364</v>
      </c>
      <c r="B8" t="s">
        <v>6406</v>
      </c>
    </row>
    <row r="9" spans="1:2">
      <c r="A9" t="s">
        <v>6365</v>
      </c>
      <c r="B9" t="s">
        <v>6407</v>
      </c>
    </row>
    <row r="10" spans="1:2">
      <c r="A10" t="s">
        <v>6366</v>
      </c>
      <c r="B10" t="s">
        <v>6407</v>
      </c>
    </row>
    <row r="11" spans="1:2">
      <c r="A11" t="s">
        <v>6367</v>
      </c>
      <c r="B11" t="s">
        <v>6407</v>
      </c>
    </row>
    <row r="12" spans="1:2">
      <c r="A12" t="s">
        <v>6368</v>
      </c>
      <c r="B12" t="s">
        <v>6406</v>
      </c>
    </row>
    <row r="13" spans="1:2">
      <c r="A13" t="s">
        <v>6369</v>
      </c>
      <c r="B13" t="s">
        <v>6407</v>
      </c>
    </row>
    <row r="14" spans="1:2">
      <c r="A14" t="s">
        <v>6370</v>
      </c>
      <c r="B14" t="s">
        <v>6407</v>
      </c>
    </row>
    <row r="15" spans="1:2">
      <c r="A15" t="s">
        <v>6371</v>
      </c>
      <c r="B15" t="s">
        <v>6407</v>
      </c>
    </row>
    <row r="16" spans="1:2">
      <c r="A16" t="s">
        <v>6372</v>
      </c>
      <c r="B16" t="s">
        <v>6407</v>
      </c>
    </row>
    <row r="17" spans="1:2">
      <c r="A17" t="s">
        <v>6373</v>
      </c>
      <c r="B17" t="s">
        <v>6407</v>
      </c>
    </row>
    <row r="18" spans="1:2">
      <c r="A18" t="s">
        <v>6374</v>
      </c>
      <c r="B18" t="s">
        <v>6406</v>
      </c>
    </row>
    <row r="19" spans="1:2">
      <c r="A19" t="s">
        <v>6375</v>
      </c>
      <c r="B19" t="s">
        <v>5496</v>
      </c>
    </row>
    <row r="20" spans="1:2">
      <c r="A20" t="s">
        <v>6376</v>
      </c>
      <c r="B20" t="s">
        <v>6406</v>
      </c>
    </row>
    <row r="21" spans="1:2">
      <c r="A21" t="s">
        <v>6377</v>
      </c>
      <c r="B21" t="s">
        <v>6406</v>
      </c>
    </row>
    <row r="22" spans="1:2">
      <c r="A22" t="s">
        <v>6378</v>
      </c>
      <c r="B22" t="s">
        <v>6406</v>
      </c>
    </row>
    <row r="23" spans="1:2">
      <c r="A23" t="s">
        <v>6379</v>
      </c>
      <c r="B23" t="s">
        <v>6407</v>
      </c>
    </row>
    <row r="24" spans="1:2">
      <c r="A24" t="s">
        <v>6380</v>
      </c>
      <c r="B24" t="s">
        <v>6407</v>
      </c>
    </row>
    <row r="25" spans="1:2">
      <c r="A25" t="s">
        <v>6381</v>
      </c>
      <c r="B25" t="s">
        <v>6407</v>
      </c>
    </row>
    <row r="26" spans="1:2">
      <c r="A26" t="s">
        <v>6382</v>
      </c>
      <c r="B26" t="s">
        <v>6407</v>
      </c>
    </row>
    <row r="27" spans="1:2">
      <c r="A27" t="s">
        <v>6383</v>
      </c>
      <c r="B27" t="s">
        <v>6406</v>
      </c>
    </row>
    <row r="28" spans="1:2">
      <c r="A28" t="s">
        <v>6384</v>
      </c>
      <c r="B28" t="s">
        <v>6406</v>
      </c>
    </row>
    <row r="29" spans="1:2">
      <c r="A29" t="s">
        <v>6385</v>
      </c>
      <c r="B29" t="s">
        <v>6406</v>
      </c>
    </row>
    <row r="30" spans="1:2">
      <c r="A30" t="s">
        <v>6386</v>
      </c>
      <c r="B30" t="s">
        <v>6408</v>
      </c>
    </row>
    <row r="31" spans="1:2">
      <c r="A31" t="s">
        <v>6387</v>
      </c>
      <c r="B31" t="s">
        <v>6408</v>
      </c>
    </row>
    <row r="32" spans="1:2">
      <c r="A32" t="s">
        <v>6388</v>
      </c>
      <c r="B32" t="s">
        <v>6408</v>
      </c>
    </row>
    <row r="33" spans="1:3">
      <c r="A33" t="s">
        <v>6389</v>
      </c>
      <c r="B33" t="s">
        <v>6408</v>
      </c>
    </row>
    <row r="34" spans="1:3">
      <c r="A34" t="s">
        <v>6390</v>
      </c>
      <c r="B34" t="s">
        <v>6407</v>
      </c>
    </row>
    <row r="35" spans="1:3">
      <c r="A35" t="s">
        <v>6395</v>
      </c>
      <c r="B35" t="s">
        <v>6408</v>
      </c>
    </row>
    <row r="36" spans="1:3">
      <c r="A36" t="s">
        <v>6396</v>
      </c>
      <c r="B36" t="s">
        <v>6407</v>
      </c>
    </row>
    <row r="37" spans="1:3">
      <c r="A37" t="s">
        <v>5482</v>
      </c>
      <c r="B37" t="s">
        <v>6407</v>
      </c>
    </row>
    <row r="38" spans="1:3">
      <c r="A38" t="s">
        <v>6397</v>
      </c>
      <c r="B38" t="s">
        <v>6407</v>
      </c>
    </row>
    <row r="39" spans="1:3">
      <c r="A39" t="s">
        <v>6398</v>
      </c>
      <c r="B39" t="s">
        <v>6408</v>
      </c>
    </row>
    <row r="40" spans="1:3">
      <c r="A40" t="s">
        <v>5487</v>
      </c>
      <c r="B40" t="s">
        <v>6407</v>
      </c>
    </row>
    <row r="41" spans="1:3">
      <c r="A41" t="s">
        <v>6399</v>
      </c>
      <c r="B41" t="s">
        <v>6407</v>
      </c>
    </row>
    <row r="42" spans="1:3">
      <c r="A42" t="s">
        <v>6400</v>
      </c>
      <c r="B42" t="s">
        <v>6408</v>
      </c>
    </row>
    <row r="43" spans="1:3">
      <c r="A43" t="s">
        <v>6401</v>
      </c>
      <c r="B43" t="s">
        <v>6408</v>
      </c>
    </row>
    <row r="44" spans="1:3">
      <c r="A44" t="s">
        <v>6402</v>
      </c>
      <c r="B44" t="s">
        <v>6408</v>
      </c>
    </row>
    <row r="45" spans="1:3">
      <c r="A45" t="s">
        <v>6403</v>
      </c>
      <c r="B45" t="s">
        <v>6408</v>
      </c>
    </row>
    <row r="46" spans="1:3">
      <c r="A46" t="s">
        <v>6409</v>
      </c>
      <c r="B46" t="s">
        <v>6443</v>
      </c>
      <c r="C46" t="s">
        <v>6408</v>
      </c>
    </row>
    <row r="47" spans="1:3">
      <c r="A47" t="s">
        <v>6404</v>
      </c>
      <c r="B47" t="s">
        <v>6407</v>
      </c>
    </row>
    <row r="48" spans="1:3">
      <c r="A48" t="s">
        <v>6410</v>
      </c>
      <c r="B48" t="s">
        <v>6415</v>
      </c>
    </row>
    <row r="49" spans="1:2">
      <c r="A49" t="s">
        <v>6411</v>
      </c>
      <c r="B49" t="s">
        <v>6415</v>
      </c>
    </row>
    <row r="50" spans="1:2">
      <c r="A50" t="s">
        <v>6419</v>
      </c>
      <c r="B50" t="s">
        <v>6444</v>
      </c>
    </row>
    <row r="51" spans="1:2">
      <c r="A51" t="s">
        <v>6420</v>
      </c>
      <c r="B51" t="s">
        <v>6444</v>
      </c>
    </row>
    <row r="52" spans="1:2">
      <c r="A52" t="s">
        <v>6421</v>
      </c>
      <c r="B52" t="s">
        <v>6444</v>
      </c>
    </row>
    <row r="53" spans="1:2">
      <c r="A53" t="s">
        <v>6422</v>
      </c>
      <c r="B53" t="s">
        <v>6445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CBC0-C730-42C2-9824-31F51C417B8F}">
  <dimension ref="A1:D10"/>
  <sheetViews>
    <sheetView workbookViewId="0">
      <selection activeCell="E41" sqref="E41"/>
    </sheetView>
  </sheetViews>
  <sheetFormatPr defaultRowHeight="15"/>
  <cols>
    <col min="1" max="1" width="64.85546875" bestFit="1" customWidth="1"/>
    <col min="2" max="2" width="29.85546875" bestFit="1" customWidth="1"/>
    <col min="3" max="3" width="64.85546875" bestFit="1" customWidth="1"/>
    <col min="4" max="4" width="27.42578125" bestFit="1" customWidth="1"/>
  </cols>
  <sheetData>
    <row r="1" spans="1:4">
      <c r="A1" t="s">
        <v>6416</v>
      </c>
      <c r="B1" t="s">
        <v>6435</v>
      </c>
      <c r="C1" t="s">
        <v>6416</v>
      </c>
      <c r="D1" t="s">
        <v>6430</v>
      </c>
    </row>
    <row r="2" spans="1:4">
      <c r="A2" t="s">
        <v>6417</v>
      </c>
      <c r="B2" s="149" t="s">
        <v>6441</v>
      </c>
      <c r="C2" t="s">
        <v>6417</v>
      </c>
      <c r="D2" t="s">
        <v>6430</v>
      </c>
    </row>
    <row r="3" spans="1:4">
      <c r="A3" t="s">
        <v>6418</v>
      </c>
      <c r="B3" t="s">
        <v>6436</v>
      </c>
      <c r="C3" t="s">
        <v>6418</v>
      </c>
      <c r="D3" t="s">
        <v>6430</v>
      </c>
    </row>
    <row r="4" spans="1:4">
      <c r="A4" t="s">
        <v>6423</v>
      </c>
      <c r="B4" t="s">
        <v>6437</v>
      </c>
      <c r="C4" t="s">
        <v>6423</v>
      </c>
      <c r="D4" t="s">
        <v>6431</v>
      </c>
    </row>
    <row r="5" spans="1:4">
      <c r="A5" t="s">
        <v>6424</v>
      </c>
      <c r="B5" s="149" t="s">
        <v>6442</v>
      </c>
      <c r="C5" t="s">
        <v>6424</v>
      </c>
      <c r="D5" t="s">
        <v>6431</v>
      </c>
    </row>
    <row r="6" spans="1:4">
      <c r="A6" t="s">
        <v>6425</v>
      </c>
      <c r="B6" t="s">
        <v>6438</v>
      </c>
      <c r="C6" t="s">
        <v>6425</v>
      </c>
      <c r="D6" t="s">
        <v>6431</v>
      </c>
    </row>
    <row r="7" spans="1:4">
      <c r="A7" t="s">
        <v>6426</v>
      </c>
      <c r="B7" t="s">
        <v>6438</v>
      </c>
      <c r="C7" t="s">
        <v>6426</v>
      </c>
      <c r="D7" t="s">
        <v>6431</v>
      </c>
    </row>
    <row r="8" spans="1:4">
      <c r="A8" t="s">
        <v>6427</v>
      </c>
      <c r="B8" t="s">
        <v>6439</v>
      </c>
      <c r="C8" t="s">
        <v>6427</v>
      </c>
      <c r="D8" t="s">
        <v>6431</v>
      </c>
    </row>
    <row r="9" spans="1:4">
      <c r="A9" t="s">
        <v>6428</v>
      </c>
      <c r="B9" t="s">
        <v>6440</v>
      </c>
      <c r="C9" t="s">
        <v>6428</v>
      </c>
      <c r="D9" t="s">
        <v>6431</v>
      </c>
    </row>
    <row r="10" spans="1:4">
      <c r="A10" t="s">
        <v>6429</v>
      </c>
      <c r="B10" t="s">
        <v>6437</v>
      </c>
      <c r="C10" t="s">
        <v>6429</v>
      </c>
      <c r="D10" t="s">
        <v>6432</v>
      </c>
    </row>
  </sheetData>
  <conditionalFormatting sqref="B1:B1048576">
    <cfRule type="duplicateValues" dxfId="5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2025-09-25T18:39:11Z</dcterms:modified>
  <cp:category/>
  <cp:contentStatus/>
</cp:coreProperties>
</file>