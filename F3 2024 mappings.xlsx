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C447F4D3-5D15-4A45-BAC3-528518DE92B1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4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694" i="1" l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F5634" i="1"/>
  <c r="J5634" i="1" s="1"/>
  <c r="F5633" i="1"/>
  <c r="J5633" i="1" s="1"/>
  <c r="F5632" i="1"/>
  <c r="F5631" i="1"/>
  <c r="J5631" i="1" s="1"/>
  <c r="F5630" i="1"/>
  <c r="F5629" i="1"/>
  <c r="J5629" i="1" s="1"/>
  <c r="F5628" i="1"/>
  <c r="J5628" i="1" s="1"/>
  <c r="F5627" i="1"/>
  <c r="J5627" i="1" s="1"/>
  <c r="F5626" i="1"/>
  <c r="J5626" i="1" s="1"/>
  <c r="F5625" i="1"/>
  <c r="J5625" i="1" s="1"/>
  <c r="F5624" i="1"/>
  <c r="J5624" i="1" s="1"/>
  <c r="F5623" i="1"/>
  <c r="J5623" i="1" s="1"/>
  <c r="F5622" i="1"/>
  <c r="J5622" i="1" s="1"/>
  <c r="F5621" i="1"/>
  <c r="J5621" i="1" s="1"/>
  <c r="F5620" i="1"/>
  <c r="J5620" i="1" s="1"/>
  <c r="F5619" i="1"/>
  <c r="J5619" i="1" s="1"/>
  <c r="F5618" i="1"/>
  <c r="J5618" i="1" s="1"/>
  <c r="J5611" i="1"/>
  <c r="J5609" i="1"/>
  <c r="J5608" i="1"/>
  <c r="F5607" i="1"/>
  <c r="J5607" i="1" s="1"/>
  <c r="F5606" i="1"/>
  <c r="F5605" i="1"/>
  <c r="J5605" i="1" s="1"/>
  <c r="F5604" i="1"/>
  <c r="J5604" i="1" s="1"/>
  <c r="F5603" i="1"/>
  <c r="J5603" i="1" s="1"/>
  <c r="F5602" i="1"/>
  <c r="J5602" i="1" s="1"/>
  <c r="F5506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J5606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<sst xmlns="http://schemas.openxmlformats.org/spreadsheetml/2006/main" count="50505" uniqueCount="8140">
  <si>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</si>
  <si>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</si>
  <si>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</si>
  <si>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</si>
  <si>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</si>
  <si>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</si>
  <si>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</si>
  <si>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</si>
  <si>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</si>
  <si>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</si>
  <si>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</si>
  <si>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</si>
  <si>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</si>
  <si>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</si>
  <si>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</si>
  <si>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</si>
  <si>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</si>
  <si>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</si>
  <si>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</si>
  <si>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</si>
  <si>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</si>
  <si>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</si>
  <si>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</si>
  <si>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</si>
  <si>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</si>
  <si>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</si>
  <si>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</si>
  <si>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</si>
  <si>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</si>
  <si>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</si>
  <si>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</si>
  <si>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</si>
  <si>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</si>
  <si>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</si>
  <si>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</si>
  <si>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</si>
  <si>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</si>
  <si>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</si>
  <si>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</si>
  <si>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</si>
  <si>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</si>
  <si>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</si>
  <si>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</si>
  <si>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</si>
  <si>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</si>
  <si>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</si>
  <si>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</si>
  <si>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</si>
  <si>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</si>
  <si>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</si>
  <si>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</si>
  <si>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</si>
  <si>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</si>
  <si>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</si>
  <si>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</si>
  <si>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</si>
  <si>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</si>
  <si>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</si>
  <si>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</si>
  <si>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</si>
  <si>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</si>
  <si>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</si>
  <si>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</si>
  <si>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</si>
  <si>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</si>
  <si>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</si>
  <si>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</si>
  <si>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</si>
  <si>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</si>
  <si>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</si>
  <si>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</si>
  <si>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</si>
  <si>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</si>
  <si>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</si>
  <si>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</si>
  <si>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</si>
  <si>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</si>
  <si>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</si>
  <si>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</si>
  <si>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</si>
  <si>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</si>
  <si>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</si>
  <si>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</si>
  <si>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</si>
  <si>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</si>
  <si>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</si>
  <si>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</si>
  <si>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</si>
  <si>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</si>
  <si>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</si>
  <si>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</si>
  <si>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</si>
  <si>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</si>
  <si>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</si>
  <si>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</si>
  <si>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</si>
  <si>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</si>
  <si>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</si>
  <si>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</si>
  <si>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</si>
  <si>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</si>
  <si>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</si>
  <si>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</si>
  <si>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</si>
  <si>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</si>
  <si>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</si>
  <si>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</si>
  <si>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</si>
  <si>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</si>
  <si>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</si>
  <si>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</si>
  <si>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</si>
  <si>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</si>
  <si>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</si>
  <si>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</si>
  <si>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</si>
  <si>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</si>
  <si>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</si>
  <si>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</si>
  <si>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</si>
  <si>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</si>
  <si>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</si>
  <si>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</si>
  <si>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</si>
  <si>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</si>
  <si>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</si>
  <si>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</si>
  <si>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</si>
  <si>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</si>
  <si>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</si>
  <si>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</si>
  <si>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</si>
  <si>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</si>
  <si>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</si>
  <si>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</si>
  <si>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</si>
  <si>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</si>
  <si>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</si>
  <si>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</si>
  <si>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</si>
  <si>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</si>
  <si>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</si>
  <si>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</si>
  <si>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</si>
  <si>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</si>
  <si>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</si>
  <si>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</si>
  <si>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</si>
  <si>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</si>
  <si>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</si>
  <si>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</si>
  <si>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</si>
  <si>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</si>
  <si>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</si>
  <si>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</si>
  <si>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</si>
  <si>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</si>
  <si>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</si>
  <si>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</si>
  <si>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</si>
  <si>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</si>
  <si>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</si>
  <si>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</si>
  <si>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</si>
  <si>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</si>
  <si>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</si>
  <si>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</si>
  <si>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</si>
  <si>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</si>
  <si>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</si>
  <si>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</si>
  <si>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</si>
  <si>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</si>
  <si>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</si>
  <si>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</si>
  <si>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</si>
  <si>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</si>
  <si>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</si>
  <si>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</si>
  <si>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</si>
  <si>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</si>
  <si>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</si>
  <si>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</si>
  <si>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</si>
  <si>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</si>
  <si>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</si>
  <si>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</si>
  <si>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</si>
  <si>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</si>
  <si>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</si>
  <si>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</si>
  <si>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</si>
  <si>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</si>
  <si>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</si>
  <si>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</si>
  <si>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</si>
  <si>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</si>
  <si>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</si>
  <si>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</si>
  <si>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</si>
  <si>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</si>
  <si>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</si>
  <si>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</si>
  <si>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</si>
  <si>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</si>
  <si>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</si>
  <si>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</si>
  <si>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</si>
  <si>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</si>
  <si>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</si>
  <si>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</si>
  <si>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</si>
  <si>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</si>
  <si>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</si>
  <si>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</si>
  <si>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</si>
  <si>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</si>
  <si>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</si>
  <si>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</si>
  <si>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</si>
  <si>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</si>
  <si>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</si>
  <si>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</si>
  <si>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</si>
  <si>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</si>
  <si>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</si>
  <si>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</si>
  <si>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</si>
  <si>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</si>
  <si>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</si>
  <si>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</si>
  <si>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</si>
  <si>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</si>
  <si>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</si>
  <si>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</si>
  <si>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</si>
  <si>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</si>
  <si>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</si>
  <si>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</si>
  <si>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</si>
  <si>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</si>
  <si>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</si>
  <si>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</si>
  <si>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</si>
  <si>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</si>
  <si>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</si>
  <si>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</si>
  <si>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</si>
  <si>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</si>
  <si>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</si>
  <si>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</si>
  <si>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</si>
  <si>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</si>
  <si>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</si>
  <si>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</si>
  <si>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</si>
  <si>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</si>
  <si>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</si>
  <si>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</si>
  <si>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</si>
  <si>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</si>
  <si>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</si>
  <si>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</si>
  <si>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</si>
  <si>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</si>
  <si>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</si>
  <si>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</si>
  <si>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</si>
  <si>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</si>
  <si>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</si>
  <si>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</si>
  <si>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</si>
  <si>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</si>
  <si>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</si>
  <si>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</si>
  <si>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</si>
  <si>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</si>
  <si>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</si>
  <si>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</si>
  <si>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</si>
  <si>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</si>
  <si>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</si>
  <si>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</si>
  <si>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</si>
  <si>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</si>
  <si>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</si>
  <si>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</si>
  <si>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</si>
  <si>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</si>
  <si>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</si>
  <si>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</si>
  <si>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</si>
  <si>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</si>
  <si>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</si>
  <si>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</si>
  <si>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</si>
  <si>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</si>
  <si>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</si>
  <si>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</si>
  <si>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</si>
  <si>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</si>
  <si>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</si>
  <si>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</si>
  <si>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</si>
  <si>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</si>
  <si>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</si>
  <si>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</si>
  <si>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</si>
  <si>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</si>
  <si>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</si>
  <si>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</si>
  <si>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</si>
  <si>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</si>
  <si>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</si>
  <si>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</si>
  <si>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</si>
  <si>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</si>
  <si>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</si>
  <si>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</si>
  <si>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</si>
  <si>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</si>
  <si>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</si>
  <si>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</si>
  <si>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</si>
  <si>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</si>
  <si>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</si>
  <si>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</si>
  <si>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</si>
  <si>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</si>
  <si>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</si>
  <si>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</si>
  <si>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</si>
  <si>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</si>
  <si>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</si>
  <si>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</si>
  <si>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</si>
  <si>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</si>
  <si>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</si>
  <si>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</si>
  <si>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</si>
  <si>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</si>
  <si>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</si>
  <si>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</si>
  <si>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</si>
  <si>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</si>
  <si>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</si>
  <si>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</si>
  <si>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</si>
  <si>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</si>
  <si>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</si>
  <si>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</si>
  <si>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</si>
  <si>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</si>
  <si>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</si>
  <si>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</si>
  <si>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</si>
  <si>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</si>
  <si>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</si>
  <si>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</si>
  <si>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</si>
  <si>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</si>
  <si>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</si>
  <si>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</si>
  <si>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</si>
  <si>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</si>
  <si>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</si>
  <si>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</si>
  <si>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</si>
  <si>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</si>
  <si>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</si>
  <si>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</si>
  <si>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</si>
  <si>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</si>
  <si>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</si>
  <si>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</si>
  <si>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</si>
  <si>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</si>
  <si>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</si>
  <si>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</si>
  <si>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</si>
  <si>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</si>
  <si>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</si>
  <si>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</si>
  <si>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</si>
  <si>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</si>
  <si>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</si>
  <si>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</si>
  <si>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</si>
  <si>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</si>
  <si>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</si>
  <si>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</si>
  <si>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</si>
  <si>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</si>
  <si>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</si>
  <si>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</si>
  <si>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</si>
  <si>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</si>
  <si>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</si>
  <si>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</si>
  <si>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</si>
  <si>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</si>
  <si>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</si>
  <si>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</si>
  <si>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</si>
  <si>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</si>
  <si>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</si>
  <si>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</si>
  <si>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</si>
  <si>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</si>
  <si>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</si>
  <si>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</si>
  <si>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</si>
  <si>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</si>
  <si>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</si>
  <si>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</si>
  <si>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</si>
  <si>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</si>
  <si>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</si>
  <si>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</si>
  <si>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</si>
  <si>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</si>
  <si>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</si>
  <si>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</si>
  <si>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</si>
  <si>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</si>
  <si>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</si>
  <si>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</si>
  <si>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</si>
  <si>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</si>
  <si>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</si>
  <si>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</si>
  <si>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</si>
  <si>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</si>
  <si>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</si>
  <si>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</si>
  <si>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</si>
  <si>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</si>
  <si>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</si>
  <si>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</si>
  <si>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</si>
  <si>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</si>
  <si>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</si>
  <si>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</si>
  <si>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</si>
  <si>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</si>
  <si>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</si>
  <si>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</si>
  <si>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</si>
  <si>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</si>
  <si>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</si>
  <si>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</si>
  <si>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</si>
  <si>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</si>
  <si>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</si>
  <si>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</si>
  <si>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</si>
  <si>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</si>
  <si>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</si>
  <si>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</si>
  <si>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</si>
  <si>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</si>
  <si>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</si>
  <si>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</si>
  <si>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</si>
  <si>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</si>
  <si>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</si>
  <si>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</si>
  <si>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</si>
  <si>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</si>
  <si>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</si>
  <si>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</si>
  <si>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</si>
  <si>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</si>
  <si>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</si>
  <si>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</si>
  <si>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</si>
  <si>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</si>
  <si>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</si>
  <si>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</si>
  <si>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</si>
  <si>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</si>
  <si>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</si>
  <si>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</si>
  <si>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</si>
  <si>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</si>
  <si>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</si>
  <si>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</si>
  <si>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</si>
  <si>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</si>
  <si>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</si>
  <si>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</si>
  <si>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</si>
  <si>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</si>
  <si>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</si>
  <si>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</si>
  <si>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</si>
  <si>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</si>
  <si>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</si>
  <si>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</si>
  <si>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</si>
  <si>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</si>
  <si>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</si>
  <si>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</si>
  <si>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</si>
  <si>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</si>
  <si>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</si>
  <si>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</si>
  <si>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</si>
  <si>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</si>
  <si>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</si>
  <si>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</si>
  <si>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</si>
  <si>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</si>
  <si>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</si>
  <si>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</si>
  <si>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</si>
  <si>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</si>
  <si>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</si>
  <si>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</si>
  <si>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</si>
  <si>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</si>
  <si>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</si>
  <si>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</si>
  <si>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</si>
  <si>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</si>
  <si>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</si>
  <si>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</si>
  <si>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</si>
  <si>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</si>
  <si>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</si>
  <si>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</si>
  <si>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</si>
  <si>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</si>
  <si>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</si>
  <si>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</si>
  <si>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</si>
  <si>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</si>
  <si>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</si>
  <si>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</si>
  <si>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</si>
  <si>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</si>
  <si>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</si>
  <si>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</si>
  <si>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</si>
  <si>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</si>
  <si>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</si>
  <si>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</si>
  <si>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</si>
  <si>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</si>
  <si>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</si>
  <si>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</si>
  <si>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</si>
  <si>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</si>
  <si>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</si>
  <si>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</si>
  <si>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</si>
  <si>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</si>
  <si>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</si>
  <si>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</si>
  <si>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</si>
  <si>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</si>
  <si>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</si>
  <si>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</si>
  <si>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</si>
  <si>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</si>
  <si>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</si>
  <si>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</si>
  <si>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</si>
  <si>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</si>
  <si>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</si>
  <si>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</si>
  <si>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</si>
  <si>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</si>
  <si>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</si>
  <si>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</si>
  <si>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</si>
  <si>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</si>
  <si>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</si>
  <si>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</si>
  <si>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</si>
  <si>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</si>
  <si>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</si>
  <si>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</si>
  <si>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</si>
  <si>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</si>
  <si>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</si>
  <si>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</si>
  <si>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</si>
  <si>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</si>
  <si>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</si>
  <si>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</si>
  <si>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</si>
  <si>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</si>
  <si>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</si>
  <si>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</si>
  <si>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</si>
  <si>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</si>
  <si>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</si>
  <si>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</si>
  <si>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</si>
  <si>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</si>
  <si>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</si>
  <si>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</si>
  <si>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</si>
  <si>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</si>
  <si>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</si>
  <si>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</si>
  <si>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</si>
  <si>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</si>
  <si>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</si>
  <si>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</si>
  <si>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</si>
  <si>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</si>
  <si>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</si>
  <si>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</si>
  <si>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</si>
  <si>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</si>
  <si>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</si>
  <si>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</si>
  <si>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</si>
  <si>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</si>
  <si>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</si>
  <si>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</si>
  <si>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</si>
  <si>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</si>
  <si>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</si>
  <si>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</si>
  <si>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</si>
  <si>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</si>
  <si>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</si>
  <si>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</si>
  <si>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</si>
  <si>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</si>
  <si>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</si>
  <si>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</si>
  <si>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</si>
  <si>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</si>
  <si>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</si>
  <si>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</si>
  <si>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</si>
  <si>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</si>
  <si>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</si>
  <si>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</si>
  <si>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</si>
  <si>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</si>
  <si>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</si>
  <si>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</si>
  <si>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</si>
  <si>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</si>
  <si>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</si>
  <si>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</si>
  <si>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</si>
  <si>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</si>
  <si>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</si>
  <si>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</si>
  <si>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</si>
  <si>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</si>
  <si>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</si>
  <si>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</si>
  <si>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</si>
  <si>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</si>
  <si>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</si>
  <si>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</si>
  <si>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</si>
  <si>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</si>
  <si>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</si>
  <si>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</si>
  <si>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</si>
  <si>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</si>
  <si>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</si>
  <si>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</si>
  <si>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</si>
  <si>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</si>
  <si>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</si>
  <si>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</si>
  <si>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</si>
  <si>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</si>
  <si>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</si>
  <si>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</si>
  <si>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</si>
  <si>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</si>
  <si>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</si>
  <si>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</si>
  <si>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</si>
  <si>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</si>
  <si>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</si>
  <si>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</si>
  <si>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</si>
  <si>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</si>
  <si>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</si>
  <si>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</si>
  <si>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</si>
  <si>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</si>
  <si>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</si>
  <si>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</si>
  <si>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</si>
  <si>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</si>
  <si>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</si>
  <si>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</si>
  <si>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</si>
  <si>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</si>
  <si>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</si>
  <si>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</si>
  <si>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</si>
  <si>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</si>
  <si>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</si>
  <si>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</si>
  <si>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</si>
  <si>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</si>
  <si>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</si>
  <si>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</si>
  <si>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</si>
  <si>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</si>
  <si>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</si>
  <si>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</si>
  <si>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</si>
  <si>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</si>
  <si>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</si>
  <si>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</si>
  <si>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</si>
  <si>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</si>
  <si>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</si>
  <si>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</si>
  <si>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</si>
  <si>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</si>
  <si>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</si>
  <si>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</si>
  <si>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</si>
  <si>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</si>
  <si>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</si>
  <si>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</si>
  <si>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</si>
  <si>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</si>
  <si>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</si>
  <si>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</si>
  <si>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</si>
  <si>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</si>
  <si>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</si>
  <si>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</si>
  <si>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</si>
  <si>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</si>
  <si>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</si>
  <si>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</si>
  <si>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</si>
  <si>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</si>
  <si>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</si>
  <si>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</si>
  <si>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</si>
  <si>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</si>
  <si>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</si>
  <si>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</si>
  <si>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</si>
  <si>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</si>
  <si>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</si>
  <si>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</si>
  <si>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</si>
  <si>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</si>
  <si>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</si>
  <si>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</si>
  <si>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</si>
  <si>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</si>
  <si>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</si>
  <si>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</si>
  <si>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</si>
  <si>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</si>
  <si>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</si>
  <si>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</si>
  <si>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</si>
  <si>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</si>
  <si>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</si>
  <si>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</si>
  <si>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</si>
  <si>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</si>
  <si>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</si>
  <si>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</si>
  <si>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</si>
  <si>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</si>
  <si>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</si>
  <si>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</si>
  <si>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</si>
  <si>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</si>
  <si>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</si>
  <si>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</si>
  <si>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</si>
  <si>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</si>
  <si>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</si>
  <si>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</si>
  <si>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</si>
  <si>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</si>
  <si>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</si>
  <si>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</si>
  <si>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</si>
  <si>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</si>
  <si>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</si>
  <si>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</si>
  <si>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</si>
  <si>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</si>
  <si>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</si>
  <si>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</si>
  <si>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</si>
  <si>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</si>
  <si>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</si>
  <si>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</si>
  <si>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</si>
  <si>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</si>
  <si>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</si>
  <si>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</si>
  <si>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</si>
  <si>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</si>
  <si>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</si>
  <si>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</si>
  <si>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</si>
  <si>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</si>
  <si>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</si>
  <si>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</si>
  <si>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</si>
  <si>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</si>
  <si>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</si>
  <si>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</si>
  <si>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</si>
  <si>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</si>
  <si>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</si>
  <si>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</si>
  <si>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</si>
  <si>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</si>
  <si>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</si>
  <si>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</si>
  <si>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</si>
  <si>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</si>
  <si>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</si>
  <si>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</si>
  <si>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</si>
  <si>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</si>
  <si>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</si>
  <si>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</si>
  <si>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</si>
  <si>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</si>
  <si>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</si>
  <si>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</si>
  <si>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</si>
  <si>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</si>
  <si>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</si>
  <si>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</si>
  <si>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</si>
  <si>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</si>
  <si>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</si>
  <si>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</si>
  <si>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</si>
  <si>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</si>
  <si>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</si>
  <si>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</si>
  <si>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</si>
  <si>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</si>
  <si>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</si>
  <si>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</si>
  <si>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</si>
  <si>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</si>
  <si>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</si>
  <si>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</si>
  <si>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</si>
  <si>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</si>
  <si>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</si>
  <si>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</si>
  <si>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</si>
  <si>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</si>
  <si>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</si>
  <si>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</si>
  <si>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</si>
  <si>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</si>
  <si>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</si>
  <si>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</si>
  <si>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</si>
  <si>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</si>
  <si>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</si>
  <si>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</si>
  <si>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</si>
  <si>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</si>
  <si>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</si>
  <si>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</si>
  <si>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</si>
  <si>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</si>
  <si>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</si>
  <si>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</si>
  <si>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</si>
  <si>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</si>
  <si>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</si>
  <si>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</si>
  <si>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</si>
  <si>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</si>
  <si>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</si>
  <si>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</si>
  <si>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</si>
  <si>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</si>
  <si>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</si>
  <si>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</si>
  <si>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</si>
  <si>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</si>
  <si>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</si>
  <si>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</si>
  <si>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</si>
  <si>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</si>
  <si>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</si>
  <si>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</si>
  <si>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</si>
  <si>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</si>
  <si>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</si>
  <si>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</si>
  <si>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</si>
  <si>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</si>
  <si>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</si>
  <si>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</si>
  <si>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</si>
  <si>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</si>
  <si>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</si>
  <si>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</si>
  <si>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</si>
  <si>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</si>
  <si>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</si>
  <si>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</si>
  <si>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</si>
  <si>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</si>
  <si>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</si>
  <si>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</si>
  <si>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</si>
  <si>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</si>
  <si>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</si>
  <si>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</si>
  <si>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</si>
  <si>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</si>
  <si>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</si>
  <si>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</si>
  <si>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</si>
  <si>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</si>
  <si>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</si>
  <si>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</si>
  <si>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</si>
  <si>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</si>
  <si>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</si>
  <si>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</si>
  <si>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</si>
  <si>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</si>
  <si>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</si>
  <si>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</si>
  <si>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</si>
  <si>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</si>
  <si>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</si>
  <si>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</si>
  <si>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</si>
  <si>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</si>
  <si>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</si>
  <si>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</si>
  <si>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</si>
  <si>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</si>
  <si>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</si>
  <si>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</si>
  <si>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</si>
  <si>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</si>
  <si>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</si>
  <si>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</si>
  <si>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</si>
  <si>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</si>
  <si>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</si>
  <si>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</si>
  <si>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</si>
  <si>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</si>
  <si>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</si>
  <si>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</si>
  <si>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</si>
  <si>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</si>
  <si>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</si>
  <si>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</si>
  <si>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</si>
  <si>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</si>
  <si>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</si>
  <si>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</si>
  <si>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</si>
  <si>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</si>
  <si>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</si>
  <si>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</si>
  <si>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</si>
  <si>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</si>
  <si>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</si>
  <si>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</si>
  <si>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</si>
  <si>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</si>
  <si>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</si>
  <si>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</si>
  <si>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</si>
  <si>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</si>
  <si>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</si>
  <si>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</si>
  <si>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</si>
  <si>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</si>
  <si>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</si>
  <si>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</si>
  <si>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</si>
  <si>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</si>
  <si>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</si>
  <si>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</si>
  <si>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</si>
  <si>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</si>
  <si>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</si>
  <si>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</si>
  <si>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</si>
  <si>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</si>
  <si>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</si>
  <si>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</si>
  <si>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</si>
  <si>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</si>
  <si>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</si>
  <si>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</si>
  <si>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</si>
  <si>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</si>
  <si>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</si>
  <si>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</si>
  <si>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</si>
  <si>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</si>
  <si>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</si>
  <si>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</si>
  <si>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</si>
  <si>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</si>
  <si>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</si>
  <si>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</si>
  <si>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</si>
  <si>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</si>
  <si>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</si>
  <si>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</si>
  <si>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</si>
  <si>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</si>
  <si>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</si>
  <si>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</si>
  <si>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</si>
  <si>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</si>
  <si>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</si>
  <si>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</si>
  <si>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</si>
  <si>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</si>
  <si>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</si>
  <si>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</si>
  <si>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</si>
  <si>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</si>
  <si>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</si>
  <si>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</si>
  <si>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</si>
  <si>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</si>
  <si>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</si>
  <si>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</si>
  <si>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</si>
  <si>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</si>
  <si>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</si>
  <si>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</si>
  <si>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</si>
  <si>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</si>
  <si>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</si>
  <si>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</si>
  <si>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</si>
  <si>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</si>
  <si>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</si>
  <si>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</si>
  <si>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</si>
  <si>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</si>
  <si>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</si>
  <si>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</si>
  <si>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</si>
  <si>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</si>
  <si>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</si>
  <si>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</si>
  <si>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</si>
  <si>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</si>
  <si>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</si>
  <si>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</si>
  <si>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</si>
  <si>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</si>
  <si>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</si>
  <si>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</si>
  <si>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</si>
  <si>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</si>
  <si>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</si>
  <si>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</si>
  <si>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</si>
  <si>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</si>
  <si>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</si>
  <si>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</si>
  <si>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</si>
  <si>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</si>
  <si>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</si>
  <si>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</si>
  <si>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</si>
  <si>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</si>
  <si>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</si>
  <si>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</si>
  <si>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</si>
  <si>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</si>
  <si>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</si>
  <si>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</si>
  <si>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</si>
  <si>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</si>
  <si>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</si>
  <si>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</si>
  <si>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</si>
  <si>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</si>
  <si>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</si>
  <si>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</si>
  <si>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</si>
  <si>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</si>
  <si>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</si>
  <si>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</si>
  <si>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</si>
  <si>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</si>
  <si>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</si>
  <si>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</si>
  <si>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</si>
  <si>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</si>
  <si>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</si>
  <si>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</si>
  <si>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</si>
  <si>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</si>
  <si>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</si>
  <si>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</si>
  <si>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</si>
  <si>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</si>
  <si>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</si>
  <si>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</si>
  <si>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</si>
  <si>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</si>
  <si>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</si>
  <si>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</si>
  <si>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</si>
  <si>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</si>
  <si>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</si>
  <si>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</si>
  <si>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</si>
  <si>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</si>
  <si>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</si>
  <si>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</si>
  <si>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</si>
  <si>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</si>
  <si>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</si>
  <si>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</si>
  <si>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</si>
  <si>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</si>
  <si>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</si>
  <si>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</si>
  <si>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</si>
  <si>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</si>
  <si>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</si>
  <si>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</si>
  <si>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</si>
  <si>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</si>
  <si>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</si>
  <si>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</si>
  <si>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</si>
  <si>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</si>
  <si>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</si>
  <si>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</si>
  <si>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</si>
  <si>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</si>
  <si>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</si>
  <si>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</si>
  <si>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</si>
  <si>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</si>
  <si>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</si>
  <si>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</si>
  <si>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</si>
  <si>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</si>
  <si>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</si>
  <si>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</si>
  <si>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</si>
  <si>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</si>
  <si>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</si>
  <si>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</si>
  <si>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</si>
  <si>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</si>
  <si>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</si>
  <si>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</si>
  <si>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</si>
  <si>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</si>
  <si>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</si>
  <si>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</si>
  <si>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</si>
  <si>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</si>
  <si>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</si>
  <si>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</si>
  <si>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</si>
  <si>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</si>
  <si>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</si>
  <si>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</si>
  <si>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</si>
  <si>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</si>
  <si>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</si>
  <si>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</si>
  <si>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</si>
  <si>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</si>
  <si>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</si>
  <si>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</si>
  <si>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</si>
  <si>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</si>
  <si>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</si>
  <si>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</si>
  <si>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</si>
  <si>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</si>
  <si>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</si>
  <si>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</si>
  <si>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</si>
  <si>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</si>
  <si>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</si>
  <si>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</si>
  <si>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</si>
  <si>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</si>
  <si>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</si>
  <si>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</si>
  <si>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</si>
  <si>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</si>
  <si>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</si>
  <si>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</si>
  <si>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</si>
  <si>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</si>
  <si>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</si>
  <si>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</si>
  <si>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</si>
  <si>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</si>
  <si>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</si>
  <si>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</si>
  <si>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</si>
  <si>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</si>
  <si>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</si>
  <si>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</si>
  <si>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</si>
  <si>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</si>
  <si>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</si>
  <si>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</si>
  <si>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</si>
  <si>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</si>
  <si>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</si>
  <si>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</si>
  <si>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</si>
  <si>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</si>
  <si>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</si>
  <si>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</si>
  <si>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</si>
  <si>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</si>
  <si>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</si>
  <si>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</si>
  <si>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</si>
  <si>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</si>
  <si>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</si>
  <si>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</si>
  <si>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</si>
  <si>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</si>
  <si>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</si>
  <si>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</si>
  <si>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</si>
  <si>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</si>
  <si>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</si>
  <si>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</si>
  <si>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</si>
  <si>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</si>
  <si>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</si>
  <si>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</si>
  <si>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</si>
  <si>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</si>
  <si>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</si>
  <si>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</si>
  <si>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</si>
  <si>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</si>
  <si>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</si>
  <si>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</si>
  <si>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</si>
  <si>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</si>
  <si>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</si>
  <si>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</si>
  <si>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</si>
  <si>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</si>
  <si>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</si>
  <si>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</si>
  <si>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</si>
  <si>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</si>
  <si>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</si>
  <si>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</si>
  <si>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</si>
  <si>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</si>
  <si>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</si>
  <si>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</si>
  <si>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</si>
  <si>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</si>
  <si>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</si>
  <si>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</si>
  <si>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</si>
  <si>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</si>
  <si>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</si>
  <si>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</si>
  <si>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</si>
  <si>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</si>
  <si>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</si>
  <si>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</si>
  <si>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</si>
  <si>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</si>
  <si>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</si>
  <si>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</si>
  <si>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</si>
  <si>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</si>
  <si>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</si>
  <si>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</si>
  <si>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</si>
  <si>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</si>
  <si>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</si>
  <si>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</si>
  <si>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</si>
  <si>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</si>
  <si>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</si>
  <si>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</si>
  <si>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</si>
  <si>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</si>
  <si>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</si>
  <si>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</si>
  <si>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</si>
  <si>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</si>
  <si>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</si>
  <si>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</si>
  <si>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</si>
  <si>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</si>
  <si>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</si>
  <si>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</si>
  <si>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</si>
  <si>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</si>
  <si>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</si>
  <si>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</si>
  <si>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</si>
  <si>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</si>
  <si>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</si>
  <si>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</si>
  <si>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</si>
  <si>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</si>
  <si>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</si>
  <si>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</si>
  <si>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</si>
  <si>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</si>
  <si>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</si>
  <si>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</si>
  <si>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</si>
  <si>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</si>
  <si>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</si>
  <si>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</si>
  <si>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</si>
  <si>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</si>
  <si>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</si>
  <si>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</si>
  <si>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</si>
  <si>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</si>
  <si>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</si>
  <si>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</si>
  <si>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</si>
  <si>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</si>
  <si>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</si>
  <si>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</si>
  <si>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</si>
  <si>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</si>
  <si>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</si>
  <si>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</si>
  <si>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</si>
  <si>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</si>
  <si>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</si>
  <si>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</si>
  <si>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</si>
  <si>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</si>
  <si>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</si>
  <si>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</si>
  <si>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</si>
  <si>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</si>
  <si>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</si>
  <si>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</si>
  <si>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</si>
  <si>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</si>
  <si>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</si>
  <si>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</si>
  <si>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</si>
  <si>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</si>
  <si>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</si>
  <si>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</si>
  <si>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</si>
  <si>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</si>
  <si>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</si>
  <si>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</si>
  <si>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</si>
  <si>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</si>
  <si>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</si>
  <si>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</si>
  <si>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</si>
  <si>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</si>
  <si>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</si>
  <si>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</si>
  <si>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</si>
  <si>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</si>
  <si>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</si>
  <si>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</si>
  <si>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</si>
  <si>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</si>
  <si>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</si>
  <si>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</si>
  <si>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</si>
  <si>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</si>
  <si>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</si>
  <si>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</si>
  <si>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</si>
  <si>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</si>
  <si>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</si>
  <si>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</si>
  <si>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</si>
  <si>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</si>
  <si>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</si>
  <si>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</si>
  <si>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</si>
  <si>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</si>
  <si>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</si>
  <si>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</si>
  <si>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</si>
  <si>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</si>
  <si>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</si>
  <si>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</si>
  <si>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</si>
  <si>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</si>
  <si>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</si>
  <si>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</si>
  <si>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</si>
  <si>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</si>
  <si>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</si>
  <si>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</si>
  <si>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</si>
  <si>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</si>
  <si>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</si>
  <si>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</si>
  <si>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</si>
  <si>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</si>
  <si>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</si>
  <si>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</si>
  <si>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</si>
  <si>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</si>
  <si>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</si>
  <si>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</si>
  <si>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</si>
  <si>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</si>
  <si>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</si>
  <si>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</si>
  <si>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</si>
  <si>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</si>
  <si>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</si>
  <si>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</si>
  <si>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</si>
  <si>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</si>
  <si>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</si>
  <si>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</si>
  <si>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</si>
  <si>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</si>
  <si>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</si>
  <si>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</si>
  <si>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</si>
  <si>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</si>
  <si>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</si>
  <si>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</si>
  <si>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</si>
  <si>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</si>
  <si>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</si>
  <si>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</si>
  <si>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</si>
  <si>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</si>
  <si>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</si>
  <si>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</si>
  <si>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</si>
  <si>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</si>
  <si>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</si>
  <si>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</si>
  <si>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</si>
  <si>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</si>
  <si>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</si>
  <si>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</si>
  <si>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</si>
  <si>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</si>
  <si>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</si>
  <si>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</si>
  <si>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</si>
  <si>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</si>
  <si>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</si>
  <si>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</si>
  <si>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</si>
  <si>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</si>
  <si>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</si>
  <si>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</si>
  <si>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</si>
  <si>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</si>
  <si>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</si>
  <si>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</si>
  <si>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</si>
  <si>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</si>
  <si>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</si>
  <si>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</si>
  <si>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</si>
  <si>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</si>
  <si>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</si>
  <si>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</si>
  <si>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</si>
  <si>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</si>
  <si>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</si>
  <si>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</si>
  <si>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</si>
  <si>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</si>
  <si>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</si>
  <si>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</si>
  <si>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</si>
  <si>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</si>
  <si>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</si>
  <si>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</si>
  <si>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</si>
  <si>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</si>
  <si>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</si>
  <si>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</si>
  <si>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</si>
  <si>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</si>
  <si>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</si>
  <si>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</si>
  <si>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</si>
  <si>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</si>
  <si>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</si>
  <si>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</si>
  <si>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</si>
  <si>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</si>
  <si>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</si>
  <si>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</si>
  <si>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</si>
  <si>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</si>
  <si>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</si>
  <si>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</si>
  <si>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</si>
  <si>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</si>
  <si>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</si>
  <si>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</si>
  <si>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</si>
  <si>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</si>
  <si>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</si>
  <si>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</si>
  <si>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</si>
  <si>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</si>
  <si>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</si>
  <si>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</si>
  <si>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</si>
  <si>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</si>
  <si>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</si>
  <si>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</si>
  <si>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</si>
  <si>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</si>
  <si>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</si>
  <si>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</si>
  <si>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</si>
  <si>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</si>
  <si>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</si>
  <si>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</si>
  <si>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</si>
  <si>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</si>
  <si>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</si>
  <si>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</si>
  <si>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</si>
  <si>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</si>
  <si>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</si>
  <si>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</si>
  <si>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</si>
  <si>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</si>
  <si>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</si>
  <si>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</si>
  <si>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</si>
  <si>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</si>
  <si>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</si>
  <si>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</si>
  <si>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</si>
  <si>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</si>
  <si>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</si>
  <si>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</si>
  <si>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</si>
  <si>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</si>
  <si>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</si>
  <si>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</si>
  <si>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</si>
  <si>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</si>
  <si>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</si>
  <si>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</si>
  <si>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</si>
  <si>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</si>
  <si>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</si>
  <si>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</si>
  <si>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</si>
  <si>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</si>
  <si>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</si>
  <si>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</si>
  <si>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</si>
  <si>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</si>
  <si>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</si>
  <si>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</si>
  <si>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</si>
  <si>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</si>
  <si>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</si>
  <si>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</si>
  <si>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</si>
  <si>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</si>
  <si>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</si>
  <si>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</si>
  <si>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</si>
  <si>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</si>
  <si>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</si>
  <si>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</si>
  <si>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</si>
  <si>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</si>
  <si>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</si>
  <si>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</si>
  <si>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</si>
  <si>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</si>
  <si>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</si>
  <si>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</si>
  <si>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</si>
  <si>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</si>
  <si>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</si>
  <si>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</si>
  <si>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</si>
  <si>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</si>
  <si>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</si>
  <si>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</si>
  <si>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</si>
  <si>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</si>
  <si>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</si>
  <si>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</si>
  <si>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</si>
  <si>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</si>
  <si>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</si>
  <si>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</si>
  <si>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</si>
  <si>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</si>
  <si>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</si>
  <si>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</si>
  <si>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</si>
  <si>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</si>
  <si>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</si>
  <si>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</si>
  <si>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</si>
  <si>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</si>
  <si>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</si>
  <si>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</si>
  <si>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</si>
  <si>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</si>
  <si>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</si>
  <si>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</si>
  <si>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</si>
  <si>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</si>
  <si>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</si>
  <si>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</si>
  <si>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</si>
  <si>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</si>
  <si>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</si>
  <si>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</si>
  <si>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</si>
  <si>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</si>
  <si>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</si>
  <si>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</si>
  <si>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</si>
  <si>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</si>
  <si>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</si>
  <si>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</si>
  <si>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</si>
  <si>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</si>
  <si>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</si>
  <si>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</si>
  <si>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</si>
  <si>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</si>
  <si>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</si>
  <si>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</si>
  <si>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</si>
  <si>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</si>
  <si>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</si>
  <si>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</si>
  <si>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</si>
  <si>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</si>
  <si>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</si>
  <si>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</si>
  <si>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</si>
  <si>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</si>
  <si>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</si>
  <si>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</si>
  <si>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</si>
  <si>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</si>
  <si>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</si>
  <si>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</si>
  <si>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</si>
  <si>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</si>
  <si>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</si>
  <si>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</si>
  <si>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</si>
  <si>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</si>
  <si>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</si>
  <si>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</si>
  <si>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</si>
  <si>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</si>
  <si>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</si>
  <si>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</si>
  <si>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</si>
  <si>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</si>
  <si>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</si>
  <si>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</si>
  <si>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</si>
  <si>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</si>
  <si>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</si>
  <si>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</si>
  <si>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</si>
  <si>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</si>
  <si>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</si>
  <si>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</si>
  <si>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</si>
  <si>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</si>
  <si>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</si>
  <si>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</si>
  <si>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</si>
  <si>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</si>
  <si>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</si>
  <si>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</si>
  <si>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</si>
  <si>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</si>
  <si>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</si>
  <si>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</si>
  <si>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</si>
  <si>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</si>
  <si>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</si>
  <si>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</si>
  <si>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</si>
  <si>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</si>
  <si>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</si>
  <si>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</si>
  <si>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</si>
  <si>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</si>
  <si>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</si>
  <si>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</si>
  <si>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</si>
  <si>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</si>
  <si>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</si>
  <si>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</si>
  <si>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</si>
  <si>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</si>
  <si>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</si>
  <si>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</si>
  <si>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</si>
  <si>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</si>
  <si>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</si>
  <si>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</si>
  <si>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</si>
  <si>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</si>
  <si>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</si>
  <si>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</si>
  <si>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</si>
  <si>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</si>
  <si>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</si>
  <si>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</si>
  <si>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</si>
  <si>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</si>
  <si>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</si>
  <si>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</si>
  <si>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</si>
  <si>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</si>
  <si>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</si>
  <si>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</si>
  <si>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</si>
  <si>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</si>
  <si>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</si>
  <si>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</si>
  <si>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</si>
  <si>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</si>
  <si>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</si>
  <si>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</si>
  <si>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</si>
  <si>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</si>
  <si>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</si>
  <si>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</si>
  <si>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</si>
  <si>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</si>
  <si>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</si>
  <si>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</si>
  <si>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</si>
  <si>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</si>
  <si>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</si>
  <si>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</si>
  <si>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</si>
  <si>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</si>
  <si>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</si>
  <si>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</si>
  <si>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</si>
  <si>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</si>
  <si>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</si>
  <si>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</si>
  <si>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</si>
  <si>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</si>
  <si>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</si>
  <si>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</si>
  <si>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</si>
  <si>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</si>
  <si>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</si>
  <si>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</si>
  <si>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</si>
  <si>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</si>
  <si>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</si>
  <si>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</si>
  <si>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</si>
  <si>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</si>
  <si>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</si>
  <si>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</si>
  <si>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</si>
  <si>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</si>
  <si>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</si>
  <si>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</si>
  <si>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</si>
  <si>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</si>
  <si>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</si>
  <si>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</si>
  <si>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</si>
  <si>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</si>
  <si>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</si>
  <si>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</si>
  <si>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</si>
  <si>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</si>
  <si>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</si>
  <si>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</si>
  <si>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</si>
  <si>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</si>
  <si>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</si>
  <si>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</si>
  <si>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</si>
  <si>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</si>
  <si>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</si>
  <si>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</si>
  <si>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</si>
  <si>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</si>
  <si>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</si>
  <si>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</si>
  <si>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</si>
  <si>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</si>
  <si>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</si>
  <si>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</si>
  <si>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</si>
  <si>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</si>
  <si>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</si>
  <si>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</si>
  <si>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</si>
  <si>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</si>
  <si>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</si>
  <si>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</si>
  <si>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</si>
  <si>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</si>
  <si>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</si>
  <si>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</si>
  <si>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</si>
  <si>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</si>
  <si>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</si>
  <si>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</si>
  <si>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</si>
  <si>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</si>
  <si>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</si>
  <si>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</si>
  <si>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</si>
  <si>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</si>
  <si>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</si>
  <si>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</si>
  <si>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</si>
  <si>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</si>
  <si>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</si>
  <si>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</si>
  <si>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</si>
  <si>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</si>
  <si>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</si>
  <si>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</si>
  <si>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</si>
  <si>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</si>
  <si>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</si>
  <si>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</si>
  <si>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</si>
  <si>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</si>
  <si>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</si>
  <si>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</si>
  <si>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</si>
  <si>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</si>
  <si>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</si>
  <si>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</si>
  <si>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</si>
  <si>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</si>
  <si>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</si>
  <si>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</si>
  <si>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</si>
  <si>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</si>
  <si>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</si>
  <si>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</si>
  <si>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</si>
  <si>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</si>
  <si>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</si>
  <si>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</si>
  <si>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</si>
  <si>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</si>
  <si>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</si>
  <si>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</si>
  <si>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</si>
  <si>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</si>
  <si>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</si>
  <si>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</si>
  <si>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</si>
  <si>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</si>
  <si>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</si>
  <si>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</si>
  <si>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</si>
  <si>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</si>
  <si>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</si>
  <si>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</si>
  <si>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</si>
  <si>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</si>
  <si>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</si>
  <si>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</si>
  <si>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</si>
  <si>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</si>
  <si>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</si>
  <si>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</si>
  <si>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</si>
  <si>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</si>
  <si>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</si>
  <si>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</si>
  <si>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</si>
  <si>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</si>
  <si>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</si>
  <si>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</si>
  <si>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</si>
  <si>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</si>
  <si>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</si>
  <si>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</si>
  <si>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</si>
  <si>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</si>
  <si>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</si>
  <si>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</si>
  <si>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</si>
  <si>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</si>
  <si>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</si>
  <si>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</si>
  <si>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</si>
  <si>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</si>
  <si>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</si>
  <si>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</si>
  <si>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</si>
  <si>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</si>
  <si>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</si>
  <si>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</si>
  <si>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</si>
  <si>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</si>
  <si>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</si>
  <si>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</si>
  <si>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</si>
  <si>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</si>
  <si>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</si>
  <si>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</si>
  <si>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</si>
  <si>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</si>
  <si>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</si>
  <si>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</si>
  <si>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</si>
  <si>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</si>
  <si>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</si>
  <si>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</si>
  <si>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</si>
  <si>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</si>
  <si>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</si>
  <si>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</si>
  <si>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</si>
  <si>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</si>
  <si>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</si>
  <si>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</si>
  <si>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</si>
  <si>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</si>
  <si>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</si>
  <si>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</si>
  <si>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</si>
  <si>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</si>
  <si>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</si>
  <si>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</si>
  <si>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</si>
  <si>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</si>
  <si>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</si>
  <si>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</si>
  <si>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</si>
  <si>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</si>
  <si>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</si>
  <si>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</si>
  <si>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</si>
  <si>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</si>
  <si>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</si>
  <si>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</si>
  <si>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</si>
  <si>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</si>
  <si>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</si>
  <si>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</si>
  <si>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</si>
  <si>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</si>
  <si>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</si>
  <si>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</si>
  <si>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</si>
  <si>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</si>
  <si>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</si>
  <si>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</si>
  <si>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</si>
  <si>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</si>
  <si>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</si>
  <si>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</si>
  <si>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</si>
  <si>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</si>
  <si>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</si>
  <si>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</si>
  <si>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</si>
  <si>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</si>
  <si>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</si>
  <si>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</si>
  <si>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</si>
  <si>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</si>
  <si>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</si>
  <si>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</si>
  <si>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</si>
  <si>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</si>
  <si>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</si>
  <si>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</si>
  <si>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</si>
  <si>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</si>
  <si>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</si>
  <si>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</si>
  <si>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</si>
  <si>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</si>
  <si>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</si>
  <si>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</si>
  <si>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</si>
  <si>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</si>
  <si>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</si>
  <si>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</si>
  <si>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</si>
  <si>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</si>
  <si>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</si>
  <si>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</si>
  <si>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</si>
  <si>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</si>
  <si>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</si>
  <si>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</si>
  <si>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</si>
  <si>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</si>
  <si>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</si>
  <si>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</si>
  <si>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</si>
  <si>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</si>
  <si>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</si>
  <si>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</si>
  <si>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</si>
  <si>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</si>
  <si>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</si>
  <si>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</si>
  <si>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</si>
  <si>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</si>
  <si>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</si>
  <si>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</si>
  <si>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</si>
  <si>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</si>
  <si>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</si>
  <si>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</si>
  <si>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</si>
  <si>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</si>
  <si>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</si>
  <si>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</si>
  <si>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</si>
  <si>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</si>
  <si>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</si>
  <si>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</si>
  <si>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</si>
  <si>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</si>
  <si>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</si>
  <si>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</si>
  <si>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</si>
  <si>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</si>
  <si>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</si>
  <si>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</si>
  <si>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</si>
  <si>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</si>
  <si>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</si>
  <si>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</si>
  <si>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</si>
  <si>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</si>
  <si>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</si>
  <si>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</si>
  <si>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</si>
  <si>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</si>
  <si>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</si>
  <si>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</si>
  <si>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</si>
  <si>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</si>
  <si>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</si>
  <si>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</si>
  <si>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</si>
  <si>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</si>
  <si>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</si>
  <si>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</si>
  <si>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</si>
  <si>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</si>
  <si>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</si>
  <si>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</si>
  <si>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</si>
  <si>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</si>
  <si>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</si>
  <si>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</si>
  <si>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</si>
  <si>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</si>
  <si>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</si>
  <si>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</si>
  <si>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</si>
  <si>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</si>
  <si>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</si>
  <si>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</si>
  <si>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</si>
  <si>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</si>
  <si>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</si>
  <si>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</si>
  <si>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</si>
  <si>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</si>
  <si>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</si>
  <si>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</si>
  <si>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</si>
  <si>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</si>
  <si>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</si>
  <si>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</si>
  <si>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</si>
  <si>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</si>
  <si>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</si>
  <si>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</si>
  <si>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</si>
  <si>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</si>
  <si>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</si>
  <si>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</si>
  <si>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</si>
  <si>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</si>
  <si>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</si>
  <si>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</si>
  <si>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</si>
  <si>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</si>
  <si>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</si>
  <si>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</si>
  <si>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</si>
  <si>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</si>
  <si>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</si>
  <si>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</si>
  <si>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</si>
  <si>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</si>
  <si>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</si>
  <si>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</si>
  <si>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</si>
  <si>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</si>
  <si>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</si>
  <si>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</si>
  <si>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</si>
  <si>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</si>
  <si>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</si>
  <si>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</si>
  <si>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</si>
  <si>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</si>
  <si>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</si>
  <si>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</si>
  <si>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</si>
  <si>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</si>
  <si>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</si>
  <si>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</si>
  <si>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</si>
  <si>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</si>
  <si>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</si>
  <si>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</si>
  <si>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</si>
  <si>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</si>
  <si>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</si>
  <si>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</si>
  <si>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</si>
  <si>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</si>
  <si>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</si>
  <si>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</si>
  <si>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</si>
  <si>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</si>
  <si>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</si>
  <si>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</si>
  <si>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</si>
  <si>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</si>
  <si>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</si>
  <si>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</si>
  <si>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</si>
  <si>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</si>
  <si>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</si>
  <si>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</si>
  <si>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</si>
  <si>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</si>
  <si>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</si>
  <si>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</si>
  <si>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</si>
  <si>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</si>
  <si>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</si>
  <si>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</si>
  <si>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</si>
  <si>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</si>
  <si>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</si>
  <si>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</si>
  <si>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</si>
  <si>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</si>
  <si>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</si>
  <si>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</si>
  <si>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</si>
  <si>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</si>
  <si>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</si>
  <si>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</si>
  <si>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</si>
  <si>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</si>
  <si>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</si>
  <si>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</si>
  <si>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</si>
  <si>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</si>
  <si>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</si>
  <si>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</si>
  <si>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</si>
  <si>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</si>
  <si>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</si>
  <si>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</si>
  <si>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</si>
  <si>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</si>
  <si>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</si>
  <si>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</si>
  <si>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</si>
  <si>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</si>
  <si>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</si>
  <si>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</si>
  <si>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</si>
  <si>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</si>
  <si>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</si>
  <si>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</si>
  <si>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</si>
  <si>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</si>
  <si>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</si>
  <si>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</si>
  <si>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</si>
  <si>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</si>
  <si>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</si>
  <si>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</si>
  <si>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</si>
  <si>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</si>
  <si>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</si>
  <si>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</si>
  <si>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</si>
  <si>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</si>
  <si>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</si>
  <si>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</si>
  <si>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</si>
  <si>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</si>
  <si>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</si>
  <si>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</si>
  <si>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</si>
  <si>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</si>
  <si>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</si>
  <si>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</si>
  <si>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</si>
  <si>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</si>
  <si>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</si>
  <si>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</si>
  <si>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</si>
  <si>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</si>
  <si>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</si>
  <si>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</si>
  <si>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</si>
  <si>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</si>
  <si>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</si>
  <si>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</si>
  <si>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</si>
  <si>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</si>
  <si>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</si>
  <si>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</si>
  <si>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</si>
  <si>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</si>
  <si>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</si>
  <si>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</si>
  <si>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</si>
  <si>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</si>
  <si>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</si>
  <si>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</si>
  <si>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</si>
  <si>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</si>
  <si>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</si>
  <si>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</si>
  <si>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</si>
  <si>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</si>
  <si>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</si>
  <si>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</si>
  <si>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</si>
  <si>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</si>
  <si>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</si>
  <si>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</si>
  <si>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</si>
  <si>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</si>
  <si>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</si>
  <si>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</si>
  <si>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</si>
  <si>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</si>
  <si>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</si>
  <si>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</si>
  <si>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</si>
  <si>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</si>
  <si>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</si>
  <si>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</si>
  <si>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</si>
  <si>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</si>
  <si>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</si>
  <si>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</si>
  <si>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</si>
  <si>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</si>
  <si>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</si>
  <si>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</si>
  <si>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</si>
  <si>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</si>
  <si>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</si>
  <si>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</si>
  <si>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</si>
  <si>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</si>
  <si>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</si>
  <si>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</si>
  <si>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</si>
  <si>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</si>
  <si>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</si>
  <si>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</si>
  <si>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</si>
  <si>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</si>
  <si>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</si>
  <si>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</si>
  <si>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</si>
  <si>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</si>
  <si>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</si>
  <si>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</si>
  <si>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</si>
  <si>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</si>
  <si>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</si>
  <si>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</si>
  <si>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</si>
  <si>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</si>
  <si>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</si>
  <si>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</si>
  <si>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</si>
  <si>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</si>
  <si>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</si>
  <si>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</si>
  <si>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</si>
  <si>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</si>
  <si>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</si>
  <si>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</si>
  <si>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</si>
  <si>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</si>
  <si>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</si>
  <si>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</si>
  <si>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</si>
  <si>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</si>
  <si>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</si>
  <si>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</si>
  <si>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</si>
  <si>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</si>
  <si>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</si>
  <si>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</si>
  <si>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</si>
  <si>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</si>
  <si>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</si>
  <si>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</si>
  <si>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</si>
  <si>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</si>
  <si>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</si>
  <si>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</si>
  <si>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</si>
  <si>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</si>
  <si>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</si>
  <si>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</si>
  <si>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</si>
  <si>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</si>
  <si>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</si>
  <si>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</si>
  <si>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</si>
  <si>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</si>
  <si>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</si>
  <si>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</si>
  <si>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</si>
  <si>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</si>
  <si>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</si>
  <si>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</si>
  <si>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</si>
  <si>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</si>
  <si>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</si>
  <si>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</si>
  <si>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</si>
  <si>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</si>
  <si>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</si>
  <si>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</si>
  <si>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</si>
  <si>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</si>
  <si>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</si>
  <si>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</si>
  <si>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</si>
  <si>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</si>
  <si>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</si>
  <si>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</si>
  <si>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</si>
  <si>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</si>
  <si>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</si>
  <si>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</si>
  <si>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</si>
  <si>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</si>
  <si>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</si>
  <si>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</si>
  <si>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</si>
  <si>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</si>
  <si>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</si>
  <si>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</si>
  <si>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</si>
  <si>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</si>
  <si>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</si>
  <si>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</si>
  <si>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</si>
  <si>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</si>
  <si>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</si>
  <si>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</si>
  <si>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</si>
  <si>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</si>
  <si>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</si>
  <si>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</si>
  <si>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</si>
  <si>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</si>
  <si>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</si>
  <si>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</si>
  <si>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</si>
  <si>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</si>
  <si>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</si>
  <si>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</si>
  <si>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</si>
  <si>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</si>
  <si>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</si>
  <si>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</si>
  <si>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</si>
  <si>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</si>
  <si>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</si>
  <si>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</si>
  <si>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</si>
  <si>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</si>
  <si>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</si>
  <si>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</si>
  <si>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</si>
  <si>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</si>
  <si>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</si>
  <si>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</si>
  <si>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</si>
  <si>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</si>
  <si>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</si>
  <si>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</si>
  <si>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</si>
  <si>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</si>
  <si>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</si>
  <si>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</si>
  <si>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</si>
  <si>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</si>
  <si>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</si>
  <si>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</si>
  <si>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</si>
  <si>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</si>
  <si>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</si>
  <si>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</si>
  <si>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</si>
  <si>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</si>
  <si>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</si>
  <si>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</si>
  <si>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</si>
  <si>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</si>
  <si>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</si>
  <si>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</si>
  <si>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</si>
  <si>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</si>
  <si>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</si>
  <si>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</si>
  <si>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</si>
  <si>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</si>
  <si>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</si>
  <si>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</si>
  <si>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</si>
  <si>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</si>
  <si>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</si>
  <si>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</si>
  <si>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</si>
  <si>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</si>
  <si>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</si>
  <si>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</si>
  <si>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</si>
  <si>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</si>
  <si>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</si>
  <si>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</si>
  <si>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</si>
  <si>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</si>
  <si>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</si>
  <si>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</si>
  <si>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</si>
  <si>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</si>
  <si>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</si>
  <si>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</si>
  <si>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</si>
  <si>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</si>
  <si>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</si>
  <si>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</si>
  <si>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</si>
  <si>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</si>
  <si>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</si>
  <si>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</si>
  <si>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</si>
  <si>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</si>
  <si>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</si>
  <si>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</si>
  <si>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</si>
  <si>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</si>
  <si>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</si>
  <si>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</si>
  <si>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</si>
  <si>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</si>
  <si>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</si>
  <si>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</si>
  <si>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</si>
  <si>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</si>
  <si>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</si>
  <si>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</si>
  <si>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</si>
  <si>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</si>
  <si>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</si>
  <si>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</si>
  <si>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</si>
  <si>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</si>
  <si>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</si>
  <si>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</si>
  <si>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</si>
  <si>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</si>
  <si>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</si>
  <si>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</si>
  <si>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</si>
  <si>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</si>
  <si>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</si>
  <si>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</si>
  <si>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</si>
  <si>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</si>
  <si>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</si>
  <si>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</si>
  <si>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</si>
  <si>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</si>
  <si>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</si>
  <si>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</si>
  <si>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</si>
  <si>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</si>
  <si>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</si>
  <si>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</si>
  <si>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</si>
  <si>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</si>
  <si>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</si>
  <si>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</si>
  <si>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</si>
  <si>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</si>
  <si>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</si>
  <si>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</si>
  <si>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</si>
  <si>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</si>
  <si>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</si>
  <si>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</si>
  <si>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</si>
  <si>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</si>
  <si>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</si>
  <si>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</si>
  <si>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</si>
  <si>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</si>
  <si>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</si>
  <si>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</si>
  <si>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</si>
  <si>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</si>
  <si>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</si>
  <si>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</si>
  <si>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</si>
  <si>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</si>
  <si>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</si>
  <si>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</si>
  <si>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</si>
  <si>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</si>
  <si>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</si>
  <si>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</si>
  <si>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</si>
  <si>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</si>
  <si>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</si>
  <si>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</si>
  <si>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</si>
  <si>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</si>
  <si>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</si>
  <si>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</si>
  <si>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</si>
  <si>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</si>
  <si>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</si>
  <si>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</si>
  <si>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</si>
  <si>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</si>
  <si>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</si>
  <si>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</si>
  <si>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</si>
  <si>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</si>
  <si>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</si>
  <si>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</si>
  <si>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</si>
  <si>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</si>
  <si>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</si>
  <si>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</si>
  <si>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</si>
  <si>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</si>
  <si>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</si>
  <si>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</si>
  <si>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</si>
  <si>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</si>
  <si>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</si>
  <si>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</si>
  <si>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</si>
  <si>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</si>
  <si>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</si>
  <si>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</si>
  <si>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</si>
  <si>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</si>
  <si>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</si>
  <si>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</si>
  <si>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</si>
  <si>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</si>
  <si>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</si>
  <si>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</si>
  <si>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</si>
  <si>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</si>
  <si>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</si>
  <si>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</si>
  <si>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</si>
  <si>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</si>
  <si>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</si>
  <si>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</si>
  <si>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</si>
  <si>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</si>
  <si>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</si>
  <si>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</si>
  <si>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</si>
  <si>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</si>
  <si>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</si>
  <si>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</si>
  <si>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</si>
  <si>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</si>
  <si>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</si>
  <si>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</si>
  <si>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</si>
  <si>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</si>
  <si>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</si>
  <si>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</si>
  <si>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</si>
  <si>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</si>
  <si>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</si>
  <si>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</si>
  <si>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</si>
  <si>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</si>
  <si>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</si>
  <si>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</si>
  <si>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</si>
  <si>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</si>
  <si>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</si>
  <si>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</si>
  <si>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</si>
  <si>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</si>
  <si>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</si>
  <si>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</si>
  <si>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</si>
  <si>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</si>
  <si>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</si>
  <si>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</si>
  <si>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</si>
  <si>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</si>
  <si>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</si>
  <si>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</si>
  <si>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</si>
  <si>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</si>
  <si>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</si>
  <si>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</si>
  <si>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</si>
  <si>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</si>
  <si>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</si>
  <si>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</si>
  <si>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</si>
  <si>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</si>
  <si>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</si>
  <si>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</si>
  <si>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</si>
  <si>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</si>
  <si>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</si>
  <si>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</si>
  <si>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</si>
  <si>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</si>
  <si>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</si>
  <si>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</si>
  <si>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</si>
  <si>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</si>
  <si>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</si>
  <si>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</si>
  <si>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</si>
  <si>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</si>
  <si>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</si>
  <si>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</si>
  <si>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</si>
  <si>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</si>
  <si>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</si>
  <si>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</si>
  <si>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</si>
  <si>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</si>
  <si>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</si>
  <si>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</si>
  <si>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</si>
  <si>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</si>
  <si>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</si>
  <si>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</si>
  <si>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</si>
  <si>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</si>
  <si>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</si>
  <si>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</si>
  <si>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</si>
  <si>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</si>
  <si>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</si>
  <si>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</si>
  <si>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</si>
  <si>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</si>
  <si>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</si>
  <si>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</si>
  <si>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</si>
  <si>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</si>
  <si>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</si>
  <si>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</si>
  <si>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</si>
  <si>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</si>
  <si>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</si>
  <si>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</si>
  <si>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</si>
  <si>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</si>
  <si>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</si>
  <si>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</si>
  <si>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</si>
  <si>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</si>
  <si>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</si>
  <si>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</si>
  <si>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</si>
  <si>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</si>
  <si>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</si>
  <si>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</si>
  <si>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</si>
  <si>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</si>
  <si>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</si>
  <si>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</si>
  <si>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</si>
  <si>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</si>
  <si>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</si>
  <si>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</si>
  <si>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</si>
  <si>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</si>
  <si>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</si>
  <si>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</si>
  <si>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</si>
  <si>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</si>
  <si>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</si>
  <si>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</si>
  <si>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</si>
  <si>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</si>
  <si>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</si>
  <si>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</si>
  <si>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</si>
  <si>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</si>
  <si>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</si>
  <si>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</si>
  <si>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</si>
  <si>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</si>
  <si>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</si>
  <si>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</si>
  <si>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</si>
  <si>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</si>
  <si>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</si>
  <si>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</si>
  <si>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</si>
  <si>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</si>
  <si>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</si>
  <si>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</si>
  <si>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</si>
  <si>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</si>
  <si>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</si>
  <si>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</si>
  <si>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</si>
  <si>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</si>
  <si>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</si>
  <si>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</si>
  <si>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</si>
  <si>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</si>
  <si>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</si>
  <si>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</si>
  <si>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</si>
  <si>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</si>
  <si>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</si>
  <si>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</si>
  <si>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</si>
  <si>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</si>
  <si>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</si>
  <si>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</si>
  <si>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</si>
  <si>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</si>
  <si>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</si>
  <si>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</si>
  <si>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</si>
  <si>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</si>
  <si>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</si>
  <si>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</si>
  <si>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</si>
  <si>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</si>
  <si>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</si>
  <si>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</si>
  <si>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</si>
  <si>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</si>
  <si>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</si>
  <si>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</si>
  <si>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</si>
  <si>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</si>
  <si>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</si>
  <si>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</si>
  <si>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</si>
  <si>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</si>
  <si>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</si>
  <si>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</si>
  <si>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</si>
  <si>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</si>
  <si>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</si>
  <si>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</si>
  <si>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</si>
  <si>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</si>
  <si>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</si>
  <si>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</si>
  <si>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</si>
  <si>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</si>
  <si>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</si>
  <si>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</si>
  <si>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</si>
  <si>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</si>
  <si>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</si>
  <si>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</si>
  <si>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</si>
  <si>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</si>
  <si>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</si>
  <si>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</si>
  <si>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</si>
  <si>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</si>
  <si>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</si>
  <si>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</si>
  <si>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</si>
  <si>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</si>
  <si>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</si>
  <si>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</si>
  <si>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</si>
  <si>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</si>
  <si>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</si>
  <si>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</si>
  <si>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</si>
  <si>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</si>
  <si>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</si>
  <si>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</si>
  <si>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</si>
  <si>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</si>
  <si>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</si>
  <si>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</si>
  <si>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</si>
  <si>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</si>
  <si>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</si>
  <si>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</si>
  <si>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</si>
  <si>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</si>
  <si>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</si>
  <si>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</si>
  <si>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</si>
  <si>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</si>
  <si>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</si>
  <si>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</si>
  <si>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</si>
  <si>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</si>
  <si>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</si>
  <si>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</si>
  <si>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</si>
  <si>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</si>
  <si>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</si>
  <si>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</si>
  <si>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</si>
  <si>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</si>
  <si>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</si>
  <si>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</si>
  <si>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</si>
  <si>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</si>
  <si>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</si>
  <si>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</si>
  <si>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</si>
  <si>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</si>
  <si>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</si>
  <si>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</si>
  <si>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</si>
  <si>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</si>
  <si>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</si>
  <si>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</si>
  <si>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</si>
  <si>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</si>
  <si>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</si>
  <si>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</si>
  <si>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</si>
  <si>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</si>
  <si>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</si>
  <si>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</si>
  <si>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</si>
  <si>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</si>
  <si>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</si>
  <si>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</si>
  <si>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</si>
  <si>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</si>
  <si>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</si>
  <si>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</si>
  <si>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</si>
  <si>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</si>
  <si>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</si>
  <si>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</si>
  <si>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</si>
  <si>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</si>
  <si>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</si>
  <si>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</si>
  <si>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</si>
  <si>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</si>
  <si>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</si>
  <si>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</si>
  <si>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</si>
  <si>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</si>
  <si>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</si>
  <si>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</si>
  <si>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</si>
  <si>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</si>
  <si>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</si>
  <si>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</si>
  <si>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</si>
  <si>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</si>
  <si>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</si>
  <si>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</si>
  <si>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</si>
  <si>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</si>
  <si>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</si>
  <si>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</si>
  <si>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</si>
  <si>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</si>
  <si>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</si>
  <si>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</si>
  <si>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</si>
  <si>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</si>
  <si>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</si>
  <si>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</si>
  <si>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</si>
  <si>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</si>
  <si>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</si>
  <si>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</si>
  <si>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</si>
  <si>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</si>
  <si>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</si>
  <si>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</si>
  <si>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</si>
  <si>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</si>
  <si>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</si>
  <si>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</si>
  <si>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</si>
  <si>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</si>
  <si>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</si>
  <si>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</si>
  <si>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</si>
  <si>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</si>
  <si>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</si>
  <si>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</si>
  <si>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</si>
  <si>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</si>
  <si>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</si>
  <si>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</si>
  <si>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</si>
  <si>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</si>
  <si>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</si>
  <si>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</si>
  <si>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</si>
  <si>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</si>
  <si>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</si>
  <si>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</si>
  <si>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</si>
  <si>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</si>
  <si>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</si>
  <si>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</si>
  <si>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</si>
  <si>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</si>
  <si>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</si>
  <si>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</si>
  <si>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</si>
  <si>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</si>
  <si>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</si>
  <si>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</si>
  <si>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</si>
  <si>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</si>
  <si>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</si>
  <si>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</si>
  <si>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</si>
  <si>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</si>
  <si>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</si>
  <si>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</si>
  <si>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</si>
  <si>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</si>
  <si>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</si>
  <si>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</si>
  <si>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</si>
  <si>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</si>
  <si>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</si>
  <si>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</si>
  <si>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</si>
  <si>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</si>
  <si>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</si>
  <si>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</si>
  <si>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</si>
  <si>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</si>
  <si>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</si>
  <si>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</si>
  <si>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</si>
  <si>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</si>
  <si>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</si>
  <si>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</si>
  <si>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</si>
  <si>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</si>
  <si>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</si>
  <si>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</si>
  <si>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</si>
  <si>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</si>
  <si>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</si>
  <si>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</si>
  <si>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</si>
  <si>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</si>
  <si>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</si>
  <si>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</si>
  <si>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</si>
  <si>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</si>
  <si>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</si>
  <si>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</si>
  <si>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</si>
  <si>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</si>
  <si>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</si>
  <si>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</si>
  <si>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</si>
  <si>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</si>
  <si>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</si>
  <si>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</si>
  <si>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</si>
  <si>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</si>
  <si>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</si>
  <si>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</si>
  <si>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</si>
  <si>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</si>
  <si>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</si>
  <si>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</si>
  <si>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</si>
  <si>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</si>
  <si>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</si>
  <si>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</si>
  <si>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</si>
  <si>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</si>
  <si>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</si>
  <si>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</si>
  <si>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</si>
  <si>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</si>
  <si>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</si>
  <si>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</si>
  <si>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</si>
  <si>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</si>
  <si>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</si>
  <si>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</si>
  <si>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</si>
  <si>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</si>
  <si>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</si>
  <si>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</si>
  <si>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</si>
  <si>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</si>
  <si>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</si>
  <si>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</si>
  <si>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</si>
  <si>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</si>
  <si>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</si>
  <si>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</si>
  <si>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</si>
  <si>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</si>
  <si>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</si>
  <si>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</si>
  <si>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</si>
  <si>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</si>
  <si>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</si>
  <si>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</si>
  <si>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</si>
  <si>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</si>
  <si>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</si>
  <si>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</si>
  <si>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</si>
  <si>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</si>
  <si>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</si>
  <si>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</si>
  <si>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</si>
  <si>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</si>
  <si>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</si>
  <si>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</si>
  <si>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</si>
  <si>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</si>
  <si>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</si>
  <si>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</si>
  <si>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</si>
  <si>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</si>
  <si>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</si>
  <si>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</si>
  <si>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</si>
  <si>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</si>
  <si>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</si>
  <si>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</si>
  <si>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</si>
  <si>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</si>
  <si>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</si>
  <si>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</si>
  <si>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</si>
  <si>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</si>
  <si>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</si>
  <si>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</si>
  <si>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</si>
  <si>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</si>
  <si>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</si>
  <si>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</si>
  <si>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</si>
  <si>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</si>
  <si>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</si>
  <si>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</si>
  <si>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</si>
  <si>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</si>
  <si>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</si>
  <si>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</si>
  <si>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</si>
  <si>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</si>
  <si>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</si>
  <si>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</si>
  <si>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</si>
  <si>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</si>
  <si>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</si>
  <si>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</si>
  <si>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</si>
  <si>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</si>
  <si>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</si>
  <si>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</si>
  <si>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</si>
  <si>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</si>
  <si>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</si>
  <si>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</si>
  <si>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</si>
  <si>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</si>
  <si>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</si>
  <si>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</si>
  <si>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</si>
  <si>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</si>
  <si>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</si>
  <si>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</si>
  <si>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</si>
  <si>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</si>
  <si>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</si>
  <si>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</si>
  <si>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</si>
  <si>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</si>
  <si>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</si>
  <si>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</si>
  <si>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</si>
  <si>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</si>
  <si>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</si>
  <si>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</si>
  <si>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</si>
  <si>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</si>
  <si>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</si>
  <si>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</si>
  <si>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</si>
  <si>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</si>
  <si>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</si>
  <si>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</si>
  <si>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</si>
  <si>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</si>
  <si>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</si>
  <si>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</si>
  <si>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</si>
  <si>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</si>
  <si>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</si>
  <si>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</si>
  <si>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</si>
  <si>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</si>
  <si>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</si>
  <si>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</si>
  <si>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</si>
  <si>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</si>
  <si>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</si>
  <si>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</si>
  <si>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</si>
  <si>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</si>
  <si>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</si>
  <si>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</si>
  <si>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</si>
  <si>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</si>
  <si>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</si>
  <si>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</si>
  <si>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</si>
  <si>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</si>
  <si>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</si>
  <si>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</si>
  <si>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</si>
  <si>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</si>
  <si>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</si>
  <si>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</si>
  <si>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</si>
  <si>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</si>
  <si>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</si>
  <si>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</si>
  <si>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</si>
  <si>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</si>
  <si>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</si>
  <si>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</si>
  <si>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</si>
  <si>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</si>
  <si>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</si>
  <si>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</si>
  <si>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</si>
  <si>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</si>
  <si>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</si>
  <si>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</si>
  <si>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</si>
  <si>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</si>
  <si>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</si>
  <si>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</si>
  <si>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</si>
  <si>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</si>
  <si>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</si>
  <si>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</si>
  <si>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</si>
  <si>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</si>
  <si>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</si>
  <si>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</si>
  <si>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</si>
  <si>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</si>
  <si>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</si>
  <si>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</si>
  <si>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</si>
  <si>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</si>
  <si>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</si>
  <si>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</si>
  <si>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</si>
  <si>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</si>
  <si>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</si>
  <si>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</si>
  <si>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</si>
  <si>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</si>
  <si>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</si>
  <si>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</si>
  <si>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</si>
  <si>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</si>
  <si>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</si>
  <si>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</si>
  <si>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</si>
  <si>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</si>
  <si>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</si>
  <si>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</si>
  <si>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</si>
  <si>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</si>
  <si>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</si>
  <si>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</si>
  <si>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</si>
  <si>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</si>
  <si>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</si>
  <si>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</si>
  <si>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</si>
  <si>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</si>
  <si>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</si>
  <si>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</si>
  <si>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</si>
  <si>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</si>
  <si>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</si>
  <si>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</si>
  <si>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</si>
  <si>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</si>
  <si>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</si>
  <si>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</si>
  <si>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</si>
  <si>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</si>
  <si>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</si>
  <si>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</si>
  <si>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</si>
  <si>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</si>
  <si>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</si>
  <si>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</si>
  <si>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</si>
  <si>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</si>
  <si>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</si>
  <si>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</si>
  <si>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</si>
  <si>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</si>
  <si>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</si>
  <si>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</si>
  <si>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</si>
  <si>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</si>
  <si>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</si>
  <si>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</si>
  <si>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</si>
  <si>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</si>
  <si>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</si>
  <si>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</si>
  <si>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</si>
  <si>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</si>
  <si>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</si>
  <si>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</si>
  <si>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</si>
  <si>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</si>
  <si>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</si>
  <si>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</si>
  <si>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</si>
  <si>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</si>
  <si>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</si>
  <si>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</si>
  <si>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</si>
  <si>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</si>
  <si>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</si>
  <si>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</si>
  <si>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</si>
  <si>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</si>
  <si>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</si>
  <si>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</si>
  <si>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</si>
  <si>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</si>
  <si>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</si>
  <si>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</si>
  <si>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</si>
  <si>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</si>
  <si>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</si>
  <si>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</si>
  <si>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</si>
  <si>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</si>
  <si>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</si>
  <si>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</si>
  <si>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</si>
  <si>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</si>
  <si>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</si>
  <si>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</si>
  <si>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</si>
  <si>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</si>
  <si>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</si>
  <si>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</si>
  <si>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</si>
  <si>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</si>
  <si>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</si>
  <si>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</si>
  <si>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</si>
  <si>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</si>
  <si>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</si>
  <si>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</si>
  <si>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</si>
  <si>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</si>
  <si>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</si>
  <si>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</si>
  <si>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</si>
  <si>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</si>
  <si>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</si>
  <si>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</si>
  <si>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</si>
  <si>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</si>
  <si>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</si>
  <si>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</si>
  <si>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</si>
  <si>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</si>
  <si>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</si>
  <si>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</si>
  <si>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</si>
  <si>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</si>
  <si>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</si>
  <si>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</si>
  <si>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</si>
  <si>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</si>
  <si>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</si>
  <si>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</si>
  <si>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</si>
  <si>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</si>
  <si>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</si>
  <si>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</si>
  <si>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</si>
  <si>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</si>
  <si>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</si>
  <si>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</si>
  <si>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</si>
  <si>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</si>
  <si>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</si>
  <si>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</si>
  <si>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</si>
  <si>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</si>
  <si>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</si>
  <si>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</si>
  <si>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</si>
  <si>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</si>
  <si>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</si>
  <si>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</si>
  <si>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</si>
  <si>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</si>
  <si>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</si>
  <si>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</si>
  <si>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</si>
  <si>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</si>
  <si>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</si>
  <si>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</si>
  <si>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</si>
  <si>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</si>
  <si>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</si>
  <si>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</si>
  <si>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</si>
  <si>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</si>
  <si>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</si>
  <si>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</si>
  <si>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</si>
  <si>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</si>
  <si>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</si>
  <si>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</si>
  <si>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</si>
  <si>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</si>
  <si>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</si>
  <si>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</si>
  <si>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</si>
  <si>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</si>
  <si>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</si>
  <si>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</si>
  <si>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</si>
  <si>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</si>
  <si>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</si>
  <si>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</si>
  <si>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</si>
  <si>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</si>
  <si>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</si>
  <si>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</si>
  <si>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</si>
  <si>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</si>
  <si>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</si>
  <si>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</si>
  <si>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</si>
  <si>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</si>
  <si>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</si>
  <si>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</si>
  <si>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</si>
  <si>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</si>
  <si>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</si>
  <si>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</si>
  <si>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</si>
  <si>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</si>
  <si>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</si>
  <si>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</si>
  <si>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</si>
  <si>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</si>
  <si>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</si>
  <si>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</si>
  <si>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</si>
  <si>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</si>
  <si>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</si>
  <si>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</si>
  <si>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</si>
  <si>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</si>
  <si>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</si>
  <si>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</si>
  <si>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</si>
  <si>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</si>
  <si>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</si>
  <si>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</si>
  <si>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</si>
  <si>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</si>
  <si>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</si>
  <si>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</si>
  <si>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</si>
  <si>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</si>
  <si>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</si>
  <si>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</si>
  <si>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</si>
  <si>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</si>
  <si>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</si>
  <si>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</si>
  <si>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</si>
  <si>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</si>
  <si>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</si>
  <si>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</si>
  <si>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</si>
  <si>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</si>
  <si>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</si>
  <si>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</si>
  <si>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</si>
  <si>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</si>
  <si>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</si>
  <si>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</si>
  <si>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</si>
  <si>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</si>
  <si>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</si>
  <si>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</si>
  <si>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</si>
  <si>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</si>
  <si>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</si>
  <si>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</si>
  <si>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</si>
  <si>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</si>
  <si>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</si>
  <si>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</si>
  <si>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</si>
  <si>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</si>
  <si>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</si>
  <si>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</si>
  <si>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</si>
  <si>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</si>
  <si>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</si>
  <si>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</si>
  <si>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</si>
  <si>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</si>
  <si>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</si>
  <si>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</si>
  <si>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</si>
  <si>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</si>
  <si>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</si>
  <si>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</si>
  <si>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</si>
  <si>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</si>
  <si>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</si>
  <si>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</si>
  <si>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</si>
  <si>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</si>
  <si>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</si>
  <si>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</si>
  <si>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</si>
  <si>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</si>
  <si>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</si>
  <si>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</si>
  <si>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</si>
  <si>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</si>
  <si>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</si>
  <si>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</si>
  <si>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</si>
  <si>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</si>
  <si>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</si>
  <si>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</si>
  <si>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</si>
  <si>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</si>
  <si>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</si>
  <si>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</si>
  <si>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</si>
  <si>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</si>
  <si>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</si>
  <si>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</si>
  <si>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</si>
  <si>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</si>
  <si>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</si>
  <si>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</si>
  <si>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</si>
  <si>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</si>
  <si>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</si>
  <si>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</si>
  <si>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</si>
  <si>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</si>
  <si>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</si>
  <si>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</si>
  <si>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</si>
  <si>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</si>
  <si>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</si>
  <si>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</si>
  <si>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</si>
  <si>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</si>
  <si>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</si>
  <si>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</si>
  <si>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</si>
  <si>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</si>
  <si>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</si>
  <si>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</si>
  <si>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</si>
  <si>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</si>
  <si>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</si>
  <si>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</si>
  <si>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</si>
  <si>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</si>
  <si>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</si>
  <si>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</si>
  <si>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</si>
  <si>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</si>
  <si>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</si>
  <si>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</si>
  <si>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</si>
  <si>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</si>
  <si>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</si>
  <si>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</si>
  <si>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</si>
  <si>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</si>
  <si>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</si>
  <si>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</si>
  <si>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</si>
  <si>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</si>
  <si>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</si>
  <si>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</si>
  <si>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</si>
  <si>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</si>
  <si>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</si>
  <si>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</si>
  <si>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</si>
  <si>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</si>
  <si>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</si>
  <si>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</si>
  <si>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</si>
  <si>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</si>
  <si>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</si>
  <si>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</si>
  <si>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</si>
  <si>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</si>
  <si>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</si>
  <si>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</si>
  <si>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</si>
  <si>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</si>
  <si>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</si>
  <si>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</si>
  <si>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</si>
  <si>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</si>
  <si>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</si>
  <si>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</si>
  <si>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</si>
  <si>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</si>
  <si>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</si>
  <si>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</si>
  <si>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</si>
  <si>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</si>
  <si>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</si>
  <si>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</si>
  <si>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</si>
  <si>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</si>
  <si>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</si>
  <si>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</si>
  <si>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</si>
  <si>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</si>
  <si>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</si>
  <si>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</si>
  <si>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</si>
  <si>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</si>
  <si>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</si>
  <si>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</si>
  <si>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</si>
  <si>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</si>
  <si>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</si>
  <si>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</si>
  <si>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</si>
  <si>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</si>
  <si>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</si>
  <si>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</si>
  <si>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</si>
  <si>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</si>
  <si>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</si>
  <si>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</si>
  <si>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</si>
  <si>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</si>
  <si>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</si>
  <si>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</si>
  <si>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</si>
  <si>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</si>
  <si>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</si>
  <si>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</si>
  <si>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</si>
  <si>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</si>
  <si>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</si>
  <si>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</si>
  <si>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</si>
  <si>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</si>
  <si>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</si>
  <si>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</si>
  <si>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</si>
  <si>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</si>
  <si>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</si>
  <si>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</si>
  <si>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</si>
  <si>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</si>
  <si>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</si>
  <si>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</si>
  <si>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</si>
  <si>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</si>
  <si>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</si>
  <si>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</si>
  <si>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</si>
  <si>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</si>
  <si>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</si>
  <si>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</si>
  <si>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</si>
  <si>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</si>
  <si>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</si>
  <si>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</si>
  <si>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</si>
  <si>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</si>
  <si>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</si>
  <si>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</si>
  <si>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</si>
  <si>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</si>
  <si>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</si>
  <si>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</si>
  <si>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</si>
  <si>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</si>
  <si>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</si>
  <si>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</si>
  <si>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</si>
  <si>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</si>
  <si>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</si>
  <si>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</si>
  <si>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</si>
  <si>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</si>
  <si>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</si>
  <si>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</si>
  <si>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</si>
  <si>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</si>
  <si>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</si>
  <si>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</si>
  <si>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</si>
  <si>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</si>
  <si>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</si>
  <si>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</si>
  <si>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</si>
  <si>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</si>
  <si>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</si>
  <si>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</si>
  <si>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</si>
  <si>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</si>
  <si>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</si>
  <si>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</si>
  <si>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</si>
  <si>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</si>
  <si>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</si>
  <si>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</si>
  <si>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</si>
  <si>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</si>
  <si>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</si>
  <si>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</si>
  <si>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</si>
  <si>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</si>
  <si>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</si>
  <si>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</si>
  <si>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</si>
  <si>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</si>
  <si>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</si>
  <si>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</si>
  <si>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</si>
  <si>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</si>
  <si>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</si>
  <si>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</si>
  <si>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</si>
  <si>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</si>
  <si>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</si>
  <si>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</si>
  <si>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</si>
  <si>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</si>
  <si>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</si>
  <si>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</si>
  <si>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</si>
  <si>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</si>
  <si>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</si>
  <si>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</si>
  <si>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</si>
  <si>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</si>
  <si>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</si>
  <si>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</si>
  <si>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</si>
  <si>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</si>
  <si>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</si>
  <si>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</si>
  <si>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</si>
  <si>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</si>
  <si>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</si>
  <si>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</si>
  <si>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</si>
  <si>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</si>
  <si>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</si>
  <si>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</si>
  <si>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</si>
  <si>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</si>
  <si>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</si>
  <si>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</si>
  <si>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</si>
  <si>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</si>
  <si>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</si>
  <si>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</si>
  <si>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</si>
  <si>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</si>
  <si>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</si>
  <si>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</si>
  <si>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</si>
  <si>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</si>
  <si>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</si>
  <si>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</si>
  <si>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</si>
  <si>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</si>
  <si>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</si>
  <si>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</si>
  <si>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</si>
  <si>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</si>
  <si>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</si>
  <si>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</si>
  <si>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</si>
  <si>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</si>
  <si>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</si>
  <si>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</si>
  <si>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</si>
  <si>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</si>
  <si>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</si>
  <si>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</si>
  <si>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</si>
  <si>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</si>
  <si>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</si>
  <si>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</si>
  <si>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</si>
  <si>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</si>
  <si>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</si>
  <si>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</si>
  <si>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</si>
  <si>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</si>
  <si>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</si>
  <si>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</si>
  <si>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</si>
  <si>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</si>
  <si>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</si>
  <si>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</si>
  <si>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</si>
  <si>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</si>
  <si>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</si>
  <si>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</si>
  <si>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</si>
  <si>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</si>
  <si>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</si>
  <si>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</si>
  <si>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</si>
  <si>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</si>
  <si>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</si>
  <si>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</si>
  <si>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</si>
  <si>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</si>
  <si>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</si>
  <si>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</si>
  <si>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</si>
  <si>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</si>
  <si>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</si>
  <si>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</si>
  <si>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</si>
  <si>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</si>
  <si>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</si>
  <si>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</si>
  <si>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</si>
  <si>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</si>
  <si>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</si>
  <si>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</si>
  <si>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</si>
  <si>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</si>
  <si>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</si>
  <si>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</si>
  <si>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</si>
  <si>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</si>
  <si>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</si>
  <si>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</si>
  <si>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</si>
  <si>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</si>
  <si>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</si>
  <si>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</si>
  <si>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</si>
  <si>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</si>
  <si>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</si>
  <si>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</si>
  <si>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</si>
  <si>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</si>
  <si>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</si>
  <si>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</si>
  <si>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</si>
  <si>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</si>
  <si>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</si>
  <si>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</si>
  <si>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</si>
  <si>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</si>
  <si>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</si>
  <si>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</si>
  <si>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</si>
  <si>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</si>
  <si>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</si>
  <si>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</si>
  <si>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</si>
  <si>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</si>
  <si>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</si>
  <si>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</si>
  <si>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</si>
  <si>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</si>
  <si>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</si>
  <si>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</si>
  <si>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</si>
  <si>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</si>
  <si>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</si>
  <si>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</si>
  <si>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</si>
  <si>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</si>
  <si>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</si>
  <si>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</si>
  <si>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</si>
  <si>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</si>
  <si>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</si>
  <si>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</si>
  <si>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</si>
  <si>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</si>
  <si>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</si>
  <si>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</si>
  <si>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</si>
  <si>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</si>
  <si>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</si>
  <si>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</si>
  <si>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</si>
  <si>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</si>
  <si>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</si>
  <si>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</si>
  <si>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</si>
  <si>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</si>
  <si>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</si>
  <si>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</si>
  <si>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</si>
  <si>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</si>
  <si>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</si>
  <si>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</si>
  <si>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</si>
  <si>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</si>
  <si>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</si>
  <si>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</si>
  <si>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</si>
  <si>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</si>
  <si>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</si>
  <si>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</si>
  <si>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</si>
  <si>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</si>
  <si>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</si>
  <si>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</si>
  <si>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</si>
  <si>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</si>
  <si>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</si>
  <si>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</si>
  <si>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</si>
  <si>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</si>
  <si>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</si>
  <si>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</si>
  <si>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</si>
  <si>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</si>
  <si>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</si>
  <si>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</si>
  <si>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</si>
  <si>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</si>
  <si>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</si>
  <si>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</si>
  <si>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</si>
  <si>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</si>
  <si>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</si>
  <si>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</si>
  <si>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</si>
  <si>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</si>
  <si>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</si>
  <si>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</si>
  <si>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</si>
  <si>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</si>
  <si>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</si>
  <si>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</si>
  <si>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</si>
  <si>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</si>
  <si>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</si>
  <si>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</si>
  <si>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</si>
  <si>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</si>
  <si>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</si>
  <si>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</si>
  <si>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</si>
  <si>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</si>
  <si>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</si>
  <si>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</si>
  <si>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</si>
  <si>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</si>
  <si>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</si>
  <si>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</si>
  <si>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</si>
  <si>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</si>
  <si>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</si>
  <si>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</si>
  <si>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</si>
  <si>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</si>
  <si>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</si>
  <si>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</si>
  <si>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</si>
  <si>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</si>
  <si>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</si>
  <si>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</si>
  <si>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</si>
  <si>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</si>
  <si>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</si>
  <si>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</si>
  <si>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</si>
  <si>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</si>
  <si>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</si>
  <si>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</si>
  <si>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</si>
  <si>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</si>
  <si>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</si>
  <si>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</si>
  <si>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</si>
  <si>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</si>
  <si>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</si>
  <si>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</si>
  <si>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</si>
  <si>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</si>
  <si>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</si>
  <si>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</si>
  <si>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</si>
  <si>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</si>
  <si>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</si>
  <si>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</si>
  <si>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</si>
  <si>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</si>
  <si>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</si>
  <si>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</si>
  <si>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</si>
  <si>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</si>
  <si>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</si>
  <si>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</si>
  <si>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</si>
  <si>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</si>
  <si>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</si>
  <si>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</si>
  <si>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</si>
  <si>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</si>
  <si>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</si>
  <si>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</si>
  <si>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</si>
  <si>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</si>
  <si>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</si>
  <si>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</si>
  <si>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</si>
  <si>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</si>
  <si>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</si>
  <si>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</si>
  <si>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</si>
  <si>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</si>
  <si>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</si>
  <si>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</si>
  <si>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</si>
  <si>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</si>
  <si>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</si>
  <si>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</si>
  <si>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</si>
  <si>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</si>
  <si>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</si>
  <si>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</si>
  <si>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</si>
  <si>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</si>
  <si>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</si>
  <si>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</si>
  <si>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</si>
  <si>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</si>
  <si>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</si>
  <si>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</si>
  <si>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</si>
  <si>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</si>
  <si>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</si>
  <si>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</si>
  <si>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</si>
  <si>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</si>
  <si>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</si>
  <si>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</si>
  <si>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</si>
  <si>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</si>
  <si>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</si>
  <si>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</si>
  <si>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</si>
  <si>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</si>
  <si>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</si>
  <si>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</si>
  <si>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</si>
  <si>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</si>
  <si>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</si>
  <si>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</si>
  <si>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</si>
  <si>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</si>
  <si>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</si>
  <si>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</si>
  <si>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</si>
  <si>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</si>
  <si>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</si>
  <si>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</si>
  <si>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</si>
  <si>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</si>
  <si>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</si>
  <si>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</si>
  <si>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</si>
  <si>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</si>
  <si>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</si>
  <si>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</si>
  <si>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</si>
  <si>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</si>
  <si>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</si>
  <si>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</si>
  <si>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</si>
  <si>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</si>
  <si>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</si>
  <si>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</si>
  <si>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</si>
  <si>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</si>
  <si>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</si>
  <si>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</si>
  <si>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</si>
  <si>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</si>
  <si>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</si>
  <si>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</si>
  <si>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</si>
  <si>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</si>
  <si>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</si>
  <si>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</si>
  <si>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</si>
  <si>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</si>
  <si>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</si>
  <si>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</si>
  <si>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</si>
  <si>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</si>
  <si>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</si>
  <si>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</si>
  <si>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</si>
  <si>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</si>
  <si>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</si>
  <si>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</si>
  <si>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</si>
  <si>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</si>
  <si>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</si>
  <si>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</si>
  <si>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</si>
  <si>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</si>
  <si>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</si>
  <si>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</si>
  <si>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</si>
  <si>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</si>
  <si>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</si>
  <si>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</si>
  <si>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</si>
  <si>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</si>
  <si>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</si>
  <si>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</si>
  <si>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</si>
  <si>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</si>
  <si>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</si>
  <si>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</si>
  <si>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</si>
  <si>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</si>
  <si>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</si>
  <si>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</si>
  <si>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</si>
  <si>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</si>
  <si>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</si>
  <si>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</si>
  <si>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</si>
  <si>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</si>
  <si>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</si>
  <si>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</si>
  <si>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</si>
  <si>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</si>
  <si>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</si>
  <si>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</si>
  <si>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</si>
  <si>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</si>
  <si>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</si>
  <si>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</si>
  <si>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</si>
  <si>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</si>
  <si>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</si>
  <si>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</si>
  <si>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</si>
  <si>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</si>
  <si>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</si>
  <si>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</si>
  <si>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</si>
  <si>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</si>
  <si>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</si>
  <si>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</si>
  <si>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</si>
  <si>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</si>
  <si>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</si>
  <si>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</si>
  <si>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</si>
  <si>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</si>
  <si>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</si>
  <si>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</si>
  <si>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</si>
  <si>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</si>
  <si>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</si>
  <si>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</si>
  <si>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</si>
  <si>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</si>
  <si>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</si>
  <si>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</si>
  <si>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</si>
  <si>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</si>
  <si>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</si>
  <si>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</si>
  <si>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</si>
  <si>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</si>
  <si>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</si>
  <si>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</si>
  <si>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</si>
  <si>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</si>
  <si>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</si>
  <si>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</si>
  <si>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</si>
  <si>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</si>
  <si>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</si>
  <si>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</si>
  <si>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</si>
  <si>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</si>
  <si>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</si>
  <si>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</si>
  <si>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</si>
  <si>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</si>
  <si>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</si>
  <si>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</si>
  <si>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</si>
  <si>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</si>
  <si>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</si>
  <si>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</si>
  <si>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</si>
  <si>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</si>
  <si>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</si>
  <si>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</si>
  <si>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</si>
  <si>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</si>
  <si>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</si>
  <si>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</si>
  <si>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</si>
  <si>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</si>
  <si>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</si>
  <si>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</si>
  <si>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</si>
  <si>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</si>
  <si>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</si>
  <si>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</si>
  <si>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</si>
  <si>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</si>
  <si>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</si>
  <si>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</si>
  <si>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</si>
  <si>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</si>
  <si>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</si>
  <si>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</si>
  <si>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</si>
  <si>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</si>
  <si>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</si>
  <si>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</si>
  <si>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</si>
  <si>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</si>
  <si>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</si>
  <si>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</si>
  <si>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</si>
  <si>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</si>
  <si>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</si>
  <si>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</si>
  <si>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</si>
  <si>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</si>
  <si>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</si>
  <si>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</si>
  <si>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</si>
  <si>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</si>
  <si>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</si>
  <si>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</si>
  <si>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</si>
  <si>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</si>
  <si>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</si>
  <si>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</si>
  <si>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</si>
  <si>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</si>
  <si>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</si>
  <si>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</si>
  <si>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</si>
  <si>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</si>
  <si>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</si>
  <si>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</si>
  <si>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</si>
  <si>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</si>
  <si>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</si>
  <si>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</si>
  <si>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</si>
  <si>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</si>
  <si>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</si>
  <si>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</si>
  <si>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</si>
  <si>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</si>
  <si>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</si>
  <si>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</si>
  <si>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</si>
  <si>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</si>
  <si>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</si>
  <si>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</si>
  <si>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</si>
  <si>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</si>
  <si>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</si>
  <si>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</si>
  <si>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</si>
  <si>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</si>
  <si>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</si>
  <si>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</si>
  <si>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</si>
  <si>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</si>
  <si>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</si>
  <si>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</si>
  <si>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</si>
  <si>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</si>
  <si>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</si>
  <si>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</si>
  <si>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</si>
  <si>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</si>
  <si>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</si>
  <si>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</si>
  <si>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</si>
  <si>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</si>
  <si>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</si>
  <si>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</si>
  <si>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</si>
  <si>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</si>
  <si>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</si>
  <si>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</si>
  <si>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</si>
  <si>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</si>
  <si>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</si>
  <si>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</si>
  <si>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</si>
  <si>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</si>
  <si>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</si>
  <si>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</si>
  <si>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</si>
  <si>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</si>
  <si>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</si>
  <si>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</si>
  <si>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</si>
  <si>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</si>
  <si>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</si>
  <si>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</si>
  <si>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</si>
  <si>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</si>
  <si>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</si>
  <si>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</si>
  <si>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</si>
  <si>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</si>
  <si>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</si>
  <si>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</si>
  <si>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</si>
  <si>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</si>
  <si>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</si>
  <si>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</si>
  <si>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</si>
  <si>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</si>
  <si>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</si>
  <si>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</si>
  <si>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</si>
  <si>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</si>
  <si>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</si>
  <si>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</si>
  <si>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</si>
  <si>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</si>
  <si>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</si>
  <si>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</si>
  <si>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</si>
  <si>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</si>
  <si>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</si>
  <si>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</si>
  <si>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</si>
  <si>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</si>
  <si>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</si>
  <si>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</si>
  <si>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</si>
  <si>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</si>
  <si>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</si>
  <si>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</si>
  <si>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</si>
  <si>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</si>
  <si>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</si>
  <si>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</si>
  <si>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</si>
  <si>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</si>
  <si>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</si>
  <si>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</si>
  <si>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</si>
  <si>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</si>
  <si>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</si>
  <si>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</si>
  <si>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</si>
  <si>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</si>
  <si>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</si>
  <si>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</si>
  <si>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</si>
  <si>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</si>
  <si>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</si>
  <si>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</si>
  <si>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</si>
  <si>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</si>
  <si>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</si>
  <si>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</si>
  <si>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</si>
  <si>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</si>
  <si>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</si>
  <si>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</si>
  <si>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</si>
  <si>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</si>
  <si>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</si>
  <si>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</si>
  <si>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</si>
  <si>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</si>
  <si>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</si>
  <si>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</si>
  <si>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</si>
  <si>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</si>
  <si>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</si>
  <si>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</si>
  <si>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</si>
  <si>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</si>
  <si>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</si>
  <si>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</si>
  <si>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</si>
  <si>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</si>
  <si>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</si>
  <si>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</si>
  <si>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</si>
  <si>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</si>
  <si>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</si>
  <si>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</si>
  <si>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</si>
  <si>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</si>
  <si>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</si>
  <si>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</si>
  <si>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</si>
  <si>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</si>
  <si>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</si>
  <si>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</si>
  <si>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</si>
  <si>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</si>
  <si>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</si>
  <si>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</si>
  <si>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</si>
  <si>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</si>
  <si>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</si>
  <si>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</si>
  <si>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</si>
  <si>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</si>
  <si>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</si>
  <si>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</si>
  <si>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</si>
  <si>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</si>
  <si>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</si>
  <si>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</si>
  <si>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</si>
  <si>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</si>
  <si>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</si>
  <si>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</si>
  <si>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</si>
  <si>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</si>
  <si>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</si>
  <si>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</si>
  <si>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</si>
  <si>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</si>
  <si>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</si>
  <si>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</si>
  <si>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</si>
  <si>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</si>
  <si>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</si>
  <si>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</si>
  <si>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</si>
  <si>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</si>
  <si>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</si>
  <si>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</si>
  <si>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</si>
  <si>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</si>
  <si>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</si>
  <si>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</si>
  <si>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</si>
  <si>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</si>
  <si>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</si>
  <si>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</si>
  <si>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</si>
  <si>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</si>
  <si>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</si>
  <si>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</si>
  <si>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</si>
  <si>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</si>
  <si>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</si>
  <si>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</si>
  <si>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</si>
  <si>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</si>
  <si>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</si>
  <si>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</si>
  <si>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</si>
  <si>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</si>
  <si>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</si>
  <si>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</si>
  <si>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</si>
  <si>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</si>
  <si>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</si>
  <si>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</si>
  <si>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</si>
  <si>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</si>
  <si>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</si>
  <si>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</si>
  <si>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</si>
  <si>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</si>
  <si>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</si>
  <si>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</si>
  <si>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</si>
  <si>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</si>
  <si>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</si>
  <si>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</si>
  <si>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</si>
  <si>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</si>
  <si>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</si>
  <si>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</si>
  <si>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</si>
  <si>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</si>
  <si>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</si>
  <si>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</si>
  <si>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</si>
  <si>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</si>
  <si>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</si>
  <si>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</si>
  <si>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</si>
  <si>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</si>
  <si>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</si>
  <si>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</si>
  <si>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</si>
  <si>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</si>
  <si>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</si>
  <si>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</si>
  <si>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</si>
  <si>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</si>
  <si>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</si>
  <si>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</si>
  <si>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</si>
  <si>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</si>
  <si>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</si>
  <si>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</si>
  <si>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</si>
  <si>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</si>
  <si>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</si>
  <si>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</si>
  <si>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</si>
  <si>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</si>
  <si>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</si>
  <si>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</si>
  <si>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</si>
  <si>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</si>
  <si>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</si>
  <si>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</si>
  <si>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</si>
  <si>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</si>
  <si>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</si>
  <si>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</si>
  <si>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</si>
  <si>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</si>
  <si>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</si>
  <si>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</si>
  <si>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</si>
  <si>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</si>
  <si>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</si>
  <si>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</si>
  <si>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</si>
  <si>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</si>
  <si>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</si>
  <si>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</si>
  <si>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</si>
  <si>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</si>
  <si>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</si>
  <si>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</si>
  <si>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</si>
  <si>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</si>
  <si>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</si>
  <si>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</si>
  <si>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</si>
  <si>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</si>
  <si>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</si>
  <si>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</si>
  <si>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</si>
  <si>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</si>
  <si>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</si>
  <si>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</si>
  <si>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</si>
  <si>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</si>
  <si>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</si>
  <si>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</si>
  <si>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</si>
  <si>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</si>
  <si>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</si>
  <si>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</si>
  <si>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</si>
  <si>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</si>
  <si>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</si>
  <si>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</si>
  <si>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</si>
  <si>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</si>
  <si>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</si>
  <si>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</si>
  <si>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</si>
  <si>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</si>
  <si>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</si>
  <si>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</si>
  <si>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</si>
  <si>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</si>
  <si>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</si>
  <si>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</si>
  <si>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</si>
  <si>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</si>
  <si>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</si>
  <si>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</si>
  <si>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</si>
  <si>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</si>
  <si>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</si>
  <si>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</si>
  <si>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</si>
  <si>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</si>
  <si>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</si>
  <si>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</si>
  <si>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</si>
  <si>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</si>
  <si>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</si>
  <si>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</si>
  <si>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</si>
  <si>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</si>
  <si>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</si>
  <si>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</si>
  <si>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</si>
  <si>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</si>
  <si>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</si>
  <si>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</si>
  <si>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</si>
  <si>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</si>
  <si>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</si>
  <si>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</si>
  <si>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</si>
  <si>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</si>
  <si>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</si>
  <si>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</si>
  <si>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</si>
  <si>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</si>
  <si>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</si>
  <si>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</si>
  <si>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</si>
  <si>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</si>
  <si>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</si>
  <si>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</si>
  <si>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</si>
  <si>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</si>
  <si>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</si>
  <si>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</si>
  <si>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</si>
  <si>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</si>
  <si>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</si>
  <si>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</si>
  <si>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</si>
  <si>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</si>
  <si>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</si>
  <si>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</si>
  <si>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</si>
  <si>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</si>
  <si>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</si>
  <si>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</si>
  <si>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</si>
  <si>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</si>
  <si>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</si>
  <si>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</si>
  <si>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</si>
  <si>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</si>
  <si>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</si>
  <si>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</si>
  <si>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</si>
  <si>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</si>
  <si>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</si>
  <si>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</si>
  <si>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</si>
  <si>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</si>
  <si>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</si>
  <si>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</si>
  <si>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</si>
  <si>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</si>
  <si>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</si>
  <si>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</si>
  <si>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</si>
  <si>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</si>
  <si>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</si>
  <si>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</si>
  <si>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</si>
  <si>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</si>
  <si>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</si>
  <si>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</si>
  <si>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</si>
  <si>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</si>
  <si>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</si>
  <si>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</si>
  <si>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</si>
  <si>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</si>
  <si>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</si>
  <si>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</si>
  <si>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</si>
  <si>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</si>
  <si>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</si>
  <si>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</si>
  <si>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</si>
  <si>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</si>
  <si>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</si>
  <si>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</si>
  <si>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</si>
  <si>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</si>
  <si>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</si>
  <si>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</si>
  <si>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</si>
  <si>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</si>
  <si>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</si>
  <si>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</si>
  <si>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</si>
  <si>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</si>
  <si>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</si>
  <si>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</si>
  <si>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</si>
  <si>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</si>
  <si>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</si>
  <si>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</si>
  <si>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</si>
  <si>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</si>
  <si>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</si>
  <si>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</si>
  <si>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</si>
  <si>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</si>
  <si>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</si>
  <si>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</si>
  <si>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</si>
  <si>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</si>
  <si>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</si>
  <si>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</si>
  <si>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</si>
  <si>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</si>
  <si>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</si>
  <si>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</si>
  <si>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</si>
  <si>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</si>
  <si>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</si>
  <si>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</si>
  <si>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</si>
  <si>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</si>
  <si>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</si>
  <si>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</si>
  <si>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</si>
  <si>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</si>
  <si>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</si>
  <si>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</si>
  <si>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</si>
  <si>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</si>
  <si>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</si>
  <si>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</si>
  <si>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</si>
  <si>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</si>
  <si>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</si>
  <si>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</si>
  <si>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</si>
  <si>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</si>
  <si>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</si>
  <si>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</si>
  <si>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</si>
  <si>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</si>
  <si>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</si>
  <si>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</si>
  <si>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</si>
  <si>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</si>
  <si>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</si>
  <si>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</si>
  <si>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</si>
  <si>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</si>
  <si>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</si>
  <si>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</si>
  <si>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</si>
  <si>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</si>
  <si>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</si>
  <si>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</si>
  <si>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</si>
  <si>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</si>
  <si>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</si>
  <si>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</si>
  <si>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</si>
  <si>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</si>
  <si>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</si>
  <si>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</si>
  <si>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</si>
  <si>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</si>
  <si>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</si>
  <si>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</si>
  <si>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</si>
  <si>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</si>
  <si>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</si>
  <si>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</si>
  <si>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</si>
  <si>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</si>
  <si>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</si>
  <si>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</si>
  <si>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</si>
  <si>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</si>
  <si>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</si>
  <si>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</si>
  <si>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</si>
  <si>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</si>
  <si>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</si>
  <si>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</si>
  <si>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</si>
  <si>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</si>
  <si>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</si>
  <si>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</si>
  <si>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</si>
  <si>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</si>
  <si>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</si>
  <si>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</si>
  <si>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</si>
  <si>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</si>
  <si>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</si>
  <si>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</si>
  <si>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</si>
  <si>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</si>
  <si>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</si>
  <si>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</si>
  <si>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</si>
  <si>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</si>
  <si>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</si>
  <si>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</si>
  <si>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</si>
  <si>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</si>
  <si>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</si>
  <si>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</si>
  <si>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</si>
  <si>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</si>
  <si>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</si>
  <si>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</si>
  <si>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</si>
  <si>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</si>
  <si>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</si>
  <si>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</si>
  <si>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</si>
  <si>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</si>
  <si>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</si>
  <si>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</si>
  <si>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</si>
  <si>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</si>
  <si>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</si>
  <si>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</si>
  <si>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</si>
  <si>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</si>
  <si>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</si>
  <si>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</si>
  <si>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</si>
  <si>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</si>
  <si>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</si>
  <si>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</si>
  <si>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</si>
  <si>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</si>
  <si>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</si>
  <si>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</si>
  <si>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</si>
  <si>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</si>
  <si>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</si>
  <si>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</si>
  <si>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</si>
  <si>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</si>
  <si>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</si>
  <si>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</si>
  <si>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</si>
  <si>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</si>
  <si>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</si>
  <si>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</si>
  <si>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</si>
  <si>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</si>
  <si>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</si>
  <si>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</si>
  <si>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</si>
  <si>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</si>
  <si>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</si>
  <si>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</si>
  <si>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</si>
  <si>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</si>
  <si>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</si>
  <si>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</si>
  <si>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</si>
  <si>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</si>
  <si>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</si>
  <si>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</si>
  <si>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</si>
  <si>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</si>
  <si>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</si>
  <si>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</si>
  <si>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</si>
  <si>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</si>
  <si>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</si>
  <si>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</si>
  <si>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</si>
  <si>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</si>
  <si>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</si>
  <si>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</si>
  <si>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</si>
  <si>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</si>
  <si>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</si>
  <si>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</si>
  <si>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</si>
  <si>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</si>
  <si>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</si>
  <si>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</si>
  <si>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</si>
  <si>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</si>
  <si>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</si>
  <si>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</si>
  <si>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</si>
  <si>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</si>
  <si>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</si>
  <si>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</si>
  <si>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</si>
  <si>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</si>
  <si>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</si>
  <si>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</si>
  <si>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</si>
  <si>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</si>
  <si>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</si>
  <si>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</si>
  <si>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</si>
  <si>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</si>
  <si>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</si>
  <si>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</si>
  <si>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</si>
  <si>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</si>
  <si>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</si>
  <si>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</si>
  <si>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</si>
  <si>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</si>
  <si>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</si>
  <si>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</si>
  <si>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</si>
  <si>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</si>
  <si>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</si>
  <si>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</si>
  <si>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</si>
  <si>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</si>
  <si>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</si>
  <si>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</si>
  <si>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</si>
  <si>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</si>
  <si>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</si>
  <si>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</si>
  <si>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</si>
  <si>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</si>
  <si>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</si>
  <si>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</si>
  <si>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</si>
  <si>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</si>
  <si>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</si>
  <si>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</si>
  <si>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</si>
  <si>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</si>
  <si>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</si>
  <si>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</si>
  <si>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</si>
  <si>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</si>
  <si>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</si>
  <si>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</si>
  <si>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</si>
  <si>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</si>
  <si>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</si>
  <si>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</si>
  <si>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</si>
  <si>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</si>
  <si>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</si>
  <si>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</si>
  <si>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</si>
  <si>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</si>
  <si>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</si>
  <si>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</si>
  <si>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</si>
  <si>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</si>
  <si>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</si>
  <si>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</si>
  <si>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</si>
  <si>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</si>
  <si>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</si>
  <si>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</si>
  <si>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</si>
  <si>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</si>
  <si>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</si>
  <si>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</si>
  <si>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</si>
  <si>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</si>
  <si>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</si>
  <si>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</si>
  <si>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</si>
  <si>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</si>
  <si>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</si>
  <si>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</si>
  <si>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</si>
  <si>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</si>
  <si>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</si>
  <si>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</si>
  <si>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</si>
  <si>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</si>
  <si>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</si>
  <si>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</si>
  <si>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</si>
  <si>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</si>
  <si>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</si>
  <si>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</si>
  <si>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</si>
  <si>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</si>
  <si>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</si>
  <si>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</si>
  <si>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</si>
  <si>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</si>
  <si>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</si>
  <si>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</si>
  <si>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</si>
  <si>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</si>
  <si>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</si>
  <si>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</si>
  <si>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</si>
  <si>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</si>
  <si>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</si>
  <si>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</si>
  <si>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</si>
  <si>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</si>
  <si>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</si>
  <si>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</si>
  <si>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</si>
  <si>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</si>
  <si>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</si>
  <si>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</si>
  <si>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</si>
  <si>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</si>
  <si>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</si>
  <si>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</si>
  <si>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</si>
  <si>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</si>
  <si>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</si>
  <si>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</si>
  <si>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</si>
  <si>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</si>
  <si>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</si>
  <si>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</si>
  <si>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</si>
  <si>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</si>
  <si>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</si>
  <si>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</si>
  <si>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</si>
  <si>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</si>
  <si>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</si>
  <si>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</si>
  <si>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</si>
  <si>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</si>
  <si>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</si>
  <si>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</si>
  <si>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</si>
  <si>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</si>
  <si>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</si>
  <si>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</si>
  <si>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</si>
  <si>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</si>
  <si>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</si>
  <si>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</si>
  <si>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</si>
  <si>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</si>
  <si>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</si>
  <si>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</si>
  <si>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</si>
  <si>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</si>
  <si>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</si>
  <si>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</si>
  <si>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</si>
  <si>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</si>
  <si>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</si>
  <si>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</si>
  <si>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</si>
  <si>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</si>
  <si>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</si>
  <si>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</si>
  <si>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</si>
  <si>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</si>
  <si>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</si>
  <si>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</si>
  <si>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</si>
  <si>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</si>
  <si>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</si>
  <si>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</si>
  <si>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</si>
  <si>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</si>
  <si>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</si>
  <si>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</si>
  <si>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</si>
  <si>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</si>
  <si>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</si>
  <si>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</si>
  <si>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</si>
  <si>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</si>
  <si>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</si>
  <si>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</si>
  <si>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</si>
  <si>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</si>
  <si>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</si>
  <si>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</si>
  <si>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</si>
  <si>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</si>
  <si>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</si>
  <si>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</si>
  <si>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</si>
  <si>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</si>
  <si>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</si>
  <si>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</si>
  <si>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</si>
  <si>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</si>
  <si>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</si>
  <si>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</si>
  <si>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</si>
  <si>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</si>
  <si>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</si>
  <si>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</si>
  <si>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</si>
  <si>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</si>
  <si>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</si>
  <si>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</si>
  <si>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</si>
  <si>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</si>
  <si>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</si>
  <si>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</si>
  <si>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</si>
  <si>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</si>
  <si>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</si>
  <si>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</si>
  <si>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</si>
  <si>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</si>
  <si>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</si>
  <si>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</si>
  <si>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</si>
  <si>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</si>
  <si>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</si>
  <si>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</si>
  <si>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</si>
  <si>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</si>
  <si>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</si>
  <si>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</si>
  <si>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</si>
  <si>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</si>
  <si>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</si>
  <si>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</si>
  <si>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</si>
  <si>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</si>
  <si>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</si>
  <si>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</si>
  <si>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</si>
  <si>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</si>
  <si>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</si>
  <si>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</si>
  <si>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</si>
  <si>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</si>
  <si>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</si>
  <si>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</si>
  <si>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</si>
  <si>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</si>
  <si>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</si>
  <si>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</si>
  <si>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</si>
  <si>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</si>
  <si>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</si>
  <si>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</si>
  <si>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</si>
  <si>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</si>
  <si>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</si>
  <si>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</si>
  <si>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</si>
  <si>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</si>
  <si>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</si>
  <si>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</si>
  <si>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</si>
  <si>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</si>
  <si>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</si>
  <si>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</si>
  <si>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</si>
  <si>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</si>
  <si>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</si>
  <si>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</si>
  <si>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</si>
  <si>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</si>
  <si>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</si>
  <si>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</si>
  <si>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</si>
  <si>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</si>
  <si>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</si>
  <si>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</si>
  <si>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</si>
  <si>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</si>
  <si>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</si>
  <si>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</si>
  <si>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</si>
  <si>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</si>
  <si>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</si>
  <si>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</si>
  <si>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</si>
  <si>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</si>
  <si>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</si>
  <si>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</si>
  <si>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</si>
  <si>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</si>
  <si>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</si>
  <si>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</si>
  <si>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</si>
  <si>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</si>
  <si>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</si>
  <si>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</si>
  <si>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</si>
  <si>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</si>
  <si>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</si>
  <si>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</si>
  <si>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</si>
  <si>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</si>
  <si>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</si>
  <si>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</si>
  <si>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</si>
  <si>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</si>
  <si>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</si>
  <si>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</si>
  <si>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</si>
  <si>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</si>
  <si>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</si>
  <si>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</si>
  <si>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</si>
  <si>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</si>
  <si>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</si>
  <si>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</si>
  <si>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</si>
  <si>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</si>
  <si>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</si>
  <si>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</si>
  <si>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</si>
  <si>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</si>
  <si>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</si>
  <si>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</si>
  <si>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</si>
  <si>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</si>
  <si>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</si>
  <si>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</si>
  <si>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</si>
  <si>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</si>
  <si>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</si>
  <si>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</si>
  <si>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</si>
  <si>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</si>
  <si>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</si>
  <si>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</si>
  <si>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</si>
  <si>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</si>
  <si>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</si>
  <si>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</si>
  <si>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</si>
  <si>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</si>
  <si>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</si>
  <si>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</si>
  <si>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</si>
  <si>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</si>
  <si>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</si>
  <si>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</si>
  <si>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</si>
  <si>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</si>
  <si>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</si>
  <si>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</si>
  <si>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</si>
  <si>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</si>
  <si>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</si>
  <si>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</si>
  <si>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</si>
  <si>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</si>
  <si>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</si>
  <si>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</si>
  <si>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</si>
  <si>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</si>
  <si>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</si>
  <si>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</si>
  <si>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</si>
  <si>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</si>
  <si>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</si>
  <si>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</si>
  <si>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</si>
  <si>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</si>
  <si>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</si>
  <si>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</si>
  <si>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</si>
  <si>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</si>
  <si>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</si>
  <si>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</si>
  <si>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</si>
  <si>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</si>
  <si>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</si>
  <si>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</si>
  <si>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</si>
  <si>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</si>
  <si>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</si>
  <si>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</si>
  <si>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</si>
  <si>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</si>
  <si>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</si>
  <si>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</si>
  <si>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</si>
  <si>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</si>
  <si>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</si>
  <si>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</si>
  <si>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</si>
  <si>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</si>
  <si>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</si>
  <si>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</si>
  <si>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</si>
  <si>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</si>
  <si>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</si>
  <si>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</si>
  <si>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</si>
  <si>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</si>
  <si>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</si>
  <si>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</si>
  <si>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</si>
  <si>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</si>
  <si>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</si>
  <si>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</si>
  <si>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</si>
  <si>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</si>
  <si>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</si>
  <si>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</si>
  <si>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</si>
  <si>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</si>
  <si>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</si>
  <si>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</si>
  <si>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</si>
  <si>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</si>
  <si>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</si>
  <si>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</si>
  <si>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</si>
  <si>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</si>
  <si>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</si>
  <si>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</si>
  <si>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</si>
  <si>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</si>
  <si>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</si>
  <si>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</si>
  <si>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</si>
  <si>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</si>
  <si>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</si>
  <si>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</si>
  <si>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</si>
  <si>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</si>
  <si>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</si>
  <si>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</si>
  <si>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</si>
  <si>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</si>
  <si>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</si>
  <si>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</si>
  <si>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</si>
  <si>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</si>
  <si>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</si>
  <si>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</si>
  <si>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</si>
  <si>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</si>
  <si>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</si>
  <si>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</si>
  <si>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</si>
  <si>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</si>
  <si>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</si>
  <si>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</si>
  <si>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</si>
  <si>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</si>
  <si>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</si>
  <si>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</si>
  <si>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</si>
  <si>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</si>
  <si>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</si>
  <si>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</si>
  <si>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</si>
  <si>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</si>
  <si>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</si>
  <si>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</si>
  <si>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</si>
  <si>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</si>
  <si>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</si>
  <si>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</si>
  <si>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</si>
  <si>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</si>
  <si>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</si>
  <si>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</si>
  <si>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</si>
  <si>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</si>
  <si>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</si>
  <si>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</si>
  <si>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</si>
  <si>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</si>
  <si>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</si>
  <si>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</si>
  <si>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</si>
  <si>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</si>
  <si>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</si>
  <si>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</si>
  <si>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</si>
  <si>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</si>
  <si>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</si>
  <si>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</si>
  <si>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</si>
  <si>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</si>
  <si>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</si>
  <si>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</si>
  <si>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</si>
  <si>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</si>
  <si>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</si>
  <si>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</si>
  <si>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</si>
  <si>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</si>
  <si>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</si>
  <si>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</si>
  <si>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</si>
  <si>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</si>
  <si>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</si>
  <si>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</si>
  <si>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</si>
  <si>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</si>
  <si>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</si>
  <si>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</si>
  <si>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</si>
  <si>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</si>
  <si>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</si>
  <si>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</si>
  <si>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</si>
  <si>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</si>
  <si>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</si>
  <si>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</si>
  <si>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</si>
  <si>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</si>
  <si>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</si>
  <si>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</si>
  <si>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</si>
  <si>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</si>
  <si>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</si>
  <si>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</si>
  <si>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</si>
  <si>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</si>
  <si>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</si>
  <si>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</si>
  <si>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</si>
  <si>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</si>
  <si>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</si>
  <si>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</si>
  <si>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</si>
  <si>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</si>
  <si>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</si>
  <si>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</si>
  <si>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</si>
  <si>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</si>
  <si>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</si>
  <si>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</si>
  <si>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</si>
  <si>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</si>
  <si>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</si>
  <si>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</si>
  <si>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</si>
  <si>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</si>
  <si>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</si>
  <si>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</si>
  <si>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</si>
  <si>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</si>
  <si>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</si>
  <si>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</si>
  <si>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</si>
  <si>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</si>
  <si>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</si>
  <si>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</si>
  <si>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</si>
  <si>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</si>
  <si>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</si>
  <si>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</si>
  <si>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</si>
  <si>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</si>
  <si>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</si>
  <si>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</si>
  <si>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</si>
  <si>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</si>
  <si>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</si>
  <si>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</si>
  <si>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</si>
  <si>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</si>
  <si>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</si>
  <si>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</si>
  <si>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</si>
  <si>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</si>
  <si>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</si>
  <si>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</si>
  <si>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</si>
  <si>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</si>
  <si>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</si>
  <si>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</si>
  <si>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</si>
  <si>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</si>
  <si>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</si>
  <si>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</si>
  <si>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</si>
  <si>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</si>
  <si>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</si>
  <si>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</si>
  <si>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</si>
  <si>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</si>
  <si>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</si>
  <si>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</si>
  <si>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</si>
  <si>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</si>
  <si>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</si>
  <si>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</si>
  <si>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</si>
  <si>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</si>
  <si>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</si>
  <si>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</si>
  <si>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</si>
  <si>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</si>
  <si>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</si>
  <si>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</si>
  <si>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</si>
  <si>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</si>
  <si>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</si>
  <si>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</si>
  <si>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</si>
  <si>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</si>
  <si>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</si>
  <si>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</si>
  <si>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</si>
  <si>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</si>
  <si>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</si>
  <si>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</si>
  <si>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</si>
  <si>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</si>
  <si>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</si>
  <si>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</si>
  <si>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</si>
  <si>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</si>
  <si>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</si>
  <si>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</si>
  <si>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</si>
  <si>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</si>
  <si>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</si>
  <si>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</si>
  <si>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</si>
  <si>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</si>
  <si>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</si>
  <si>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</si>
  <si>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</si>
  <si>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</si>
  <si>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</si>
  <si>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</si>
  <si>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</si>
  <si>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</si>
  <si>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</si>
  <si>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</si>
  <si>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</si>
  <si>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</si>
  <si>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</si>
  <si>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</si>
  <si>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</si>
  <si>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</si>
  <si>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</si>
  <si>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</si>
  <si>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</si>
  <si>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</si>
  <si>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</si>
  <si>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</si>
  <si>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</si>
  <si>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</si>
  <si>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</si>
  <si>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</si>
  <si>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</si>
  <si>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</si>
  <si>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</si>
  <si>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</si>
  <si>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</si>
  <si>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</si>
  <si>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</si>
  <si>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</si>
  <si>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</si>
  <si>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</si>
  <si>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</si>
  <si>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</si>
  <si>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</si>
  <si>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</si>
  <si>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</si>
  <si>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</si>
  <si>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</si>
  <si>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</si>
  <si>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</si>
  <si>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</si>
  <si>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</si>
  <si>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</si>
  <si>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</si>
  <si>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</si>
  <si>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</si>
  <si>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</si>
  <si>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</si>
  <si>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</si>
  <si>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</si>
  <si>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</si>
  <si>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</si>
  <si>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</si>
  <si>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</si>
  <si>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</si>
  <si>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</si>
  <si>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</si>
  <si>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</si>
  <si>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</si>
  <si>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</si>
  <si>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</si>
  <si>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</si>
  <si>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</si>
  <si>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</si>
  <si>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</si>
  <si>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</si>
  <si>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</si>
  <si>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</si>
  <si>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</si>
  <si>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</si>
  <si>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</si>
  <si>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</si>
  <si>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</si>
  <si>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</si>
  <si>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</si>
  <si>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</si>
  <si>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</si>
  <si>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</si>
  <si>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</si>
  <si>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</si>
  <si>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</si>
  <si>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</si>
  <si>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</si>
  <si>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</si>
  <si>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</si>
  <si>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</si>
  <si>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</si>
  <si>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</si>
  <si>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</si>
  <si>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</si>
  <si>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</si>
  <si>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</si>
  <si>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</si>
  <si>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</si>
  <si>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</si>
  <si>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</si>
  <si>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</si>
  <si>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</si>
  <si>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</si>
  <si>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</si>
  <si>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</si>
  <si>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</si>
  <si>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</si>
  <si>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</si>
  <si>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</si>
  <si>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</si>
  <si>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</si>
  <si>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</si>
  <si>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</si>
  <si>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</si>
  <si>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</si>
  <si>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</si>
  <si>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</si>
  <si>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</si>
  <si>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</si>
  <si>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</si>
  <si>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</si>
  <si>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</si>
  <si>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</si>
  <si>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</si>
  <si>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</si>
  <si>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</si>
  <si>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</si>
  <si>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</si>
  <si>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</si>
  <si>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</si>
  <si>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</si>
  <si>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</si>
  <si>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</si>
  <si>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</si>
  <si>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</si>
  <si>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</si>
  <si>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</si>
  <si>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</si>
  <si>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</si>
  <si>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</si>
  <si>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</si>
  <si>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</si>
  <si>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</si>
  <si>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</si>
  <si>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</si>
  <si>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</si>
  <si>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</si>
  <si>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</si>
  <si>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</si>
  <si>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</si>
  <si>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</si>
  <si>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</si>
  <si>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</si>
  <si>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</si>
  <si>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</si>
  <si>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</si>
  <si>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</si>
  <si>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</si>
  <si>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</si>
  <si>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</si>
  <si>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</si>
  <si>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</si>
  <si>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</si>
  <si>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</si>
  <si>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</si>
  <si>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</si>
  <si>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</si>
  <si>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</si>
  <si>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</si>
  <si>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</si>
  <si>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</si>
  <si>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</si>
  <si>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</si>
  <si>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</si>
  <si>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</si>
  <si>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</si>
  <si>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</si>
  <si>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</si>
  <si>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</si>
  <si>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</si>
  <si>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</si>
  <si>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</si>
  <si>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</si>
  <si>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</si>
  <si>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</si>
  <si>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</si>
  <si>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</si>
  <si>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</si>
  <si>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</si>
  <si>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</si>
  <si>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</si>
  <si>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</si>
  <si>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</si>
  <si>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</si>
  <si>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</si>
  <si>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</si>
  <si>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</si>
  <si>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</si>
  <si>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</si>
  <si>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</si>
  <si>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</si>
  <si>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</si>
  <si>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</si>
  <si>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</si>
  <si>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</si>
  <si>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</si>
  <si>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</si>
  <si>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</si>
  <si>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</si>
  <si>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</si>
  <si>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</si>
  <si>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</si>
  <si>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</si>
  <si>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</si>
  <si>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</si>
  <si>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</si>
  <si>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</si>
  <si>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</si>
  <si>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</si>
  <si>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</si>
  <si>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</si>
  <si>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</si>
  <si>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</si>
  <si>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</si>
  <si>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</si>
  <si>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</si>
  <si>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</si>
  <si>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</si>
  <si>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</si>
  <si>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</si>
  <si>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</si>
  <si>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</si>
  <si>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</si>
  <si>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</si>
  <si>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</si>
  <si>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</si>
  <si>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</si>
  <si>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</si>
  <si>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</si>
  <si>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</si>
  <si>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</si>
  <si>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</si>
  <si>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</si>
  <si>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</si>
  <si>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</si>
  <si>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</si>
  <si>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</si>
  <si>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</si>
  <si>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</si>
  <si>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</si>
  <si>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</si>
  <si>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</si>
  <si>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</si>
  <si>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</si>
  <si>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</si>
  <si>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</si>
  <si>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</si>
  <si>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</si>
  <si>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</si>
  <si>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</si>
  <si>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</si>
  <si>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</si>
  <si>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</si>
  <si>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</si>
  <si>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</si>
  <si>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</si>
  <si>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</si>
  <si>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</si>
  <si>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</si>
  <si>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</si>
  <si>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</si>
  <si>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</si>
  <si>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</si>
  <si>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</si>
  <si>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</si>
  <si>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</si>
  <si>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</si>
  <si>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</si>
  <si>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</si>
  <si>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</si>
  <si>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</si>
  <si>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</si>
  <si>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</si>
  <si>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</si>
  <si>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</si>
  <si>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</si>
  <si>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</si>
  <si>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</si>
  <si>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</si>
  <si>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</si>
  <si>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</si>
  <si>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</si>
  <si>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</si>
  <si>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</si>
  <si>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</si>
  <si>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</si>
  <si>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</si>
  <si>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</si>
  <si>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</si>
  <si>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</si>
  <si>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</si>
  <si>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</si>
  <si>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</si>
  <si>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</si>
  <si>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</si>
  <si>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</si>
  <si>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</si>
  <si>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</si>
  <si>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</si>
  <si>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</si>
  <si>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</si>
  <si>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</si>
  <si>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</si>
  <si>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</si>
  <si>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</si>
  <si>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</si>
  <si>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</si>
  <si>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</si>
  <si>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</si>
  <si>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</si>
  <si>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</si>
  <si>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</si>
  <si>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</si>
  <si>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</si>
  <si>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</si>
  <si>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</si>
  <si>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</si>
  <si>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</si>
  <si>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</si>
  <si>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</si>
  <si>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</si>
  <si>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</si>
  <si>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</si>
  <si>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</si>
  <si>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</si>
  <si>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</si>
  <si>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</si>
  <si>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</si>
  <si>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</si>
  <si>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</si>
  <si>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</si>
  <si>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</si>
  <si>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</si>
  <si>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</si>
  <si>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</si>
  <si>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</si>
  <si>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</si>
  <si>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</si>
  <si>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</si>
  <si>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</si>
  <si>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</si>
  <si>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</si>
  <si>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</si>
  <si>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</si>
  <si>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</si>
  <si>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</si>
  <si>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</si>
  <si>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</si>
  <si>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</si>
  <si>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</si>
  <si>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</si>
  <si>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</si>
  <si>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</si>
  <si>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</si>
  <si>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</si>
  <si>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</si>
  <si>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</si>
  <si>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</si>
  <si>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</si>
  <si>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</si>
  <si>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</si>
  <si>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</si>
  <si>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</si>
  <si>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</si>
  <si>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</si>
  <si>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</si>
  <si>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</si>
  <si>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</si>
  <si>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</si>
  <si>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</si>
  <si>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</si>
  <si>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</si>
  <si>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</si>
  <si>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</si>
  <si>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</si>
  <si>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</si>
  <si>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</si>
  <si>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</si>
  <si>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</si>
  <si>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</si>
  <si>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</si>
  <si>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</si>
  <si>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</si>
  <si>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</si>
  <si>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</si>
  <si>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</si>
  <si>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</si>
  <si>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</si>
  <si>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</si>
  <si>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</si>
  <si>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</si>
  <si>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</si>
  <si>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</si>
  <si>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</si>
  <si>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</si>
  <si>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</si>
  <si>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</si>
  <si>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</si>
  <si>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</si>
  <si>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</si>
  <si>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</si>
  <si>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</si>
  <si>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</si>
  <si>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</si>
  <si>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</si>
  <si>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</si>
  <si>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</si>
  <si>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</si>
  <si>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</si>
  <si>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</si>
  <si>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</si>
  <si>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</si>
  <si>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</si>
  <si>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</si>
  <si>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</si>
  <si>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</si>
  <si>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</si>
  <si>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</si>
  <si>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</si>
  <si>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</si>
  <si>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</si>
  <si>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</si>
  <si>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</si>
  <si>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</si>
  <si>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</si>
  <si>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</si>
  <si>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</si>
  <si>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</si>
  <si>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</si>
  <si>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</si>
  <si>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</si>
  <si>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</si>
  <si>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</si>
  <si>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</si>
  <si>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</si>
  <si>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</si>
  <si>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</si>
  <si>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</si>
  <si>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</si>
  <si>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</si>
  <si>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</si>
  <si>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</si>
  <si>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</si>
  <si>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</si>
  <si>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</si>
  <si>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</si>
  <si>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</si>
  <si>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</si>
  <si>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</si>
  <si>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</si>
  <si>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</si>
  <si>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</si>
  <si>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</si>
  <si>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</si>
  <si>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</si>
  <si>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</si>
  <si>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</si>
  <si>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</si>
  <si>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</si>
  <si>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</si>
  <si>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</si>
  <si>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</si>
  <si>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</si>
  <si>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</si>
  <si>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</si>
  <si>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</si>
  <si>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</si>
  <si>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</si>
  <si>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</si>
  <si>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</si>
  <si>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</si>
  <si>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</si>
  <si>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</si>
  <si>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</si>
  <si>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</si>
  <si>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</si>
  <si>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</si>
  <si>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</si>
  <si>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</si>
  <si>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</si>
  <si>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</si>
  <si>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</si>
  <si>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</si>
  <si>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</si>
  <si>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</si>
  <si>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</si>
  <si>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</si>
  <si>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</si>
  <si>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</si>
  <si>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</si>
  <si>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</si>
  <si>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</si>
  <si>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</si>
  <si>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</si>
  <si>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</si>
  <si>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</si>
  <si>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</si>
  <si>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</si>
  <si>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</si>
  <si>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</si>
  <si>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</si>
  <si>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</si>
  <si>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</si>
  <si>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</si>
  <si>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</si>
  <si>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</si>
  <si>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</si>
  <si>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</si>
  <si>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</si>
  <si>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</si>
  <si>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</si>
  <si>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</si>
  <si>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</si>
  <si>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</si>
  <si>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</si>
  <si>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</si>
  <si>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</si>
  <si>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</si>
  <si>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</si>
  <si>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</si>
  <si>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</si>
  <si>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</si>
  <si>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</si>
  <si>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</si>
  <si>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</si>
  <si>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</si>
  <si>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</si>
  <si>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</si>
  <si>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</si>
  <si>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</si>
  <si>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</si>
  <si>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</si>
  <si>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</si>
  <si>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</si>
  <si>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</si>
  <si>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</si>
  <si>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</si>
  <si>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</si>
  <si>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</si>
  <si>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</si>
  <si>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</si>
  <si>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</si>
  <si>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</si>
  <si>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</si>
  <si>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</si>
  <si>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</si>
  <si>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</si>
  <si>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</si>
  <si>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</si>
  <si>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</si>
  <si>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</si>
  <si>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</si>
  <si>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</si>
  <si>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</si>
  <si>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</si>
  <si>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</si>
  <si>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</si>
  <si>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</si>
  <si>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</si>
  <si>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</si>
  <si>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</si>
  <si>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</si>
  <si>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</si>
  <si>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</si>
  <si>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</si>
  <si>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</si>
  <si>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</si>
  <si>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</si>
  <si>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</si>
  <si>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</si>
  <si>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</si>
  <si>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</si>
  <si>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</si>
  <si>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</si>
  <si>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</si>
  <si>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</si>
  <si>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</si>
  <si>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</si>
  <si>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</si>
  <si>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</si>
  <si>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</si>
  <si>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</si>
  <si>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</si>
  <si>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</si>
  <si>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</si>
  <si>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</si>
  <si>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</si>
  <si>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</si>
  <si>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</si>
  <si>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</si>
  <si>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</si>
  <si>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</si>
  <si>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</si>
  <si>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</si>
  <si>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</si>
  <si>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</si>
  <si>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</si>
  <si>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</si>
  <si>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</si>
  <si>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</si>
  <si>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</si>
  <si>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</si>
  <si>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</si>
  <si>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</si>
  <si>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</si>
  <si>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</si>
  <si>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</si>
  <si>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</si>
  <si>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</si>
  <si>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</si>
  <si>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</si>
  <si>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</si>
  <si>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</si>
  <si>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</si>
  <si>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</si>
  <si>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</si>
  <si>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</si>
  <si>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</si>
  <si>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</si>
  <si>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</si>
  <si>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</si>
  <si>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</si>
  <si>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</si>
  <si>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</si>
  <si>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</si>
  <si>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</si>
  <si>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</si>
  <si>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</si>
  <si>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</si>
  <si>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</si>
  <si>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</si>
  <si>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</si>
  <si>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</si>
  <si>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</si>
  <si>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</si>
  <si>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</si>
  <si>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</si>
  <si>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</si>
  <si>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</si>
  <si>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</si>
  <si>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</si>
  <si>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</si>
  <si>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</si>
  <si>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</si>
  <si>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</si>
  <si>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</si>
  <si>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</si>
  <si>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</si>
  <si>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</si>
  <si>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</si>
  <si>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</si>
  <si>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</si>
  <si>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</si>
  <si>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</si>
  <si>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</si>
  <si>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</si>
  <si>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</si>
  <si>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</si>
  <si>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</si>
  <si>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</si>
  <si>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</si>
  <si>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</si>
  <si>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</si>
  <si>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</si>
  <si>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</si>
  <si>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</si>
  <si>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</si>
  <si>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</si>
  <si>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</si>
  <si>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</si>
  <si>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</si>
  <si>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</si>
  <si>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</si>
  <si>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</si>
  <si>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</si>
  <si>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</si>
  <si>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</si>
  <si>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</si>
  <si>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</si>
  <si>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</si>
  <si>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</si>
  <si>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</si>
  <si>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</si>
  <si>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</si>
  <si>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</si>
  <si>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</si>
  <si>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</si>
  <si>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</si>
  <si>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</si>
  <si>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</si>
  <si>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</si>
  <si>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</si>
  <si>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</si>
  <si>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</si>
  <si>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</si>
  <si>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</si>
  <si>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</si>
  <si>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</si>
  <si>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</si>
  <si>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</si>
  <si>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</si>
  <si>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</si>
  <si>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</si>
  <si>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</si>
  <si>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</si>
  <si>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</si>
  <si>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</si>
  <si>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</si>
  <si>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</si>
  <si>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</si>
  <si>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</si>
  <si>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</si>
  <si>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</si>
  <si>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</si>
  <si>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</si>
  <si>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</si>
  <si>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</si>
  <si>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</si>
  <si>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</si>
  <si>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</si>
  <si>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</si>
  <si>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</si>
  <si>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</si>
  <si>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</si>
  <si>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</si>
  <si>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</si>
  <si>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</si>
  <si>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</si>
  <si>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</si>
  <si>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</si>
  <si>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</si>
  <si>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</si>
  <si>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</si>
  <si>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</si>
  <si>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</si>
  <si>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</si>
  <si>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</si>
  <si>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</si>
  <si>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</si>
  <si>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</si>
  <si>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</si>
  <si>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</si>
  <si>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</si>
  <si>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</si>
  <si>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</si>
  <si>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</si>
  <si>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</si>
  <si>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</si>
  <si>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</si>
  <si>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</si>
  <si>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</si>
  <si>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</si>
  <si>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</si>
  <si>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</si>
  <si>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</si>
  <si>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</si>
  <si>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</si>
  <si>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</si>
  <si>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</si>
  <si>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</si>
  <si>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</si>
  <si>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</si>
  <si>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</si>
  <si>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</si>
  <si>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</si>
  <si>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</si>
  <si>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</si>
  <si>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</si>
  <si>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</si>
  <si>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</si>
  <si>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</si>
  <si>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</si>
  <si>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</si>
  <si>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</si>
  <si>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</si>
  <si>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</si>
  <si>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</si>
  <si>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</si>
  <si>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</si>
  <si>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</si>
  <si>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</si>
  <si>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</si>
  <si>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</si>
  <si>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</si>
  <si>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</si>
  <si>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</si>
  <si>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</si>
  <si>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</si>
  <si>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</si>
  <si>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</si>
  <si>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</si>
  <si>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</si>
  <si>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</si>
  <si>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</si>
  <si>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</si>
  <si>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</si>
  <si>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</si>
  <si>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</si>
  <si>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</si>
  <si>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</si>
  <si>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</si>
  <si>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</si>
  <si>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</si>
  <si>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</si>
  <si>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</si>
  <si>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</si>
  <si>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</si>
  <si>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</si>
  <si>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</si>
  <si>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</si>
  <si>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</si>
  <si>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</si>
  <si>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</si>
  <si>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</si>
  <si>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</si>
  <si>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</si>
  <si>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</si>
  <si>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</si>
  <si>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</si>
  <si>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</si>
  <si>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</si>
  <si>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</si>
  <si>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</si>
  <si>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</si>
  <si>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</si>
  <si>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</si>
  <si>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</si>
  <si>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</si>
  <si>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</si>
  <si>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</si>
  <si>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</si>
  <si>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</si>
  <si>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</si>
  <si>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</si>
  <si>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</si>
  <si>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</si>
  <si>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</si>
  <si>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</si>
  <si>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</si>
  <si>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</si>
  <si>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</si>
  <si>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</si>
  <si>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</si>
  <si>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</si>
  <si>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</si>
  <si>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</si>
  <si>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</si>
  <si>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</si>
  <si>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</si>
  <si>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</si>
  <si>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</si>
  <si>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</si>
  <si>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</si>
  <si>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</si>
  <si>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</si>
  <si>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</si>
  <si>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</si>
  <si>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</si>
  <si>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</si>
  <si>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</si>
  <si>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</si>
  <si>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</si>
  <si>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</si>
  <si>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</si>
  <si>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</si>
  <si>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</si>
  <si>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</si>
  <si>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</si>
  <si>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</si>
  <si>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</si>
  <si>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</si>
  <si>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</si>
  <si>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</si>
  <si>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</si>
  <si>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</si>
  <si>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</si>
  <si>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</si>
  <si>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</si>
  <si>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</si>
  <si>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</si>
  <si>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</si>
  <si>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</si>
  <si>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</si>
  <si>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</si>
  <si>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</si>
  <si>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</si>
  <si>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</si>
  <si>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</si>
  <si>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</si>
  <si>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</si>
  <si>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</si>
  <si>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</si>
  <si>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</si>
  <si>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</si>
  <si>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</si>
  <si>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</si>
  <si>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</si>
  <si>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</si>
  <si>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</si>
  <si>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</si>
  <si>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</si>
  <si>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</si>
  <si>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</si>
  <si>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</si>
  <si>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</si>
  <si>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</si>
  <si>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</si>
  <si>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</si>
  <si>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</si>
  <si>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</si>
  <si>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</si>
  <si>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</si>
  <si>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</si>
  <si>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</si>
  <si>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</si>
  <si>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</si>
  <si>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</si>
  <si>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</si>
  <si>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</si>
  <si>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</si>
  <si>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</si>
  <si>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</si>
  <si>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</si>
  <si>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</si>
  <si>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</si>
  <si>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</si>
  <si>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</si>
  <si>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</si>
  <si>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</si>
  <si>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</si>
  <si>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</si>
  <si>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</si>
  <si>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</si>
  <si>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</si>
  <si>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</si>
  <si>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</si>
  <si>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</si>
  <si>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</si>
  <si>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</si>
  <si>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</si>
  <si>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</si>
  <si>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</si>
  <si>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</si>
  <si>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</si>
  <si>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</si>
  <si>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</si>
  <si>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</si>
  <si>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</si>
  <si>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</si>
  <si>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</si>
  <si>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</si>
  <si>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</si>
  <si>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</si>
  <si>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</si>
  <si>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</si>
  <si>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</si>
  <si>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</si>
  <si>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</si>
  <si>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</si>
  <si>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</si>
  <si>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</si>
  <si>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</si>
  <si>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</si>
  <si>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</si>
  <si>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</si>
  <si>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</si>
  <si>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</si>
  <si>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</si>
  <si>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</si>
  <si>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</si>
  <si>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</si>
  <si>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</si>
  <si>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</si>
  <si>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</si>
  <si>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</si>
  <si>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</si>
  <si>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</si>
  <si>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</si>
  <si>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</si>
  <si>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</si>
  <si>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</si>
  <si>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</si>
  <si>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</si>
  <si>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</si>
  <si>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</si>
  <si>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</si>
  <si>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</si>
  <si>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</si>
  <si>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</si>
  <si>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</si>
  <si>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</si>
  <si>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</si>
  <si>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</si>
  <si>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</si>
  <si>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</si>
  <si>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</si>
  <si>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</si>
  <si>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</si>
  <si>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</si>
  <si>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</si>
  <si>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</si>
  <si>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</si>
  <si>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</si>
  <si>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</si>
  <si>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</si>
  <si>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</si>
  <si>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</si>
  <si>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</si>
  <si>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</si>
  <si>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</si>
  <si>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</si>
  <si>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</si>
  <si>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</si>
  <si>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</si>
  <si>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</si>
  <si>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</si>
  <si>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</si>
  <si>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</si>
  <si>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</si>
  <si>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</si>
  <si>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</si>
  <si>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</si>
  <si>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</si>
  <si>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</si>
  <si>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</si>
  <si>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</si>
  <si>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</si>
  <si>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</si>
  <si>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</si>
  <si>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</si>
  <si>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</si>
  <si>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</si>
  <si>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</si>
  <si>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</si>
  <si>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</si>
  <si>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</si>
  <si>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</si>
  <si>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</si>
  <si>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</si>
  <si>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</si>
  <si>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</si>
  <si>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</si>
  <si>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</si>
  <si>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</si>
  <si>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</si>
  <si>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</si>
  <si>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</si>
  <si>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</si>
  <si>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</si>
  <si>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</si>
  <si>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</si>
  <si>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</si>
  <si>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</si>
  <si>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</si>
  <si>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</si>
  <si>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</si>
  <si>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</si>
  <si>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</si>
  <si>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</si>
  <si>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</si>
  <si>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</si>
  <si>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</si>
  <si>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</si>
  <si>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</si>
  <si>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</si>
  <si>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</si>
  <si>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</si>
  <si>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</si>
  <si>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</si>
  <si>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</si>
  <si>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</si>
  <si>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</si>
  <si>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</si>
  <si>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</si>
  <si>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</si>
  <si>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</si>
  <si>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</si>
  <si>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</si>
  <si>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</si>
  <si>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</si>
  <si>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</si>
  <si>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</si>
  <si>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</si>
  <si>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</si>
  <si>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</si>
  <si>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</si>
  <si>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</si>
  <si>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</si>
  <si>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</si>
  <si>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</si>
  <si>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</si>
  <si>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</si>
  <si>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</si>
  <si>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</si>
  <si>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</si>
  <si>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</si>
  <si>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</si>
  <si>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</si>
  <si>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</si>
  <si>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</si>
  <si>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</si>
  <si>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</si>
  <si>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</si>
  <si>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</si>
  <si>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</si>
  <si>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</si>
  <si>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</si>
  <si>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</si>
  <si>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</si>
  <si>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</si>
  <si>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</si>
  <si>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</si>
  <si>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</si>
  <si>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</si>
  <si>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</si>
  <si>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</si>
  <si>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</si>
  <si>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</si>
  <si>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</si>
  <si>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</si>
  <si>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</si>
  <si>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</si>
  <si>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</si>
  <si>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</si>
  <si>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</si>
  <si>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</si>
  <si>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</si>
  <si>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</si>
  <si>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</si>
  <si>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</si>
  <si>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</si>
  <si>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</si>
  <si>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</si>
  <si>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</si>
  <si>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</si>
  <si>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</si>
  <si>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</si>
  <si>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</si>
  <si>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</si>
  <si>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</si>
  <si>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</si>
  <si>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</si>
  <si>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</si>
  <si>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</si>
  <si>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</si>
  <si>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</si>
  <si>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</si>
  <si>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</si>
  <si>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</si>
  <si>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</si>
  <si>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</si>
  <si>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</si>
  <si>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</si>
  <si>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</si>
  <si>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</si>
  <si>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</si>
  <si>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</si>
  <si>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</si>
  <si>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</si>
  <si>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</si>
  <si>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</si>
  <si>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</si>
  <si>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</si>
  <si>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</si>
  <si>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</si>
  <si>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</si>
  <si>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</si>
  <si>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</si>
  <si>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</si>
  <si>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</si>
  <si>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</si>
  <si>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</si>
  <si>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</si>
  <si>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</si>
  <si>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</si>
  <si>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</si>
  <si>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</si>
  <si>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</si>
  <si>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</si>
  <si>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</si>
  <si>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</si>
  <si>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</si>
  <si>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</si>
  <si>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</si>
  <si>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</si>
  <si>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</si>
  <si>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</si>
  <si>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</si>
  <si>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</si>
  <si>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</si>
  <si>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</si>
  <si>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</si>
  <si>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</si>
  <si>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</si>
  <si>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</si>
  <si>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</si>
  <si>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</si>
  <si>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</si>
  <si>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</si>
  <si>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</si>
  <si>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</si>
  <si>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</si>
  <si>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</si>
  <si>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</si>
  <si>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</si>
  <si>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</si>
  <si>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</si>
  <si>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</si>
  <si>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</si>
  <si>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</si>
  <si>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</si>
  <si>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</si>
  <si>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</si>
  <si>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</si>
  <si>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</si>
  <si>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</si>
  <si>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</si>
  <si>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</si>
  <si>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</si>
  <si>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</si>
  <si>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</si>
  <si>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</si>
  <si>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</si>
  <si>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</si>
  <si>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</si>
  <si>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</si>
  <si>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</si>
  <si>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</si>
  <si>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</si>
  <si>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</si>
  <si>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</si>
  <si>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</si>
  <si>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</si>
  <si>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</si>
  <si>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</si>
  <si>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</si>
  <si>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</si>
  <si>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</si>
  <si>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</si>
  <si>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</si>
  <si>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</si>
  <si>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</si>
  <si>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</si>
  <si>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</si>
  <si>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</si>
  <si>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</si>
  <si>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</si>
  <si>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</si>
  <si>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</si>
  <si>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</si>
  <si>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</si>
  <si>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</si>
  <si>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</si>
  <si>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</si>
  <si>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</si>
  <si>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</si>
  <si>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</si>
  <si>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</si>
  <si>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</si>
  <si>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</si>
  <si>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</si>
  <si>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</si>
  <si>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</si>
  <si>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</si>
  <si>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</si>
  <si>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</si>
  <si>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</si>
  <si>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</si>
  <si>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</si>
  <si>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</si>
  <si>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</si>
  <si>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</si>
  <si>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</si>
  <si>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</si>
  <si>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</si>
  <si>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</si>
  <si>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</si>
  <si>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</si>
  <si>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</si>
  <si>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</si>
  <si>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</si>
  <si>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</si>
  <si>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</si>
  <si>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</si>
  <si>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</si>
  <si>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</si>
  <si>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</si>
  <si>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</si>
  <si>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</si>
  <si>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</si>
  <si>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</si>
  <si>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</si>
  <si>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</si>
  <si>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</si>
  <si>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</si>
  <si>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</si>
  <si>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</si>
  <si>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</si>
  <si>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</si>
  <si>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</si>
  <si>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</si>
  <si>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</si>
  <si>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</si>
  <si>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</si>
  <si>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</si>
  <si>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</si>
  <si>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</si>
  <si>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</si>
  <si>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</si>
  <si>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</si>
  <si>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</si>
  <si>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</si>
  <si>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</si>
  <si>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</si>
  <si>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</si>
  <si>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</si>
  <si>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</si>
  <si>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</si>
  <si>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</si>
  <si>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</si>
  <si>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</si>
  <si>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</si>
  <si>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</si>
  <si>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</si>
  <si>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</si>
  <si>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</si>
  <si>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</si>
  <si>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</si>
  <si>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</si>
  <si>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</si>
  <si>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</si>
  <si>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</si>
  <si>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</si>
  <si>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</si>
  <si>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</si>
  <si>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</si>
  <si>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</si>
  <si>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</si>
  <si>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</si>
  <si>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</si>
  <si>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</si>
  <si>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</si>
  <si>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</si>
  <si>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</si>
  <si>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</si>
  <si>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</si>
  <si>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</si>
  <si>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</si>
  <si>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</si>
  <si>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</si>
  <si>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</si>
  <si>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</si>
  <si>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</si>
  <si>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</si>
  <si>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</si>
  <si>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</si>
  <si>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</si>
  <si>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</si>
  <si>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</si>
  <si>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</si>
  <si>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</si>
  <si>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</si>
  <si>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</si>
  <si>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</si>
  <si>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</si>
  <si>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</si>
  <si>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</si>
  <si>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</si>
  <si>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</si>
  <si>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</si>
  <si>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</si>
  <si>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</si>
  <si>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</si>
  <si>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</si>
  <si>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</si>
  <si>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</si>
  <si>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</si>
  <si>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</si>
  <si>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</si>
  <si>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</si>
  <si>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</si>
  <si>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</si>
  <si>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</si>
  <si>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</si>
  <si>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</si>
  <si>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</si>
  <si>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</si>
  <si>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</si>
  <si>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</si>
  <si>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</si>
  <si>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</si>
  <si>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</si>
  <si>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</si>
  <si>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</si>
  <si>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</si>
  <si>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</si>
  <si>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</si>
  <si>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</si>
  <si>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</si>
  <si>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</si>
  <si>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</si>
  <si>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</si>
  <si>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</si>
  <si>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</si>
  <si>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</si>
  <si>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</si>
  <si>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</si>
  <si>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</si>
  <si>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</si>
  <si>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</si>
  <si>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</si>
  <si>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</si>
  <si>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</si>
  <si>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</si>
  <si>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</si>
  <si>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</si>
  <si>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</si>
  <si>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</si>
  <si>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</si>
  <si>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</si>
  <si>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</si>
  <si>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</si>
  <si>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</si>
  <si>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</si>
  <si>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</si>
  <si>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</si>
  <si>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</si>
  <si>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</si>
  <si>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</si>
  <si>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</si>
  <si>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</si>
  <si>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</si>
  <si>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</si>
  <si>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</si>
  <si>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</si>
  <si>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</si>
  <si>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</si>
  <si>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</si>
  <si>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</si>
  <si>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</si>
  <si>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</si>
  <si>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</si>
  <si>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</si>
  <si>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</si>
  <si>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</si>
  <si>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</si>
  <si>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</si>
  <si>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</si>
  <si>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</si>
  <si>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</si>
  <si>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</si>
  <si>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</si>
  <si>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</si>
  <si>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</si>
  <si>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</si>
  <si>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</si>
  <si>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</si>
  <si>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</si>
  <si>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</si>
  <si>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</si>
  <si>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</si>
  <si>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</si>
  <si>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</si>
  <si>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</si>
  <si>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</si>
  <si>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</si>
  <si>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</si>
  <si>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</si>
  <si>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</si>
  <si>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</si>
  <si>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</si>
  <si>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</si>
  <si>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</si>
  <si>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</si>
  <si>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</si>
  <si>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</si>
  <si>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</si>
  <si>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</si>
  <si>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</si>
  <si>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</si>
  <si>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</si>
  <si>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</si>
  <si>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</si>
  <si>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</si>
  <si>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</si>
  <si>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</si>
  <si>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</si>
  <si>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</si>
  <si>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</si>
  <si>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</si>
  <si>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</si>
  <si>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</si>
  <si>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</si>
  <si>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</si>
  <si>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</si>
  <si>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</si>
  <si>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</si>
  <si>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</si>
  <si>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</si>
  <si>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</si>
  <si>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</si>
  <si>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</si>
  <si>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</si>
  <si>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</si>
  <si>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</si>
  <si>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</si>
  <si>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</si>
  <si>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</si>
  <si>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</si>
  <si>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</si>
  <si>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</si>
  <si>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</si>
  <si>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</si>
  <si>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</si>
  <si>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</si>
  <si>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</si>
  <si>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</si>
  <si>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</si>
  <si>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</si>
  <si>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</si>
  <si>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</si>
  <si>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</si>
  <si>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</si>
  <si>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</si>
  <si>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</si>
  <si>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</si>
  <si>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</si>
  <si>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</si>
  <si>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</si>
  <si>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</si>
  <si>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</si>
  <si>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</si>
  <si>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</si>
  <si>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</si>
  <si>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</si>
  <si>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</si>
  <si>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</si>
  <si>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</si>
  <si>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</si>
  <si>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</si>
  <si>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</si>
  <si>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</si>
  <si>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</si>
  <si>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</si>
  <si>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</si>
  <si>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</si>
  <si>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</si>
  <si>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</si>
  <si>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</si>
  <si>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</si>
  <si>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</si>
  <si>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</si>
  <si>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</si>
  <si>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</si>
  <si>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</si>
  <si>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</si>
  <si>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</si>
  <si>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</si>
  <si>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</si>
  <si>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</si>
  <si>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</si>
  <si>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</si>
  <si>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</si>
  <si>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</si>
  <si>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</si>
  <si>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</si>
  <si>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</si>
  <si>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</si>
  <si>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</si>
  <si>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</si>
  <si>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</si>
  <si>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</si>
  <si>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</si>
  <si>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</si>
  <si>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</si>
  <si>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</si>
  <si>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</si>
  <si>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</si>
  <si>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</si>
  <si>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</si>
  <si>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</si>
  <si>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</si>
  <si>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</si>
  <si>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</si>
  <si>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</si>
  <si>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</si>
  <si>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</si>
  <si>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</si>
  <si>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</si>
  <si>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</si>
  <si>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</si>
  <si>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</si>
  <si>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</si>
  <si>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</si>
  <si>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</si>
  <si>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</si>
  <si>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</si>
  <si>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</si>
  <si>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</si>
  <si>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</si>
  <si>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</si>
  <si>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</si>
  <si>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</si>
  <si>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</si>
  <si>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</si>
  <si>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</si>
  <si>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</si>
  <si>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</si>
  <si>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</si>
  <si>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</si>
  <si>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</si>
  <si>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</si>
  <si>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</si>
  <si>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</si>
  <si>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</si>
  <si>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</si>
  <si>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</si>
  <si>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</si>
  <si>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</si>
  <si>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</si>
  <si>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</si>
  <si>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</si>
  <si>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</si>
  <si>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</si>
  <si>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</si>
  <si>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</si>
  <si>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</si>
  <si>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</si>
  <si>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</si>
  <si>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</si>
  <si>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</si>
  <si>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</si>
  <si>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</si>
  <si>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</si>
  <si>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</si>
  <si>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</si>
  <si>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</si>
  <si>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</si>
  <si>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</si>
  <si>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</si>
  <si>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</si>
  <si>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</si>
  <si>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</si>
  <si>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</si>
  <si>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</si>
  <si>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</si>
  <si>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</si>
  <si>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</si>
  <si>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</si>
  <si>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</si>
  <si>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</si>
  <si>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</si>
  <si>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</si>
  <si>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</si>
  <si>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</si>
  <si>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</si>
  <si>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</si>
  <si>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</si>
  <si>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</si>
  <si>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</si>
  <si>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</si>
  <si>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</si>
  <si>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</si>
  <si>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</si>
  <si>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</si>
  <si>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</si>
  <si>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</si>
  <si>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</si>
  <si>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</si>
  <si>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</si>
  <si>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</si>
  <si>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</si>
  <si>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</si>
  <si>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</si>
  <si>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</si>
  <si>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</si>
  <si>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</si>
  <si>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</si>
  <si>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</si>
  <si>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</si>
  <si>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</si>
  <si>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</si>
  <si>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</si>
  <si>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</si>
  <si>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</si>
  <si>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</si>
  <si>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</si>
  <si>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</si>
  <si>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</si>
  <si>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</si>
  <si>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</si>
  <si>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</si>
  <si>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</si>
  <si>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</si>
  <si>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</si>
  <si>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</si>
  <si>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</si>
  <si>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</si>
  <si>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</si>
  <si>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</si>
  <si>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</si>
  <si>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</si>
  <si>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</si>
  <si>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</si>
  <si>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</si>
  <si>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</si>
  <si>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</si>
  <si>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</si>
  <si>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</si>
  <si>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</si>
  <si>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</si>
  <si>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</si>
  <si>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</si>
  <si>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</si>
  <si>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</si>
  <si>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</si>
  <si>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</si>
  <si>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</si>
  <si>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</si>
  <si>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</si>
  <si>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</si>
  <si>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</si>
  <si>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</si>
  <si>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</si>
  <si>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</si>
  <si>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</si>
  <si>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</si>
  <si>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</si>
  <si>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</si>
  <si>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</si>
  <si>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</si>
  <si>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</si>
  <si>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</si>
  <si>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</si>
  <si>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</si>
  <si>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</si>
  <si>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</si>
  <si>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</si>
  <si>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</si>
  <si>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</si>
  <si>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</si>
  <si>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</si>
  <si>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</si>
  <si>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</si>
  <si>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</si>
  <si>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</si>
  <si>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</si>
  <si>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</si>
  <si>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</si>
  <si>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</si>
  <si>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</si>
  <si>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</si>
  <si>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</si>
  <si>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</si>
  <si>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</si>
  <si>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</si>
  <si>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</si>
  <si>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</si>
  <si>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</si>
  <si>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</si>
  <si>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</si>
  <si>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</si>
  <si>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</si>
  <si>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</si>
  <si>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</si>
  <si>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</si>
  <si>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</si>
  <si>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</si>
  <si>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</si>
  <si>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</si>
  <si>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</si>
  <si>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</si>
  <si>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</si>
  <si>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</si>
  <si>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</si>
  <si>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</si>
  <si>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</si>
  <si>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</si>
  <si>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</si>
  <si>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</si>
  <si>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</si>
  <si>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</si>
  <si>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</si>
  <si>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</si>
  <si>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</si>
  <si>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</si>
  <si>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</si>
  <si>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</si>
  <si>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</si>
  <si>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</si>
  <si>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</si>
  <si>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</si>
  <si>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</si>
  <si>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</si>
  <si>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</si>
  <si>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</si>
  <si>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</si>
  <si>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</si>
  <si>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</si>
  <si>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</si>
  <si>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</si>
  <si>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</si>
  <si>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</si>
  <si>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</si>
  <si>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</si>
  <si>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</si>
  <si>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</si>
  <si>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</si>
  <si>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</si>
  <si>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</si>
  <si>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</si>
  <si>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</si>
  <si>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</si>
  <si>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</si>
  <si>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</si>
  <si>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</si>
  <si>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</si>
  <si>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</si>
  <si>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</si>
  <si>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</si>
  <si>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</si>
  <si>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</si>
  <si>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</si>
  <si>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</si>
  <si>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</si>
  <si>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</si>
  <si>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</si>
  <si>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</si>
  <si>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</si>
  <si>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</si>
  <si>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</si>
  <si>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</si>
  <si>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</si>
  <si>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</si>
  <si>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</si>
  <si>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</si>
  <si>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</si>
  <si>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</si>
  <si>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</si>
  <si>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</si>
  <si>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</si>
  <si>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</si>
  <si>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</si>
  <si>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</si>
  <si>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</si>
  <si>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</si>
  <si>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</si>
  <si>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</si>
  <si>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</si>
  <si>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</si>
  <si>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</si>
  <si>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</si>
  <si>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</si>
  <si>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</si>
  <si>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</si>
  <si>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</si>
  <si>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</si>
  <si>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</si>
  <si>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</si>
  <si>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</si>
  <si>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</si>
  <si>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</si>
  <si>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</si>
  <si>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</si>
  <si>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</si>
  <si>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</si>
  <si>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</si>
  <si>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</si>
  <si>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</si>
  <si>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</si>
  <si>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</si>
  <si>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</si>
  <si>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</si>
  <si>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</si>
  <si>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</si>
  <si>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</si>
  <si>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</si>
  <si>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</si>
  <si>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</si>
  <si>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</si>
  <si>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</si>
  <si>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</si>
  <si>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</si>
  <si>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</si>
  <si>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</si>
  <si>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</si>
  <si>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</si>
  <si>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</si>
  <si>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</si>
  <si>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</si>
  <si>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</si>
  <si>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</si>
  <si>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</si>
  <si>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</si>
  <si>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</si>
  <si>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</si>
  <si>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</si>
  <si>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</si>
  <si>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</si>
  <si>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</si>
  <si>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</si>
  <si>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</si>
  <si>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</si>
  <si>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</si>
  <si>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</si>
  <si>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</si>
  <si>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</si>
  <si>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</si>
  <si>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</si>
  <si>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</si>
  <si>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</si>
  <si>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</si>
  <si>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</si>
  <si>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</si>
  <si>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</si>
  <si>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</si>
  <si>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</si>
  <si>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</si>
  <si>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</si>
  <si>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</si>
  <si>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</si>
  <si>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</si>
  <si>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</si>
  <si>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</si>
  <si>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</si>
  <si>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</si>
  <si>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</si>
  <si>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</si>
  <si>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</si>
  <si>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</si>
  <si>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</si>
  <si>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</si>
  <si>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</si>
  <si>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</si>
  <si>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</si>
  <si>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</si>
  <si>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</si>
  <si>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</si>
  <si>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</si>
  <si>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</si>
  <si>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</si>
  <si>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</si>
  <si>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</si>
  <si>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</si>
  <si>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</si>
  <si>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</si>
  <si>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</si>
  <si>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</si>
  <si>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</si>
  <si>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</si>
  <si>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</si>
  <si>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</si>
  <si>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</si>
  <si>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</si>
  <si>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</si>
  <si>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</si>
  <si>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</si>
  <si>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</si>
  <si>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</si>
  <si>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</si>
  <si>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</si>
  <si>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</si>
  <si>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</si>
  <si>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</si>
  <si>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</si>
  <si>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</si>
  <si>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</si>
  <si>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</si>
  <si>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</si>
  <si>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</si>
  <si>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</si>
  <si>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</si>
  <si>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</si>
  <si>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</si>
  <si>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</si>
  <si>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</si>
  <si>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</si>
  <si>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</si>
  <si>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</si>
  <si>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</si>
  <si>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</si>
  <si>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</si>
  <si>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</si>
  <si>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</si>
  <si>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</si>
  <si>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</si>
  <si>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</si>
  <si>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</si>
  <si>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</si>
  <si>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</si>
  <si>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</si>
  <si>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</si>
  <si>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</si>
  <si>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</si>
  <si>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</si>
  <si>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</si>
  <si>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</si>
  <si>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</si>
  <si>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</si>
  <si>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</si>
  <si>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</si>
  <si>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</si>
  <si>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</si>
  <si>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</si>
  <si>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</si>
  <si>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</si>
  <si>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</si>
  <si>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</si>
  <si>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</si>
  <si>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</si>
  <si>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</si>
  <si>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</si>
  <si>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</si>
  <si>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</si>
  <si>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</si>
  <si>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</si>
  <si>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</si>
  <si>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</si>
  <si>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</si>
  <si>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</si>
  <si>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</si>
  <si>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</si>
  <si>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</si>
  <si>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</si>
  <si>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</si>
  <si>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</si>
  <si>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</si>
  <si>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</si>
  <si>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</si>
  <si>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</si>
  <si>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</si>
  <si>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</si>
  <si>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</si>
  <si>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</si>
  <si>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</si>
  <si>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</si>
  <si>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</si>
  <si>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</si>
  <si>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</si>
  <si>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</si>
  <si>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</si>
  <si>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</si>
  <si>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</si>
  <si>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</si>
  <si>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</si>
  <si>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</si>
  <si>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</si>
  <si>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</si>
  <si>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</si>
  <si>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</si>
  <si>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</si>
  <si>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</si>
  <si>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</si>
  <si>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</si>
  <si>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</si>
  <si>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</si>
  <si>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</si>
  <si>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</si>
  <si>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</si>
  <si>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</si>
  <si>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</si>
  <si>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</si>
  <si>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</si>
  <si>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</si>
  <si>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</si>
  <si>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</si>
  <si>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</si>
  <si>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</si>
  <si>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</si>
  <si>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</si>
  <si>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</si>
  <si>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</si>
  <si>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</si>
  <si>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</si>
  <si>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</si>
  <si>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</si>
  <si>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</si>
  <si>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</si>
  <si>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</si>
  <si>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</si>
  <si>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</si>
  <si>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</si>
  <si>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</si>
  <si>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</si>
  <si>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</si>
  <si>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</si>
  <si>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</si>
  <si>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</si>
  <si>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</si>
  <si>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</si>
  <si>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</si>
  <si>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</si>
  <si>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</si>
  <si>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</si>
  <si>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</si>
  <si>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</si>
  <si>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</si>
  <si>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</si>
  <si>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</si>
  <si>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</si>
  <si>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</si>
  <si>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</si>
  <si>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</si>
  <si>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</si>
  <si>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</si>
  <si>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</si>
  <si>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</si>
  <si>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</si>
  <si>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</si>
  <si>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</si>
  <si>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</si>
  <si>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</si>
  <si>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</si>
  <si>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</si>
  <si>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</si>
  <si>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</si>
  <si>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</si>
  <si>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</si>
  <si>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</si>
  <si>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</si>
  <si>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</si>
  <si>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</si>
  <si>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</si>
  <si>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</si>
  <si>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</si>
  <si>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</si>
  <si>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</si>
  <si>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</si>
  <si>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</si>
  <si>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</si>
  <si>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</si>
  <si>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</si>
  <si>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</si>
  <si>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</si>
  <si>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</si>
  <si>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</si>
  <si>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</si>
  <si>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</si>
  <si>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</si>
  <si>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</si>
  <si>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</si>
  <si>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</si>
  <si>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</si>
  <si>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</si>
  <si>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</si>
  <si>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</si>
  <si>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</si>
  <si>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</si>
  <si>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</si>
  <si>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</si>
  <si>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</si>
  <si>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</si>
  <si>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</si>
  <si>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</si>
  <si>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</si>
  <si>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</si>
  <si>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</si>
  <si>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</si>
  <si>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</si>
  <si>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</si>
  <si>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</si>
  <si>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</si>
  <si>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</si>
  <si>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</si>
  <si>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</si>
  <si>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</si>
  <si>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</si>
  <si>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</si>
  <si>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</si>
  <si>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</si>
  <si>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</si>
  <si>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</si>
  <si>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</si>
  <si>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</si>
  <si>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</si>
  <si>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</si>
  <si>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</si>
  <si>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</si>
  <si>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</si>
  <si>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</si>
  <si>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</si>
  <si>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</si>
  <si>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</si>
  <si>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</si>
  <si>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</si>
  <si>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</si>
  <si>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</si>
  <si>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</si>
  <si>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</si>
  <si>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</si>
  <si>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</si>
  <si>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</si>
  <si>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</si>
  <si>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</si>
  <si>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</si>
  <si>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</si>
  <si>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</si>
  <si>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</si>
  <si>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</si>
  <si>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</si>
  <si>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</si>
  <si>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</si>
  <si>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</si>
  <si>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</si>
  <si>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</si>
  <si>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</si>
  <si>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</si>
  <si>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</si>
  <si>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</si>
  <si>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</si>
  <si>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</si>
  <si>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</si>
  <si>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</si>
  <si>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</si>
  <si>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</si>
  <si>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</si>
  <si>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</si>
  <si>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</si>
  <si>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</si>
  <si>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</si>
  <si>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</si>
  <si>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</si>
  <si>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</si>
  <si>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</si>
  <si>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</si>
  <si>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</si>
  <si>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</si>
  <si>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#N/A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</si>
  <si>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</si>
  <si>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</si>
  <si>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</si>
  <si>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</si>
  <si>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</si>
  <si>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</si>
  <si>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</si>
  <si>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</si>
  <si>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</si>
  <si>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</si>
  <si>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</si>
  <si>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</si>
  <si>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</si>
  <si>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</si>
  <si>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</si>
  <si>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</si>
  <si>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</si>
  <si>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</si>
  <si>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</si>
  <si>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</si>
  <si>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</si>
  <si>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</si>
  <si>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</si>
  <si>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</si>
  <si>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</si>
  <si>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</si>
  <si>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</si>
  <si>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</si>
  <si>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</si>
  <si>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</si>
  <si>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</si>
  <si>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</si>
  <si>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</si>
  <si>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</si>
  <si>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</si>
  <si>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</si>
  <si>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</si>
  <si>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</si>
  <si>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</si>
  <si>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</si>
  <si>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</si>
  <si>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</si>
  <si>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</si>
  <si>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</si>
  <si>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</si>
  <si>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</si>
  <si>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</si>
  <si>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</si>
  <si>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</si>
  <si>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</si>
  <si>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</si>
  <si>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</si>
  <si>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</si>
  <si>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</si>
  <si>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</si>
  <si>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</si>
  <si>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</si>
  <si>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</si>
  <si>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</si>
  <si>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</si>
  <si>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</si>
  <si>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</si>
  <si>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</si>
  <si>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</si>
  <si>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</si>
  <si>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</si>
  <si>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</si>
  <si>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</si>
  <si>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</si>
  <si>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</si>
  <si>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</si>
  <si>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</si>
  <si>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</si>
  <si>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</si>
  <si>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</si>
  <si>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</si>
  <si>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</si>
  <si>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</si>
  <si>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</si>
  <si>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</si>
  <si>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</si>
  <si>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</si>
  <si>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</si>
  <si>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</si>
  <si>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</si>
  <si>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</si>
  <si>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</si>
  <si>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</si>
  <si>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</si>
  <si>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</si>
  <si>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</si>
  <si>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</si>
  <si>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</si>
  <si>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</si>
  <si>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</si>
  <si>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</si>
  <si>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</si>
  <si>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</si>
  <si>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</si>
  <si>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</si>
  <si>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</si>
  <si>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</si>
  <si>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</si>
  <si>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P000000425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</si>
  <si>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</si>
  <si>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</si>
  <si>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</si>
  <si>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</si>
  <si>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</si>
  <si>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</si>
  <si>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</si>
  <si>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</si>
  <si>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</si>
  <si>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</si>
  <si>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</si>
  <si>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</si>
  <si>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</si>
  <si>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</si>
  <si>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</si>
  <si>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</si>
  <si>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</si>
  <si>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</si>
  <si>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</si>
  <si>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</si>
  <si>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</si>
  <si>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</si>
  <si>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</si>
  <si>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</si>
  <si>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</si>
  <si>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</si>
  <si>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</si>
  <si>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</si>
  <si>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</si>
  <si>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</si>
  <si>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</si>
  <si>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</si>
  <si>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</si>
  <si>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</si>
  <si>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</si>
  <si>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</si>
  <si>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</si>
  <si>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</si>
  <si>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</si>
  <si>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</si>
  <si>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</si>
  <si>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</si>
  <si>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</si>
  <si>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</si>
  <si>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</si>
  <si>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</si>
  <si>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</si>
  <si>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</si>
  <si>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</si>
  <si>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</si>
  <si>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</si>
  <si>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</si>
  <si>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</si>
  <si>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</si>
  <si>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</si>
  <si>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</si>
  <si>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</si>
  <si>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</si>
  <si>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</si>
  <si>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</si>
  <si>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</si>
  <si>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</si>
  <si>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</si>
  <si>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</si>
  <si>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</si>
  <si>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</si>
  <si>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</si>
  <si>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</si>
  <si>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</si>
  <si>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</si>
  <si>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</si>
  <si>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</si>
  <si>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</si>
  <si>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</si>
  <si>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</si>
  <si>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</si>
  <si>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</si>
  <si>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</si>
  <si>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</si>
  <si>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</si>
  <si>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</si>
  <si>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</si>
  <si>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</si>
  <si>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</si>
  <si>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</si>
  <si>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</si>
  <si>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</si>
  <si>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</si>
  <si>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</si>
  <si>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</si>
  <si>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</si>
  <si>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</si>
  <si>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</si>
  <si>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</si>
  <si>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</si>
  <si>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</si>
  <si>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</si>
  <si>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</si>
  <si>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</si>
  <si>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</si>
  <si>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</si>
  <si>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</si>
  <si>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</si>
  <si>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</si>
  <si>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EMERAL_6403F2026890101</t>
  </si>
  <si>
    <t>EMERAL_6403G2026990108</t>
  </si>
  <si>
    <t>EMERAL_6403G2026990112</t>
  </si>
  <si>
    <t>EMERAL_6403G7013270509</t>
  </si>
  <si>
    <t>EMERAL_6403G7013270510</t>
  </si>
  <si>
    <t>EMERAL_6403G7013270512</t>
  </si>
  <si>
    <t>EMERAL_6403H2018040201</t>
  </si>
  <si>
    <t>EMERAL_6403H2026401801</t>
  </si>
  <si>
    <t>H000000714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</si>
  <si>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</si>
  <si>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</si>
  <si>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</si>
  <si>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</si>
  <si>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</si>
  <si>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</si>
  <si>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</si>
  <si>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</si>
  <si>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</si>
  <si>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</si>
  <si>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</si>
  <si>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</si>
  <si>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</si>
  <si>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</si>
  <si>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</si>
  <si>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</si>
  <si>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</si>
  <si>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</si>
  <si>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</si>
  <si>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</si>
  <si>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</si>
  <si>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CLFF_7210$$$2102L80001 MFG ERP BPO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</si>
  <si>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</si>
  <si>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</si>
  <si>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</si>
  <si>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</si>
  <si>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</si>
  <si>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</si>
  <si>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</si>
  <si>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</si>
  <si>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</si>
  <si>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</si>
  <si>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</si>
  <si>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</si>
  <si>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</si>
  <si>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</si>
  <si>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</si>
  <si>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</si>
  <si>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</si>
  <si>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</si>
  <si>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</si>
  <si>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</si>
  <si>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</si>
  <si>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</si>
  <si>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</si>
  <si>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</si>
  <si>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</si>
  <si>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</si>
  <si>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</si>
  <si>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</si>
  <si>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</si>
  <si>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CORAERP_MMOR1975.9977 BMS &amp; Business Partnering LS - HO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</si>
  <si>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</si>
  <si>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</si>
  <si>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</si>
  <si>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</si>
  <si>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</si>
  <si>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</si>
  <si>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</si>
  <si>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</si>
  <si>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</si>
  <si>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</si>
  <si>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</si>
  <si>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</si>
  <si>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</si>
  <si>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</si>
  <si>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</si>
  <si>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</si>
  <si>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</si>
  <si>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</si>
  <si>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</si>
  <si>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</si>
  <si>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</si>
  <si>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</si>
  <si>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</si>
  <si>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</si>
  <si>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</si>
  <si>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</si>
  <si>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</si>
  <si>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</si>
  <si>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</si>
  <si>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</si>
  <si>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</si>
  <si>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</si>
  <si>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</si>
  <si>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</si>
  <si>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</si>
  <si>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</si>
  <si>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</si>
  <si>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</si>
  <si>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</si>
  <si>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</si>
  <si>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</si>
  <si>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</si>
  <si>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</si>
  <si>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</si>
  <si>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</si>
  <si>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</si>
  <si>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</si>
  <si>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</si>
  <si>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</si>
  <si>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</si>
  <si>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</si>
  <si>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</si>
  <si>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</si>
  <si>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</si>
  <si>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</si>
  <si>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</si>
  <si>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</si>
  <si>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</si>
  <si>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</si>
  <si>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</si>
  <si>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RP000006    000000 DssRev RtrftStckr 5%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</si>
  <si>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</si>
  <si>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</si>
  <si>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</si>
  <si>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</si>
  <si>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RP000012    000000 DssKr Rev Gk Anlzr N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</si>
  <si>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</si>
  <si>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</si>
  <si>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</si>
  <si>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</si>
  <si>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</si>
  <si>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</si>
  <si>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</si>
  <si>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</si>
  <si>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</si>
  <si>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</si>
  <si>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</si>
  <si>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</si>
  <si>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</si>
  <si>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</si>
  <si>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</si>
  <si>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 xml:space="preserve">P000001108 </t>
  </si>
  <si>
    <t>P000001423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</si>
</sst>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7.23311238426" createdVersion="7" refreshedVersion="7" minRefreshableVersion="3" recordCount="5762" xr:uid="{11839AE3-6158-4318-87AD-2C711D0BF451}">
  <cacheSource type="worksheet">
    <worksheetSource name="Proc"/>
  </cacheSource>
  <cacheFields count="19">
    <cacheField name="App" numFmtId="0">
      <sharedItems containsBlank="1" count="168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2-04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9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6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9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6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6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6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6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6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6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6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6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6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6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6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6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6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6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6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6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6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6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6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6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6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6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6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6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6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6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6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6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6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6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6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6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6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6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6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6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6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6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6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6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6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6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6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6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6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6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5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5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5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5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5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5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5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5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5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5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5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5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5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5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5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5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5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5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5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5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5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5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4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4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4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4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4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4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4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4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4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4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3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3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3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3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3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3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1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1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1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1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1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0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9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9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9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9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9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9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9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9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9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9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9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9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9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9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9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9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9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9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9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9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8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8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8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8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8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8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8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8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8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8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8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8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8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8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8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8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8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8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8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8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7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7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7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7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6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6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6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6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6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6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6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6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6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6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6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6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6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6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6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6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6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6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5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5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5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5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5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5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5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5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5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5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5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5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5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5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5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5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5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5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5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5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5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5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5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5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5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5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5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5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5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5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5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4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4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4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4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4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4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4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4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4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4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4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4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4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4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4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4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4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4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4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4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4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4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4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4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4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4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4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4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4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4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4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4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4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4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4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4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4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4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4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4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3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3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3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3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3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3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3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3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3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3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3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3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3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3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3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3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3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3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3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3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3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3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3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3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3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3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3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3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3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3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3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3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3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3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3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3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3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3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3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3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3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3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3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3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3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3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3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3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3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3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3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3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3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3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3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3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3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3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3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3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3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3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3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3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3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3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3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3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3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3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3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3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3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3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3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3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3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3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3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3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3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3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3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3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3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3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3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3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3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3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3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3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3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3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3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3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3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3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3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3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3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3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3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3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3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3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3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3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3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3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3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3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3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3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3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3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3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3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3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3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3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3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3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3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2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2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2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2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2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2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2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2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2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2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2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2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2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2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2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2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2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2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2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2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2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2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2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2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2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2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2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2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2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2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2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2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2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2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2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2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2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2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2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2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2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2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2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2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2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2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2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2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2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2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2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2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2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2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2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2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2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2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2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2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2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2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2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2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2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2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2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2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2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2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2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2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2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2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1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1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1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1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1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1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1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1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1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1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1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1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1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1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1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1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1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1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1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1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1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1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1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1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1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1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1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1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1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1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1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1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1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1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1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1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1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1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1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1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1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1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1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1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1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1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1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1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1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1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1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1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1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1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1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1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1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1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1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1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1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1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1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1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1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1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1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1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1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1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1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1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1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1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1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1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1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1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1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1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1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1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1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1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1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1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1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1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1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1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1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1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1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1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1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1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1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1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1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1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1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1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1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1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1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1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1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1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1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1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1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1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1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1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1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1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1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1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1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1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1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1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1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1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1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1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1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1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1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1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1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1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1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1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1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1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1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1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1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1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1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1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1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1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1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1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1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1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1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1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1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1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1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1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1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1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1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1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1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1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1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1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1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1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1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1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1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1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1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1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1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1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1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1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1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1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1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1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1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1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1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1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1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1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1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1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1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1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1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1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1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1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1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1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1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1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1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1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1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1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1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1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1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1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1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1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1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1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1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1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1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1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1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1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1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1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1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1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1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1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1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1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1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1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1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1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1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1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1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1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1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1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1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1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1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1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1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1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1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1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1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1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1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1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1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1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1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1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1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1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1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1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1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1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1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1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1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1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1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1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1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1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1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1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1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1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1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1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1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1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1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1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1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1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1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1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1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1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1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1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0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0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0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0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0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0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0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0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0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0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0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0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0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0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0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0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0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0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0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0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0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0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0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0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0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0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0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0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0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0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0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0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0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0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0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0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0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0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0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0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0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0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0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0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0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0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0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0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0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0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0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0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9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9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9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9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9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9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9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9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9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9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9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9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9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9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9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9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9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9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9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9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9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9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9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9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9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9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9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9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9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9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9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9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9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9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9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9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9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9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9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9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9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9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9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9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9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9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9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9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9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9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9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9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9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9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9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8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8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8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8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8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8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8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8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8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8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8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8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8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8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8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8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8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8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8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8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8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8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8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8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8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8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8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8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8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8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8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8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8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8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8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8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8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8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8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8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7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7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7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7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7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7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7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7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7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7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7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7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7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7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7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7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7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7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7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7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7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7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7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7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7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7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7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7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7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7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7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7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7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7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7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7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7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7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7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7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7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7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7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7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7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7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7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7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7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7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7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7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7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7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7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7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7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7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7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7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7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7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7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7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7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7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7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7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7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7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7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7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7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7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7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7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7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7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7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7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7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7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7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7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7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7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7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7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7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7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70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73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7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6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6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6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6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6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6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6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6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6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6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6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6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6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6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6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6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6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6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6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6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6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6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63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6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6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6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6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6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6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6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5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5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5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5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5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5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5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5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5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5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5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5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5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5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5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5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5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5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5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5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52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52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52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52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52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52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52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52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52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52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52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52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52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52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52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52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52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52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52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52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52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52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52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52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52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5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52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51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51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51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51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51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51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51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51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51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51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49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49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49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49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49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49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49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49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49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49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49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49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49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49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49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49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49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49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49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49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49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49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49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49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49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49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49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49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49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49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49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49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49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49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48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48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48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48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48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48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48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48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48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48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48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48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48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48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48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48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48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48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48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48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48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48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48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48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48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48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48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48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48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48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48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48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48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48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47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47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47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47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47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47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47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47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47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46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46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46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46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46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46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46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46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46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46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46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45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44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44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42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42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42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42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42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42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42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42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42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40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38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38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38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38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38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37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37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4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4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34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34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34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4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4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34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34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27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27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27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23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23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0"/>
    <d v="2026-01-02T00:00:00"/>
    <m/>
    <m/>
    <x v="1"/>
    <n v="23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0"/>
    <d v="2026-01-02T00:00:00"/>
    <m/>
    <m/>
    <x v="1"/>
    <n v="23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0"/>
    <d v="2026-01-02T00:00:00"/>
    <m/>
    <m/>
    <x v="1"/>
    <n v="23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0"/>
    <d v="2026-01-02T00:00:00"/>
    <m/>
    <m/>
    <x v="1"/>
    <n v="23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0"/>
    <d v="2026-01-02T00:00:00"/>
    <m/>
    <m/>
    <x v="1"/>
    <n v="23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0"/>
    <d v="2026-01-02T00:00:00"/>
    <m/>
    <m/>
    <x v="1"/>
    <n v="23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0"/>
    <d v="2026-01-02T00:00:00"/>
    <m/>
    <m/>
    <x v="1"/>
    <n v="23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0"/>
    <d v="2026-01-02T00:00:00"/>
    <m/>
    <m/>
    <x v="1"/>
    <n v="23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0"/>
    <d v="2026-01-02T00:00:00"/>
    <m/>
    <m/>
    <x v="1"/>
    <n v="23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0"/>
    <d v="2026-01-02T00:00:00"/>
    <m/>
    <m/>
    <x v="1"/>
    <n v="23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0"/>
    <d v="2026-01-02T00:00:00"/>
    <m/>
    <m/>
    <x v="1"/>
    <n v="23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0"/>
    <d v="2026-01-02T00:00:00"/>
    <m/>
    <m/>
    <x v="1"/>
    <n v="23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0"/>
    <d v="2026-01-02T00:00:00"/>
    <m/>
    <m/>
    <x v="1"/>
    <n v="23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0"/>
    <d v="2026-01-02T00:00:00"/>
    <m/>
    <m/>
    <x v="1"/>
    <n v="23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21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21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21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21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21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21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0"/>
    <d v="2026-01-06T00:00:00"/>
    <m/>
    <m/>
    <x v="1"/>
    <n v="21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0"/>
    <d v="2026-01-06T00:00:00"/>
    <m/>
    <m/>
    <x v="1"/>
    <n v="21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0"/>
    <d v="2026-01-06T00:00:00"/>
    <m/>
    <m/>
    <x v="1"/>
    <n v="21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0"/>
    <d v="2026-01-15T00:00:00"/>
    <m/>
    <m/>
    <x v="1"/>
    <n v="14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0"/>
    <d v="2026-01-15T00:00:00"/>
    <m/>
    <m/>
    <x v="1"/>
    <n v="14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0"/>
    <d v="2026-01-15T00:00:00"/>
    <m/>
    <m/>
    <x v="1"/>
    <n v="14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0"/>
    <d v="2026-01-15T00:00:00"/>
    <m/>
    <m/>
    <x v="1"/>
    <n v="14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0"/>
    <d v="2026-01-15T00:00:00"/>
    <m/>
    <m/>
    <x v="1"/>
    <n v="14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0"/>
    <d v="2026-01-15T00:00:00"/>
    <m/>
    <m/>
    <x v="1"/>
    <n v="14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QUATRO_I500613US01700000 Opex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0"/>
    <d v="2026-01-15T00:00:00"/>
    <m/>
    <m/>
    <x v="1"/>
    <n v="14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0"/>
    <d v="2026-01-15T00:00:00"/>
    <m/>
    <m/>
    <x v="1"/>
    <n v="14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0"/>
    <d v="2026-01-15T00:00:00"/>
    <m/>
    <m/>
    <x v="1"/>
    <n v="14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0"/>
    <d v="2026-01-15T00:00:00"/>
    <m/>
    <m/>
    <x v="1"/>
    <n v="14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1"/>
    <n v="14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0"/>
    <d v="2026-01-15T00:00:00"/>
    <m/>
    <m/>
    <x v="1"/>
    <n v="14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1"/>
    <n v="12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0"/>
    <d v="2026-01-19T00:00:00"/>
    <m/>
    <m/>
    <x v="1"/>
    <n v="12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0"/>
    <d v="2026-01-22T00:00:00"/>
    <m/>
    <m/>
    <x v="1"/>
    <n v="9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0"/>
    <d v="2026-01-22T00:00:00"/>
    <m/>
    <m/>
    <x v="1"/>
    <n v="9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0"/>
    <d v="2026-01-22T00:00:00"/>
    <m/>
    <m/>
    <x v="1"/>
    <n v="9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0"/>
    <d v="2026-01-22T00:00:00"/>
    <m/>
    <m/>
    <x v="1"/>
    <n v="9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0"/>
    <d v="2026-01-22T00:00:00"/>
    <m/>
    <m/>
    <x v="1"/>
    <n v="9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0"/>
    <d v="2026-01-22T00:00:00"/>
    <m/>
    <m/>
    <x v="1"/>
    <n v="9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0"/>
    <d v="2026-01-22T00:00:00"/>
    <m/>
    <m/>
    <x v="1"/>
    <n v="9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0"/>
    <d v="2026-01-22T00:00:00"/>
    <m/>
    <m/>
    <x v="1"/>
    <n v="9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0"/>
    <d v="2026-01-22T00:00:00"/>
    <m/>
    <m/>
    <x v="1"/>
    <n v="9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0"/>
    <d v="2026-01-22T00:00:00"/>
    <m/>
    <m/>
    <x v="1"/>
    <n v="9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0"/>
    <d v="2026-01-22T00:00:00"/>
    <m/>
    <m/>
    <x v="1"/>
    <n v="9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0"/>
    <d v="2026-01-22T00:00:00"/>
    <m/>
    <m/>
    <x v="1"/>
    <n v="9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0"/>
    <d v="2026-01-22T00:00:00"/>
    <m/>
    <m/>
    <x v="1"/>
    <n v="9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0"/>
    <d v="2026-01-22T00:00:00"/>
    <m/>
    <m/>
    <x v="1"/>
    <n v="9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0"/>
    <d v="2026-01-22T00:00:00"/>
    <m/>
    <m/>
    <x v="1"/>
    <n v="9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0"/>
    <d v="2026-01-22T00:00:00"/>
    <m/>
    <m/>
    <x v="1"/>
    <n v="9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0"/>
    <d v="2026-01-22T00:00:00"/>
    <m/>
    <m/>
    <x v="1"/>
    <n v="9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0"/>
    <d v="2026-01-22T00:00:00"/>
    <m/>
    <m/>
    <x v="1"/>
    <n v="9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0"/>
    <d v="2026-01-22T00:00:00"/>
    <m/>
    <m/>
    <x v="1"/>
    <n v="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9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9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9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0"/>
    <d v="2026-01-22T00:00:00"/>
    <m/>
    <m/>
    <x v="1"/>
    <n v="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9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0"/>
    <d v="2026-01-22T00:00:00"/>
    <m/>
    <m/>
    <x v="1"/>
    <n v="9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9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9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0"/>
    <d v="2026-01-22T00:00:00"/>
    <m/>
    <m/>
    <x v="1"/>
    <n v="9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0"/>
    <d v="2026-01-22T00:00:00"/>
    <m/>
    <m/>
    <x v="1"/>
    <n v="9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0"/>
    <d v="2026-01-22T00:00:00"/>
    <m/>
    <m/>
    <x v="1"/>
    <n v="9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9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9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0"/>
    <d v="2026-01-22T00:00:00"/>
    <m/>
    <m/>
    <x v="1"/>
    <n v="9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0"/>
    <d v="2026-01-22T00:00:00"/>
    <m/>
    <m/>
    <x v="1"/>
    <n v="9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0"/>
    <d v="2026-01-22T00:00:00"/>
    <m/>
    <m/>
    <x v="1"/>
    <n v="9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0"/>
    <d v="2026-01-22T00:00:00"/>
    <m/>
    <m/>
    <x v="1"/>
    <n v="9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0"/>
    <d v="2026-01-22T00:00:00"/>
    <m/>
    <m/>
    <x v="1"/>
    <n v="9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0"/>
    <d v="2026-01-22T00:00:00"/>
    <m/>
    <m/>
    <x v="1"/>
    <n v="9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0"/>
    <d v="2026-01-22T00:00:00"/>
    <m/>
    <m/>
    <x v="1"/>
    <n v="9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0"/>
    <d v="2026-01-22T00:00:00"/>
    <m/>
    <m/>
    <x v="1"/>
    <n v="9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0"/>
    <d v="2026-01-22T00:00:00"/>
    <m/>
    <m/>
    <x v="1"/>
    <n v="9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0"/>
    <d v="2026-01-22T00:00:00"/>
    <m/>
    <m/>
    <x v="1"/>
    <n v="9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0"/>
    <d v="2026-01-22T00:00:00"/>
    <m/>
    <m/>
    <x v="1"/>
    <n v="9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0"/>
    <d v="2026-01-22T00:00:00"/>
    <m/>
    <m/>
    <x v="1"/>
    <n v="9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0"/>
    <d v="2026-01-22T00:00:00"/>
    <m/>
    <m/>
    <x v="1"/>
    <n v="9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0"/>
    <d v="2026-01-22T00:00:00"/>
    <m/>
    <m/>
    <x v="1"/>
    <n v="9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0"/>
    <d v="2026-01-22T00:00:00"/>
    <m/>
    <m/>
    <x v="1"/>
    <n v="9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0"/>
    <d v="2026-01-22T00:00:00"/>
    <m/>
    <m/>
    <x v="1"/>
    <n v="9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0"/>
    <d v="2026-01-22T00:00:00"/>
    <m/>
    <m/>
    <x v="1"/>
    <n v="9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0"/>
    <d v="2026-01-22T00:00:00"/>
    <m/>
    <m/>
    <x v="1"/>
    <n v="9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0"/>
    <d v="2026-01-22T00:00:00"/>
    <m/>
    <m/>
    <x v="1"/>
    <n v="9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0"/>
    <d v="2026-01-22T00:00:00"/>
    <m/>
    <m/>
    <x v="1"/>
    <n v="9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0"/>
    <d v="2026-01-22T00:00:00"/>
    <m/>
    <m/>
    <x v="1"/>
    <n v="9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0"/>
    <d v="2026-01-22T00:00:00"/>
    <m/>
    <m/>
    <x v="1"/>
    <n v="9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0"/>
    <d v="2026-01-22T00:00:00"/>
    <m/>
    <m/>
    <x v="1"/>
    <n v="9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0"/>
    <d v="2026-01-22T00:00:00"/>
    <m/>
    <m/>
    <x v="1"/>
    <n v="9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0"/>
    <d v="2026-01-22T00:00:00"/>
    <m/>
    <m/>
    <x v="1"/>
    <n v="9"/>
    <s v="Anna Maria Urbano"/>
    <m/>
  </r>
  <r>
    <x v="486"/>
    <x v="0"/>
    <x v="2"/>
    <s v="CTEMPEU_1000IT10B05A11"/>
    <s v="H000004871"/>
    <s v="H000004871"/>
    <s v="Non-LFF"/>
    <s v=""/>
    <m/>
    <b v="1"/>
    <x v="6"/>
    <x v="0"/>
    <d v="2026-01-22T00:00:00"/>
    <m/>
    <m/>
    <x v="1"/>
    <n v="9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0"/>
    <d v="2026-01-22T00:00:00"/>
    <m/>
    <m/>
    <x v="1"/>
    <n v="9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0"/>
    <d v="2026-01-22T00:00:00"/>
    <m/>
    <m/>
    <x v="1"/>
    <n v="9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0"/>
    <d v="2026-01-22T00:00:00"/>
    <m/>
    <m/>
    <x v="1"/>
    <n v="9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0"/>
    <d v="2026-01-22T00:00:00"/>
    <m/>
    <m/>
    <x v="1"/>
    <n v="9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0"/>
    <d v="2026-01-22T00:00:00"/>
    <m/>
    <m/>
    <x v="1"/>
    <n v="9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0"/>
    <d v="2026-01-22T00:00:00"/>
    <m/>
    <m/>
    <x v="1"/>
    <n v="9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0"/>
    <d v="2026-01-22T00:00:00"/>
    <m/>
    <m/>
    <x v="1"/>
    <n v="9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0"/>
    <d v="2026-01-22T00:00:00"/>
    <m/>
    <m/>
    <x v="1"/>
    <n v="9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0"/>
    <d v="2026-01-22T00:00:00"/>
    <m/>
    <m/>
    <x v="1"/>
    <n v="9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0"/>
    <d v="2026-01-22T00:00:00"/>
    <m/>
    <m/>
    <x v="1"/>
    <n v="9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0"/>
    <d v="2026-01-22T00:00:00"/>
    <m/>
    <m/>
    <x v="1"/>
    <n v="9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0"/>
    <d v="2026-01-23T00:00:00"/>
    <m/>
    <m/>
    <x v="1"/>
    <n v="8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0"/>
    <d v="2026-01-28T00:00:00"/>
    <m/>
    <m/>
    <x v="0"/>
    <n v="5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0"/>
    <d v="2026-01-28T00:00:00"/>
    <m/>
    <m/>
    <x v="0"/>
    <n v="5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0"/>
    <d v="2026-01-28T00:00:00"/>
    <m/>
    <m/>
    <x v="0"/>
    <n v="5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0"/>
    <d v="2026-01-28T00:00:00"/>
    <m/>
    <m/>
    <x v="0"/>
    <n v="5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0"/>
    <d v="2026-01-28T00:00:00"/>
    <m/>
    <m/>
    <x v="0"/>
    <n v="5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0"/>
    <d v="2026-01-28T00:00:00"/>
    <m/>
    <m/>
    <x v="0"/>
    <n v="5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0"/>
    <d v="2026-01-28T00:00:00"/>
    <m/>
    <m/>
    <x v="0"/>
    <n v="5"/>
    <s v="Roselle Delos Angeles"/>
    <m/>
  </r>
  <r>
    <x v="493"/>
    <x v="1"/>
    <x v="2"/>
    <s v="CFLTFLE_12950000000104 Production/Operations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05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0 Quality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1 Metals Processing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2 Organics Manufacturing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3 Paste blending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4 Packaging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ITEMPEU_009000001337 BE40IC1500RG3212100000"/>
    <s v="P000000963"/>
    <s v="P000000963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LFF_1000$$$US01R00506 R&amp;D IC cross charges"/>
    <s v="P000000963"/>
    <s v="P000000963"/>
    <s v="LFF (MDG-F)"/>
    <s v="US01R00506"/>
    <m/>
    <b v="1"/>
    <x v="3"/>
    <x v="0"/>
    <d v="2026-01-29T00:00:00"/>
    <m/>
    <m/>
    <x v="0"/>
    <n v="4"/>
    <s v="Roselle Delos Angeles"/>
    <m/>
  </r>
  <r>
    <x v="493"/>
    <x v="1"/>
    <x v="2"/>
    <s v="CLFF_1000$$$KR02R00103 R&amp;D IC Cross Charge Spinfil"/>
    <s v="P000000963"/>
    <s v="P000000963"/>
    <s v="LFF (MDG-F)"/>
    <s v="KR02R00103"/>
    <m/>
    <b v="1"/>
    <x v="3"/>
    <x v="0"/>
    <d v="2026-01-29T00:00:00"/>
    <m/>
    <m/>
    <x v="0"/>
    <n v="4"/>
    <s v="Roselle Delos Angeles"/>
    <m/>
  </r>
  <r>
    <x v="493"/>
    <x v="1"/>
    <x v="2"/>
    <s v="CLFF_VMCA$$$CN09L80000 Local Insurance"/>
    <s v="P000001335"/>
    <s v="P000001335"/>
    <s v="LFF (MDG-F)"/>
    <s v="CN09L80000"/>
    <m/>
    <b v="1"/>
    <x v="3"/>
    <x v="0"/>
    <d v="2026-01-29T00:00:00"/>
    <m/>
    <m/>
    <x v="0"/>
    <n v="4"/>
    <s v="Roselle Delos Angeles"/>
    <m/>
  </r>
  <r>
    <x v="493"/>
    <x v="1"/>
    <x v="2"/>
    <s v="CLFF_VMCA$$$CN10L80000 Local Insurance"/>
    <s v="P000001335"/>
    <s v="P000001335"/>
    <s v="LFF (MDG-F)"/>
    <s v="CN10L80000"/>
    <m/>
    <b v="1"/>
    <x v="3"/>
    <x v="0"/>
    <d v="2026-01-29T00:00:00"/>
    <m/>
    <m/>
    <x v="0"/>
    <n v="4"/>
    <s v="Roselle Delos Angeles"/>
    <m/>
  </r>
  <r>
    <x v="493"/>
    <x v="1"/>
    <x v="2"/>
    <s v="CLFF_VMCA$$$CN43L80000 Local Insurance"/>
    <s v="P000001335"/>
    <s v="P000001335"/>
    <s v="LFF (MDG-F)"/>
    <s v="CN43L80000"/>
    <m/>
    <b v="1"/>
    <x v="3"/>
    <x v="0"/>
    <d v="2026-01-29T00:00:00"/>
    <m/>
    <m/>
    <x v="0"/>
    <n v="4"/>
    <s v="Roselle Delos Angeles"/>
    <m/>
  </r>
  <r>
    <x v="493"/>
    <x v="1"/>
    <x v="2"/>
    <s v="CLFF_1000$$$SG09GIN004 XX_IN- Local Insurance"/>
    <s v="P000001335"/>
    <s v="P000001335"/>
    <s v="LFF (MDG-F)"/>
    <s v="SG09GIN004"/>
    <m/>
    <b v="1"/>
    <x v="3"/>
    <x v="0"/>
    <d v="2026-01-29T00:00:00"/>
    <m/>
    <m/>
    <x v="0"/>
    <n v="4"/>
    <s v="Roselle Delos Angeles"/>
    <m/>
  </r>
  <r>
    <x v="493"/>
    <x v="1"/>
    <x v="2"/>
    <s v="CLFF_1000$$$CN01GIN004 Local Insurance"/>
    <s v="P000001335"/>
    <s v="P000001335"/>
    <s v="LFF (MDG-F)"/>
    <s v="CN01GIN004"/>
    <m/>
    <b v="1"/>
    <x v="3"/>
    <x v="0"/>
    <d v="2026-01-29T00:00:00"/>
    <m/>
    <m/>
    <x v="0"/>
    <n v="4"/>
    <s v="Roselle Delos Angeles"/>
    <m/>
  </r>
  <r>
    <x v="493"/>
    <x v="1"/>
    <x v="2"/>
    <s v="CLFF_1000$$$CN02GIN005 Local Insurance"/>
    <s v="P000001335"/>
    <s v="P000001335"/>
    <s v="LFF (MDG-F)"/>
    <s v="CN02GIN005"/>
    <m/>
    <b v="1"/>
    <x v="3"/>
    <x v="0"/>
    <d v="2026-01-29T00:00:00"/>
    <m/>
    <m/>
    <x v="0"/>
    <n v="4"/>
    <s v="Roselle Delos Angeles"/>
    <m/>
  </r>
  <r>
    <x v="493"/>
    <x v="1"/>
    <x v="2"/>
    <s v="CLFF_1000$$$CN03OF0502 Local Insurance"/>
    <s v="P000001335"/>
    <s v="P000001335"/>
    <s v="LFF (MDG-F)"/>
    <s v="CN03OF0502"/>
    <m/>
    <b v="1"/>
    <x v="3"/>
    <x v="0"/>
    <d v="2026-01-29T00:00:00"/>
    <m/>
    <m/>
    <x v="0"/>
    <n v="4"/>
    <s v="Roselle Delos Angeles"/>
    <m/>
  </r>
  <r>
    <x v="493"/>
    <x v="1"/>
    <x v="2"/>
    <s v="CLFF_1000$$$HK01GIN005 XX_IN-Local Insurance"/>
    <s v="P000001335"/>
    <s v="P000001335"/>
    <s v="LFF (MDG-F)"/>
    <s v="HK01GIN005"/>
    <m/>
    <b v="1"/>
    <x v="3"/>
    <x v="0"/>
    <d v="2026-01-29T00:00:00"/>
    <m/>
    <m/>
    <x v="0"/>
    <n v="4"/>
    <s v="Roselle Delos Angeles"/>
    <m/>
  </r>
  <r>
    <x v="493"/>
    <x v="1"/>
    <x v="2"/>
    <s v="CLFF_1000$$$US01GIN101 PM-Local Insurance"/>
    <s v="P000001335"/>
    <s v="P000001335"/>
    <s v="LFF (MDG-F)"/>
    <s v="US01GIN101"/>
    <m/>
    <b v="1"/>
    <x v="3"/>
    <x v="0"/>
    <d v="2026-01-29T00:00:00"/>
    <m/>
    <m/>
    <x v="0"/>
    <n v="4"/>
    <s v="Roselle Delos Angeles"/>
    <m/>
  </r>
  <r>
    <x v="493"/>
    <x v="1"/>
    <x v="2"/>
    <s v="CLFF_1000$$$IN01Z02185 XX_Prem/con/fees Oth"/>
    <s v="P000001335"/>
    <s v="P000001335"/>
    <s v="LFF (MDG-F)"/>
    <s v="IN01Z02185"/>
    <m/>
    <b v="1"/>
    <x v="3"/>
    <x v="0"/>
    <d v="2026-01-29T00:00:00"/>
    <m/>
    <m/>
    <x v="0"/>
    <n v="4"/>
    <s v="Roselle Delos Angeles"/>
    <m/>
  </r>
  <r>
    <x v="493"/>
    <x v="1"/>
    <x v="2"/>
    <s v="CLFF_1000$$$JP01Z02182 XX_Prem/con/fees M&amp;S"/>
    <s v="P000001335"/>
    <s v="P000001335"/>
    <s v="LFF (MDG-F)"/>
    <s v="JP01Z02182"/>
    <m/>
    <b v="1"/>
    <x v="3"/>
    <x v="0"/>
    <d v="2026-01-29T00:00:00"/>
    <m/>
    <m/>
    <x v="0"/>
    <n v="4"/>
    <s v="Roselle Delos Angeles"/>
    <m/>
  </r>
  <r>
    <x v="493"/>
    <x v="1"/>
    <x v="2"/>
    <s v="ITEMPEU_ES40AA0017 Premium/Contributions/Fees 3122105000"/>
    <s v="P000001335"/>
    <s v="P00000133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ITEMPEU_IT41AA0017 Premium/Contributions/Fees 3122105000"/>
    <s v="P000001335"/>
    <s v="P00000133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LFF_1000$$$KR02Z02185 Prem/con/fees Oth"/>
    <s v="P000001335"/>
    <s v="P000001335"/>
    <s v="LFF (MDG-F)"/>
    <s v="KR02Z02185"/>
    <m/>
    <b v="1"/>
    <x v="3"/>
    <x v="0"/>
    <d v="2026-01-29T00:00:00"/>
    <m/>
    <m/>
    <x v="0"/>
    <n v="4"/>
    <s v="Roselle Delos Angeles"/>
    <m/>
  </r>
  <r>
    <x v="493"/>
    <x v="1"/>
    <x v="2"/>
    <s v="CLFF_KR00$$$KR03Z02185 Prem/con/fees Oth"/>
    <s v="P000001335"/>
    <s v="P000001335"/>
    <s v="LFF (MDG-F)"/>
    <s v="KR03Z02185"/>
    <m/>
    <b v="1"/>
    <x v="3"/>
    <x v="0"/>
    <d v="2026-01-29T00:00:00"/>
    <m/>
    <m/>
    <x v="0"/>
    <n v="4"/>
    <s v="Roselle Delos Angeles"/>
    <m/>
  </r>
  <r>
    <x v="493"/>
    <x v="1"/>
    <x v="2"/>
    <s v="CLFF_1000$$$DE04L80000 EL AP Accruals_1188"/>
    <s v="P000001379"/>
    <s v="P000001379"/>
    <s v="LFF (MDG-F)"/>
    <s v="DE04L80000"/>
    <m/>
    <b v="1"/>
    <x v="3"/>
    <x v="0"/>
    <d v="2026-01-29T00:00:00"/>
    <m/>
    <m/>
    <x v="0"/>
    <n v="4"/>
    <s v="Roselle Delos Angeles"/>
    <m/>
  </r>
  <r>
    <x v="493"/>
    <x v="1"/>
    <x v="2"/>
    <s v="CLFF_1000$$$DE10L80000 EL AP Accruals_1500"/>
    <s v="P000001379"/>
    <s v="P000001379"/>
    <s v="LFF (MDG-F)"/>
    <s v="DE10L80000"/>
    <m/>
    <b v="1"/>
    <x v="3"/>
    <x v="0"/>
    <d v="2026-01-29T00:00:00"/>
    <m/>
    <m/>
    <x v="0"/>
    <n v="4"/>
    <s v="Roselle Delos Angeles"/>
    <m/>
  </r>
  <r>
    <x v="493"/>
    <x v="1"/>
    <x v="2"/>
    <s v="CLFF_1000$$$US01L80000 EL AP Accruals_1283"/>
    <s v="P000001379"/>
    <s v="P000001379"/>
    <s v="LFF (MDG-F)"/>
    <s v="US01L80000"/>
    <m/>
    <b v="1"/>
    <x v="3"/>
    <x v="0"/>
    <d v="2026-01-29T00:00:00"/>
    <m/>
    <m/>
    <x v="0"/>
    <n v="4"/>
    <s v="Roselle Delos Angeles"/>
    <m/>
  </r>
  <r>
    <x v="493"/>
    <x v="1"/>
    <x v="6"/>
    <s v="CLFF_VMCA$$$DE10L80001 EL AP Accruals_2319"/>
    <s v="P000001379"/>
    <s v="P000000425"/>
    <s v="LFF (MDG-F)"/>
    <s v="DE10L80001"/>
    <s v="NOT IN MDGF"/>
    <b v="0"/>
    <x v="3"/>
    <x v="0"/>
    <d v="2026-01-29T00:00:00"/>
    <m/>
    <m/>
    <x v="0"/>
    <n v="4"/>
    <s v="Roselle Delos Angeles"/>
    <m/>
  </r>
  <r>
    <x v="493"/>
    <x v="1"/>
    <x v="2"/>
    <s v="CLFF_1000$$$DE10B06200 EL-OP-SDPN NPI Transfer"/>
    <s v="P000000084"/>
    <s v="P000000084"/>
    <s v="LFF (MDG-F)"/>
    <s v="DE10B06200"/>
    <m/>
    <b v="1"/>
    <x v="3"/>
    <x v="0"/>
    <d v="2026-01-29T00:00:00"/>
    <m/>
    <m/>
    <x v="0"/>
    <n v="4"/>
    <s v="Roselle Delos Angeles"/>
    <m/>
  </r>
  <r>
    <x v="493"/>
    <x v="1"/>
    <x v="2"/>
    <s v="CLFF_1000$$$DE10B06210 EL-OP-SDPN NPI Transfer-A"/>
    <s v="P000000084"/>
    <s v="P000000084"/>
    <s v="LFF (MDG-F)"/>
    <s v="DE10B06210"/>
    <m/>
    <b v="1"/>
    <x v="3"/>
    <x v="0"/>
    <d v="2026-01-29T00:00:00"/>
    <m/>
    <m/>
    <x v="0"/>
    <n v="4"/>
    <s v="Roselle Delos Angeles"/>
    <m/>
  </r>
  <r>
    <x v="493"/>
    <x v="1"/>
    <x v="2"/>
    <s v="CPHOENX_01010000608800 EL-OP-SDPP Production Planning"/>
    <s v="P000001172"/>
    <s v="P000001172"/>
    <s v="Non-LFF"/>
    <s v=""/>
    <m/>
    <b v="1"/>
    <x v="3"/>
    <x v="0"/>
    <d v="2026-01-29T00:00:00"/>
    <m/>
    <m/>
    <x v="0"/>
    <n v="4"/>
    <s v="Roselle Delos Angeles"/>
    <m/>
  </r>
  <r>
    <x v="494"/>
    <x v="0"/>
    <x v="2"/>
    <s v="CFLTFLE_1798C38"/>
    <s v="G000000179"/>
    <s v="G000000179"/>
    <s v="Non-LFF"/>
    <s v=""/>
    <m/>
    <b v="1"/>
    <x v="6"/>
    <x v="0"/>
    <d v="2026-01-29T00:00:00"/>
    <m/>
    <m/>
    <x v="0"/>
    <n v="4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0"/>
    <d v="2026-01-29T00:00:00"/>
    <m/>
    <m/>
    <x v="0"/>
    <n v="4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0"/>
    <d v="2026-01-29T00:00:00"/>
    <m/>
    <m/>
    <x v="0"/>
    <n v="4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0"/>
    <d v="2026-01-29T00:00:00"/>
    <m/>
    <m/>
    <x v="0"/>
    <n v="4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0"/>
    <d v="2026-01-29T00:00:00"/>
    <m/>
    <m/>
    <x v="0"/>
    <n v="4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0"/>
    <d v="2026-01-29T00:00:00"/>
    <m/>
    <m/>
    <x v="0"/>
    <n v="4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0"/>
    <d v="2026-01-29T00:00:00"/>
    <m/>
    <m/>
    <x v="0"/>
    <n v="4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0"/>
    <d v="2026-01-29T00:00:00"/>
    <m/>
    <m/>
    <x v="0"/>
    <n v="4"/>
    <s v="John Rowie Del Rosario"/>
    <m/>
  </r>
  <r>
    <x v="497"/>
    <x v="0"/>
    <x v="8"/>
    <s v="CSCALA_1042$EQ_P15"/>
    <s v="O000000003"/>
    <s v="Trash"/>
    <s v="Non-LFF"/>
    <s v=""/>
    <m/>
    <b v="0"/>
    <x v="3"/>
    <x v="0"/>
    <d v="2026-01-29T00:00:00"/>
    <m/>
    <m/>
    <x v="0"/>
    <n v="4"/>
    <s v="John Rowie Del Rosario"/>
    <m/>
  </r>
  <r>
    <x v="497"/>
    <x v="0"/>
    <x v="2"/>
    <s v="CSCALA_1042$EQ_P39"/>
    <s v="O000000003"/>
    <s v="O000000003"/>
    <s v="Non-LFF"/>
    <s v=""/>
    <m/>
    <b v="1"/>
    <x v="3"/>
    <x v="0"/>
    <d v="2026-01-29T00:00:00"/>
    <m/>
    <m/>
    <x v="0"/>
    <n v="4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0"/>
    <d v="2026-01-29T00:00:00"/>
    <m/>
    <m/>
    <x v="0"/>
    <n v="4"/>
    <s v="John Rowie Del Rosario"/>
    <m/>
  </r>
  <r>
    <x v="497"/>
    <x v="0"/>
    <x v="2"/>
    <s v="CSCALA_1042$GADM_999"/>
    <s v="O000000003"/>
    <s v="O000000003"/>
    <s v="Non-LFF"/>
    <s v=""/>
    <m/>
    <b v="1"/>
    <x v="3"/>
    <x v="0"/>
    <d v="2026-01-29T00:00:00"/>
    <m/>
    <m/>
    <x v="0"/>
    <n v="4"/>
    <s v="John Rowie Del Rosario"/>
    <m/>
  </r>
  <r>
    <x v="498"/>
    <x v="0"/>
    <x v="2"/>
    <s v="CTEMPLA_1000BR10303113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4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5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6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8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9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1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2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5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6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5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9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0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1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3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5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6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7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8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9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1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3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7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8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61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62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M10"/>
    <s v="H000004911"/>
    <s v="H00000491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M20"/>
    <s v="H000004911"/>
    <s v="H00000491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M99"/>
    <s v="H000004909"/>
    <s v="H000004909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MM1"/>
    <s v="H000004912"/>
    <s v="H000004912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LRP20"/>
    <s v="H000004915"/>
    <s v="H000004915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8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9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0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1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2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3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6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7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8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2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2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4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5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60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70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P10"/>
    <s v="H000004915"/>
    <s v="H000004915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P99"/>
    <s v="H000004913"/>
    <s v="H000004913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P00"/>
    <s v="H000004916"/>
    <s v="H00000491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CRS41"/>
    <s v="H000004900"/>
    <s v="H00000490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CRS42"/>
    <s v="H000004900"/>
    <s v="H00000490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CRS44"/>
    <s v="H000004900"/>
    <s v="H00000490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IRS10"/>
    <s v="H000004902"/>
    <s v="H000004902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IRS51"/>
    <s v="H000004902"/>
    <s v="H000004902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LRS22"/>
    <s v="H000004902"/>
    <s v="H000004902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S21"/>
    <s v="H000004901"/>
    <s v="H00000490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KRS31"/>
    <s v="H000004901"/>
    <s v="H00000490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KRS88"/>
    <s v="H000004901"/>
    <s v="H00000490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BRQ10"/>
    <s v="H000004896"/>
    <s v="H00000489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BRQ20"/>
    <s v="H000004896"/>
    <s v="H00000489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01"/>
    <s v="H000004905"/>
    <s v="H000004905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21"/>
    <s v="H000004903"/>
    <s v="H000004903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29"/>
    <s v="H000004903"/>
    <s v="H000004903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1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2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3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4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5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6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7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8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9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0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1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2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3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5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6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7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8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0"/>
    <d v="2026-01-30T00:00:00"/>
    <m/>
    <m/>
    <x v="0"/>
    <n v="3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0"/>
    <d v="2026-01-30T00:00:00"/>
    <m/>
    <m/>
    <x v="0"/>
    <n v="3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0"/>
    <d v="2026-01-30T00:00:00"/>
    <m/>
    <m/>
    <x v="0"/>
    <n v="3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0"/>
    <d v="2026-01-30T00:00:00"/>
    <m/>
    <m/>
    <x v="0"/>
    <n v="3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0"/>
    <d v="2026-01-30T00:00:00"/>
    <m/>
    <m/>
    <x v="0"/>
    <n v="3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0"/>
    <d v="2026-01-30T00:00:00"/>
    <m/>
    <m/>
    <x v="0"/>
    <n v="3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0"/>
    <d v="2026-02-03T00:00:00"/>
    <m/>
    <m/>
    <x v="0"/>
    <n v="1"/>
    <s v="Erjo Miguel Tagle"/>
    <m/>
  </r>
  <r>
    <x v="500"/>
    <x v="0"/>
    <x v="2"/>
    <s v="CSCALA_1248$A350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0_L05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0_L09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0_L11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0_L33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_L05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_L12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_L33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_L34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 LPSO GPS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_L05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_L12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_L33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_L34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0"/>
    <d v="2026-02-03T00:00:00"/>
    <m/>
    <m/>
    <x v="0"/>
    <n v="1"/>
    <s v="Nikolaos Antonopoulos"/>
    <m/>
  </r>
  <r>
    <x v="502"/>
    <x v="1"/>
    <x v="6"/>
    <s v="CLFF_1000$$$CH65R00014"/>
    <s v="H000000912"/>
    <s v="H000000714"/>
    <s v="LFF (MDG-F)"/>
    <s v="CH65R00014"/>
    <m/>
    <b v="0"/>
    <x v="1"/>
    <x v="0"/>
    <d v="2026-02-03T00:00:00"/>
    <m/>
    <m/>
    <x v="0"/>
    <n v="1"/>
    <s v="Erjo Miguel Tagle"/>
    <m/>
  </r>
  <r>
    <x v="503"/>
    <x v="1"/>
    <x v="5"/>
    <s v="CTEMPNA_1000CA20176100 Field Force Pimicotinib"/>
    <s v="H000004396"/>
    <m/>
    <s v="Non-LFF"/>
    <s v=""/>
    <m/>
    <b v="0"/>
    <x v="1"/>
    <x v="0"/>
    <d v="2026-02-03T00:00:00"/>
    <m/>
    <m/>
    <x v="0"/>
    <n v="1"/>
    <s v="Rizza Tolentino"/>
    <m/>
  </r>
  <r>
    <x v="503"/>
    <x v="1"/>
    <x v="5"/>
    <s v="CTEMPNA_1000CA20176200 ISS Marketing Pimicotinib"/>
    <s v="H000004396"/>
    <m/>
    <s v="Non-LFF"/>
    <s v=""/>
    <m/>
    <b v="0"/>
    <x v="1"/>
    <x v="0"/>
    <d v="2026-02-03T00:00:00"/>
    <m/>
    <m/>
    <x v="0"/>
    <n v="1"/>
    <s v="Rizza Tolentino"/>
    <m/>
  </r>
  <r>
    <x v="503"/>
    <x v="1"/>
    <x v="5"/>
    <s v="CTEMPNA_1000CA20176210 Sales Promo Pimicotinib"/>
    <s v="H000004396"/>
    <m/>
    <s v="Non-LFF"/>
    <s v=""/>
    <m/>
    <b v="0"/>
    <x v="1"/>
    <x v="0"/>
    <d v="2026-02-03T00:00:00"/>
    <m/>
    <m/>
    <x v="0"/>
    <n v="1"/>
    <s v="Rizza Tolentino"/>
    <m/>
  </r>
  <r>
    <x v="503"/>
    <x v="1"/>
    <x v="5"/>
    <s v="CTEMPNA_1000CA20176220 Sales Promo Advertising Pimicotinib"/>
    <s v="H000004396"/>
    <m/>
    <s v="Non-LFF"/>
    <s v=""/>
    <m/>
    <b v="0"/>
    <x v="1"/>
    <x v="0"/>
    <d v="2026-02-03T00:00:00"/>
    <m/>
    <m/>
    <x v="0"/>
    <n v="1"/>
    <s v="Rizza Tolentino"/>
    <m/>
  </r>
  <r>
    <x v="503"/>
    <x v="1"/>
    <x v="5"/>
    <s v="CTEMPNA_1000CA20176230 Sales Promo Congress events Pimicotinib"/>
    <s v="H000004396"/>
    <m/>
    <s v="Non-LFF"/>
    <s v=""/>
    <m/>
    <b v="0"/>
    <x v="1"/>
    <x v="0"/>
    <d v="2026-02-03T00:00:00"/>
    <m/>
    <m/>
    <x v="0"/>
    <n v="1"/>
    <s v="Rizza Tolentino"/>
    <m/>
  </r>
  <r>
    <x v="503"/>
    <x v="1"/>
    <x v="5"/>
    <s v="CTEMPNA_1000CA20176240 Sales Promo Other promo Pimicotinib"/>
    <s v="H000004396"/>
    <m/>
    <s v="Non-LFF"/>
    <s v=""/>
    <m/>
    <b v="0"/>
    <x v="1"/>
    <x v="0"/>
    <d v="2026-02-03T00:00:00"/>
    <m/>
    <m/>
    <x v="0"/>
    <n v="1"/>
    <s v="Rizza Tolentino"/>
    <m/>
  </r>
  <r>
    <x v="503"/>
    <x v="1"/>
    <x v="5"/>
    <s v="CTEMPNA_1000CA20176600 Medical Affairs Pimicotinib"/>
    <s v="H000004396"/>
    <m/>
    <s v="Non-LFF"/>
    <s v=""/>
    <m/>
    <b v="0"/>
    <x v="1"/>
    <x v="0"/>
    <d v="2026-02-03T00:00:00"/>
    <m/>
    <m/>
    <x v="0"/>
    <n v="1"/>
    <s v="Rizza Tolentino"/>
    <m/>
  </r>
  <r>
    <x v="503"/>
    <x v="1"/>
    <x v="5"/>
    <s v="CTEMPNA_1000CA20176500 Med Non-R&amp;D Medical education Pimi"/>
    <s v="H000004396"/>
    <m/>
    <s v="Non-LFF"/>
    <s v=""/>
    <m/>
    <b v="0"/>
    <x v="1"/>
    <x v="0"/>
    <d v="2026-02-03T00:00:00"/>
    <m/>
    <m/>
    <x v="0"/>
    <n v="1"/>
    <s v="Rizza Tolentino"/>
    <m/>
  </r>
  <r>
    <x v="503"/>
    <x v="1"/>
    <x v="5"/>
    <s v="CTEMPNA_1000CA20176510 Med Non R&amp;D Medical donations Pimi"/>
    <s v="H000004396"/>
    <m/>
    <s v="Non-LFF"/>
    <s v=""/>
    <m/>
    <b v="0"/>
    <x v="1"/>
    <x v="0"/>
    <d v="2026-02-03T00:00:00"/>
    <m/>
    <m/>
    <x v="0"/>
    <n v="1"/>
    <s v="Rizza Tolentino"/>
    <m/>
  </r>
  <r>
    <x v="503"/>
    <x v="1"/>
    <x v="5"/>
    <s v="CTEMPNA_1000CA20176520 Med Non-R&amp;D Medical consultants Pimi"/>
    <s v="H000004396"/>
    <m/>
    <s v="Non-LFF"/>
    <s v=""/>
    <m/>
    <b v="0"/>
    <x v="1"/>
    <x v="0"/>
    <d v="2026-02-03T00:00:00"/>
    <m/>
    <m/>
    <x v="0"/>
    <n v="1"/>
    <s v="Rizza Tolentino"/>
    <m/>
  </r>
  <r>
    <x v="503"/>
    <x v="1"/>
    <x v="5"/>
    <s v="CTEMPNA_1000CA20176530 Med Non-R&amp;D Other medical non R&amp;D Pimi"/>
    <s v="H000004396"/>
    <m/>
    <s v="Non-LFF"/>
    <s v=""/>
    <m/>
    <b v="0"/>
    <x v="1"/>
    <x v="0"/>
    <d v="2026-02-03T00:00:00"/>
    <m/>
    <m/>
    <x v="0"/>
    <n v="1"/>
    <s v="Rizza Tolentino"/>
    <m/>
  </r>
  <r>
    <x v="503"/>
    <x v="1"/>
    <x v="5"/>
    <s v="CTEMPNA_1000CA20176540 Med Non-R&amp;D Medical education Pimi"/>
    <s v="H000004396"/>
    <m/>
    <s v="Non-LFF"/>
    <s v=""/>
    <m/>
    <b v="0"/>
    <x v="1"/>
    <x v="0"/>
    <d v="2026-02-03T00:00:00"/>
    <m/>
    <m/>
    <x v="0"/>
    <n v="1"/>
    <s v="Rizza Tolentino"/>
    <m/>
  </r>
  <r>
    <x v="503"/>
    <x v="1"/>
    <x v="5"/>
    <s v="CTEMPNA_1000CA20199272 Market Access Pimicotinib"/>
    <s v="H000004396"/>
    <m/>
    <s v="Non-LFF"/>
    <s v=""/>
    <m/>
    <b v="0"/>
    <x v="1"/>
    <x v="0"/>
    <d v="2026-02-03T00:00:00"/>
    <m/>
    <m/>
    <x v="0"/>
    <n v="1"/>
    <s v="Rizza Tolentino"/>
    <m/>
  </r>
  <r>
    <x v="504"/>
    <x v="1"/>
    <x v="5"/>
    <s v="CNOW_7210$$$0000056007 Mobius Warehouse-Distri"/>
    <s v="L000012185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56057 Mobius Warehouse-Dist"/>
    <s v="L000012185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59933 WUXI DISTRIBUTION for FG OUTPUT"/>
    <s v="L000009359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59983 WUXI DISTRIBUTION for FG OUTPUT"/>
    <s v="L000009359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52349"/>
    <s v="L000013422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ORAERP_MMOR1975.9748"/>
    <s v="L000013923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PHOENX_01010000669795 LS-OHC-S Projects"/>
    <s v="L000013923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PHOENX_01010000669610 External Manufacturing Quality Darmstadt"/>
    <s v="L000013923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25522 Quality Assurance - Serum"/>
    <s v="L000013923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08099 Continuing Laramie Costs"/>
    <s v="L000009645"/>
    <m/>
    <s v="Non-LFF"/>
    <s v=""/>
    <m/>
    <b v="0"/>
    <x v="2"/>
    <x v="0"/>
    <d v="2026-02-03T00:00:00"/>
    <m/>
    <m/>
    <x v="0"/>
    <n v="1"/>
    <s v="Ruby Grace Garcia"/>
    <m/>
  </r>
  <r>
    <x v="504"/>
    <x v="1"/>
    <x v="6"/>
    <s v="CLFF_7210$$$2102L80001 MFG ERP BPO"/>
    <s v="L000013930"/>
    <m/>
    <s v="LFF (MDG-F)"/>
    <s v="2102L80001"/>
    <m/>
    <b v="0"/>
    <x v="2"/>
    <x v="0"/>
    <d v="2026-02-03T00:00:00"/>
    <m/>
    <m/>
    <x v="0"/>
    <n v="1"/>
    <s v="Ruby Grace Garcia"/>
    <m/>
  </r>
  <r>
    <x v="504"/>
    <x v="1"/>
    <x v="6"/>
    <s v="CLFF_7210$$$2102TFSZ63 STL RS SPRING BUILDING"/>
    <s v="L000013932"/>
    <m/>
    <s v="LFF (MDG-F)"/>
    <s v="2102TFSZ63"/>
    <m/>
    <b v="0"/>
    <x v="2"/>
    <x v="0"/>
    <d v="2026-02-03T00:00:00"/>
    <m/>
    <m/>
    <x v="0"/>
    <n v="1"/>
    <s v="Ruby Grace Garcia"/>
    <m/>
  </r>
  <r>
    <x v="504"/>
    <x v="1"/>
    <x v="6"/>
    <s v="CLFF_7210$$$2102TMSZ92 STL RS MISC EXPENSES - COGS 2110"/>
    <s v="L000013932"/>
    <m/>
    <s v="LFF (MDG-F)"/>
    <s v="2102TMSZ92"/>
    <m/>
    <b v="0"/>
    <x v="2"/>
    <x v="0"/>
    <d v="2026-02-03T00:00:00"/>
    <m/>
    <m/>
    <x v="0"/>
    <n v="1"/>
    <s v="Ruby Grace Garcia"/>
    <m/>
  </r>
  <r>
    <x v="504"/>
    <x v="1"/>
    <x v="6"/>
    <s v="CLFF_7210$$$2102TMSZ95 STL RS MISCELLANEOUS EXPENSE G&amp;A"/>
    <s v="L000013932"/>
    <m/>
    <s v="LFF (MDG-F)"/>
    <s v="2102TMSZ95"/>
    <m/>
    <b v="0"/>
    <x v="2"/>
    <x v="0"/>
    <d v="2026-02-03T00:00:00"/>
    <m/>
    <m/>
    <x v="0"/>
    <n v="1"/>
    <s v="Ruby Grace Garcia"/>
    <m/>
  </r>
  <r>
    <x v="504"/>
    <x v="1"/>
    <x v="6"/>
    <s v="CLFF_7210$$$2102TMCZ94 Decarbonization Strategy"/>
    <s v="L000013932"/>
    <m/>
    <s v="LFF (MDG-F)"/>
    <s v="2102TMCZ94"/>
    <m/>
    <b v="0"/>
    <x v="2"/>
    <x v="0"/>
    <d v="2026-02-03T00:00:00"/>
    <m/>
    <m/>
    <x v="0"/>
    <n v="1"/>
    <s v="Ruby Grace Garcia"/>
    <m/>
  </r>
  <r>
    <x v="504"/>
    <x v="1"/>
    <x v="5"/>
    <s v="CNOW_7210$$$0000020223 STL RS SIGMA REDEVELOPMENT CORP (SPRUCE)"/>
    <s v="L000013932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20249 STL RS SECURITY BUILDING-OLIVE ST"/>
    <s v="L000013932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20251 STL RS SPRUCE BUILDING"/>
    <s v="L000013932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22109 RBI APP APPI ASSETS CO"/>
    <s v="L000013932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23303 STL BT 2230 PACKAGING DEPR"/>
    <s v="L000013932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ORAERP_MMOR1975.9667 LS Transformation Office - M&amp;A"/>
    <s v="L000013933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ORAERP_MMOR1975.9923 BD BP PS"/>
    <s v="L000013735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PHOENX_01010000697906 BD BP PS"/>
    <s v="L000013735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22408 BD BP SLS"/>
    <s v="L000013940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ORAERP_MMOR1975.9924 BD BP SLS"/>
    <s v="L000013735"/>
    <m/>
    <s v="Non-LFF"/>
    <s v=""/>
    <m/>
    <b v="0"/>
    <x v="2"/>
    <x v="0"/>
    <d v="2026-02-03T00:00:00"/>
    <m/>
    <m/>
    <x v="0"/>
    <n v="1"/>
    <s v="Ruby Grace Garcia"/>
    <m/>
  </r>
  <r>
    <x v="504"/>
    <x v="1"/>
    <x v="6"/>
    <s v="CLFF_7210$$$1756C05742 WW Business Development - AS"/>
    <s v="L000013933"/>
    <m/>
    <s v="LFF (MDG-F)"/>
    <s v="1756C05742"/>
    <m/>
    <b v="0"/>
    <x v="2"/>
    <x v="0"/>
    <d v="2026-02-03T00:00:00"/>
    <m/>
    <m/>
    <x v="0"/>
    <n v="1"/>
    <s v="Ruby Grace Garcia"/>
    <m/>
  </r>
  <r>
    <x v="504"/>
    <x v="1"/>
    <x v="6"/>
    <s v="CLFF_7210$$$2148C00002 AS Business Develp"/>
    <s v="L000013935"/>
    <m/>
    <s v="LFF (MDG-F)"/>
    <s v="2148C00002"/>
    <m/>
    <b v="0"/>
    <x v="2"/>
    <x v="0"/>
    <d v="2026-02-03T00:00:00"/>
    <m/>
    <m/>
    <x v="0"/>
    <n v="1"/>
    <s v="Ruby Grace Garcia"/>
    <m/>
  </r>
  <r>
    <x v="504"/>
    <x v="1"/>
    <x v="5"/>
    <s v="CNOW_7210$$$0000020347 STL APPLED BUSINESS DEVELOPMENT"/>
    <s v="L000013935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51420 Business Development"/>
    <s v="L000013940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ORAERP_MMOR1975.6729 SLS Business Development"/>
    <s v="L000013933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EMERAL_70007001581588 SLS Business Development Singapore"/>
    <s v="L000013937"/>
    <m/>
    <s v="Non-LFF"/>
    <s v=""/>
    <m/>
    <b v="0"/>
    <x v="2"/>
    <x v="0"/>
    <d v="2026-02-03T00:00:00"/>
    <m/>
    <m/>
    <x v="0"/>
    <n v="1"/>
    <s v="Ruby Grace Garcia"/>
    <m/>
  </r>
  <r>
    <x v="504"/>
    <x v="1"/>
    <x v="6"/>
    <s v="CLFF_7210$$$1919R05630 RS R&amp;D Business Dev. EMEA"/>
    <s v="L000013940"/>
    <m/>
    <s v="LFF (MDG-F)"/>
    <s v="1919R05630"/>
    <m/>
    <b v="0"/>
    <x v="2"/>
    <x v="0"/>
    <d v="2026-02-03T00:00:00"/>
    <m/>
    <m/>
    <x v="0"/>
    <n v="1"/>
    <s v="Ruby Grace Garcia"/>
    <m/>
  </r>
  <r>
    <x v="504"/>
    <x v="1"/>
    <x v="6"/>
    <s v="CLFF_7210$$$2118R00001 Research Solutions - BD China"/>
    <s v="L000013937"/>
    <m/>
    <s v="LFF (MDG-F)"/>
    <s v="2118R00001"/>
    <m/>
    <b v="0"/>
    <x v="2"/>
    <x v="0"/>
    <d v="2026-02-03T00:00:00"/>
    <m/>
    <m/>
    <x v="0"/>
    <n v="1"/>
    <s v="Ruby Grace Garcia"/>
    <m/>
  </r>
  <r>
    <x v="504"/>
    <x v="1"/>
    <x v="5"/>
    <s v="CNOW_7210$$$0000040178 R&amp;D LSC Licensing"/>
    <s v="L000013934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40271 MWK RS Business Development"/>
    <s v="L000013934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40542 MWK RS CHEMISTRY BD"/>
    <s v="L000013935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51569 RS R&amp;D Business Dev. Head of"/>
    <s v="L000013935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NOW_7210$$$0000051869 RS R&amp;D Business Dev. Head of"/>
    <s v="L000013940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ORAERP_MMOR1975.6097 MWK RS Business Development"/>
    <s v="L000013940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ORAERP_MMOR1975.6713 Business Development Manager US"/>
    <s v="L000013935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PHOENX_01010000697907 BD BP LSS"/>
    <s v="L000013940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ORAERP_MMOR1975.9871 LS Business Development"/>
    <s v="L000013940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PHOENX_01010000636710 Business Development"/>
    <s v="L000013933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ORAERP_MMOR1975.9977 BMS &amp; Business Partnering LS - HO"/>
    <s v="L000013734"/>
    <m/>
    <s v="Non-LFF"/>
    <s v=""/>
    <m/>
    <b v="0"/>
    <x v="2"/>
    <x v="0"/>
    <d v="2026-02-03T00:00:00"/>
    <m/>
    <m/>
    <x v="0"/>
    <n v="1"/>
    <s v="Ruby Grace Garcia"/>
    <m/>
  </r>
  <r>
    <x v="504"/>
    <x v="1"/>
    <x v="5"/>
    <s v="CPHOENX_01010000697998 LS Change Management"/>
    <s v="L000013956"/>
    <m/>
    <s v="Non-LFF"/>
    <s v=""/>
    <m/>
    <b v="0"/>
    <x v="2"/>
    <x v="0"/>
    <d v="2026-02-03T00:00:00"/>
    <m/>
    <m/>
    <x v="0"/>
    <n v="1"/>
    <s v="Ruby Grace Garcia"/>
    <m/>
  </r>
  <r>
    <x v="505"/>
    <x v="1"/>
    <x v="3"/>
    <s v="CLFF_1000$$$CN01C00471 PMI Management"/>
    <s v="P000000572"/>
    <m/>
    <s v="LFF (MDG-F)"/>
    <s v="CN01C00471"/>
    <m/>
    <b v="0"/>
    <x v="3"/>
    <x v="0"/>
    <d v="2026-02-03T00:00:00"/>
    <m/>
    <m/>
    <x v="0"/>
    <n v="1"/>
    <s v="John Rowie Del Rosario"/>
    <m/>
  </r>
  <r>
    <x v="505"/>
    <x v="1"/>
    <x v="3"/>
    <s v="CLFF_1000$$$CN01C00412 PMI Sales Specialty Accounts"/>
    <s v="P000000574"/>
    <m/>
    <s v="LFF (MDG-F)"/>
    <s v="CN01C00412"/>
    <m/>
    <b v="0"/>
    <x v="3"/>
    <x v="0"/>
    <d v="2026-02-03T00:00:00"/>
    <m/>
    <m/>
    <x v="0"/>
    <n v="1"/>
    <s v="John Rowie Del Rosario"/>
    <m/>
  </r>
  <r>
    <x v="505"/>
    <x v="1"/>
    <x v="3"/>
    <s v="CLFF_1000$$$CN01C00415 PMI Tech Service Specialty Accounts"/>
    <s v="P000001423"/>
    <m/>
    <s v="LFF (MDG-F)"/>
    <s v="CN01C00415"/>
    <m/>
    <b v="0"/>
    <x v="3"/>
    <x v="0"/>
    <d v="2026-02-03T00:00:00"/>
    <m/>
    <m/>
    <x v="0"/>
    <n v="1"/>
    <s v="John Rowie Del Rosario"/>
    <m/>
  </r>
  <r>
    <x v="505"/>
    <x v="1"/>
    <x v="3"/>
    <s v="CLFF_1000$$$CN02C00412 PMI Sales Specialty Accounts"/>
    <s v="P000000574"/>
    <m/>
    <s v="LFF (MDG-F)"/>
    <s v="CN02C00412"/>
    <m/>
    <b v="0"/>
    <x v="3"/>
    <x v="0"/>
    <d v="2026-02-03T00:00:00"/>
    <m/>
    <m/>
    <x v="0"/>
    <n v="1"/>
    <s v="John Rowie Del Rosario"/>
    <m/>
  </r>
  <r>
    <x v="505"/>
    <x v="1"/>
    <x v="5"/>
    <s v="CFLTFLE_12950000000104 Production/Operations"/>
    <s v="P000000575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CFLTFLE_12950000000105"/>
    <s v="P000000575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CFLTFLE_12950000000110 Quality"/>
    <s v="P000000575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CFLTFLE_12950000000111 Metals Processing"/>
    <s v="P000000575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CFLTFLE_12950000000112 Organics Manufacturing"/>
    <s v="P000000575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CFLTFLE_12950000000113 Paste blending"/>
    <s v="P000000575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CFLTFLE_12950000000114 Packaging"/>
    <s v="P000000575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3"/>
    <s v="CLFF_1000$$$DE10B02070 EL-OP-SDP2 G1 Small Scale"/>
    <s v="P000001418"/>
    <m/>
    <s v="LFF (MDG-F)"/>
    <s v="DE10B02070"/>
    <m/>
    <b v="0"/>
    <x v="3"/>
    <x v="0"/>
    <d v="2026-02-03T00:00:00"/>
    <m/>
    <m/>
    <x v="0"/>
    <n v="1"/>
    <s v="John Rowie Del Rosario"/>
    <m/>
  </r>
  <r>
    <x v="505"/>
    <x v="1"/>
    <x v="3"/>
    <s v="CLFF_1000$$$DE10B02075 EL-OP-SDP2 N5 Small Scale"/>
    <s v="P000001418"/>
    <m/>
    <s v="LFF (MDG-F)"/>
    <s v="DE10B02075"/>
    <m/>
    <b v="0"/>
    <x v="3"/>
    <x v="0"/>
    <d v="2026-02-03T00:00:00"/>
    <m/>
    <m/>
    <x v="0"/>
    <n v="1"/>
    <s v="John Rowie Del Rosario"/>
    <m/>
  </r>
  <r>
    <x v="505"/>
    <x v="1"/>
    <x v="5"/>
    <s v="CPHOENX_01010000602070 EL-OP-SDP2 G1 Small Scale 1"/>
    <s v="P000001418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CPHOENX_01010000602075 EL-OP-SDP2 N5 Small Scale 2"/>
    <s v="P000001418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190030 DSS_REVENUE_YMTC_24K_GG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20072 DS REV MIT GAS EQ-GCS-FSE SVC Q-15860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20079 DS REV INTEL F34MOD1 SICL4 INSTL Q-21005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20086 DSS REVENUE EFP_TSMC12P6 SC070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20104 DS_Revenue_CG Intel DL Bluesea CGX52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20117 DSS_Revenue_CG_Kingway_2302Project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30016 DS REV MEMC TURNKEY Q-20130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30024 DSS REVENUE EFP/BSGS/GasSTAR_SAFC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30049 DS REV SAMSUNG TAYLOR TECH TRANS Q-24022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30059 DS REV INTEL F24 CG400 COMMMISSION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30069 DSS REVENUE EFP_tsmcAP3-BP-CoW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30070 DS_Revenue_EFP_AMAT_Xi'an_Qmac of SMRT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16 DS_Revenue_AMAT_Xi'an SMRT Project 24032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18 DS_Revenue_CG_SMSC 15sets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19 DS_Revenue_CG/GC_SIEN_29sets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21 DS_Revenue_Chuxing_CG&amp;EFP_CG2000*1set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24 DS_Revenue_CG_EVER DIRECT 7SETS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25 DSS REVENUE EFP-TSA BSGS utilities_SAFC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29 DS REV INTEL F38 SPARROW MOD 1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32 DSS Revenue_CG/EFP_XMC_CG2000_CG100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33 DS_Revenue_CG_EVER DIRECT 12SETS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34 DS_Revenue_CG_CXMT_Beijing&amp;Hefei_14set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36 DS_Revenue_CG_EFP_HHG Chengdu_10EA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43 DS_Revenue_CG_HHG WUXI_6EA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46 DSS REVENUE EFP_TSMC6 Controller upgrade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47 DS REV LAM FSE STARTUP SUPPORT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51 DS REV INTEL AZ FSE FW UPGRADE SUPP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53 DS_Revenue_CG/EFP_CXMT_88EA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54 DSS revenue_CG_Intel_5EA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56 DSS Revenue_BSGS/GC/EFP_Guangmao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61 DS REV INTEL OH CARDINAL QMAC REPLACEMEN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63 DSS REVENUE EFP_TSMC12P6 SC112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DS240064 DS REV INTEL OR HCL QMAC ANALYZER MOD 2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01000000 DS REV TSMC FSE COORDINATOR &amp; REPAIR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02000000 DS_Revenue_CG_EFP_DongGuan-19EA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03000000 DSS revenue_CG/EFP_Intel_6EA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04000000 DS REV P3 HP CO2 Capacity-up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05000000 DS REV INTEL IRELAND 2025 PROJECT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06    000000 DssRev RtrftStckr 5%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08000000 DS REV INTEL AZ SPEC GAS FSE SUPPORT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09000000 DssKr Rev GkTrcHtr SKhynix Chungju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10000000 DS_Revenue_EFP_AMAT XI'an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11000000 DS REV INTEL AZ TOOL TIE-IN Q-28350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12    000000 DssKr Rev Gk Anlzr N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14000000 DS REV INTEL F14 GCS UPGRADE Q-27689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15000000 DS REV INTEL NM PF CONV FSE SUPPORT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16000000 DS_Revenue_CG/EFP_SMIC GROUP_9EA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17000000 DS REV ANALOG DEV GCS UPGRADE Q-26931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18000000 DS_Revenue_CG/EFP_Huali Fab8_21EA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19000000 DssRev Gk Gc RtrftCntlr 12set SecS1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20000000 DS_Revenue_CG/EFP_Huali Fab8_4EA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21000000 DS REV MICRON ID1 PHASE 1 Q-28126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24000000 DS_Revenue_CG/EFP_Fullsemi_3EA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26000000 DS REV LAM CA FSE SUPPORT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29000000 DSS-Revenue GCR/BSGS/EFP-YouMeng-19EA"/>
    <s v="P000001108 "/>
    <m/>
    <s v="Non-LFF"/>
    <s v=""/>
    <m/>
    <b v="0"/>
    <x v="3"/>
    <x v="0"/>
    <d v="2026-02-03T00:00:00"/>
    <m/>
    <m/>
    <x v="0"/>
    <n v="1"/>
    <s v="John Rowie Del Rosario"/>
    <m/>
  </r>
  <r>
    <x v="505"/>
    <x v="1"/>
    <x v="5"/>
    <s v="RP000033000000 DS REV MICRON VA FSE SUPPORT"/>
    <s v="P000001108 "/>
    <m/>
    <s v="Non-LFF"/>
    <s v=""/>
    <m/>
    <b v="0"/>
    <x v="3"/>
    <x v="0"/>
    <d v="2026-02-03T00:00:00"/>
    <m/>
    <m/>
    <x v="0"/>
    <n v="1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9"/>
        <item sd="0" m="1" x="7"/>
        <item sd="0" m="1" x="8"/>
        <item x="0"/>
        <item x="6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3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4"/>
    </i>
    <i r="1">
      <x/>
    </i>
    <i>
      <x v="6"/>
    </i>
    <i r="1">
      <x/>
    </i>
    <i r="1">
      <x v="3"/>
    </i>
    <i r="1">
      <x v="11"/>
    </i>
    <i>
      <x v="7"/>
    </i>
    <i r="1">
      <x/>
    </i>
    <i r="1">
      <x v="3"/>
    </i>
    <i r="1">
      <x v="10"/>
    </i>
    <i r="1">
      <x v="11"/>
    </i>
    <i r="1">
      <x v="13"/>
    </i>
    <i>
      <x v="8"/>
    </i>
    <i r="1">
      <x/>
    </i>
    <i r="1">
      <x v="1"/>
    </i>
    <i r="1">
      <x v="3"/>
    </i>
    <i r="1">
      <x v="10"/>
    </i>
    <i r="1">
      <x v="11"/>
    </i>
    <i r="1">
      <x v="13"/>
    </i>
    <i>
      <x v="9"/>
    </i>
    <i r="1">
      <x/>
    </i>
    <i>
      <x v="10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9" firstHeaderRow="1" firstDataRow="1" firstDataCol="1" rowPageCount="1" colPageCount="1"/>
  <pivotFields count="19">
    <pivotField axis="axisRow" showAll="0" sortType="ascending">
      <items count="1688">
        <item m="1" x="1072"/>
        <item x="0"/>
        <item m="1" x="1142"/>
        <item m="1" x="1563"/>
        <item m="1" x="725"/>
        <item m="1" x="1580"/>
        <item m="1" x="1102"/>
        <item m="1" x="1192"/>
        <item m="1" x="1613"/>
        <item m="1" x="1407"/>
        <item m="1" x="1095"/>
        <item m="1" x="1679"/>
        <item m="1" x="1425"/>
        <item m="1" x="1669"/>
        <item m="1" x="1043"/>
        <item m="1" x="944"/>
        <item m="1" x="648"/>
        <item m="1" x="909"/>
        <item m="1" x="1633"/>
        <item m="1" x="701"/>
        <item m="1" x="1009"/>
        <item m="1" x="1377"/>
        <item m="1" x="1092"/>
        <item m="1" x="1185"/>
        <item m="1" x="1481"/>
        <item m="1" x="1666"/>
        <item m="1" x="1127"/>
        <item m="1" x="1149"/>
        <item m="1" x="914"/>
        <item m="1" x="1315"/>
        <item m="1" x="1074"/>
        <item m="1" x="1620"/>
        <item m="1" x="1277"/>
        <item m="1" x="710"/>
        <item m="1" x="818"/>
        <item m="1" x="1605"/>
        <item m="1" x="1369"/>
        <item m="1" x="623"/>
        <item m="1" x="1455"/>
        <item m="1" x="1121"/>
        <item m="1" x="1416"/>
        <item m="1" x="1002"/>
        <item m="1" x="1354"/>
        <item m="1" x="613"/>
        <item m="1" x="643"/>
        <item m="1" x="1682"/>
        <item m="1" x="1361"/>
        <item m="1" x="1429"/>
        <item m="1" x="1536"/>
        <item m="1" x="1305"/>
        <item m="1" x="1403"/>
        <item m="1" x="1242"/>
        <item m="1" x="697"/>
        <item m="1" x="888"/>
        <item m="1" x="1664"/>
        <item m="1" x="1232"/>
        <item m="1" x="1372"/>
        <item m="1" x="900"/>
        <item m="1" x="861"/>
        <item m="1" x="1153"/>
        <item m="1" x="1045"/>
        <item m="1" x="1078"/>
        <item m="1" x="637"/>
        <item m="1" x="776"/>
        <item m="1" x="1438"/>
        <item m="1" x="1655"/>
        <item m="1" x="841"/>
        <item m="1" x="1246"/>
        <item m="1" x="1256"/>
        <item m="1" x="1433"/>
        <item m="1" x="1543"/>
        <item m="1" x="1421"/>
        <item m="1" x="716"/>
        <item m="1" x="1564"/>
        <item m="1" x="1294"/>
        <item m="1" x="1281"/>
        <item m="1" x="816"/>
        <item m="1" x="1169"/>
        <item m="1" x="1516"/>
        <item m="1" x="634"/>
        <item m="1" x="1213"/>
        <item m="1" x="1566"/>
        <item m="1" x="1404"/>
        <item m="1" x="1139"/>
        <item m="1" x="1181"/>
        <item m="1" x="1062"/>
        <item m="1" x="1297"/>
        <item m="1" x="1109"/>
        <item m="1" x="1341"/>
        <item m="1" x="825"/>
        <item m="1" x="1654"/>
        <item m="1" x="1179"/>
        <item m="1" x="1465"/>
        <item m="1" x="542"/>
        <item m="1" x="1670"/>
        <item m="1" x="1206"/>
        <item m="1" x="1495"/>
        <item m="1" x="1408"/>
        <item m="1" x="1186"/>
        <item m="1" x="696"/>
        <item m="1" x="703"/>
        <item m="1" x="743"/>
        <item m="1" x="925"/>
        <item m="1" x="1349"/>
        <item m="1" x="1110"/>
        <item m="1" x="1226"/>
        <item m="1" x="1289"/>
        <item m="1" x="1436"/>
        <item m="1" x="1519"/>
        <item m="1" x="1081"/>
        <item m="1" x="802"/>
        <item m="1" x="645"/>
        <item m="1" x="788"/>
        <item m="1" x="1663"/>
        <item m="1" x="820"/>
        <item m="1" x="1501"/>
        <item m="1" x="1430"/>
        <item m="1" x="1048"/>
        <item m="1" x="1120"/>
        <item m="1" x="986"/>
        <item m="1" x="1243"/>
        <item m="1" x="1618"/>
        <item m="1" x="794"/>
        <item m="1" x="742"/>
        <item m="1" x="677"/>
        <item m="1" x="1343"/>
        <item m="1" x="1603"/>
        <item m="1" x="1531"/>
        <item m="1" x="1188"/>
        <item m="1" x="712"/>
        <item m="1" x="1437"/>
        <item m="1" x="889"/>
        <item m="1" x="1143"/>
        <item m="1" x="1318"/>
        <item m="1" x="1426"/>
        <item m="1" x="546"/>
        <item m="1" x="1375"/>
        <item m="1" x="1338"/>
        <item m="1" x="779"/>
        <item m="1" x="1227"/>
        <item m="1" x="1115"/>
        <item m="1" x="1068"/>
        <item m="1" x="801"/>
        <item m="1" x="737"/>
        <item m="1" x="977"/>
        <item m="1" x="1164"/>
        <item m="1" x="571"/>
        <item m="1" x="910"/>
        <item m="1" x="769"/>
        <item m="1" x="511"/>
        <item m="1" x="1021"/>
        <item m="1" x="1222"/>
        <item m="1" x="1104"/>
        <item m="1" x="1150"/>
        <item m="1" x="1469"/>
        <item m="1" x="1051"/>
        <item m="1" x="1577"/>
        <item m="1" x="1301"/>
        <item m="1" x="1240"/>
        <item m="1" x="754"/>
        <item m="1" x="1387"/>
        <item m="1" x="1665"/>
        <item m="1" x="1353"/>
        <item m="1" x="1337"/>
        <item m="1" x="624"/>
        <item m="1" x="672"/>
        <item m="1" x="1207"/>
        <item m="1" x="713"/>
        <item m="1" x="1650"/>
        <item m="1" x="1316"/>
        <item m="1" x="1241"/>
        <item m="1" x="1193"/>
        <item m="1" x="994"/>
        <item m="1" x="622"/>
        <item m="1" x="722"/>
        <item m="1" x="828"/>
        <item m="1" x="1561"/>
        <item m="1" x="1593"/>
        <item m="1" x="1292"/>
        <item m="1" x="1019"/>
        <item m="1" x="1107"/>
        <item m="1" x="617"/>
        <item m="1" x="657"/>
        <item m="1" x="996"/>
        <item m="1" x="1221"/>
        <item m="1" x="1134"/>
        <item m="1" x="792"/>
        <item m="1" x="1025"/>
        <item m="1" x="739"/>
        <item m="1" x="934"/>
        <item m="1" x="856"/>
        <item m="1" x="691"/>
        <item m="1" x="827"/>
        <item m="1" x="1197"/>
        <item m="1" x="607"/>
        <item m="1" x="846"/>
        <item m="1" x="638"/>
        <item m="1" x="1331"/>
        <item m="1" x="1520"/>
        <item m="1" x="1130"/>
        <item m="1" x="774"/>
        <item m="1" x="1424"/>
        <item m="1" x="1269"/>
        <item m="1" x="786"/>
        <item m="1" x="787"/>
        <item m="1" x="972"/>
        <item m="1" x="662"/>
        <item m="1" x="851"/>
        <item m="1" x="646"/>
        <item m="1" x="832"/>
        <item m="1" x="1400"/>
        <item m="1" x="911"/>
        <item m="1" x="1278"/>
        <item m="1" x="1328"/>
        <item m="1" x="1462"/>
        <item m="1" x="1466"/>
        <item m="1" x="1183"/>
        <item m="1" x="1024"/>
        <item m="1" x="1063"/>
        <item m="1" x="1630"/>
        <item m="1" x="923"/>
        <item m="1" x="735"/>
        <item m="1" x="1113"/>
        <item m="1" x="570"/>
        <item m="1" x="1634"/>
        <item m="1" x="1097"/>
        <item m="1" x="531"/>
        <item m="1" x="1552"/>
        <item m="1" x="1595"/>
        <item m="1" x="1432"/>
        <item m="1" x="809"/>
        <item m="1" x="548"/>
        <item m="1" x="1482"/>
        <item m="1" x="873"/>
        <item m="1" x="509"/>
        <item m="1" x="1653"/>
        <item m="1" x="897"/>
        <item m="1" x="1052"/>
        <item m="1" x="1497"/>
        <item m="1" x="584"/>
        <item m="1" x="1409"/>
        <item m="1" x="1217"/>
        <item m="1" x="1082"/>
        <item m="1" x="952"/>
        <item m="1" x="699"/>
        <item m="1" x="1200"/>
        <item m="1" x="902"/>
        <item m="1" x="1440"/>
        <item m="1" x="762"/>
        <item m="1" x="1510"/>
        <item m="1" x="1517"/>
        <item m="1" x="1201"/>
        <item m="1" x="1391"/>
        <item m="1" x="808"/>
        <item m="1" x="1105"/>
        <item m="1" x="1394"/>
        <item m="1" x="978"/>
        <item m="1" x="1268"/>
        <item m="1" x="907"/>
        <item m="1" x="692"/>
        <item m="1" x="896"/>
        <item m="1" x="1662"/>
        <item m="1" x="1604"/>
        <item m="1" x="749"/>
        <item m="1" x="1550"/>
        <item m="1" x="556"/>
        <item m="1" x="1572"/>
        <item m="1" x="591"/>
        <item m="1" x="893"/>
        <item m="1" x="991"/>
        <item m="1" x="938"/>
        <item m="1" x="1545"/>
        <item m="1" x="1448"/>
        <item m="1" x="689"/>
        <item m="1" x="1259"/>
        <item m="1" x="1467"/>
        <item m="1" x="1601"/>
        <item m="1" x="1508"/>
        <item m="1" x="594"/>
        <item m="1" x="1674"/>
        <item m="1" x="745"/>
        <item m="1" x="1026"/>
        <item m="1" x="1470"/>
        <item m="1" x="593"/>
        <item m="1" x="1529"/>
        <item m="1" x="758"/>
        <item m="1" x="1402"/>
        <item m="1" x="1266"/>
        <item m="1" x="1244"/>
        <item m="1" x="823"/>
        <item m="1" x="785"/>
        <item m="1" x="1597"/>
        <item m="1" x="538"/>
        <item m="1" x="720"/>
        <item m="1" x="1379"/>
        <item m="1" x="1490"/>
        <item m="1" x="1417"/>
        <item m="1" x="1621"/>
        <item m="1" x="1125"/>
        <item m="1" x="752"/>
        <item m="1" x="872"/>
        <item m="1" x="1191"/>
        <item m="1" x="933"/>
        <item m="1" x="1261"/>
        <item m="1" x="874"/>
        <item m="1" x="676"/>
        <item m="1" x="1329"/>
        <item m="1" x="731"/>
        <item m="1" x="611"/>
        <item m="1" x="1463"/>
        <item m="1" x="1610"/>
        <item m="1" x="1311"/>
        <item m="1" x="576"/>
        <item m="1" x="1502"/>
        <item m="1" x="1300"/>
        <item m="1" x="1410"/>
        <item m="1" x="1549"/>
        <item m="1" x="777"/>
        <item m="1" x="969"/>
        <item m="1" x="807"/>
        <item m="1" x="1075"/>
        <item m="1" x="999"/>
        <item m="1" x="1029"/>
        <item m="1" x="1565"/>
        <item m="1" x="1011"/>
        <item m="1" x="1214"/>
        <item m="1" x="746"/>
        <item m="1" x="945"/>
        <item m="1" x="919"/>
        <item m="1" x="1262"/>
        <item m="1" x="1165"/>
        <item m="1" x="1393"/>
        <item m="1" x="915"/>
        <item m="1" x="1551"/>
        <item m="1" x="753"/>
        <item m="1" x="679"/>
        <item m="1" x="935"/>
        <item m="1" x="1476"/>
        <item m="1" x="586"/>
        <item m="1" x="587"/>
        <item m="1" x="883"/>
        <item m="1" x="1556"/>
        <item m="1" x="950"/>
        <item m="1" x="595"/>
        <item m="1" x="755"/>
        <item m="1" x="997"/>
        <item m="1" x="1308"/>
        <item m="1" x="1280"/>
        <item m="1" x="951"/>
        <item m="1" x="532"/>
        <item m="1" x="670"/>
        <item m="1" x="882"/>
        <item m="1" x="770"/>
        <item m="1" x="527"/>
        <item m="1" x="1480"/>
        <item m="1" x="1609"/>
        <item m="1" x="1079"/>
        <item m="1" x="1509"/>
        <item m="1" x="1569"/>
        <item m="1" x="592"/>
        <item m="1" x="1607"/>
        <item m="1" x="1345"/>
        <item m="1" x="768"/>
        <item m="1" x="954"/>
        <item m="1" x="858"/>
        <item m="1" x="1220"/>
        <item m="1" x="791"/>
        <item m="1" x="1007"/>
        <item m="1" x="1302"/>
        <item m="1" x="1427"/>
        <item m="1" x="930"/>
        <item m="1" x="1058"/>
        <item m="1" x="870"/>
        <item m="1" x="796"/>
        <item m="1" x="1307"/>
        <item m="1" x="1422"/>
        <item m="1" x="1584"/>
        <item m="1" x="626"/>
        <item m="1" x="830"/>
        <item m="1" x="1270"/>
        <item m="1" x="671"/>
        <item m="1" x="958"/>
        <item m="1" x="1339"/>
        <item m="1" x="604"/>
        <item m="1" x="814"/>
        <item m="1" x="924"/>
        <item m="1" x="1530"/>
        <item m="1" x="763"/>
        <item m="1" x="1033"/>
        <item m="1" x="1586"/>
        <item m="1" x="714"/>
        <item m="1" x="903"/>
        <item m="1" x="1091"/>
        <item m="1" x="1428"/>
        <item m="1" x="726"/>
        <item m="1" x="982"/>
        <item m="1" x="824"/>
        <item m="1" x="1320"/>
        <item m="1" x="1506"/>
        <item m="1" x="632"/>
        <item m="1" x="852"/>
        <item m="1" x="1588"/>
        <item m="1" x="1553"/>
        <item m="1" x="653"/>
        <item m="1" x="970"/>
        <item m="1" x="1494"/>
        <item m="1" x="1625"/>
        <item m="1" x="1496"/>
        <item m="1" x="1471"/>
        <item m="1" x="602"/>
        <item m="1" x="778"/>
        <item m="1" x="860"/>
        <item m="1" x="849"/>
        <item m="1" x="1076"/>
        <item m="1" x="564"/>
        <item m="1" x="1263"/>
        <item m="1" x="1334"/>
        <item m="1" x="516"/>
        <item m="1" x="1594"/>
        <item m="1" x="1456"/>
        <item m="1" x="1585"/>
        <item m="1" x="1615"/>
        <item m="1" x="1651"/>
        <item m="1" x="1589"/>
        <item m="1" x="953"/>
        <item m="1" x="1313"/>
        <item m="1" x="920"/>
        <item m="1" x="1326"/>
        <item m="1" x="1291"/>
        <item m="1" x="729"/>
        <item m="1" x="767"/>
        <item m="1" x="905"/>
        <item m="1" x="1370"/>
        <item m="1" x="890"/>
        <item m="1" x="636"/>
        <item m="1" x="1635"/>
        <item m="1" x="1385"/>
        <item m="1" x="1218"/>
        <item m="1" x="1250"/>
        <item m="1" x="1299"/>
        <item m="1" x="724"/>
        <item m="1" x="1066"/>
        <item m="1" x="1411"/>
        <item m="1" x="562"/>
        <item m="1" x="805"/>
        <item m="1" x="705"/>
        <item m="1" x="702"/>
        <item m="1" x="706"/>
        <item m="1" x="507"/>
        <item m="1" x="728"/>
        <item m="1" x="1525"/>
        <item m="1" x="529"/>
        <item m="1" x="1175"/>
        <item m="1" x="1612"/>
        <item m="1" x="1423"/>
        <item m="1" x="683"/>
        <item m="1" x="1683"/>
        <item m="1" x="612"/>
        <item m="1" x="979"/>
        <item m="1" x="1202"/>
        <item m="1" x="658"/>
        <item m="1" x="1111"/>
        <item m="1" x="1271"/>
        <item m="1" x="1539"/>
        <item m="1" x="1441"/>
        <item m="1" x="520"/>
        <item m="1" x="1203"/>
        <item m="1" x="603"/>
        <item m="1" x="839"/>
        <item m="1" x="811"/>
        <item m="1" x="573"/>
        <item m="1" x="1166"/>
        <item m="1" x="1173"/>
        <item m="1" x="1273"/>
        <item m="1" x="1022"/>
        <item m="1" x="1522"/>
        <item m="1" x="931"/>
        <item m="1" x="1641"/>
        <item m="1" x="1276"/>
        <item m="1" x="1167"/>
        <item m="1" x="831"/>
        <item m="1" x="1239"/>
        <item m="1" x="1537"/>
        <item m="1" x="1602"/>
        <item m="1" x="1581"/>
        <item m="1" x="1511"/>
        <item m="1" x="1260"/>
        <item m="1" x="1373"/>
        <item m="1" x="886"/>
        <item m="1" x="1335"/>
        <item m="1" x="1160"/>
        <item m="1" x="1119"/>
        <item m="1" x="1117"/>
        <item m="1" x="1118"/>
        <item m="1" x="815"/>
        <item m="1" x="859"/>
        <item m="1" x="1472"/>
        <item m="1" x="1037"/>
        <item m="1" x="879"/>
        <item m="1" x="921"/>
        <item m="1" x="967"/>
        <item m="1" x="1219"/>
        <item m="1" x="1557"/>
        <item m="1" x="1646"/>
        <item m="1" x="764"/>
        <item m="1" x="715"/>
        <item m="1" x="552"/>
        <item m="1" x="574"/>
        <item m="1" x="871"/>
        <item m="1" x="659"/>
        <item m="1" x="987"/>
        <item m="1" x="1523"/>
        <item m="1" x="864"/>
        <item m="1" x="656"/>
        <item m="1" x="1415"/>
        <item m="1" x="533"/>
        <item m="1" x="1541"/>
        <item m="1" x="1616"/>
        <item m="1" x="1680"/>
        <item m="1" x="1555"/>
        <item m="1" x="798"/>
        <item m="1" x="575"/>
        <item m="1" x="1039"/>
        <item m="1" x="1123"/>
        <item m="1" x="1319"/>
        <item m="1" x="1287"/>
        <item m="1" x="1323"/>
        <item m="1" x="1100"/>
        <item m="1" x="1138"/>
        <item m="1" x="1579"/>
        <item m="1" x="1342"/>
        <item m="1" x="1312"/>
        <item m="1" x="1251"/>
        <item m="1" x="1324"/>
        <item m="1" x="525"/>
        <item m="1" x="530"/>
        <item m="1" x="1133"/>
        <item m="1" x="1518"/>
        <item m="1" x="1088"/>
        <item m="1" x="1658"/>
        <item m="1" x="1057"/>
        <item m="1" x="1233"/>
        <item m="1" x="1304"/>
        <item m="1" x="918"/>
        <item m="1" x="750"/>
        <item m="1" x="1126"/>
        <item m="1" x="812"/>
        <item m="1" x="1667"/>
        <item m="1" x="1582"/>
        <item m="1" x="1395"/>
        <item m="1" x="652"/>
        <item m="1" x="579"/>
        <item m="1" x="1152"/>
        <item m="1" x="1396"/>
        <item m="1" x="1685"/>
        <item m="1" x="1031"/>
        <item m="1" x="1632"/>
        <item m="1" x="566"/>
        <item m="1" x="680"/>
        <item m="1" x="992"/>
        <item m="1" x="1083"/>
        <item m="1" x="1512"/>
        <item m="1" x="836"/>
        <item m="1" x="1515"/>
        <item m="1" x="932"/>
        <item m="1" x="1504"/>
        <item m="1" x="1668"/>
        <item m="1" x="596"/>
        <item m="1" x="1652"/>
        <item m="1" x="543"/>
        <item m="1" x="1405"/>
        <item m="1" x="1023"/>
        <item m="1" x="854"/>
        <item m="1" x="817"/>
        <item m="1" x="961"/>
        <item m="1" x="560"/>
        <item m="1" x="1645"/>
        <item m="1" x="644"/>
        <item m="1" x="665"/>
        <item m="1" x="1538"/>
        <item m="1" x="1617"/>
        <item m="1" x="1131"/>
        <item m="1" x="1272"/>
        <item m="1" x="973"/>
        <item m="1" x="1086"/>
        <item m="1" x="1235"/>
        <item m="1" x="1352"/>
        <item m="1" x="939"/>
        <item m="1" x="1215"/>
        <item m="1" x="1034"/>
        <item m="1" x="1671"/>
        <item m="1" x="524"/>
        <item m="1" x="963"/>
        <item m="1" x="904"/>
        <item m="1" x="865"/>
        <item m="1" x="1659"/>
        <item m="1" x="1477"/>
        <item m="1" x="1608"/>
        <item m="1" x="621"/>
        <item m="1" x="1619"/>
        <item m="1" x="1606"/>
        <item m="1" x="1483"/>
        <item m="1" x="718"/>
        <item m="1" x="1087"/>
        <item m="1" x="1180"/>
        <item m="1" x="926"/>
        <item m="1" x="1524"/>
        <item m="1" x="1310"/>
        <item m="1" x="1330"/>
        <item m="1" x="1224"/>
        <item m="1" x="567"/>
        <item m="1" x="1397"/>
        <item m="1" x="1559"/>
        <item m="1" x="964"/>
        <item m="1" x="1678"/>
        <item m="1" x="1172"/>
        <item m="1" x="759"/>
        <item m="1" x="892"/>
        <item m="1" x="928"/>
        <item m="1" x="1587"/>
        <item m="1" x="1571"/>
        <item m="1" x="631"/>
        <item m="1" x="633"/>
        <item m="1" x="547"/>
        <item m="1" x="1507"/>
        <item m="1" x="549"/>
        <item m="1" x="966"/>
        <item m="1" x="866"/>
        <item m="1" x="1322"/>
        <item m="1" x="1265"/>
        <item m="1" x="1614"/>
        <item m="1" x="1546"/>
        <item m="1" x="1038"/>
        <item m="1" x="1252"/>
        <item m="1" x="1487"/>
        <item m="1" x="600"/>
        <item m="1" x="1032"/>
        <item m="1" x="962"/>
        <item m="1" x="1656"/>
        <item m="1" x="1623"/>
        <item m="1" x="1054"/>
        <item m="1" x="660"/>
        <item m="1" x="955"/>
        <item m="1" x="1128"/>
        <item m="1" x="582"/>
        <item m="1" x="1418"/>
        <item m="1" x="1012"/>
        <item m="1" x="822"/>
        <item m="1" x="916"/>
        <item m="1" x="1362"/>
        <item m="1" x="1661"/>
        <item m="1" x="740"/>
        <item m="1" x="1513"/>
        <item m="1" x="734"/>
        <item m="1" x="1298"/>
        <item m="1" x="1070"/>
        <item m="1" x="1001"/>
        <item m="1" x="723"/>
        <item m="1" x="790"/>
        <item m="1" x="578"/>
        <item m="1" x="1378"/>
        <item m="1" x="891"/>
        <item m="1" x="615"/>
        <item m="1" x="1229"/>
        <item m="1" x="1544"/>
        <item m="1" x="1084"/>
        <item m="1" x="1042"/>
        <item m="1" x="513"/>
        <item m="1" x="1649"/>
        <item m="1" x="899"/>
        <item m="1" x="959"/>
        <item m="1" x="1366"/>
        <item m="1" x="1643"/>
        <item m="1" x="1568"/>
        <item m="1" x="1419"/>
        <item m="1" x="1534"/>
        <item m="1" x="695"/>
        <item m="1" x="894"/>
        <item m="1" x="727"/>
        <item m="1" x="519"/>
        <item m="1" x="1132"/>
        <item m="1" x="581"/>
        <item m="1" x="803"/>
        <item m="1" x="747"/>
        <item m="1" x="693"/>
        <item m="1" x="1648"/>
        <item m="1" x="744"/>
        <item m="1" x="1346"/>
        <item m="1" x="1558"/>
        <item m="1" x="684"/>
        <item m="1" x="588"/>
        <item m="1" x="1381"/>
        <item m="1" x="1357"/>
        <item m="1" x="1398"/>
        <item m="1" x="1317"/>
        <item m="1" x="661"/>
        <item m="1" x="1017"/>
        <item m="1" x="1285"/>
        <item m="1" x="1535"/>
        <item m="1" x="1129"/>
        <item m="1" x="1247"/>
        <item m="1" x="1591"/>
        <item m="1" x="1003"/>
        <item m="1" x="847"/>
        <item m="1" x="1080"/>
        <item m="1" x="1027"/>
        <item m="1" x="957"/>
        <item m="1" x="1474"/>
        <item m="1" x="1161"/>
        <item m="1" x="1257"/>
        <item m="1" x="508"/>
        <item m="1" x="1053"/>
        <item m="1" x="655"/>
        <item m="1" x="922"/>
        <item m="1" x="1060"/>
        <item m="1" x="590"/>
        <item m="1" x="707"/>
        <item m="1" x="1162"/>
        <item m="1" x="1359"/>
        <item m="1" x="1629"/>
        <item m="1" x="1672"/>
        <item m="1" x="1282"/>
        <item m="1" x="630"/>
        <item m="1" x="558"/>
        <item m="1" x="1144"/>
        <item m="1" x="766"/>
        <item m="1" x="1040"/>
        <item m="1" x="668"/>
        <item m="1" x="771"/>
        <item m="1" x="1198"/>
        <item m="1" x="1554"/>
        <item m="1" x="1485"/>
        <item m="1" x="901"/>
        <item m="1" x="936"/>
        <item m="1" x="1212"/>
        <item m="1" x="1642"/>
        <item m="1" x="1368"/>
        <item m="1" x="534"/>
        <item m="1" x="1596"/>
        <item m="1" x="642"/>
        <item m="1" x="1288"/>
        <item m="1" x="1333"/>
        <item m="1" x="1336"/>
        <item m="1" x="1676"/>
        <item m="1" x="569"/>
        <item m="1" x="1347"/>
        <item m="1" x="1444"/>
        <item m="1" x="1216"/>
        <item m="1" x="1386"/>
        <item m="1" x="628"/>
        <item m="1" x="1020"/>
        <item m="1" x="867"/>
        <item m="1" x="1479"/>
        <item m="1" x="1574"/>
        <item m="1" x="1103"/>
        <item m="1" x="1542"/>
        <item m="1" x="1590"/>
        <item m="1" x="943"/>
        <item m="1" x="1446"/>
        <item m="1" x="1309"/>
        <item m="1" x="1592"/>
        <item m="1" x="1636"/>
        <item m="1" x="1374"/>
        <item m="1" x="984"/>
        <item m="1" x="789"/>
        <item m="1" x="1624"/>
        <item m="1" x="1171"/>
        <item m="1" x="1145"/>
        <item m="1" x="1154"/>
        <item m="1" x="1675"/>
        <item m="1" x="1399"/>
        <item m="1" x="1094"/>
        <item m="1" x="1363"/>
        <item m="1" x="1340"/>
        <item m="1" x="956"/>
        <item m="1" x="857"/>
        <item m="1" x="1356"/>
        <item m="1" x="751"/>
        <item m="1" x="708"/>
        <item m="1" x="650"/>
        <item m="1" x="1637"/>
        <item m="1" x="1253"/>
        <item m="1" x="988"/>
        <item m="1" x="1069"/>
        <item m="1" x="550"/>
        <item m="1" x="1626"/>
        <item m="1" x="1177"/>
        <item m="1" x="1325"/>
        <item m="1" x="773"/>
        <item m="1" x="1457"/>
        <item m="1" x="960"/>
        <item m="1" x="853"/>
        <item m="1" x="1681"/>
        <item m="1" x="983"/>
        <item m="1" x="1622"/>
        <item m="1" x="1208"/>
        <item m="1" x="884"/>
        <item m="1" x="675"/>
        <item m="1" x="618"/>
        <item m="1" x="912"/>
        <item m="1" x="609"/>
        <item m="1" x="580"/>
        <item m="1" x="597"/>
        <item m="1" x="876"/>
        <item m="1" x="721"/>
        <item m="1" x="1028"/>
        <item m="1" x="1085"/>
        <item m="1" x="1184"/>
        <item m="1" x="1055"/>
        <item m="1" x="1388"/>
        <item m="1" x="1452"/>
        <item m="1" x="664"/>
        <item m="1" x="674"/>
        <item m="1" x="863"/>
        <item m="1" x="1005"/>
        <item m="1" x="795"/>
        <item m="1" x="1348"/>
        <item m="1" x="1098"/>
        <item m="1" x="1015"/>
        <item m="1" x="1148"/>
        <item m="1" x="1454"/>
        <item m="1" x="1392"/>
        <item m="1" x="1478"/>
        <item m="1" x="1234"/>
        <item m="1" x="654"/>
        <item m="1" x="1660"/>
        <item m="1" x="1073"/>
        <item m="1" x="688"/>
        <item m="1" x="512"/>
        <item m="1" x="1657"/>
        <item m="1" x="1141"/>
        <item m="1" x="1108"/>
        <item m="1" x="880"/>
        <item m="1" x="760"/>
        <item m="1" x="844"/>
        <item m="1" x="998"/>
        <item m="1" x="1573"/>
        <item m="1" x="1492"/>
        <item m="1" x="868"/>
        <item m="1" x="941"/>
        <item m="1" x="948"/>
        <item m="1" x="1486"/>
        <item m="1" x="1089"/>
        <item m="1" x="561"/>
        <item m="1" x="1122"/>
        <item m="1" x="1401"/>
        <item m="1" x="1527"/>
        <item m="1" x="1420"/>
        <item m="1" x="1228"/>
        <item m="1" x="1526"/>
        <item m="1" x="540"/>
        <item m="1" x="1443"/>
        <item m="1" x="522"/>
        <item m="1" x="862"/>
        <item m="1" x="526"/>
        <item m="1" x="685"/>
        <item m="1" x="775"/>
        <item m="1" x="781"/>
        <item m="1" x="1199"/>
        <item m="1" x="1453"/>
        <item m="1" x="980"/>
        <item m="1" x="551"/>
        <item m="1" x="757"/>
        <item m="1" x="545"/>
        <item m="1" x="1540"/>
        <item m="1" x="765"/>
        <item m="1" x="1101"/>
        <item m="1" x="1560"/>
        <item m="1" x="887"/>
        <item m="1" x="829"/>
        <item m="1" x="1225"/>
        <item m="1" x="782"/>
        <item m="1" x="1090"/>
        <item m="1" x="1384"/>
        <item m="1" x="523"/>
        <item m="1" x="1036"/>
        <item m="1" x="1155"/>
        <item m="1" x="647"/>
        <item m="1" x="989"/>
        <item m="1" x="1124"/>
        <item m="1" x="875"/>
        <item m="1" x="913"/>
        <item m="1" x="640"/>
        <item m="1" x="1046"/>
        <item m="1" x="510"/>
        <item m="1" x="1182"/>
        <item m="1" x="1575"/>
        <item m="1" x="1296"/>
        <item m="1" x="1290"/>
        <item m="1" x="1189"/>
        <item m="1" x="515"/>
        <item m="1" x="1321"/>
        <item m="1" x="1364"/>
        <item m="1" x="1170"/>
        <item m="1" x="514"/>
        <item m="1" x="1521"/>
        <item m="1" x="1488"/>
        <item m="1" x="518"/>
        <item m="1" x="797"/>
        <item m="1" x="1187"/>
        <item m="1" x="1442"/>
        <item m="1" x="639"/>
        <item m="1" x="535"/>
        <item m="1" x="694"/>
        <item m="1" x="585"/>
        <item m="1" x="993"/>
        <item m="1" x="806"/>
        <item m="1" x="804"/>
        <item m="1" x="975"/>
        <item m="1" x="1077"/>
        <item m="1" x="981"/>
        <item m="1" x="1178"/>
        <item m="1" x="1030"/>
        <item m="1" x="895"/>
        <item m="1" x="1010"/>
        <item m="1" x="1503"/>
        <item m="1" x="1598"/>
        <item m="1" x="855"/>
        <item m="1" x="1578"/>
        <item m="1" x="620"/>
        <item m="1" x="1567"/>
        <item m="1" x="1264"/>
        <item m="1" x="1435"/>
        <item m="1" x="1514"/>
        <item m="1" x="1194"/>
        <item m="1" x="1406"/>
        <item m="1" x="698"/>
        <item m="1" x="681"/>
        <item m="1" x="1303"/>
        <item m="1" x="1275"/>
        <item m="1" x="837"/>
        <item m="1" x="1673"/>
        <item m="1" x="1245"/>
        <item m="1" x="985"/>
        <item m="1" x="1059"/>
        <item m="1" x="1018"/>
        <item m="1" x="1528"/>
        <item m="1" x="1532"/>
        <item m="1" x="528"/>
        <item m="1" x="1412"/>
        <item m="1" x="1458"/>
        <item m="1" x="577"/>
        <item m="1" x="949"/>
        <item m="1" x="940"/>
        <item m="1" x="1447"/>
        <item m="1" x="1146"/>
        <item m="1" x="1350"/>
        <item m="1" x="1016"/>
        <item m="1" x="1367"/>
        <item m="1" x="555"/>
        <item m="1" x="678"/>
        <item m="1" x="1647"/>
        <item m="1" x="1267"/>
        <item m="1" x="1639"/>
        <item m="1" x="559"/>
        <item m="1" x="819"/>
        <item m="1" x="635"/>
        <item m="1" x="568"/>
        <item m="1" x="583"/>
        <item m="1" x="1135"/>
        <item m="1" x="1168"/>
        <item m="1" x="840"/>
        <item m="1" x="1258"/>
        <item m="1" x="1576"/>
        <item m="1" x="927"/>
        <item m="1" x="1006"/>
        <item m="1" x="1156"/>
        <item m="1" x="1644"/>
        <item m="1" x="821"/>
        <item m="1" x="833"/>
        <item m="1" x="843"/>
        <item m="1" x="1464"/>
        <item m="1" x="1600"/>
        <item m="1" x="517"/>
        <item m="1" x="1344"/>
        <item m="1" x="1640"/>
        <item m="1" x="741"/>
        <item m="1" x="1056"/>
        <item m="1" x="1677"/>
        <item m="1" x="1583"/>
        <item m="1" x="730"/>
        <item m="1" x="842"/>
        <item m="1" x="929"/>
        <item m="1" x="1254"/>
        <item m="1" x="1451"/>
        <item m="1" x="686"/>
        <item m="1" x="1157"/>
        <item m="1" x="682"/>
        <item m="1" x="651"/>
        <item m="1" x="599"/>
        <item m="1" x="1570"/>
        <item m="1" x="1163"/>
        <item m="1" x="1611"/>
        <item m="1" x="1004"/>
        <item m="1" x="1628"/>
        <item m="1" x="1380"/>
        <item m="1" x="669"/>
        <item m="1" x="1484"/>
        <item m="1" x="1498"/>
        <item m="1" x="1158"/>
        <item m="1" x="1533"/>
        <item m="1" x="1371"/>
        <item m="1" x="1236"/>
        <item m="1" x="553"/>
        <item m="1" x="1382"/>
        <item m="1" x="1114"/>
        <item m="1" x="1047"/>
        <item m="1" x="1390"/>
        <item m="1" x="974"/>
        <item m="1" x="608"/>
        <item m="1" x="780"/>
        <item m="1" x="557"/>
        <item m="1" x="906"/>
        <item m="1" x="1284"/>
        <item m="1" x="869"/>
        <item m="1" x="732"/>
        <item m="1" x="947"/>
        <item m="1" x="625"/>
        <item m="1" x="877"/>
        <item m="1" x="748"/>
        <item m="1" x="1099"/>
        <item m="1" x="1686"/>
        <item m="1" x="1140"/>
        <item m="1" x="736"/>
        <item m="1" x="1013"/>
        <item m="1" x="719"/>
        <item m="1" x="772"/>
        <item m="1" x="1064"/>
        <item m="1" x="1332"/>
        <item m="1" x="1049"/>
        <item m="1" x="1499"/>
        <item m="1" x="1061"/>
        <item m="1" x="1295"/>
        <item m="1" x="610"/>
        <item m="1" x="1093"/>
        <item m="1" x="733"/>
        <item m="1" x="663"/>
        <item m="1" x="1389"/>
        <item m="1" x="704"/>
        <item m="1" x="1413"/>
        <item m="1" x="605"/>
        <item m="1" x="1230"/>
        <item m="1" x="1237"/>
        <item m="1" x="641"/>
        <item m="1" x="1159"/>
        <item m="1" x="537"/>
        <item m="1" x="1360"/>
        <item m="1" x="1065"/>
        <item m="1" x="1286"/>
        <item m="1" x="1255"/>
        <item m="1" x="1475"/>
        <item m="1" x="1248"/>
        <item m="1" x="826"/>
        <item m="1" x="1327"/>
        <item m="1" x="1461"/>
        <item m="1" x="1151"/>
        <item m="1" x="1283"/>
        <item m="1" x="616"/>
        <item m="1" x="1449"/>
        <item m="1" x="1106"/>
        <item m="1" x="971"/>
        <item m="1" x="1355"/>
        <item m="1" x="881"/>
        <item m="1" x="1204"/>
        <item m="1" x="738"/>
        <item m="1" x="834"/>
        <item m="1" x="1231"/>
        <item m="1" x="1000"/>
        <item m="1" x="544"/>
        <item m="1" x="878"/>
        <item m="1" x="1358"/>
        <item m="1" x="1460"/>
        <item m="1" x="563"/>
        <item m="1" x="848"/>
        <item m="1" x="783"/>
        <item m="1" x="1116"/>
        <item m="1" x="1209"/>
        <item m="1" x="649"/>
        <item m="1" x="1631"/>
        <item m="1" x="614"/>
        <item m="1" x="687"/>
        <item m="1" x="1468"/>
        <item m="1" x="976"/>
        <item m="1" x="990"/>
        <item m="1" x="1044"/>
        <item m="1" x="619"/>
        <item m="1" x="898"/>
        <item m="1" x="1293"/>
        <item m="1" x="1205"/>
        <item m="1" x="995"/>
        <item m="1" x="942"/>
        <item m="1" x="572"/>
        <item m="1" x="810"/>
        <item m="1" x="1274"/>
        <item m="1" x="908"/>
        <item m="1" x="1071"/>
        <item m="1" x="1008"/>
        <item m="1" x="1190"/>
        <item m="1" x="554"/>
        <item m="1" x="1035"/>
        <item m="1" x="709"/>
        <item m="1" x="1112"/>
        <item m="1" x="1238"/>
        <item m="1" x="1314"/>
        <item m="1" x="1249"/>
        <item m="1" x="1210"/>
        <item m="1" x="1136"/>
        <item m="1" x="1547"/>
        <item m="1" x="1439"/>
        <item m="1" x="690"/>
        <item m="1" x="1431"/>
        <item m="1" x="885"/>
        <item m="1" x="1195"/>
        <item m="1" x="601"/>
        <item m="1" x="1174"/>
        <item m="1" x="1041"/>
        <item m="1" x="1473"/>
        <item m="1" x="627"/>
        <item m="1" x="1684"/>
        <item m="1" x="666"/>
        <item m="1" x="606"/>
        <item m="1" x="1176"/>
        <item m="1" x="1376"/>
        <item m="1" x="1279"/>
        <item m="1" x="565"/>
        <item m="1" x="717"/>
        <item m="1" x="1505"/>
        <item m="1" x="1445"/>
        <item m="1" x="700"/>
        <item m="1" x="673"/>
        <item m="1" x="968"/>
        <item m="1" x="589"/>
        <item m="1" x="1196"/>
        <item m="1" x="629"/>
        <item m="1" x="799"/>
        <item m="1" x="1096"/>
        <item m="1" x="1627"/>
        <item m="1" x="667"/>
        <item m="1" x="937"/>
        <item m="1" x="784"/>
        <item m="1" x="946"/>
        <item m="1" x="1500"/>
        <item m="1" x="1383"/>
        <item m="1" x="845"/>
        <item m="1" x="598"/>
        <item m="1" x="1548"/>
        <item m="1" x="711"/>
        <item m="1" x="1493"/>
        <item m="1" x="1050"/>
        <item m="1" x="1434"/>
        <item m="1" x="793"/>
        <item m="1" x="965"/>
        <item m="1" x="1450"/>
        <item m="1" x="1638"/>
        <item m="1" x="1414"/>
        <item m="1" x="813"/>
        <item m="1" x="756"/>
        <item m="1" x="1459"/>
        <item m="1" x="1223"/>
        <item m="1" x="1067"/>
        <item m="1" x="1491"/>
        <item m="1" x="539"/>
        <item m="1" x="536"/>
        <item m="1" x="1211"/>
        <item m="1" x="1351"/>
        <item m="1" x="1306"/>
        <item m="1" x="1489"/>
        <item m="1" x="1014"/>
        <item m="1" x="761"/>
        <item m="1" x="835"/>
        <item m="1" x="1365"/>
        <item m="1" x="917"/>
        <item m="1" x="1147"/>
        <item m="1" x="1562"/>
        <item m="1" x="800"/>
        <item m="1" x="1137"/>
        <item m="1" x="521"/>
        <item m="1" x="85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m="1" x="838"/>
        <item m="1" x="1599"/>
        <item m="1" x="541"/>
        <item m="1" x="50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5">
    <i>
      <x/>
    </i>
    <i r="1">
      <x v="1671"/>
    </i>
    <i r="2">
      <x v="3"/>
    </i>
    <i r="2">
      <x v="11"/>
    </i>
    <i r="1">
      <x v="1679"/>
    </i>
    <i r="2">
      <x v="11"/>
    </i>
    <i r="1">
      <x v="1680"/>
    </i>
    <i r="2">
      <x v="8"/>
    </i>
    <i r="1">
      <x v="1681"/>
    </i>
    <i r="2">
      <x v="8"/>
    </i>
    <i r="2">
      <x v="11"/>
    </i>
    <i r="1">
      <x v="1682"/>
    </i>
    <i r="2">
      <x v="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27" totalsRowShown="0" totalsRowDxfId="30">
  <autoFilter ref="A1:C1427" xr:uid="{43456A03-EFD4-416A-B021-C441A7C21E4E}"/>
  <tableColumns count="3">
    <tableColumn id="1" xr3:uid="{96F9219D-1D74-4611-A7AA-8AB4E044352A}" name="Ticket" totalsRowDxfId="29"/>
    <tableColumn id="2" xr3:uid="{D6F02EDE-42BA-4EF9-A278-EA070340E315}" name="Number" totalsRowDxfId="28"/>
    <tableColumn id="3" xr3:uid="{F6A90E5F-0E5C-41D7-A40C-1CC9A86DC194}" name="Status" totalsRow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763" totalsRowShown="0">
  <autoFilter ref="A1:S5763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>
        <filter val="Non-LFF"/>
      </filters>
    </filterColumn>
  </autoFilter>
  <tableColumns count="19">
    <tableColumn id="1" xr3:uid="{5BF112CC-BAD1-48FD-B930-E0EF8CA67570}" name="App"/>
    <tableColumn id="2" xr3:uid="{F44F7455-95E4-448C-84F7-0BD5E8515FF2}" name="Filter" dataDxfId="26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5"/>
    <tableColumn id="7" xr3:uid="{D69C8A00-2CB4-4F31-920A-C1D332375D40}" name="type"/>
    <tableColumn id="9" xr3:uid="{3D246B09-CC89-411A-9E7E-B79496797F29}" name="LFF_ID" dataDxfId="24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3">
      <calculatedColumnFormula>Proc[[#This Row],[Requested]]=Proc[[#This Row],[CurrentParent]]</calculatedColumnFormula>
    </tableColumn>
    <tableColumn id="24" xr3:uid="{9DAA192A-7AAB-4460-A9EA-787D5AF7E069}" name="Sector" dataDxfId="22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1"/>
    <tableColumn id="15" xr3:uid="{F0BFEDC5-AB85-4752-8DBE-1E2D2A86C38C}" name="DateOpened" dataDxfId="20"/>
    <tableColumn id="17" xr3:uid="{78B7D816-31FE-4F8F-8018-91CE8D5DE9A2}" name="DateMapped" dataDxfId="19"/>
    <tableColumn id="16" xr3:uid="{37F76675-DAA7-497A-B0C3-D5ADC87396FC}" name="DateClosed" dataDxfId="18"/>
    <tableColumn id="23" xr3:uid="{77371810-6F86-4EEF-85D0-5FCFC20B88DC}" name="Delayed?" dataDxfId="17">
      <calculatedColumnFormula>IF(Proc[[#This Row],[DaysAgeing]]&gt;5,"yep","on track")</calculatedColumnFormula>
    </tableColumn>
    <tableColumn id="18" xr3:uid="{6AC4A96E-CE6C-49CA-A4F1-794160BB5940}" name="DaysAgeing" dataDxfId="16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5"/>
    <tableColumn id="22" xr3:uid="{87389AE1-9ECE-4C7F-80F9-48A35BE78A62}" name="Prognosis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3"/>
    <tableColumn id="6" xr3:uid="{73647D57-303F-4AF5-983C-1CCB32EBD08D}" name="Forecast Period" dataDxfId="12"/>
    <tableColumn id="4" xr3:uid="{FA11B267-B5E3-452C-A4E3-1668B4A12A28}" name="Number of Tickets Raised" dataDxfId="11"/>
    <tableColumn id="1" xr3:uid="{441BC59C-A1EA-4CA8-B944-D602CD57D89D}" name="Delayed Tickets"/>
    <tableColumn id="5" xr3:uid="{29680677-3B0F-4EC4-81FF-46A6FDD4C5F7}" name="Number of Total Objects" dataDxfId="10"/>
    <tableColumn id="2" xr3:uid="{3D96D299-AEA2-4D9C-9BE6-F98ADF0CDB84}" name="Commentary for delayed tickets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8"/>
  <sheetViews>
    <sheetView workbookViewId="0">
      <selection activeCell="B24" sqref="B2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0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1">
        <v>288</v>
      </c>
    </row>
    <row r="5" spans="1:2">
      <c r="A5" s="111" t="s">
        <v>369</v>
      </c>
      <c r="B5" s="181">
        <v>284</v>
      </c>
    </row>
    <row r="6" spans="1:2">
      <c r="A6" s="111" t="s">
        <v>404</v>
      </c>
      <c r="B6" s="181"/>
    </row>
    <row r="7" spans="1:2">
      <c r="A7" s="111" t="s">
        <v>370</v>
      </c>
      <c r="B7" s="181"/>
    </row>
    <row r="8" spans="1:2">
      <c r="A8" s="111" t="s">
        <v>403</v>
      </c>
      <c r="B8" s="181"/>
    </row>
    <row r="9" spans="1:2">
      <c r="A9" s="111" t="s">
        <v>398</v>
      </c>
      <c r="B9" s="181"/>
    </row>
    <row r="10" spans="1:2">
      <c r="A10" s="111" t="s">
        <v>377</v>
      </c>
      <c r="B10" s="181">
        <v>3</v>
      </c>
    </row>
    <row r="11" spans="1:2">
      <c r="A11" s="111" t="s">
        <v>375</v>
      </c>
      <c r="B11" s="181"/>
    </row>
    <row r="12" spans="1:2">
      <c r="A12" s="111" t="s">
        <v>405</v>
      </c>
      <c r="B12" s="181"/>
    </row>
    <row r="13" spans="1:2">
      <c r="A13" s="111" t="s">
        <v>692</v>
      </c>
      <c r="B13" s="181">
        <v>1</v>
      </c>
    </row>
    <row r="14" spans="1:2">
      <c r="A14" s="17" t="s">
        <v>7787</v>
      </c>
      <c r="B14" s="181">
        <v>217</v>
      </c>
    </row>
    <row r="15" spans="1:2">
      <c r="A15" s="111" t="s">
        <v>369</v>
      </c>
      <c r="B15" s="181">
        <v>217</v>
      </c>
    </row>
    <row r="16" spans="1:2">
      <c r="A16" s="17" t="s">
        <v>568</v>
      </c>
      <c r="B16" s="181">
        <v>355</v>
      </c>
    </row>
    <row r="17" spans="1:2">
      <c r="A17" s="111" t="s">
        <v>369</v>
      </c>
      <c r="B17" s="181">
        <v>310</v>
      </c>
    </row>
    <row r="18" spans="1:2">
      <c r="A18" s="111" t="s">
        <v>370</v>
      </c>
      <c r="B18" s="181">
        <v>36</v>
      </c>
    </row>
    <row r="19" spans="1:2">
      <c r="A19" s="111" t="s">
        <v>375</v>
      </c>
      <c r="B19" s="181">
        <v>9</v>
      </c>
    </row>
    <row r="20" spans="1:2">
      <c r="A20" s="17" t="s">
        <v>569</v>
      </c>
      <c r="B20" s="181">
        <v>266</v>
      </c>
    </row>
    <row r="21" spans="1:2">
      <c r="A21" s="111" t="s">
        <v>369</v>
      </c>
      <c r="B21" s="181">
        <v>239</v>
      </c>
    </row>
    <row r="22" spans="1:2">
      <c r="A22" s="111" t="s">
        <v>370</v>
      </c>
      <c r="B22" s="181">
        <v>13</v>
      </c>
    </row>
    <row r="23" spans="1:2">
      <c r="A23" s="111" t="s">
        <v>377</v>
      </c>
      <c r="B23" s="181">
        <v>12</v>
      </c>
    </row>
    <row r="24" spans="1:2">
      <c r="A24" s="111" t="s">
        <v>375</v>
      </c>
      <c r="B24" s="181">
        <v>1</v>
      </c>
    </row>
    <row r="25" spans="1:2">
      <c r="A25" s="111" t="s">
        <v>692</v>
      </c>
      <c r="B25" s="181">
        <v>1</v>
      </c>
    </row>
    <row r="26" spans="1:2">
      <c r="A26" s="17" t="s">
        <v>570</v>
      </c>
      <c r="B26" s="181">
        <v>513</v>
      </c>
    </row>
    <row r="27" spans="1:2">
      <c r="A27" s="111" t="s">
        <v>369</v>
      </c>
      <c r="B27" s="181">
        <v>397</v>
      </c>
    </row>
    <row r="28" spans="1:2">
      <c r="A28" s="111" t="s">
        <v>404</v>
      </c>
      <c r="B28" s="181">
        <v>6</v>
      </c>
    </row>
    <row r="29" spans="1:2">
      <c r="A29" s="111" t="s">
        <v>370</v>
      </c>
      <c r="B29" s="181">
        <v>65</v>
      </c>
    </row>
    <row r="30" spans="1:2">
      <c r="A30" s="111" t="s">
        <v>377</v>
      </c>
      <c r="B30" s="181">
        <v>43</v>
      </c>
    </row>
    <row r="31" spans="1:2">
      <c r="A31" s="111" t="s">
        <v>375</v>
      </c>
      <c r="B31" s="181">
        <v>1</v>
      </c>
    </row>
    <row r="32" spans="1:2">
      <c r="A32" s="111" t="s">
        <v>692</v>
      </c>
      <c r="B32" s="181">
        <v>1</v>
      </c>
    </row>
    <row r="33" spans="1:2">
      <c r="A33" s="17" t="s">
        <v>6997</v>
      </c>
      <c r="B33" s="181">
        <v>4</v>
      </c>
    </row>
    <row r="34" spans="1:2">
      <c r="A34" s="111" t="s">
        <v>369</v>
      </c>
      <c r="B34" s="181">
        <v>4</v>
      </c>
    </row>
    <row r="35" spans="1:2">
      <c r="A35" s="17" t="s">
        <v>7193</v>
      </c>
      <c r="B35" s="181">
        <v>16</v>
      </c>
    </row>
    <row r="36" spans="1:2">
      <c r="A36" s="111" t="s">
        <v>369</v>
      </c>
      <c r="B36" s="181">
        <v>11</v>
      </c>
    </row>
    <row r="37" spans="1:2">
      <c r="A37" s="111" t="s">
        <v>377</v>
      </c>
      <c r="B37" s="181">
        <v>5</v>
      </c>
    </row>
    <row r="38" spans="1:2">
      <c r="A38" s="17" t="s">
        <v>381</v>
      </c>
      <c r="B38" s="181">
        <v>1659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tabSelected="1" zoomScale="115" zoomScaleNormal="115" workbookViewId="0">
      <selection activeCell="D15" sqref="D15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0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1">
        <v>162</v>
      </c>
      <c r="C5"/>
      <c r="D5"/>
      <c r="E5"/>
    </row>
    <row r="6" spans="1:6">
      <c r="A6" s="111" t="s">
        <v>7810</v>
      </c>
      <c r="B6" s="181">
        <v>32</v>
      </c>
      <c r="C6" s="126"/>
      <c r="D6" s="124"/>
      <c r="E6" s="124"/>
    </row>
    <row r="7" spans="1:6">
      <c r="A7" s="112" t="s">
        <v>369</v>
      </c>
      <c r="B7" s="181">
        <v>31</v>
      </c>
      <c r="C7"/>
      <c r="D7"/>
      <c r="E7"/>
    </row>
    <row r="8" spans="1:6">
      <c r="A8" s="112" t="s">
        <v>375</v>
      </c>
      <c r="B8" s="181">
        <v>1</v>
      </c>
      <c r="C8" s="56"/>
      <c r="D8" s="124"/>
      <c r="E8" s="124"/>
    </row>
    <row r="9" spans="1:6">
      <c r="A9" s="111" t="s">
        <v>7995</v>
      </c>
      <c r="B9" s="181">
        <v>1</v>
      </c>
      <c r="C9"/>
      <c r="D9"/>
    </row>
    <row r="10" spans="1:6">
      <c r="A10" s="112" t="s">
        <v>375</v>
      </c>
      <c r="B10" s="181">
        <v>1</v>
      </c>
      <c r="C10" s="53"/>
      <c r="D10" s="124"/>
      <c r="E10" s="124"/>
    </row>
    <row r="11" spans="1:6">
      <c r="A11" s="111" t="s">
        <v>8005</v>
      </c>
      <c r="B11" s="181">
        <v>13</v>
      </c>
      <c r="C11"/>
      <c r="D11"/>
    </row>
    <row r="12" spans="1:6">
      <c r="A12" s="112" t="s">
        <v>370</v>
      </c>
      <c r="B12" s="181">
        <v>13</v>
      </c>
      <c r="C12" s="126"/>
      <c r="D12"/>
    </row>
    <row r="13" spans="1:6">
      <c r="A13" s="111" t="s">
        <v>8019</v>
      </c>
      <c r="B13" s="181">
        <v>45</v>
      </c>
      <c r="C13"/>
      <c r="D13"/>
    </row>
    <row r="14" spans="1:6">
      <c r="A14" s="112" t="s">
        <v>370</v>
      </c>
      <c r="B14" s="181">
        <v>36</v>
      </c>
      <c r="C14" s="126"/>
      <c r="D14"/>
    </row>
    <row r="15" spans="1:6">
      <c r="A15" s="112" t="s">
        <v>375</v>
      </c>
      <c r="B15" s="181">
        <v>9</v>
      </c>
      <c r="C15"/>
      <c r="D15" s="124"/>
      <c r="E15" s="124"/>
    </row>
    <row r="16" spans="1:6">
      <c r="A16" s="111" t="s">
        <v>8070</v>
      </c>
      <c r="B16" s="181">
        <v>71</v>
      </c>
      <c r="C16"/>
      <c r="D16"/>
    </row>
    <row r="17" spans="1:5">
      <c r="A17" s="112" t="s">
        <v>404</v>
      </c>
      <c r="B17" s="181">
        <v>6</v>
      </c>
      <c r="C17"/>
      <c r="D17" s="124"/>
      <c r="E17" s="124"/>
    </row>
    <row r="18" spans="1:5">
      <c r="A18" s="112" t="s">
        <v>370</v>
      </c>
      <c r="B18" s="181">
        <v>65</v>
      </c>
      <c r="C18" s="126"/>
      <c r="D18"/>
    </row>
    <row r="19" spans="1:5">
      <c r="A19" s="17" t="s">
        <v>381</v>
      </c>
      <c r="B19" s="181">
        <v>162</v>
      </c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27"/>
  <sheetViews>
    <sheetView topLeftCell="A1389" workbookViewId="0">
      <selection activeCell="C1424" sqref="C1424:C142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7792</v>
      </c>
      <c r="B1414">
        <v>2</v>
      </c>
      <c r="C1414" s="179" t="s">
        <v>4</v>
      </c>
    </row>
    <row r="1415" spans="1:3">
      <c r="A1415" t="s">
        <v>7793</v>
      </c>
      <c r="B1415">
        <v>1</v>
      </c>
      <c r="C1415" s="179" t="s">
        <v>4</v>
      </c>
    </row>
    <row r="1416" spans="1:3">
      <c r="A1416" t="s">
        <v>7795</v>
      </c>
      <c r="B1416">
        <v>2</v>
      </c>
      <c r="C1416" s="179" t="s">
        <v>4</v>
      </c>
    </row>
    <row r="1417" spans="1:3">
      <c r="A1417" t="s">
        <v>7799</v>
      </c>
      <c r="B1417">
        <v>2</v>
      </c>
      <c r="C1417" s="179" t="s">
        <v>4</v>
      </c>
    </row>
    <row r="1418" spans="1:3">
      <c r="A1418" t="s">
        <v>7843</v>
      </c>
      <c r="B1418">
        <v>1</v>
      </c>
      <c r="C1418" s="179" t="s">
        <v>4</v>
      </c>
    </row>
    <row r="1419" spans="1:3">
      <c r="A1419" t="s">
        <v>7850</v>
      </c>
      <c r="B1419">
        <v>2</v>
      </c>
      <c r="C1419" s="179" t="s">
        <v>4</v>
      </c>
    </row>
    <row r="1420" spans="1:3">
      <c r="A1420" t="s">
        <v>7854</v>
      </c>
      <c r="B1420">
        <v>4</v>
      </c>
      <c r="C1420" s="179" t="s">
        <v>4</v>
      </c>
    </row>
    <row r="1421" spans="1:3">
      <c r="A1421" t="s">
        <v>7860</v>
      </c>
      <c r="B1421">
        <v>5</v>
      </c>
      <c r="C1421" s="179" t="s">
        <v>4</v>
      </c>
    </row>
    <row r="1422" spans="1:3">
      <c r="A1422" t="s">
        <v>7882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7981</v>
      </c>
      <c r="B1425">
        <v>25</v>
      </c>
      <c r="C1425" s="180" t="s">
        <v>4</v>
      </c>
    </row>
    <row r="1426" spans="1:3">
      <c r="A1426" t="s">
        <v>7883</v>
      </c>
      <c r="B1426">
        <v>6</v>
      </c>
      <c r="C1426" s="180" t="s">
        <v>4</v>
      </c>
    </row>
    <row r="1427" spans="1:3">
      <c r="A1427" t="s">
        <v>7982</v>
      </c>
      <c r="B1427">
        <v>1</v>
      </c>
      <c r="C1427" s="180" t="s">
        <v>4</v>
      </c>
    </row>
  </sheetData>
  <conditionalFormatting sqref="A2:A545 A548:A568 A570:A1036 A1038:A1232 A1238:A1272 A1274:A1283 A1286:A1291 A1293:A1048576">
    <cfRule type="duplicateValues" dxfId="8" priority="4"/>
  </conditionalFormatting>
  <conditionalFormatting sqref="A1284">
    <cfRule type="duplicateValues" dxfId="7" priority="2"/>
  </conditionalFormatting>
  <conditionalFormatting sqref="A1292">
    <cfRule type="duplicateValues" dxfId="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763"/>
  <sheetViews>
    <sheetView zoomScale="105" zoomScaleNormal="105" workbookViewId="0">
      <selection activeCell="F5697" sqref="F569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293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268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268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268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268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268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268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268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268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268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268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268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264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261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261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261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261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261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261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261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261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261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261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261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261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261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261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261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261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261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261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261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261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261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261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261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261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261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261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261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261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261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261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261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261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261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261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261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261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261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261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261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261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261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260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260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260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260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260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260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260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260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260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260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260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260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260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260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260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260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260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260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260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260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260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260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260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260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260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260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260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260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260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260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260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260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260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260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260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260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260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260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260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260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260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260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260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260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260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260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260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260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260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260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260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260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260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260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260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260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260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260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260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259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259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259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259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259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258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258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256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256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255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252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252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252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252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252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252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252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252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252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252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252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252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252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252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252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252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252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252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252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252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252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251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251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251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251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251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246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246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246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241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241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241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241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241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241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241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241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241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241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241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241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241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241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241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241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241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241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237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237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237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232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231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231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231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231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231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231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231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231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231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231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231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231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217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217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216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216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216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206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191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191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191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191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191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191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191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191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191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191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191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191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191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191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191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191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191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191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191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191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188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188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188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188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187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187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187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187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187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187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187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187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187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187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187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187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187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187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187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187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187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187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187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187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187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187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187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187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187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187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187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187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187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187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186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186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186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186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186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186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186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186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186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186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186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186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186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186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186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186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186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186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182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182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182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182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182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182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182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182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182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182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182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182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182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182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182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182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182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182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182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182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182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182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182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182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182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182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182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182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182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182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182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182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182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182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182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182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182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182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182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182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182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182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182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182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182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182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182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182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182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182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182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182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182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182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182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182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182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182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182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182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182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182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182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182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182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182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182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182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182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182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182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182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182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182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182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182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182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182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182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182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182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182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182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182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182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182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182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182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182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182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182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182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176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176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171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171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166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166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166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166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166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166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166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166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166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166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166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166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166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166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166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166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166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166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166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166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166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166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166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166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166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166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166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166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166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166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166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166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166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166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166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166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166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166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166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166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166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166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166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166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166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166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166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166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166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166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166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166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166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166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166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166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166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166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166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166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166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166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166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166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166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166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166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166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166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166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166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166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166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166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166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166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166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166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166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166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166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166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166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166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166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166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166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166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166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166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166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166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166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166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166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166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166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166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166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166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166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166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166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166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166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163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163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163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163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164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161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161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156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156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156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156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156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156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156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156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156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156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156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154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154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154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154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154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154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154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154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154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154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154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154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154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154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154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154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154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154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154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154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154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154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154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154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154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154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154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154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154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154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154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154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154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154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154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154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154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154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154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154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154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154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154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154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154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154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154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154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154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154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154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154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154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154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154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154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154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154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154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154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154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154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154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154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154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154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154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154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154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154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154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154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154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154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154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154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154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154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154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154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154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154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154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154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154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154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154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154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154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154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154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154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154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154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154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154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154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154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154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154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154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154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154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154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154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154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154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154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154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154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154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154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154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154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154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154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154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154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154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154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154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154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154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154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154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154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154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154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154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154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154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154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154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154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154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154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154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154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154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154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154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154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154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154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154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154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154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154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154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154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154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154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154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154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154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154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154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154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154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154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154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154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154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154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154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154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154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154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154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154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154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154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154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154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154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154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154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154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154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154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154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154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154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154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154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154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154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154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154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154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154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154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154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154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154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154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154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154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154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154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154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154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154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154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154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154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154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154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154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154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154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154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154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154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154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154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154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154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154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154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154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154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154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154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154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154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154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154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154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154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154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154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154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154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154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154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154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154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154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154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154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154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154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154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154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154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154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154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154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154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154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154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154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154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154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154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154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154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154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154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154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154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154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154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154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154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154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154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154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154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154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154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154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154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154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154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154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154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154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154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154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154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154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154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154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154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154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154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154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154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154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154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154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154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154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154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154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154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154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154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154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154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154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154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154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154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154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154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154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154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154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154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154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154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154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154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154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154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154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154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154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154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154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154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154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154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154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154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154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154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154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154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154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154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154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152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152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152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152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152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152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152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152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152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152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151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151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151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150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150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150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150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150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150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149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149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147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146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146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146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145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145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145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143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143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143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143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143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143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143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140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140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140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140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140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140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140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140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140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140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140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140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140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140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140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140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140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140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140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140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140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140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140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140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140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140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140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140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140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139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139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137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137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137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137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137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137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137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137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137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137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135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135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135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135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135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135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135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135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134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134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134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134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134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134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134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134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134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134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134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134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134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134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134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134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134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132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132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132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132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132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132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132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132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132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132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132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132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132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132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132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132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132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132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132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132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132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132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132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132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132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132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132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132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132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132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132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132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132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132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132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132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132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132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132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132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132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132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132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132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132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132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132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132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132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132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132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132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132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132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132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132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132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132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132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132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132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132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132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132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132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132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132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132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132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132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132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132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132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132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132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132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132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132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132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132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132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132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132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132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132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132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132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132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132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132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132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132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132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132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132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132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132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132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132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132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132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132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132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132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132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132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132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132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132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132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132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132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132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132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132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132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132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132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132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132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132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132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132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132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132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132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132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132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132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132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132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132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132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132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132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132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132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132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132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132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132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132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132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132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132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132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132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132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132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132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132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132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132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132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132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132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132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132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132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132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132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132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132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132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132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132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132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132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132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132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132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132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132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132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132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132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132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132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132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132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132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132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132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132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132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132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132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132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132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132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132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132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132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132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132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132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132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132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132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132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132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132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132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132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132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132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132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132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132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132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132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132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132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132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132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132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132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132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132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132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132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132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132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132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132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132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132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132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132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132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132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132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132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132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132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132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132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132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132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132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132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132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132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132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132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132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132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132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132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132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132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132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132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132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132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132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132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132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132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132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132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132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132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132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132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132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132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132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132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132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132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132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132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132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132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132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132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132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132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132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132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132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132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132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132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132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132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132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132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132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132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132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132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132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132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131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131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131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131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131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131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131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131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131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131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131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131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131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131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131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131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131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131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131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131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131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131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131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131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131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131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131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131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131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131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131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131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131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131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131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131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131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131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131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131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131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131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131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131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131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131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131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131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131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131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131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131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131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131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131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131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131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131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131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131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131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131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131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131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131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131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131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131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131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131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131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131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131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131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131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131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131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131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131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131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131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131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131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131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131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131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131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131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131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131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131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131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131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131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131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131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131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131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131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131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131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131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131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131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131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131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131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131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131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131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131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131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131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131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131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131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131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131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131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131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131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131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131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131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131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131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131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131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131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131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131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131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131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131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131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131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131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131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131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131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131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131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131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131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131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131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131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131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131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131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131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131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131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131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131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131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131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131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131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131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131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131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131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131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131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131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131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131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131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131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131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131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131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131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131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131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131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131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131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131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131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131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131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131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131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131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131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131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131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131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131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131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131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131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131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131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131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131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131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131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131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131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128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128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128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128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128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128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128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128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128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128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128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128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128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128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128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128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128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128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128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128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128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128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128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128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128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128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128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128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128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128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128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128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128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128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128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128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128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128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128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128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128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128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128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127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127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126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126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126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126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126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126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126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125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125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125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124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124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124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124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124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124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124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124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124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124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124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124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124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124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124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124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124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124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124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124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124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124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124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124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124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124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124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124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124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124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124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124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124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124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124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124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124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124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124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124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124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124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124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124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124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124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124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124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124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124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124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124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124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124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124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124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124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124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124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124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124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124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124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124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124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124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124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124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124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124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124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124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124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124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124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124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124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124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124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124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124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124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124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124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124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124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124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124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124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124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124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124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124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124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123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123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123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123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123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123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123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123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123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123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123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123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123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123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123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123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123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123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123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122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122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122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122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122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122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122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122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122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122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122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122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122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122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122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122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122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122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121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121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121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121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121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121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121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121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121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121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121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121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118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118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118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118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118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118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118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118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118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118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118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118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118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118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118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118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118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118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118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118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118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118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118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118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118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118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118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118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118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117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117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117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117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117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117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117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117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117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117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117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117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117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117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117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117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117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117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117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117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117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117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117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117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117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117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117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117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117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117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117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117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117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117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117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116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116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116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116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116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116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116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116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116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116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116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116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116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116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116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116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116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116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116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116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116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116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116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116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116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116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116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116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116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116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116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116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116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116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116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116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116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116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116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116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116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116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116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116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116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116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116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116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116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116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116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116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116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116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116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116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116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116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116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116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116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116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116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116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116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116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116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116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116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116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116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116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116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116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116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116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116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116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116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116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116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116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116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116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116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116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116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116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116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116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116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116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116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116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116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116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116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116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116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116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116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116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116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116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116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116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116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116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116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116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116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116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116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116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116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116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116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116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116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116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116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116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116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116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116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116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116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116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116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116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116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116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116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116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116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116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116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116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116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116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116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116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116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116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116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116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116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116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116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116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116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116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116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116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116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116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116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116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116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116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116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116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116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116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116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116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116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116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116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116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116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116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116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116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116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116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116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116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116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116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116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116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116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116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116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116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116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116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116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116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116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116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116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116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116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116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116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116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116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116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116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116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116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116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116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116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116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116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116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116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116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116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116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116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116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116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116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116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116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116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116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116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116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116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116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116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116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116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116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116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116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116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116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116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116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116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114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114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114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114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114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114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114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114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114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114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114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114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114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114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114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114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113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113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113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113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113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113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113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113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113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113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113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113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113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113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113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113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113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113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113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113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113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113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113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113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113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113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113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113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113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113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113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113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113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113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113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113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113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113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113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112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112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112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112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112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112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112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112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112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112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112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112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112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112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112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112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112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112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111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111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111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111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111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111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111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111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111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111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111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111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111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111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111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111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111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111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111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111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111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111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111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111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111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111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111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111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111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111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111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111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111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111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111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111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111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111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111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111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111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111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111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111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111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111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111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111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111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111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111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111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111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111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111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111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111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111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111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111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111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111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111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111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111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111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111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111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111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111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111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111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111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111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111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111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111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111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111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111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111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111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111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111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111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111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111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111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111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111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111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111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111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111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111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111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111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111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111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111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111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111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111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111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111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111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111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111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111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111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111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111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111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111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111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107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107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107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107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107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107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107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107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107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107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107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107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106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106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106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106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106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106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106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106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106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106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106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106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106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106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106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106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106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106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106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106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106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106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106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106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106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106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106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106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106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106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106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103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103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103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103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103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103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103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103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103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102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101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101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101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101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101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101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100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100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100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100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100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100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100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100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100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100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100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100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100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100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100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100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100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100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100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100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99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99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99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99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99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99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99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99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99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99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99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99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98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98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98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98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98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98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98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98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98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98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98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98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95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95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95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95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95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95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95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95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95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95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95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95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95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95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95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95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95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95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95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95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95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95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95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95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95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95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95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95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95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95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95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95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95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95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95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95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95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95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95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95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95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95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95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95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95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95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95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95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95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95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94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94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94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94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94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94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94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94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94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94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94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94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94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94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94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94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91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90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90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90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90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90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90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88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88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88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88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88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88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88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88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88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88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88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88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88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88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88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88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88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88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88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88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88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88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88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88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88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88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88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88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88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88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88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88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88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88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88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88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88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88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88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88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88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88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88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88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88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88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88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86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86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86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86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86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86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86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86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86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86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86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86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86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86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86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86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86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86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86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86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86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86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86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86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86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86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86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86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84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84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84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84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79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79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79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79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79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78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78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78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78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78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78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78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78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78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78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78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78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75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75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75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75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75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75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75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75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75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75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75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75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75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75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75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75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75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75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75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75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75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75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75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75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75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75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75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75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75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74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73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72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72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72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72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72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72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72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72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72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72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72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72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72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72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72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72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72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72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72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72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72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72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72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72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72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72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72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71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71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71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71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71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71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71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71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71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71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71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71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71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71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71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71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71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71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71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71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71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71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71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71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71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71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71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71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71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71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71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71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71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71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71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71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71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71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71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70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73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73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68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68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68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68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68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68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68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68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68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68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68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68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68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68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68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68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68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68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68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68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68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68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68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68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68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68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68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68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68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68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68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68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68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68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68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68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68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68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68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68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68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68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68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68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68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68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68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68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68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68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68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68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68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68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68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68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68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68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68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68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68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68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68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68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68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68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68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68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68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68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68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68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68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68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68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68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68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68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68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68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68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68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68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68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68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68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68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68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68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68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68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68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68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66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66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66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66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66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66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66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66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66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66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66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66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66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66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66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66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66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66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66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66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66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66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66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66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66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66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66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66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66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65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63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63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63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60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60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60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60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60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60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60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60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60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60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60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60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60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60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60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60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60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60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60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60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60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60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60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60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60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60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60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60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60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60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60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60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60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60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60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60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60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60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60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60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60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60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60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60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60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60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60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60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60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60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60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60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60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60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60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60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60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60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60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57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57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57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57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57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57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57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57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57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57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57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57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57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57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57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57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57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57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57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57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57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57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57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57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56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56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56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56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56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56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56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56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56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56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56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56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56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56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54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54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54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54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54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54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54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52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52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52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52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52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52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52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52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52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52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52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52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52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52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52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52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52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52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52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52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52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52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52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52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52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52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52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52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52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52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52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52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52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52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52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52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52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52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52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52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52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52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52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52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52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52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52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52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52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52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52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52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52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52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52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52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52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52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52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52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52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52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52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52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51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51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51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51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51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51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51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51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51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51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49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49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49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49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49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49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49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49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49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49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49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49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49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49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49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49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49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49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49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49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49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49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49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49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49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49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49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49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49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49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49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49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49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49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48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48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48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48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48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48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48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48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48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48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48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48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48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48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48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48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48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48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48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48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48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48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48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48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48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48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48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48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48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48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48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48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48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48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48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48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48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48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48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48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48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48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48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48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48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48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48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48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48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48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48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48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48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48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48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48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48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48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48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48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48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48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48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48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48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48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48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48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48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48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48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48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48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48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48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48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48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48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48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48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48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48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48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48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48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48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48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48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48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48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48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48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48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48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48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48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48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48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48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48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48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48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48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48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48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48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48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48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48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48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48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48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48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48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48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48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48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48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48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48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48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48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48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48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48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48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48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48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48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48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48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48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48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48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48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48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48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48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48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48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48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48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48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48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48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47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47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47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47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47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47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47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47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47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47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47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47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47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47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47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47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47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47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47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47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47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47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47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47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47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47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47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47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46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46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46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46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46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46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46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46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46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46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46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45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45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45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45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45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45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45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45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45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45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45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45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45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45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45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45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45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45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45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45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45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45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45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45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45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45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44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44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43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43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43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43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43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43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43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43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43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43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43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43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43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43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43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43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43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43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43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43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42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42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42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42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42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42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42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42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42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42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42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42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42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42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42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42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42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42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42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42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42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42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42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42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42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42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42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42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42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42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42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42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42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42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40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40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40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40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40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40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40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40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38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38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38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38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38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37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37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37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37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37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37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37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34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34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34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34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34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34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34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34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34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34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34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34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34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34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34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30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30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30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30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30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30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30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30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30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30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30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30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30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30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30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30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27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27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27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6434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23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6434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23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6434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23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6434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23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6434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23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6434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23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6434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23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6434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23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6434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23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6434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23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6434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23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6434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23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6434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23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6434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23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6434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23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6434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23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6434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23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6434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23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6434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23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6434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23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6434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23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6434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23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6434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23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6434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23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6434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23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6434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23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6434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23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6434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23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6434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23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6434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23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6434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23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6434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23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6434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23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6434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23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6434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23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6434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23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6434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23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6434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23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6434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23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6434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23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6434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23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6434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23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6434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23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6434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23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6434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23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6434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23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6434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23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6434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23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6434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23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6434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23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6434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23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6434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23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6434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23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6434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23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6434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23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6434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23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6434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23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6434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23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6434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23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6434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23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6434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23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6434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23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6434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23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6434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23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6434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23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6434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23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6434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23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6434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23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6434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23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6434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23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6434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23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6434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23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6434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23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6434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23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6434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23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6434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23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6434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23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6434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23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6434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23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6434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23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6434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23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6434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23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6434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23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6434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23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6434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23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6434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23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6434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21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6434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21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6434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21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6434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21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6434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21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6434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21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6434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21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7809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6434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21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7809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6434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21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6434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14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6434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14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6434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14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6434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14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6434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14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6434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14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6434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14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6434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14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6434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14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6434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14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6434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14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6434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14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6434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14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6434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14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7803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6434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14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6434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14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6434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14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7804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6434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14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6434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14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6434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14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6434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14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6434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14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7805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6434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14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6434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14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6434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14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6434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14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6434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14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6434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14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6434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14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6434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14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6434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14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6434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14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6434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14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6434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14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6434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14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6434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14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6434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14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6434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14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6434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14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6434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14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6434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14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6434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14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6434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14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6434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14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6434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14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6434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14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6434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14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6434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14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6434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14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7806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6434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14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6434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14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7807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6434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14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6434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14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6434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14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6434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14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6434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14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6434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14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6434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14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6434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14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6434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14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6434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14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7808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6434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14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6434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14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6434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14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6434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14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6434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14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6434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14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6434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14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6434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14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6434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14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6434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14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6434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14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6434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14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6434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14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6434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14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6434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14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6434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14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6434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14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6434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14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6434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14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6434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14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6434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14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6434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14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6434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14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6434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14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6434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14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6434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14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6434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14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6434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12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6434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12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6434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9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6434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9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6434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9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6434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9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6434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9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6434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9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6434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9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6434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9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6434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9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6434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9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6434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9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6434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9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6434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9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6434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9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6434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9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6434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9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6434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9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6434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9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6434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9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6434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9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6434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9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6434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9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6434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9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6434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9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6434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9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6434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9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6434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9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6434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9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6434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9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6434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9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6434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9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6434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9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6434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9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6434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9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6434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9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6434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9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6434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9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6434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9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6434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9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6434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9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6434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9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6434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9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6434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9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6434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9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6434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9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6434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9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6434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9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6434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9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6434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9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6434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9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6434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9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6434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9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6434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9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6434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9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6434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9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6434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9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6434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9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6434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9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6434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9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6434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9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6434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9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6434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9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6434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9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6434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9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6434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9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7788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6434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9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6434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9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6434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9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6434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9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6434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9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6434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9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6434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9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6434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9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6434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9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6434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9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6434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9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6434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9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50" t="s">
        <v>6434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8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e">
        <f>IF(Proc[[#This Row],[Author]]="Marcela Urrego",VLOOKUP(LEFT(Proc[[#This Row],[Requested]],1),Table3[#All],2,0),VLOOKUP(Proc[[#This Row],[Author]],Table4[],2,0))</f>
        <v>#N/A</v>
      </c>
      <c r="L5413" s="150" t="s">
        <v>6434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8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e">
        <f>IF(Proc[[#This Row],[Author]]="Marcela Urrego",VLOOKUP(LEFT(Proc[[#This Row],[Requested]],1),Table3[#All],2,0),VLOOKUP(Proc[[#This Row],[Author]],Table4[],2,0))</f>
        <v>#N/A</v>
      </c>
      <c r="L5414" s="150" t="s">
        <v>6434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8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e">
        <f>IF(Proc[[#This Row],[Author]]="Marcela Urrego",VLOOKUP(LEFT(Proc[[#This Row],[Requested]],1),Table3[#All],2,0),VLOOKUP(Proc[[#This Row],[Author]],Table4[],2,0))</f>
        <v>#N/A</v>
      </c>
      <c r="L5415" s="150" t="s">
        <v>6434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8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e">
        <f>IF(Proc[[#This Row],[Author]]="Marcela Urrego",VLOOKUP(LEFT(Proc[[#This Row],[Requested]],1),Table3[#All],2,0),VLOOKUP(Proc[[#This Row],[Author]],Table4[],2,0))</f>
        <v>#N/A</v>
      </c>
      <c r="L5416" s="150" t="s">
        <v>6434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8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e">
        <f>IF(Proc[[#This Row],[Author]]="Marcela Urrego",VLOOKUP(LEFT(Proc[[#This Row],[Requested]],1),Table3[#All],2,0),VLOOKUP(Proc[[#This Row],[Author]],Table4[],2,0))</f>
        <v>#N/A</v>
      </c>
      <c r="L5417" s="150" t="s">
        <v>6434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8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e">
        <f>IF(Proc[[#This Row],[Author]]="Marcela Urrego",VLOOKUP(LEFT(Proc[[#This Row],[Requested]],1),Table3[#All],2,0),VLOOKUP(Proc[[#This Row],[Author]],Table4[],2,0))</f>
        <v>#N/A</v>
      </c>
      <c r="L5418" s="150" t="s">
        <v>6434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8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e">
        <f>IF(Proc[[#This Row],[Author]]="Marcela Urrego",VLOOKUP(LEFT(Proc[[#This Row],[Requested]],1),Table3[#All],2,0),VLOOKUP(Proc[[#This Row],[Author]],Table4[],2,0))</f>
        <v>#N/A</v>
      </c>
      <c r="L5419" s="150" t="s">
        <v>6434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8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e">
        <f>IF(Proc[[#This Row],[Author]]="Marcela Urrego",VLOOKUP(LEFT(Proc[[#This Row],[Requested]],1),Table3[#All],2,0),VLOOKUP(Proc[[#This Row],[Author]],Table4[],2,0))</f>
        <v>#N/A</v>
      </c>
      <c r="L5420" s="150" t="s">
        <v>6434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8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e">
        <f>IF(Proc[[#This Row],[Author]]="Marcela Urrego",VLOOKUP(LEFT(Proc[[#This Row],[Requested]],1),Table3[#All],2,0),VLOOKUP(Proc[[#This Row],[Author]],Table4[],2,0))</f>
        <v>#N/A</v>
      </c>
      <c r="L5421" s="150" t="s">
        <v>6434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8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e">
        <f>IF(Proc[[#This Row],[Author]]="Marcela Urrego",VLOOKUP(LEFT(Proc[[#This Row],[Requested]],1),Table3[#All],2,0),VLOOKUP(Proc[[#This Row],[Author]],Table4[],2,0))</f>
        <v>#N/A</v>
      </c>
      <c r="L5422" s="150" t="s">
        <v>6434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8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e">
        <f>IF(Proc[[#This Row],[Author]]="Marcela Urrego",VLOOKUP(LEFT(Proc[[#This Row],[Requested]],1),Table3[#All],2,0),VLOOKUP(Proc[[#This Row],[Author]],Table4[],2,0))</f>
        <v>#N/A</v>
      </c>
      <c r="L5423" s="150" t="s">
        <v>6434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8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e">
        <f>IF(Proc[[#This Row],[Author]]="Marcela Urrego",VLOOKUP(LEFT(Proc[[#This Row],[Requested]],1),Table3[#All],2,0),VLOOKUP(Proc[[#This Row],[Author]],Table4[],2,0))</f>
        <v>#N/A</v>
      </c>
      <c r="L5424" s="150" t="s">
        <v>6434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8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e">
        <f>IF(Proc[[#This Row],[Author]]="Marcela Urrego",VLOOKUP(LEFT(Proc[[#This Row],[Requested]],1),Table3[#All],2,0),VLOOKUP(Proc[[#This Row],[Author]],Table4[],2,0))</f>
        <v>#N/A</v>
      </c>
      <c r="L5425" s="150" t="s">
        <v>6434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8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e">
        <f>IF(Proc[[#This Row],[Author]]="Marcela Urrego",VLOOKUP(LEFT(Proc[[#This Row],[Requested]],1),Table3[#All],2,0),VLOOKUP(Proc[[#This Row],[Author]],Table4[],2,0))</f>
        <v>#N/A</v>
      </c>
      <c r="L5426" s="150" t="s">
        <v>6434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8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e">
        <f>IF(Proc[[#This Row],[Author]]="Marcela Urrego",VLOOKUP(LEFT(Proc[[#This Row],[Requested]],1),Table3[#All],2,0),VLOOKUP(Proc[[#This Row],[Author]],Table4[],2,0))</f>
        <v>#N/A</v>
      </c>
      <c r="L5427" s="150" t="s">
        <v>6434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8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e">
        <f>IF(Proc[[#This Row],[Author]]="Marcela Urrego",VLOOKUP(LEFT(Proc[[#This Row],[Requested]],1),Table3[#All],2,0),VLOOKUP(Proc[[#This Row],[Author]],Table4[],2,0))</f>
        <v>#N/A</v>
      </c>
      <c r="L5428" s="150" t="s">
        <v>6434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8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e">
        <f>IF(Proc[[#This Row],[Author]]="Marcela Urrego",VLOOKUP(LEFT(Proc[[#This Row],[Requested]],1),Table3[#All],2,0),VLOOKUP(Proc[[#This Row],[Author]],Table4[],2,0))</f>
        <v>#N/A</v>
      </c>
      <c r="L5429" s="150" t="s">
        <v>6434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8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e">
        <f>IF(Proc[[#This Row],[Author]]="Marcela Urrego",VLOOKUP(LEFT(Proc[[#This Row],[Requested]],1),Table3[#All],2,0),VLOOKUP(Proc[[#This Row],[Author]],Table4[],2,0))</f>
        <v>#N/A</v>
      </c>
      <c r="L5430" s="150" t="s">
        <v>6434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8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e">
        <f>IF(Proc[[#This Row],[Author]]="Marcela Urrego",VLOOKUP(LEFT(Proc[[#This Row],[Requested]],1),Table3[#All],2,0),VLOOKUP(Proc[[#This Row],[Author]],Table4[],2,0))</f>
        <v>#N/A</v>
      </c>
      <c r="L5431" s="150" t="s">
        <v>6434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8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e">
        <f>IF(Proc[[#This Row],[Author]]="Marcela Urrego",VLOOKUP(LEFT(Proc[[#This Row],[Requested]],1),Table3[#All],2,0),VLOOKUP(Proc[[#This Row],[Author]],Table4[],2,0))</f>
        <v>#N/A</v>
      </c>
      <c r="L5432" s="150" t="s">
        <v>6434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8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e">
        <f>IF(Proc[[#This Row],[Author]]="Marcela Urrego",VLOOKUP(LEFT(Proc[[#This Row],[Requested]],1),Table3[#All],2,0),VLOOKUP(Proc[[#This Row],[Author]],Table4[],2,0))</f>
        <v>#N/A</v>
      </c>
      <c r="L5433" s="150" t="s">
        <v>6434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8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e">
        <f>IF(Proc[[#This Row],[Author]]="Marcela Urrego",VLOOKUP(LEFT(Proc[[#This Row],[Requested]],1),Table3[#All],2,0),VLOOKUP(Proc[[#This Row],[Author]],Table4[],2,0))</f>
        <v>#N/A</v>
      </c>
      <c r="L5434" s="150" t="s">
        <v>6434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8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e">
        <f>IF(Proc[[#This Row],[Author]]="Marcela Urrego",VLOOKUP(LEFT(Proc[[#This Row],[Requested]],1),Table3[#All],2,0),VLOOKUP(Proc[[#This Row],[Author]],Table4[],2,0))</f>
        <v>#N/A</v>
      </c>
      <c r="L5435" s="150" t="s">
        <v>6434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8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e">
        <f>IF(Proc[[#This Row],[Author]]="Marcela Urrego",VLOOKUP(LEFT(Proc[[#This Row],[Requested]],1),Table3[#All],2,0),VLOOKUP(Proc[[#This Row],[Author]],Table4[],2,0))</f>
        <v>#N/A</v>
      </c>
      <c r="L5436" s="150" t="s">
        <v>6434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8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e">
        <f>IF(Proc[[#This Row],[Author]]="Marcela Urrego",VLOOKUP(LEFT(Proc[[#This Row],[Requested]],1),Table3[#All],2,0),VLOOKUP(Proc[[#This Row],[Author]],Table4[],2,0))</f>
        <v>#N/A</v>
      </c>
      <c r="L5437" s="150" t="s">
        <v>6434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8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e">
        <f>IF(Proc[[#This Row],[Author]]="Marcela Urrego",VLOOKUP(LEFT(Proc[[#This Row],[Requested]],1),Table3[#All],2,0),VLOOKUP(Proc[[#This Row],[Author]],Table4[],2,0))</f>
        <v>#N/A</v>
      </c>
      <c r="L5438" s="150" t="s">
        <v>6434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8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e">
        <f>IF(Proc[[#This Row],[Author]]="Marcela Urrego",VLOOKUP(LEFT(Proc[[#This Row],[Requested]],1),Table3[#All],2,0),VLOOKUP(Proc[[#This Row],[Author]],Table4[],2,0))</f>
        <v>#N/A</v>
      </c>
      <c r="L5439" s="150" t="s">
        <v>6434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8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e">
        <f>IF(Proc[[#This Row],[Author]]="Marcela Urrego",VLOOKUP(LEFT(Proc[[#This Row],[Requested]],1),Table3[#All],2,0),VLOOKUP(Proc[[#This Row],[Author]],Table4[],2,0))</f>
        <v>#N/A</v>
      </c>
      <c r="L5440" s="150" t="s">
        <v>6434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8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e">
        <f>IF(Proc[[#This Row],[Author]]="Marcela Urrego",VLOOKUP(LEFT(Proc[[#This Row],[Requested]],1),Table3[#All],2,0),VLOOKUP(Proc[[#This Row],[Author]],Table4[],2,0))</f>
        <v>#N/A</v>
      </c>
      <c r="L5441" s="150" t="s">
        <v>6434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8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e">
        <f>IF(Proc[[#This Row],[Author]]="Marcela Urrego",VLOOKUP(LEFT(Proc[[#This Row],[Requested]],1),Table3[#All],2,0),VLOOKUP(Proc[[#This Row],[Author]],Table4[],2,0))</f>
        <v>#N/A</v>
      </c>
      <c r="L5442" s="150" t="s">
        <v>6434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8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e">
        <f>IF(Proc[[#This Row],[Author]]="Marcela Urrego",VLOOKUP(LEFT(Proc[[#This Row],[Requested]],1),Table3[#All],2,0),VLOOKUP(Proc[[#This Row],[Author]],Table4[],2,0))</f>
        <v>#N/A</v>
      </c>
      <c r="L5443" s="150" t="s">
        <v>6434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8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e">
        <f>IF(Proc[[#This Row],[Author]]="Marcela Urrego",VLOOKUP(LEFT(Proc[[#This Row],[Requested]],1),Table3[#All],2,0),VLOOKUP(Proc[[#This Row],[Author]],Table4[],2,0))</f>
        <v>#N/A</v>
      </c>
      <c r="L5444" s="150" t="s">
        <v>6434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8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e">
        <f>IF(Proc[[#This Row],[Author]]="Marcela Urrego",VLOOKUP(LEFT(Proc[[#This Row],[Requested]],1),Table3[#All],2,0),VLOOKUP(Proc[[#This Row],[Author]],Table4[],2,0))</f>
        <v>#N/A</v>
      </c>
      <c r="L5445" s="150" t="s">
        <v>6434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8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e">
        <f>IF(Proc[[#This Row],[Author]]="Marcela Urrego",VLOOKUP(LEFT(Proc[[#This Row],[Requested]],1),Table3[#All],2,0),VLOOKUP(Proc[[#This Row],[Author]],Table4[],2,0))</f>
        <v>#N/A</v>
      </c>
      <c r="L5446" s="150" t="s">
        <v>6434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8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e">
        <f>IF(Proc[[#This Row],[Author]]="Marcela Urrego",VLOOKUP(LEFT(Proc[[#This Row],[Requested]],1),Table3[#All],2,0),VLOOKUP(Proc[[#This Row],[Author]],Table4[],2,0))</f>
        <v>#N/A</v>
      </c>
      <c r="L5447" s="150" t="s">
        <v>6434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8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e">
        <f>IF(Proc[[#This Row],[Author]]="Marcela Urrego",VLOOKUP(LEFT(Proc[[#This Row],[Requested]],1),Table3[#All],2,0),VLOOKUP(Proc[[#This Row],[Author]],Table4[],2,0))</f>
        <v>#N/A</v>
      </c>
      <c r="L5448" s="150" t="s">
        <v>6434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8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e">
        <f>IF(Proc[[#This Row],[Author]]="Marcela Urrego",VLOOKUP(LEFT(Proc[[#This Row],[Requested]],1),Table3[#All],2,0),VLOOKUP(Proc[[#This Row],[Author]],Table4[],2,0))</f>
        <v>#N/A</v>
      </c>
      <c r="L5449" s="150" t="s">
        <v>6434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8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e">
        <f>IF(Proc[[#This Row],[Author]]="Marcela Urrego",VLOOKUP(LEFT(Proc[[#This Row],[Requested]],1),Table3[#All],2,0),VLOOKUP(Proc[[#This Row],[Author]],Table4[],2,0))</f>
        <v>#N/A</v>
      </c>
      <c r="L5450" s="150" t="s">
        <v>6434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8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e">
        <f>IF(Proc[[#This Row],[Author]]="Marcela Urrego",VLOOKUP(LEFT(Proc[[#This Row],[Requested]],1),Table3[#All],2,0),VLOOKUP(Proc[[#This Row],[Author]],Table4[],2,0))</f>
        <v>#N/A</v>
      </c>
      <c r="L5451" s="150" t="s">
        <v>6434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8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e">
        <f>IF(Proc[[#This Row],[Author]]="Marcela Urrego",VLOOKUP(LEFT(Proc[[#This Row],[Requested]],1),Table3[#All],2,0),VLOOKUP(Proc[[#This Row],[Author]],Table4[],2,0))</f>
        <v>#N/A</v>
      </c>
      <c r="L5452" s="150" t="s">
        <v>6434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8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e">
        <f>IF(Proc[[#This Row],[Author]]="Marcela Urrego",VLOOKUP(LEFT(Proc[[#This Row],[Requested]],1),Table3[#All],2,0),VLOOKUP(Proc[[#This Row],[Author]],Table4[],2,0))</f>
        <v>#N/A</v>
      </c>
      <c r="L5453" s="150" t="s">
        <v>6434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8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e">
        <f>IF(Proc[[#This Row],[Author]]="Marcela Urrego",VLOOKUP(LEFT(Proc[[#This Row],[Requested]],1),Table3[#All],2,0),VLOOKUP(Proc[[#This Row],[Author]],Table4[],2,0))</f>
        <v>#N/A</v>
      </c>
      <c r="L5454" s="150" t="s">
        <v>6434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8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e">
        <f>IF(Proc[[#This Row],[Author]]="Marcela Urrego",VLOOKUP(LEFT(Proc[[#This Row],[Requested]],1),Table3[#All],2,0),VLOOKUP(Proc[[#This Row],[Author]],Table4[],2,0))</f>
        <v>#N/A</v>
      </c>
      <c r="L5455" s="150" t="s">
        <v>6434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8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e">
        <f>IF(Proc[[#This Row],[Author]]="Marcela Urrego",VLOOKUP(LEFT(Proc[[#This Row],[Requested]],1),Table3[#All],2,0),VLOOKUP(Proc[[#This Row],[Author]],Table4[],2,0))</f>
        <v>#N/A</v>
      </c>
      <c r="L5456" s="150" t="s">
        <v>6434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8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e">
        <f>IF(Proc[[#This Row],[Author]]="Marcela Urrego",VLOOKUP(LEFT(Proc[[#This Row],[Requested]],1),Table3[#All],2,0),VLOOKUP(Proc[[#This Row],[Author]],Table4[],2,0))</f>
        <v>#N/A</v>
      </c>
      <c r="L5457" s="150" t="s">
        <v>6434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8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e">
        <f>IF(Proc[[#This Row],[Author]]="Marcela Urrego",VLOOKUP(LEFT(Proc[[#This Row],[Requested]],1),Table3[#All],2,0),VLOOKUP(Proc[[#This Row],[Author]],Table4[],2,0))</f>
        <v>#N/A</v>
      </c>
      <c r="L5458" s="150" t="s">
        <v>6434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8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e">
        <f>IF(Proc[[#This Row],[Author]]="Marcela Urrego",VLOOKUP(LEFT(Proc[[#This Row],[Requested]],1),Table3[#All],2,0),VLOOKUP(Proc[[#This Row],[Author]],Table4[],2,0))</f>
        <v>#N/A</v>
      </c>
      <c r="L5459" s="150" t="s">
        <v>6434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8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e">
        <f>IF(Proc[[#This Row],[Author]]="Marcela Urrego",VLOOKUP(LEFT(Proc[[#This Row],[Requested]],1),Table3[#All],2,0),VLOOKUP(Proc[[#This Row],[Author]],Table4[],2,0))</f>
        <v>#N/A</v>
      </c>
      <c r="L5460" s="150" t="s">
        <v>6434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8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e">
        <f>IF(Proc[[#This Row],[Author]]="Marcela Urrego",VLOOKUP(LEFT(Proc[[#This Row],[Requested]],1),Table3[#All],2,0),VLOOKUP(Proc[[#This Row],[Author]],Table4[],2,0))</f>
        <v>#N/A</v>
      </c>
      <c r="L5461" s="150" t="s">
        <v>6434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8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e">
        <f>IF(Proc[[#This Row],[Author]]="Marcela Urrego",VLOOKUP(LEFT(Proc[[#This Row],[Requested]],1),Table3[#All],2,0),VLOOKUP(Proc[[#This Row],[Author]],Table4[],2,0))</f>
        <v>#N/A</v>
      </c>
      <c r="L5462" s="150" t="s">
        <v>6434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8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e">
        <f>IF(Proc[[#This Row],[Author]]="Marcela Urrego",VLOOKUP(LEFT(Proc[[#This Row],[Requested]],1),Table3[#All],2,0),VLOOKUP(Proc[[#This Row],[Author]],Table4[],2,0))</f>
        <v>#N/A</v>
      </c>
      <c r="L5463" s="150" t="s">
        <v>6434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8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e">
        <f>IF(Proc[[#This Row],[Author]]="Marcela Urrego",VLOOKUP(LEFT(Proc[[#This Row],[Requested]],1),Table3[#All],2,0),VLOOKUP(Proc[[#This Row],[Author]],Table4[],2,0))</f>
        <v>#N/A</v>
      </c>
      <c r="L5464" s="150" t="s">
        <v>6434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8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e">
        <f>IF(Proc[[#This Row],[Author]]="Marcela Urrego",VLOOKUP(LEFT(Proc[[#This Row],[Requested]],1),Table3[#All],2,0),VLOOKUP(Proc[[#This Row],[Author]],Table4[],2,0))</f>
        <v>#N/A</v>
      </c>
      <c r="L5465" s="150" t="s">
        <v>6434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8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e">
        <f>IF(Proc[[#This Row],[Author]]="Marcela Urrego",VLOOKUP(LEFT(Proc[[#This Row],[Requested]],1),Table3[#All],2,0),VLOOKUP(Proc[[#This Row],[Author]],Table4[],2,0))</f>
        <v>#N/A</v>
      </c>
      <c r="L5466" s="150" t="s">
        <v>6434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8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e">
        <f>IF(Proc[[#This Row],[Author]]="Marcela Urrego",VLOOKUP(LEFT(Proc[[#This Row],[Requested]],1),Table3[#All],2,0),VLOOKUP(Proc[[#This Row],[Author]],Table4[],2,0))</f>
        <v>#N/A</v>
      </c>
      <c r="L5467" s="150" t="s">
        <v>6434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8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e">
        <f>IF(Proc[[#This Row],[Author]]="Marcela Urrego",VLOOKUP(LEFT(Proc[[#This Row],[Requested]],1),Table3[#All],2,0),VLOOKUP(Proc[[#This Row],[Author]],Table4[],2,0))</f>
        <v>#N/A</v>
      </c>
      <c r="L5468" s="150" t="s">
        <v>6434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8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e">
        <f>IF(Proc[[#This Row],[Author]]="Marcela Urrego",VLOOKUP(LEFT(Proc[[#This Row],[Requested]],1),Table3[#All],2,0),VLOOKUP(Proc[[#This Row],[Author]],Table4[],2,0))</f>
        <v>#N/A</v>
      </c>
      <c r="L5469" s="150" t="s">
        <v>6434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8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e">
        <f>IF(Proc[[#This Row],[Author]]="Marcela Urrego",VLOOKUP(LEFT(Proc[[#This Row],[Requested]],1),Table3[#All],2,0),VLOOKUP(Proc[[#This Row],[Author]],Table4[],2,0))</f>
        <v>#N/A</v>
      </c>
      <c r="L5470" s="150" t="s">
        <v>6434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8</v>
      </c>
      <c r="R5470" s="178" t="s">
        <v>7785</v>
      </c>
      <c r="S5470" s="150"/>
    </row>
    <row r="5471" spans="1:19" hidden="1">
      <c r="A5471" s="178" t="s">
        <v>7792</v>
      </c>
      <c r="B5471" s="150" t="str">
        <f>IFERROR(VLOOKUP(Proc[[#This Row],[App]],Table2[],3,0),"open")</f>
        <v>ok</v>
      </c>
      <c r="C5471" s="179" t="s">
        <v>369</v>
      </c>
      <c r="D5471" t="s">
        <v>7789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50" t="s">
        <v>6434</v>
      </c>
      <c r="M5471" s="178">
        <v>46050</v>
      </c>
      <c r="N5471" s="178"/>
      <c r="O5471" s="178"/>
      <c r="P5471" s="178" t="str">
        <f ca="1">IF(Proc[[#This Row],[DaysAgeing]]&gt;5,"yep","on track")</f>
        <v>on track</v>
      </c>
      <c r="Q5471" s="3">
        <f ca="1">IF(Proc[[#This Row],[DateClosed]]="",ABS(NETWORKDAYS(Proc[[#This Row],[DateOpened]],TODAY()))-1,ABS(NETWORKDAYS(Proc[[#This Row],[DateOpened]],Proc[[#This Row],[DateClosed]]))-1)</f>
        <v>5</v>
      </c>
      <c r="R5471" s="178" t="s">
        <v>489</v>
      </c>
      <c r="S5471" s="150"/>
    </row>
    <row r="5472" spans="1:19" hidden="1">
      <c r="A5472" s="178" t="s">
        <v>7792</v>
      </c>
      <c r="B5472" s="150" t="str">
        <f>IFERROR(VLOOKUP(Proc[[#This Row],[App]],Table2[],3,0),"open")</f>
        <v>ok</v>
      </c>
      <c r="C5472" s="179" t="s">
        <v>369</v>
      </c>
      <c r="D5472" t="s">
        <v>7790</v>
      </c>
      <c r="E5472" t="s">
        <v>7791</v>
      </c>
      <c r="F5472" s="150" t="s">
        <v>7791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50" t="s">
        <v>6434</v>
      </c>
      <c r="M5472" s="178">
        <v>46050</v>
      </c>
      <c r="N5472" s="178"/>
      <c r="O5472" s="178"/>
      <c r="P5472" s="178" t="str">
        <f ca="1">IF(Proc[[#This Row],[DaysAgeing]]&gt;5,"yep","on track")</f>
        <v>on track</v>
      </c>
      <c r="Q5472" s="3">
        <f ca="1">IF(Proc[[#This Row],[DateClosed]]="",ABS(NETWORKDAYS(Proc[[#This Row],[DateOpened]],TODAY()))-1,ABS(NETWORKDAYS(Proc[[#This Row],[DateOpened]],Proc[[#This Row],[DateClosed]]))-1)</f>
        <v>5</v>
      </c>
      <c r="R5472" s="178" t="s">
        <v>489</v>
      </c>
      <c r="S5472" s="150"/>
    </row>
    <row r="5473" spans="1:19" hidden="1">
      <c r="A5473" t="s">
        <v>7793</v>
      </c>
      <c r="B5473" s="150" t="str">
        <f>IFERROR(VLOOKUP(Proc[[#This Row],[App]],Table2[],3,0),"open")</f>
        <v>ok</v>
      </c>
      <c r="C5473" s="179" t="s">
        <v>369</v>
      </c>
      <c r="D5473" t="s">
        <v>7794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50" t="s">
        <v>6434</v>
      </c>
      <c r="M5473" s="178">
        <v>46050</v>
      </c>
      <c r="N5473" s="178"/>
      <c r="O5473" s="178"/>
      <c r="P5473" s="178" t="str">
        <f ca="1">IF(Proc[[#This Row],[DaysAgeing]]&gt;5,"yep","on track")</f>
        <v>on track</v>
      </c>
      <c r="Q5473" s="3">
        <f ca="1">IF(Proc[[#This Row],[DateClosed]]="",ABS(NETWORKDAYS(Proc[[#This Row],[DateOpened]],TODAY()))-1,ABS(NETWORKDAYS(Proc[[#This Row],[DateOpened]],Proc[[#This Row],[DateClosed]]))-1)</f>
        <v>5</v>
      </c>
      <c r="R5473" s="178" t="s">
        <v>410</v>
      </c>
      <c r="S5473" s="150"/>
    </row>
    <row r="5474" spans="1:19" hidden="1">
      <c r="A5474" t="s">
        <v>7795</v>
      </c>
      <c r="B5474" s="150" t="str">
        <f>IFERROR(VLOOKUP(Proc[[#This Row],[App]],Table2[],3,0),"open")</f>
        <v>ok</v>
      </c>
      <c r="C5474" s="179" t="s">
        <v>369</v>
      </c>
      <c r="D5474" t="s">
        <v>7796</v>
      </c>
      <c r="E5474" t="s">
        <v>7798</v>
      </c>
      <c r="F5474" s="150" t="s">
        <v>7798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50" t="s">
        <v>6434</v>
      </c>
      <c r="M5474" s="178">
        <v>46050</v>
      </c>
      <c r="N5474" s="178"/>
      <c r="O5474" s="178"/>
      <c r="P5474" s="178" t="str">
        <f ca="1">IF(Proc[[#This Row],[DaysAgeing]]&gt;5,"yep","on track")</f>
        <v>on track</v>
      </c>
      <c r="Q5474" s="3">
        <f ca="1">IF(Proc[[#This Row],[DateClosed]]="",ABS(NETWORKDAYS(Proc[[#This Row],[DateOpened]],TODAY()))-1,ABS(NETWORKDAYS(Proc[[#This Row],[DateOpened]],Proc[[#This Row],[DateClosed]]))-1)</f>
        <v>5</v>
      </c>
      <c r="R5474" s="178" t="s">
        <v>484</v>
      </c>
      <c r="S5474" s="150"/>
    </row>
    <row r="5475" spans="1:19" hidden="1">
      <c r="A5475" s="179" t="s">
        <v>7795</v>
      </c>
      <c r="B5475" s="150" t="str">
        <f>IFERROR(VLOOKUP(Proc[[#This Row],[App]],Table2[],3,0),"open")</f>
        <v>ok</v>
      </c>
      <c r="C5475" s="179" t="s">
        <v>369</v>
      </c>
      <c r="D5475" t="s">
        <v>7797</v>
      </c>
      <c r="E5475" t="s">
        <v>7798</v>
      </c>
      <c r="F5475" s="150" t="s">
        <v>7798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50" t="s">
        <v>6434</v>
      </c>
      <c r="M5475" s="178">
        <v>46050</v>
      </c>
      <c r="N5475" s="178"/>
      <c r="O5475" s="178"/>
      <c r="P5475" s="178" t="str">
        <f ca="1">IF(Proc[[#This Row],[DaysAgeing]]&gt;5,"yep","on track")</f>
        <v>on track</v>
      </c>
      <c r="Q5475" s="3">
        <f ca="1">IF(Proc[[#This Row],[DateClosed]]="",ABS(NETWORKDAYS(Proc[[#This Row],[DateOpened]],TODAY()))-1,ABS(NETWORKDAYS(Proc[[#This Row],[DateOpened]],Proc[[#This Row],[DateClosed]]))-1)</f>
        <v>5</v>
      </c>
      <c r="R5475" s="178" t="s">
        <v>484</v>
      </c>
      <c r="S5475" s="150"/>
    </row>
    <row r="5476" spans="1:19" hidden="1">
      <c r="A5476" t="s">
        <v>7799</v>
      </c>
      <c r="B5476" s="150" t="str">
        <f>IFERROR(VLOOKUP(Proc[[#This Row],[App]],Table2[],3,0),"open")</f>
        <v>ok</v>
      </c>
      <c r="C5476" s="179" t="s">
        <v>369</v>
      </c>
      <c r="D5476" t="s">
        <v>7800</v>
      </c>
      <c r="E5476" t="s">
        <v>7802</v>
      </c>
      <c r="F5476" s="150" t="s">
        <v>7802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50" t="s">
        <v>6434</v>
      </c>
      <c r="M5476" s="178">
        <v>46050</v>
      </c>
      <c r="N5476" s="178"/>
      <c r="O5476" s="178"/>
      <c r="P5476" s="178" t="str">
        <f ca="1">IF(Proc[[#This Row],[DaysAgeing]]&gt;5,"yep","on track")</f>
        <v>on track</v>
      </c>
      <c r="Q5476" s="3">
        <f ca="1">IF(Proc[[#This Row],[DateClosed]]="",ABS(NETWORKDAYS(Proc[[#This Row],[DateOpened]],TODAY()))-1,ABS(NETWORKDAYS(Proc[[#This Row],[DateOpened]],Proc[[#This Row],[DateClosed]]))-1)</f>
        <v>5</v>
      </c>
      <c r="R5476" s="178" t="s">
        <v>780</v>
      </c>
      <c r="S5476" s="150"/>
    </row>
    <row r="5477" spans="1:19" hidden="1">
      <c r="A5477" s="179" t="s">
        <v>7799</v>
      </c>
      <c r="B5477" s="150" t="str">
        <f>IFERROR(VLOOKUP(Proc[[#This Row],[App]],Table2[],3,0),"open")</f>
        <v>ok</v>
      </c>
      <c r="C5477" s="179" t="s">
        <v>369</v>
      </c>
      <c r="D5477" t="s">
        <v>7801</v>
      </c>
      <c r="E5477" s="179" t="s">
        <v>7802</v>
      </c>
      <c r="F5477" s="150" t="s">
        <v>7802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50" t="s">
        <v>6434</v>
      </c>
      <c r="M5477" s="178">
        <v>46050</v>
      </c>
      <c r="N5477" s="178"/>
      <c r="O5477" s="178"/>
      <c r="P5477" s="178" t="str">
        <f ca="1">IF(Proc[[#This Row],[DaysAgeing]]&gt;5,"yep","on track")</f>
        <v>on track</v>
      </c>
      <c r="Q5477" s="3">
        <f ca="1">IF(Proc[[#This Row],[DateClosed]]="",ABS(NETWORKDAYS(Proc[[#This Row],[DateOpened]],TODAY()))-1,ABS(NETWORKDAYS(Proc[[#This Row],[DateOpened]],Proc[[#This Row],[DateClosed]]))-1)</f>
        <v>5</v>
      </c>
      <c r="R5477" s="178" t="s">
        <v>780</v>
      </c>
      <c r="S5477" s="150"/>
    </row>
    <row r="5478" spans="1:19" hidden="1">
      <c r="A5478" t="s">
        <v>7810</v>
      </c>
      <c r="B5478" s="150" t="str">
        <f>IFERROR(VLOOKUP(Proc[[#This Row],[App]],Table2[],3,0),"open")</f>
        <v>open</v>
      </c>
      <c r="C5478" s="179" t="s">
        <v>369</v>
      </c>
      <c r="D5478" t="s">
        <v>7811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50" t="s">
        <v>6434</v>
      </c>
      <c r="M5478" s="178">
        <v>46051</v>
      </c>
      <c r="N5478" s="178"/>
      <c r="O5478" s="178"/>
      <c r="P5478" s="178" t="str">
        <f ca="1">IF(Proc[[#This Row],[DaysAgeing]]&gt;5,"yep","on track")</f>
        <v>on track</v>
      </c>
      <c r="Q5478" s="3">
        <f ca="1">IF(Proc[[#This Row],[DateClosed]]="",ABS(NETWORKDAYS(Proc[[#This Row],[DateOpened]],TODAY()))-1,ABS(NETWORKDAYS(Proc[[#This Row],[DateOpened]],Proc[[#This Row],[DateClosed]]))-1)</f>
        <v>4</v>
      </c>
      <c r="R5478" s="178" t="s">
        <v>780</v>
      </c>
      <c r="S5478" s="150"/>
    </row>
    <row r="5479" spans="1:19" hidden="1">
      <c r="A5479" s="179" t="s">
        <v>7810</v>
      </c>
      <c r="B5479" s="150" t="str">
        <f>IFERROR(VLOOKUP(Proc[[#This Row],[App]],Table2[],3,0),"open")</f>
        <v>open</v>
      </c>
      <c r="C5479" s="179" t="s">
        <v>369</v>
      </c>
      <c r="D5479" t="s">
        <v>7812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50" t="s">
        <v>6434</v>
      </c>
      <c r="M5479" s="178">
        <v>46051</v>
      </c>
      <c r="N5479" s="178"/>
      <c r="O5479" s="178"/>
      <c r="P5479" s="178" t="str">
        <f ca="1">IF(Proc[[#This Row],[DaysAgeing]]&gt;5,"yep","on track")</f>
        <v>on track</v>
      </c>
      <c r="Q5479" s="3">
        <f ca="1">IF(Proc[[#This Row],[DateClosed]]="",ABS(NETWORKDAYS(Proc[[#This Row],[DateOpened]],TODAY()))-1,ABS(NETWORKDAYS(Proc[[#This Row],[DateOpened]],Proc[[#This Row],[DateClosed]]))-1)</f>
        <v>4</v>
      </c>
      <c r="R5479" s="178" t="s">
        <v>780</v>
      </c>
      <c r="S5479" s="150"/>
    </row>
    <row r="5480" spans="1:19" hidden="1">
      <c r="A5480" s="179" t="s">
        <v>7810</v>
      </c>
      <c r="B5480" s="150" t="str">
        <f>IFERROR(VLOOKUP(Proc[[#This Row],[App]],Table2[],3,0),"open")</f>
        <v>open</v>
      </c>
      <c r="C5480" s="179" t="s">
        <v>369</v>
      </c>
      <c r="D5480" t="s">
        <v>7813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50" t="s">
        <v>6434</v>
      </c>
      <c r="M5480" s="178">
        <v>46051</v>
      </c>
      <c r="N5480" s="178"/>
      <c r="O5480" s="178"/>
      <c r="P5480" s="178" t="str">
        <f ca="1">IF(Proc[[#This Row],[DaysAgeing]]&gt;5,"yep","on track")</f>
        <v>on track</v>
      </c>
      <c r="Q5480" s="3">
        <f ca="1">IF(Proc[[#This Row],[DateClosed]]="",ABS(NETWORKDAYS(Proc[[#This Row],[DateOpened]],TODAY()))-1,ABS(NETWORKDAYS(Proc[[#This Row],[DateOpened]],Proc[[#This Row],[DateClosed]]))-1)</f>
        <v>4</v>
      </c>
      <c r="R5480" s="178" t="s">
        <v>780</v>
      </c>
      <c r="S5480" s="150"/>
    </row>
    <row r="5481" spans="1:19" hidden="1">
      <c r="A5481" s="179" t="s">
        <v>7810</v>
      </c>
      <c r="B5481" s="150" t="str">
        <f>IFERROR(VLOOKUP(Proc[[#This Row],[App]],Table2[],3,0),"open")</f>
        <v>open</v>
      </c>
      <c r="C5481" s="179" t="s">
        <v>369</v>
      </c>
      <c r="D5481" t="s">
        <v>7814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50" t="s">
        <v>6434</v>
      </c>
      <c r="M5481" s="178">
        <v>46051</v>
      </c>
      <c r="N5481" s="178"/>
      <c r="O5481" s="178"/>
      <c r="P5481" s="178" t="str">
        <f ca="1">IF(Proc[[#This Row],[DaysAgeing]]&gt;5,"yep","on track")</f>
        <v>on track</v>
      </c>
      <c r="Q5481" s="3">
        <f ca="1">IF(Proc[[#This Row],[DateClosed]]="",ABS(NETWORKDAYS(Proc[[#This Row],[DateOpened]],TODAY()))-1,ABS(NETWORKDAYS(Proc[[#This Row],[DateOpened]],Proc[[#This Row],[DateClosed]]))-1)</f>
        <v>4</v>
      </c>
      <c r="R5481" s="178" t="s">
        <v>780</v>
      </c>
      <c r="S5481" s="150"/>
    </row>
    <row r="5482" spans="1:19" hidden="1">
      <c r="A5482" s="179" t="s">
        <v>7810</v>
      </c>
      <c r="B5482" s="150" t="str">
        <f>IFERROR(VLOOKUP(Proc[[#This Row],[App]],Table2[],3,0),"open")</f>
        <v>open</v>
      </c>
      <c r="C5482" s="179" t="s">
        <v>369</v>
      </c>
      <c r="D5482" t="s">
        <v>7815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50" t="s">
        <v>6434</v>
      </c>
      <c r="M5482" s="178">
        <v>46051</v>
      </c>
      <c r="N5482" s="178"/>
      <c r="O5482" s="178"/>
      <c r="P5482" s="178" t="str">
        <f ca="1">IF(Proc[[#This Row],[DaysAgeing]]&gt;5,"yep","on track")</f>
        <v>on track</v>
      </c>
      <c r="Q5482" s="3">
        <f ca="1">IF(Proc[[#This Row],[DateClosed]]="",ABS(NETWORKDAYS(Proc[[#This Row],[DateOpened]],TODAY()))-1,ABS(NETWORKDAYS(Proc[[#This Row],[DateOpened]],Proc[[#This Row],[DateClosed]]))-1)</f>
        <v>4</v>
      </c>
      <c r="R5482" s="178" t="s">
        <v>780</v>
      </c>
      <c r="S5482" s="150"/>
    </row>
    <row r="5483" spans="1:19" hidden="1">
      <c r="A5483" s="179" t="s">
        <v>7810</v>
      </c>
      <c r="B5483" s="150" t="str">
        <f>IFERROR(VLOOKUP(Proc[[#This Row],[App]],Table2[],3,0),"open")</f>
        <v>open</v>
      </c>
      <c r="C5483" s="179" t="s">
        <v>369</v>
      </c>
      <c r="D5483" t="s">
        <v>7816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50" t="s">
        <v>6434</v>
      </c>
      <c r="M5483" s="178">
        <v>46051</v>
      </c>
      <c r="N5483" s="178"/>
      <c r="O5483" s="178"/>
      <c r="P5483" s="178" t="str">
        <f ca="1">IF(Proc[[#This Row],[DaysAgeing]]&gt;5,"yep","on track")</f>
        <v>on track</v>
      </c>
      <c r="Q5483" s="3">
        <f ca="1">IF(Proc[[#This Row],[DateClosed]]="",ABS(NETWORKDAYS(Proc[[#This Row],[DateOpened]],TODAY()))-1,ABS(NETWORKDAYS(Proc[[#This Row],[DateOpened]],Proc[[#This Row],[DateClosed]]))-1)</f>
        <v>4</v>
      </c>
      <c r="R5483" s="178" t="s">
        <v>780</v>
      </c>
      <c r="S5483" s="150"/>
    </row>
    <row r="5484" spans="1:19" hidden="1">
      <c r="A5484" s="179" t="s">
        <v>7810</v>
      </c>
      <c r="B5484" s="150" t="str">
        <f>IFERROR(VLOOKUP(Proc[[#This Row],[App]],Table2[],3,0),"open")</f>
        <v>open</v>
      </c>
      <c r="C5484" s="179" t="s">
        <v>369</v>
      </c>
      <c r="D5484" t="s">
        <v>7817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50" t="s">
        <v>6434</v>
      </c>
      <c r="M5484" s="178">
        <v>46051</v>
      </c>
      <c r="N5484" s="178"/>
      <c r="O5484" s="178"/>
      <c r="P5484" s="178" t="str">
        <f ca="1">IF(Proc[[#This Row],[DaysAgeing]]&gt;5,"yep","on track")</f>
        <v>on track</v>
      </c>
      <c r="Q5484" s="3">
        <f ca="1">IF(Proc[[#This Row],[DateClosed]]="",ABS(NETWORKDAYS(Proc[[#This Row],[DateOpened]],TODAY()))-1,ABS(NETWORKDAYS(Proc[[#This Row],[DateOpened]],Proc[[#This Row],[DateClosed]]))-1)</f>
        <v>4</v>
      </c>
      <c r="R5484" s="178" t="s">
        <v>780</v>
      </c>
      <c r="S5484" s="150"/>
    </row>
    <row r="5485" spans="1:19" hidden="1">
      <c r="A5485" s="179" t="s">
        <v>7810</v>
      </c>
      <c r="B5485" s="150" t="str">
        <f>IFERROR(VLOOKUP(Proc[[#This Row],[App]],Table2[],3,0),"open")</f>
        <v>open</v>
      </c>
      <c r="C5485" s="179" t="s">
        <v>369</v>
      </c>
      <c r="D5485" t="s">
        <v>7818</v>
      </c>
      <c r="E5485" t="s">
        <v>7802</v>
      </c>
      <c r="F5485" s="150" t="s">
        <v>7802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50" t="s">
        <v>6434</v>
      </c>
      <c r="M5485" s="178">
        <v>46051</v>
      </c>
      <c r="N5485" s="178"/>
      <c r="O5485" s="178"/>
      <c r="P5485" s="178" t="str">
        <f ca="1">IF(Proc[[#This Row],[DaysAgeing]]&gt;5,"yep","on track")</f>
        <v>on track</v>
      </c>
      <c r="Q5485" s="3">
        <f ca="1">IF(Proc[[#This Row],[DateClosed]]="",ABS(NETWORKDAYS(Proc[[#This Row],[DateOpened]],TODAY()))-1,ABS(NETWORKDAYS(Proc[[#This Row],[DateOpened]],Proc[[#This Row],[DateClosed]]))-1)</f>
        <v>4</v>
      </c>
      <c r="R5485" s="178" t="s">
        <v>780</v>
      </c>
      <c r="S5485" s="150"/>
    </row>
    <row r="5486" spans="1:19" hidden="1">
      <c r="A5486" s="179" t="s">
        <v>7810</v>
      </c>
      <c r="B5486" s="150" t="str">
        <f>IFERROR(VLOOKUP(Proc[[#This Row],[App]],Table2[],3,0),"open")</f>
        <v>open</v>
      </c>
      <c r="C5486" s="179" t="s">
        <v>369</v>
      </c>
      <c r="D5486" t="s">
        <v>7819</v>
      </c>
      <c r="E5486" t="s">
        <v>7802</v>
      </c>
      <c r="F5486" s="179" t="s">
        <v>7802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50" t="s">
        <v>6434</v>
      </c>
      <c r="M5486" s="178">
        <v>46051</v>
      </c>
      <c r="N5486" s="178"/>
      <c r="O5486" s="178"/>
      <c r="P5486" s="178" t="str">
        <f ca="1">IF(Proc[[#This Row],[DaysAgeing]]&gt;5,"yep","on track")</f>
        <v>on track</v>
      </c>
      <c r="Q5486" s="3">
        <f ca="1">IF(Proc[[#This Row],[DateClosed]]="",ABS(NETWORKDAYS(Proc[[#This Row],[DateOpened]],TODAY()))-1,ABS(NETWORKDAYS(Proc[[#This Row],[DateOpened]],Proc[[#This Row],[DateClosed]]))-1)</f>
        <v>4</v>
      </c>
      <c r="R5486" s="178" t="s">
        <v>780</v>
      </c>
      <c r="S5486" s="150"/>
    </row>
    <row r="5487" spans="1:19" hidden="1">
      <c r="A5487" s="179" t="s">
        <v>7810</v>
      </c>
      <c r="B5487" s="150" t="str">
        <f>IFERROR(VLOOKUP(Proc[[#This Row],[App]],Table2[],3,0),"open")</f>
        <v>open</v>
      </c>
      <c r="C5487" s="179" t="s">
        <v>369</v>
      </c>
      <c r="D5487" t="s">
        <v>7820</v>
      </c>
      <c r="E5487" t="s">
        <v>7802</v>
      </c>
      <c r="F5487" s="150" t="s">
        <v>7802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50" t="s">
        <v>6434</v>
      </c>
      <c r="M5487" s="178">
        <v>46051</v>
      </c>
      <c r="N5487" s="178"/>
      <c r="O5487" s="178"/>
      <c r="P5487" s="178" t="str">
        <f ca="1">IF(Proc[[#This Row],[DaysAgeing]]&gt;5,"yep","on track")</f>
        <v>on track</v>
      </c>
      <c r="Q5487" s="3">
        <f ca="1">IF(Proc[[#This Row],[DateClosed]]="",ABS(NETWORKDAYS(Proc[[#This Row],[DateOpened]],TODAY()))-1,ABS(NETWORKDAYS(Proc[[#This Row],[DateOpened]],Proc[[#This Row],[DateClosed]]))-1)</f>
        <v>4</v>
      </c>
      <c r="R5487" s="178" t="s">
        <v>780</v>
      </c>
      <c r="S5487" s="150"/>
    </row>
    <row r="5488" spans="1:19" hidden="1">
      <c r="A5488" s="179" t="s">
        <v>7810</v>
      </c>
      <c r="B5488" s="150" t="str">
        <f>IFERROR(VLOOKUP(Proc[[#This Row],[App]],Table2[],3,0),"open")</f>
        <v>open</v>
      </c>
      <c r="C5488" s="179" t="s">
        <v>369</v>
      </c>
      <c r="D5488" t="s">
        <v>7821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50" t="s">
        <v>6434</v>
      </c>
      <c r="M5488" s="178">
        <v>46051</v>
      </c>
      <c r="N5488" s="178"/>
      <c r="O5488" s="178"/>
      <c r="P5488" s="178" t="str">
        <f ca="1">IF(Proc[[#This Row],[DaysAgeing]]&gt;5,"yep","on track")</f>
        <v>on track</v>
      </c>
      <c r="Q5488" s="3">
        <f ca="1">IF(Proc[[#This Row],[DateClosed]]="",ABS(NETWORKDAYS(Proc[[#This Row],[DateOpened]],TODAY()))-1,ABS(NETWORKDAYS(Proc[[#This Row],[DateOpened]],Proc[[#This Row],[DateClosed]]))-1)</f>
        <v>4</v>
      </c>
      <c r="R5488" s="178" t="s">
        <v>780</v>
      </c>
      <c r="S5488" s="150"/>
    </row>
    <row r="5489" spans="1:19" hidden="1">
      <c r="A5489" s="179" t="s">
        <v>7810</v>
      </c>
      <c r="B5489" s="150" t="str">
        <f>IFERROR(VLOOKUP(Proc[[#This Row],[App]],Table2[],3,0),"open")</f>
        <v>open</v>
      </c>
      <c r="C5489" s="179" t="s">
        <v>369</v>
      </c>
      <c r="D5489" t="s">
        <v>7822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50" t="s">
        <v>6434</v>
      </c>
      <c r="M5489" s="178">
        <v>46051</v>
      </c>
      <c r="N5489" s="178"/>
      <c r="O5489" s="178"/>
      <c r="P5489" s="178" t="str">
        <f ca="1">IF(Proc[[#This Row],[DaysAgeing]]&gt;5,"yep","on track")</f>
        <v>on track</v>
      </c>
      <c r="Q5489" s="3">
        <f ca="1">IF(Proc[[#This Row],[DateClosed]]="",ABS(NETWORKDAYS(Proc[[#This Row],[DateOpened]],TODAY()))-1,ABS(NETWORKDAYS(Proc[[#This Row],[DateOpened]],Proc[[#This Row],[DateClosed]]))-1)</f>
        <v>4</v>
      </c>
      <c r="R5489" s="178" t="s">
        <v>780</v>
      </c>
      <c r="S5489" s="150"/>
    </row>
    <row r="5490" spans="1:19" hidden="1">
      <c r="A5490" s="179" t="s">
        <v>7810</v>
      </c>
      <c r="B5490" s="150" t="str">
        <f>IFERROR(VLOOKUP(Proc[[#This Row],[App]],Table2[],3,0),"open")</f>
        <v>open</v>
      </c>
      <c r="C5490" s="179" t="s">
        <v>369</v>
      </c>
      <c r="D5490" t="s">
        <v>7823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50" t="s">
        <v>6434</v>
      </c>
      <c r="M5490" s="178">
        <v>46051</v>
      </c>
      <c r="N5490" s="178"/>
      <c r="O5490" s="178"/>
      <c r="P5490" s="178" t="str">
        <f ca="1">IF(Proc[[#This Row],[DaysAgeing]]&gt;5,"yep","on track")</f>
        <v>on track</v>
      </c>
      <c r="Q5490" s="3">
        <f ca="1">IF(Proc[[#This Row],[DateClosed]]="",ABS(NETWORKDAYS(Proc[[#This Row],[DateOpened]],TODAY()))-1,ABS(NETWORKDAYS(Proc[[#This Row],[DateOpened]],Proc[[#This Row],[DateClosed]]))-1)</f>
        <v>4</v>
      </c>
      <c r="R5490" s="178" t="s">
        <v>780</v>
      </c>
      <c r="S5490" s="150"/>
    </row>
    <row r="5491" spans="1:19" hidden="1">
      <c r="A5491" s="179" t="s">
        <v>7810</v>
      </c>
      <c r="B5491" s="150" t="str">
        <f>IFERROR(VLOOKUP(Proc[[#This Row],[App]],Table2[],3,0),"open")</f>
        <v>open</v>
      </c>
      <c r="C5491" s="179" t="s">
        <v>369</v>
      </c>
      <c r="D5491" t="s">
        <v>7824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50" t="s">
        <v>6434</v>
      </c>
      <c r="M5491" s="178">
        <v>46051</v>
      </c>
      <c r="N5491" s="178"/>
      <c r="O5491" s="178"/>
      <c r="P5491" s="178" t="str">
        <f ca="1">IF(Proc[[#This Row],[DaysAgeing]]&gt;5,"yep","on track")</f>
        <v>on track</v>
      </c>
      <c r="Q5491" s="3">
        <f ca="1">IF(Proc[[#This Row],[DateClosed]]="",ABS(NETWORKDAYS(Proc[[#This Row],[DateOpened]],TODAY()))-1,ABS(NETWORKDAYS(Proc[[#This Row],[DateOpened]],Proc[[#This Row],[DateClosed]]))-1)</f>
        <v>4</v>
      </c>
      <c r="R5491" s="178" t="s">
        <v>780</v>
      </c>
      <c r="S5491" s="150"/>
    </row>
    <row r="5492" spans="1:19" hidden="1">
      <c r="A5492" s="179" t="s">
        <v>7810</v>
      </c>
      <c r="B5492" s="150" t="str">
        <f>IFERROR(VLOOKUP(Proc[[#This Row],[App]],Table2[],3,0),"open")</f>
        <v>open</v>
      </c>
      <c r="C5492" s="179" t="s">
        <v>369</v>
      </c>
      <c r="D5492" t="s">
        <v>7825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50" t="s">
        <v>6434</v>
      </c>
      <c r="M5492" s="178">
        <v>46051</v>
      </c>
      <c r="N5492" s="178"/>
      <c r="O5492" s="178"/>
      <c r="P5492" s="178" t="str">
        <f ca="1">IF(Proc[[#This Row],[DaysAgeing]]&gt;5,"yep","on track")</f>
        <v>on track</v>
      </c>
      <c r="Q5492" s="3">
        <f ca="1">IF(Proc[[#This Row],[DateClosed]]="",ABS(NETWORKDAYS(Proc[[#This Row],[DateOpened]],TODAY()))-1,ABS(NETWORKDAYS(Proc[[#This Row],[DateOpened]],Proc[[#This Row],[DateClosed]]))-1)</f>
        <v>4</v>
      </c>
      <c r="R5492" s="178" t="s">
        <v>780</v>
      </c>
      <c r="S5492" s="150"/>
    </row>
    <row r="5493" spans="1:19" hidden="1">
      <c r="A5493" s="179" t="s">
        <v>7810</v>
      </c>
      <c r="B5493" s="150" t="str">
        <f>IFERROR(VLOOKUP(Proc[[#This Row],[App]],Table2[],3,0),"open")</f>
        <v>open</v>
      </c>
      <c r="C5493" s="179" t="s">
        <v>369</v>
      </c>
      <c r="D5493" t="s">
        <v>7826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50" t="s">
        <v>6434</v>
      </c>
      <c r="M5493" s="178">
        <v>46051</v>
      </c>
      <c r="N5493" s="178"/>
      <c r="O5493" s="178"/>
      <c r="P5493" s="178" t="str">
        <f ca="1">IF(Proc[[#This Row],[DaysAgeing]]&gt;5,"yep","on track")</f>
        <v>on track</v>
      </c>
      <c r="Q5493" s="3">
        <f ca="1">IF(Proc[[#This Row],[DateClosed]]="",ABS(NETWORKDAYS(Proc[[#This Row],[DateOpened]],TODAY()))-1,ABS(NETWORKDAYS(Proc[[#This Row],[DateOpened]],Proc[[#This Row],[DateClosed]]))-1)</f>
        <v>4</v>
      </c>
      <c r="R5493" s="178" t="s">
        <v>780</v>
      </c>
      <c r="S5493" s="150"/>
    </row>
    <row r="5494" spans="1:19" hidden="1">
      <c r="A5494" s="179" t="s">
        <v>7810</v>
      </c>
      <c r="B5494" s="150" t="str">
        <f>IFERROR(VLOOKUP(Proc[[#This Row],[App]],Table2[],3,0),"open")</f>
        <v>open</v>
      </c>
      <c r="C5494" s="179" t="s">
        <v>369</v>
      </c>
      <c r="D5494" t="s">
        <v>7827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50" t="s">
        <v>6434</v>
      </c>
      <c r="M5494" s="178">
        <v>46051</v>
      </c>
      <c r="N5494" s="178"/>
      <c r="O5494" s="178"/>
      <c r="P5494" s="178" t="str">
        <f ca="1">IF(Proc[[#This Row],[DaysAgeing]]&gt;5,"yep","on track")</f>
        <v>on track</v>
      </c>
      <c r="Q5494" s="3">
        <f ca="1">IF(Proc[[#This Row],[DateClosed]]="",ABS(NETWORKDAYS(Proc[[#This Row],[DateOpened]],TODAY()))-1,ABS(NETWORKDAYS(Proc[[#This Row],[DateOpened]],Proc[[#This Row],[DateClosed]]))-1)</f>
        <v>4</v>
      </c>
      <c r="R5494" s="178" t="s">
        <v>780</v>
      </c>
      <c r="S5494" s="150"/>
    </row>
    <row r="5495" spans="1:19" hidden="1">
      <c r="A5495" s="179" t="s">
        <v>7810</v>
      </c>
      <c r="B5495" s="150" t="str">
        <f>IFERROR(VLOOKUP(Proc[[#This Row],[App]],Table2[],3,0),"open")</f>
        <v>open</v>
      </c>
      <c r="C5495" s="179" t="s">
        <v>369</v>
      </c>
      <c r="D5495" t="s">
        <v>7828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50" t="s">
        <v>6434</v>
      </c>
      <c r="M5495" s="178">
        <v>46051</v>
      </c>
      <c r="N5495" s="178"/>
      <c r="O5495" s="178"/>
      <c r="P5495" s="178" t="str">
        <f ca="1">IF(Proc[[#This Row],[DaysAgeing]]&gt;5,"yep","on track")</f>
        <v>on track</v>
      </c>
      <c r="Q5495" s="3">
        <f ca="1">IF(Proc[[#This Row],[DateClosed]]="",ABS(NETWORKDAYS(Proc[[#This Row],[DateOpened]],TODAY()))-1,ABS(NETWORKDAYS(Proc[[#This Row],[DateOpened]],Proc[[#This Row],[DateClosed]]))-1)</f>
        <v>4</v>
      </c>
      <c r="R5495" s="178" t="s">
        <v>780</v>
      </c>
      <c r="S5495" s="150"/>
    </row>
    <row r="5496" spans="1:19" hidden="1">
      <c r="A5496" s="179" t="s">
        <v>7810</v>
      </c>
      <c r="B5496" s="150" t="str">
        <f>IFERROR(VLOOKUP(Proc[[#This Row],[App]],Table2[],3,0),"open")</f>
        <v>open</v>
      </c>
      <c r="C5496" s="179" t="s">
        <v>369</v>
      </c>
      <c r="D5496" t="s">
        <v>7829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50" t="s">
        <v>6434</v>
      </c>
      <c r="M5496" s="178">
        <v>46051</v>
      </c>
      <c r="N5496" s="178"/>
      <c r="O5496" s="178"/>
      <c r="P5496" s="178" t="str">
        <f ca="1">IF(Proc[[#This Row],[DaysAgeing]]&gt;5,"yep","on track")</f>
        <v>on track</v>
      </c>
      <c r="Q5496" s="3">
        <f ca="1">IF(Proc[[#This Row],[DateClosed]]="",ABS(NETWORKDAYS(Proc[[#This Row],[DateOpened]],TODAY()))-1,ABS(NETWORKDAYS(Proc[[#This Row],[DateOpened]],Proc[[#This Row],[DateClosed]]))-1)</f>
        <v>4</v>
      </c>
      <c r="R5496" s="178" t="s">
        <v>780</v>
      </c>
      <c r="S5496" s="150"/>
    </row>
    <row r="5497" spans="1:19" hidden="1">
      <c r="A5497" s="179" t="s">
        <v>7810</v>
      </c>
      <c r="B5497" s="150" t="str">
        <f>IFERROR(VLOOKUP(Proc[[#This Row],[App]],Table2[],3,0),"open")</f>
        <v>open</v>
      </c>
      <c r="C5497" s="179" t="s">
        <v>369</v>
      </c>
      <c r="D5497" t="s">
        <v>7830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50" t="s">
        <v>6434</v>
      </c>
      <c r="M5497" s="178">
        <v>46051</v>
      </c>
      <c r="N5497" s="178"/>
      <c r="O5497" s="178"/>
      <c r="P5497" s="178" t="str">
        <f ca="1">IF(Proc[[#This Row],[DaysAgeing]]&gt;5,"yep","on track")</f>
        <v>on track</v>
      </c>
      <c r="Q5497" s="3">
        <f ca="1">IF(Proc[[#This Row],[DateClosed]]="",ABS(NETWORKDAYS(Proc[[#This Row],[DateOpened]],TODAY()))-1,ABS(NETWORKDAYS(Proc[[#This Row],[DateOpened]],Proc[[#This Row],[DateClosed]]))-1)</f>
        <v>4</v>
      </c>
      <c r="R5497" s="178" t="s">
        <v>780</v>
      </c>
      <c r="S5497" s="150"/>
    </row>
    <row r="5498" spans="1:19" hidden="1">
      <c r="A5498" s="179" t="s">
        <v>7810</v>
      </c>
      <c r="B5498" s="150" t="str">
        <f>IFERROR(VLOOKUP(Proc[[#This Row],[App]],Table2[],3,0),"open")</f>
        <v>open</v>
      </c>
      <c r="C5498" s="179" t="s">
        <v>369</v>
      </c>
      <c r="D5498" t="s">
        <v>7831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50" t="s">
        <v>6434</v>
      </c>
      <c r="M5498" s="178">
        <v>46051</v>
      </c>
      <c r="N5498" s="178"/>
      <c r="O5498" s="178"/>
      <c r="P5498" s="178" t="str">
        <f ca="1">IF(Proc[[#This Row],[DaysAgeing]]&gt;5,"yep","on track")</f>
        <v>on track</v>
      </c>
      <c r="Q5498" s="3">
        <f ca="1">IF(Proc[[#This Row],[DateClosed]]="",ABS(NETWORKDAYS(Proc[[#This Row],[DateOpened]],TODAY()))-1,ABS(NETWORKDAYS(Proc[[#This Row],[DateOpened]],Proc[[#This Row],[DateClosed]]))-1)</f>
        <v>4</v>
      </c>
      <c r="R5498" s="178" t="s">
        <v>780</v>
      </c>
      <c r="S5498" s="150"/>
    </row>
    <row r="5499" spans="1:19" hidden="1">
      <c r="A5499" s="179" t="s">
        <v>7810</v>
      </c>
      <c r="B5499" s="150" t="str">
        <f>IFERROR(VLOOKUP(Proc[[#This Row],[App]],Table2[],3,0),"open")</f>
        <v>open</v>
      </c>
      <c r="C5499" s="179" t="s">
        <v>369</v>
      </c>
      <c r="D5499" t="s">
        <v>7832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50" t="s">
        <v>6434</v>
      </c>
      <c r="M5499" s="178">
        <v>46051</v>
      </c>
      <c r="N5499" s="178"/>
      <c r="O5499" s="178"/>
      <c r="P5499" s="178" t="str">
        <f ca="1">IF(Proc[[#This Row],[DaysAgeing]]&gt;5,"yep","on track")</f>
        <v>on track</v>
      </c>
      <c r="Q5499" s="3">
        <f ca="1">IF(Proc[[#This Row],[DateClosed]]="",ABS(NETWORKDAYS(Proc[[#This Row],[DateOpened]],TODAY()))-1,ABS(NETWORKDAYS(Proc[[#This Row],[DateOpened]],Proc[[#This Row],[DateClosed]]))-1)</f>
        <v>4</v>
      </c>
      <c r="R5499" s="178" t="s">
        <v>780</v>
      </c>
      <c r="S5499" s="150"/>
    </row>
    <row r="5500" spans="1:19" hidden="1">
      <c r="A5500" s="179" t="s">
        <v>7810</v>
      </c>
      <c r="B5500" s="150" t="str">
        <f>IFERROR(VLOOKUP(Proc[[#This Row],[App]],Table2[],3,0),"open")</f>
        <v>open</v>
      </c>
      <c r="C5500" s="179" t="s">
        <v>369</v>
      </c>
      <c r="D5500" t="s">
        <v>7833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50" t="s">
        <v>6434</v>
      </c>
      <c r="M5500" s="178">
        <v>46051</v>
      </c>
      <c r="N5500" s="178"/>
      <c r="O5500" s="178"/>
      <c r="P5500" s="178" t="str">
        <f ca="1">IF(Proc[[#This Row],[DaysAgeing]]&gt;5,"yep","on track")</f>
        <v>on track</v>
      </c>
      <c r="Q5500" s="3">
        <f ca="1">IF(Proc[[#This Row],[DateClosed]]="",ABS(NETWORKDAYS(Proc[[#This Row],[DateOpened]],TODAY()))-1,ABS(NETWORKDAYS(Proc[[#This Row],[DateOpened]],Proc[[#This Row],[DateClosed]]))-1)</f>
        <v>4</v>
      </c>
      <c r="R5500" s="178" t="s">
        <v>780</v>
      </c>
      <c r="S5500" s="150"/>
    </row>
    <row r="5501" spans="1:19" hidden="1">
      <c r="A5501" s="179" t="s">
        <v>7810</v>
      </c>
      <c r="B5501" s="150" t="str">
        <f>IFERROR(VLOOKUP(Proc[[#This Row],[App]],Table2[],3,0),"open")</f>
        <v>open</v>
      </c>
      <c r="C5501" s="179" t="s">
        <v>369</v>
      </c>
      <c r="D5501" t="s">
        <v>7834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50" t="s">
        <v>6434</v>
      </c>
      <c r="M5501" s="178">
        <v>46051</v>
      </c>
      <c r="N5501" s="178"/>
      <c r="O5501" s="178"/>
      <c r="P5501" s="178" t="str">
        <f ca="1">IF(Proc[[#This Row],[DaysAgeing]]&gt;5,"yep","on track")</f>
        <v>on track</v>
      </c>
      <c r="Q5501" s="3">
        <f ca="1">IF(Proc[[#This Row],[DateClosed]]="",ABS(NETWORKDAYS(Proc[[#This Row],[DateOpened]],TODAY()))-1,ABS(NETWORKDAYS(Proc[[#This Row],[DateOpened]],Proc[[#This Row],[DateClosed]]))-1)</f>
        <v>4</v>
      </c>
      <c r="R5501" s="178" t="s">
        <v>780</v>
      </c>
      <c r="S5501" s="150"/>
    </row>
    <row r="5502" spans="1:19" hidden="1">
      <c r="A5502" s="179" t="s">
        <v>7810</v>
      </c>
      <c r="B5502" s="150" t="str">
        <f>IFERROR(VLOOKUP(Proc[[#This Row],[App]],Table2[],3,0),"open")</f>
        <v>open</v>
      </c>
      <c r="C5502" s="179" t="s">
        <v>369</v>
      </c>
      <c r="D5502" t="s">
        <v>7835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50" t="s">
        <v>6434</v>
      </c>
      <c r="M5502" s="178">
        <v>46051</v>
      </c>
      <c r="N5502" s="178"/>
      <c r="O5502" s="178"/>
      <c r="P5502" s="178" t="str">
        <f ca="1">IF(Proc[[#This Row],[DaysAgeing]]&gt;5,"yep","on track")</f>
        <v>on track</v>
      </c>
      <c r="Q5502" s="3">
        <f ca="1">IF(Proc[[#This Row],[DateClosed]]="",ABS(NETWORKDAYS(Proc[[#This Row],[DateOpened]],TODAY()))-1,ABS(NETWORKDAYS(Proc[[#This Row],[DateOpened]],Proc[[#This Row],[DateClosed]]))-1)</f>
        <v>4</v>
      </c>
      <c r="R5502" s="178" t="s">
        <v>780</v>
      </c>
      <c r="S5502" s="150"/>
    </row>
    <row r="5503" spans="1:19" hidden="1">
      <c r="A5503" s="179" t="s">
        <v>7810</v>
      </c>
      <c r="B5503" s="150" t="str">
        <f>IFERROR(VLOOKUP(Proc[[#This Row],[App]],Table2[],3,0),"open")</f>
        <v>open</v>
      </c>
      <c r="C5503" s="179" t="s">
        <v>369</v>
      </c>
      <c r="D5503" t="s">
        <v>7836</v>
      </c>
      <c r="E5503" t="s">
        <v>7851</v>
      </c>
      <c r="F5503" s="150" t="s">
        <v>7851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50" t="s">
        <v>6434</v>
      </c>
      <c r="M5503" s="178">
        <v>46051</v>
      </c>
      <c r="N5503" s="178"/>
      <c r="O5503" s="178"/>
      <c r="P5503" s="178" t="str">
        <f ca="1">IF(Proc[[#This Row],[DaysAgeing]]&gt;5,"yep","on track")</f>
        <v>on track</v>
      </c>
      <c r="Q5503" s="3">
        <f ca="1">IF(Proc[[#This Row],[DateClosed]]="",ABS(NETWORKDAYS(Proc[[#This Row],[DateOpened]],TODAY()))-1,ABS(NETWORKDAYS(Proc[[#This Row],[DateOpened]],Proc[[#This Row],[DateClosed]]))-1)</f>
        <v>4</v>
      </c>
      <c r="R5503" s="178" t="s">
        <v>780</v>
      </c>
      <c r="S5503" s="150"/>
    </row>
    <row r="5504" spans="1:19" hidden="1">
      <c r="A5504" s="179" t="s">
        <v>7810</v>
      </c>
      <c r="B5504" s="150" t="str">
        <f>IFERROR(VLOOKUP(Proc[[#This Row],[App]],Table2[],3,0),"open")</f>
        <v>open</v>
      </c>
      <c r="C5504" s="179" t="s">
        <v>369</v>
      </c>
      <c r="D5504" t="s">
        <v>7837</v>
      </c>
      <c r="E5504" t="s">
        <v>7851</v>
      </c>
      <c r="F5504" s="150" t="s">
        <v>7851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50" t="s">
        <v>6434</v>
      </c>
      <c r="M5504" s="178">
        <v>46051</v>
      </c>
      <c r="N5504" s="178"/>
      <c r="O5504" s="178"/>
      <c r="P5504" s="178" t="str">
        <f ca="1">IF(Proc[[#This Row],[DaysAgeing]]&gt;5,"yep","on track")</f>
        <v>on track</v>
      </c>
      <c r="Q5504" s="3">
        <f ca="1">IF(Proc[[#This Row],[DateClosed]]="",ABS(NETWORKDAYS(Proc[[#This Row],[DateOpened]],TODAY()))-1,ABS(NETWORKDAYS(Proc[[#This Row],[DateOpened]],Proc[[#This Row],[DateClosed]]))-1)</f>
        <v>4</v>
      </c>
      <c r="R5504" s="178" t="s">
        <v>780</v>
      </c>
      <c r="S5504" s="150"/>
    </row>
    <row r="5505" spans="1:19" hidden="1">
      <c r="A5505" s="179" t="s">
        <v>7810</v>
      </c>
      <c r="B5505" s="150" t="str">
        <f>IFERROR(VLOOKUP(Proc[[#This Row],[App]],Table2[],3,0),"open")</f>
        <v>open</v>
      </c>
      <c r="C5505" s="179" t="s">
        <v>369</v>
      </c>
      <c r="D5505" t="s">
        <v>7838</v>
      </c>
      <c r="E5505" t="s">
        <v>7851</v>
      </c>
      <c r="F5505" s="150" t="s">
        <v>7851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50" t="s">
        <v>6434</v>
      </c>
      <c r="M5505" s="178">
        <v>46051</v>
      </c>
      <c r="N5505" s="178"/>
      <c r="O5505" s="178"/>
      <c r="P5505" s="178" t="str">
        <f ca="1">IF(Proc[[#This Row],[DaysAgeing]]&gt;5,"yep","on track")</f>
        <v>on track</v>
      </c>
      <c r="Q5505" s="3">
        <f ca="1">IF(Proc[[#This Row],[DateClosed]]="",ABS(NETWORKDAYS(Proc[[#This Row],[DateOpened]],TODAY()))-1,ABS(NETWORKDAYS(Proc[[#This Row],[DateOpened]],Proc[[#This Row],[DateClosed]]))-1)</f>
        <v>4</v>
      </c>
      <c r="R5505" s="178" t="s">
        <v>780</v>
      </c>
      <c r="S5505" s="150"/>
    </row>
    <row r="5506" spans="1:19" hidden="1">
      <c r="A5506" s="179" t="s">
        <v>7810</v>
      </c>
      <c r="B5506" s="150" t="str">
        <f>IFERROR(VLOOKUP(Proc[[#This Row],[App]],Table2[],3,0),"open")</f>
        <v>open</v>
      </c>
      <c r="C5506" s="179" t="s">
        <v>375</v>
      </c>
      <c r="D5506" t="s">
        <v>7839</v>
      </c>
      <c r="E5506" t="s">
        <v>7851</v>
      </c>
      <c r="F5506" s="150" t="str">
        <f>VLOOKUP(Proc[[#This Row],[Obj]],Sheet1!A:B,2,0)</f>
        <v>P000000425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7992</v>
      </c>
      <c r="J5506" s="150" t="b">
        <f>Proc[[#This Row],[Requested]]=Proc[[#This Row],[CurrentParent]]</f>
        <v>0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50" t="s">
        <v>6434</v>
      </c>
      <c r="M5506" s="178">
        <v>46051</v>
      </c>
      <c r="N5506" s="178"/>
      <c r="O5506" s="178"/>
      <c r="P5506" s="178" t="str">
        <f ca="1">IF(Proc[[#This Row],[DaysAgeing]]&gt;5,"yep","on track")</f>
        <v>on track</v>
      </c>
      <c r="Q5506" s="3">
        <f ca="1">IF(Proc[[#This Row],[DateClosed]]="",ABS(NETWORKDAYS(Proc[[#This Row],[DateOpened]],TODAY()))-1,ABS(NETWORKDAYS(Proc[[#This Row],[DateOpened]],Proc[[#This Row],[DateClosed]]))-1)</f>
        <v>4</v>
      </c>
      <c r="R5506" s="178" t="s">
        <v>780</v>
      </c>
      <c r="S5506" s="150"/>
    </row>
    <row r="5507" spans="1:19" hidden="1">
      <c r="A5507" s="179" t="s">
        <v>7810</v>
      </c>
      <c r="B5507" s="150" t="str">
        <f>IFERROR(VLOOKUP(Proc[[#This Row],[App]],Table2[],3,0),"open")</f>
        <v>open</v>
      </c>
      <c r="C5507" s="179" t="s">
        <v>369</v>
      </c>
      <c r="D5507" t="s">
        <v>7840</v>
      </c>
      <c r="E5507" t="s">
        <v>7852</v>
      </c>
      <c r="F5507" s="150" t="s">
        <v>7852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50" t="s">
        <v>6434</v>
      </c>
      <c r="M5507" s="178">
        <v>46051</v>
      </c>
      <c r="N5507" s="178"/>
      <c r="O5507" s="178"/>
      <c r="P5507" s="178" t="str">
        <f ca="1">IF(Proc[[#This Row],[DaysAgeing]]&gt;5,"yep","on track")</f>
        <v>on track</v>
      </c>
      <c r="Q5507" s="3">
        <f ca="1">IF(Proc[[#This Row],[DateClosed]]="",ABS(NETWORKDAYS(Proc[[#This Row],[DateOpened]],TODAY()))-1,ABS(NETWORKDAYS(Proc[[#This Row],[DateOpened]],Proc[[#This Row],[DateClosed]]))-1)</f>
        <v>4</v>
      </c>
      <c r="R5507" s="178" t="s">
        <v>780</v>
      </c>
      <c r="S5507" s="150"/>
    </row>
    <row r="5508" spans="1:19" hidden="1">
      <c r="A5508" s="179" t="s">
        <v>7810</v>
      </c>
      <c r="B5508" s="150" t="str">
        <f>IFERROR(VLOOKUP(Proc[[#This Row],[App]],Table2[],3,0),"open")</f>
        <v>open</v>
      </c>
      <c r="C5508" s="179" t="s">
        <v>369</v>
      </c>
      <c r="D5508" t="s">
        <v>7841</v>
      </c>
      <c r="E5508" t="s">
        <v>7852</v>
      </c>
      <c r="F5508" s="150" t="s">
        <v>7852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50" t="s">
        <v>6434</v>
      </c>
      <c r="M5508" s="178">
        <v>46051</v>
      </c>
      <c r="N5508" s="178"/>
      <c r="O5508" s="178"/>
      <c r="P5508" s="178" t="str">
        <f ca="1">IF(Proc[[#This Row],[DaysAgeing]]&gt;5,"yep","on track")</f>
        <v>on track</v>
      </c>
      <c r="Q5508" s="3">
        <f ca="1">IF(Proc[[#This Row],[DateClosed]]="",ABS(NETWORKDAYS(Proc[[#This Row],[DateOpened]],TODAY()))-1,ABS(NETWORKDAYS(Proc[[#This Row],[DateOpened]],Proc[[#This Row],[DateClosed]]))-1)</f>
        <v>4</v>
      </c>
      <c r="R5508" s="178" t="s">
        <v>780</v>
      </c>
      <c r="S5508" s="150"/>
    </row>
    <row r="5509" spans="1:19" hidden="1">
      <c r="A5509" s="179" t="s">
        <v>7810</v>
      </c>
      <c r="B5509" s="150" t="str">
        <f>IFERROR(VLOOKUP(Proc[[#This Row],[App]],Table2[],3,0),"open")</f>
        <v>open</v>
      </c>
      <c r="C5509" s="179" t="s">
        <v>369</v>
      </c>
      <c r="D5509" t="s">
        <v>7842</v>
      </c>
      <c r="E5509" t="s">
        <v>7853</v>
      </c>
      <c r="F5509" s="150" t="s">
        <v>7853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50" t="s">
        <v>6434</v>
      </c>
      <c r="M5509" s="178">
        <v>46051</v>
      </c>
      <c r="N5509" s="178"/>
      <c r="O5509" s="178"/>
      <c r="P5509" s="178" t="str">
        <f ca="1">IF(Proc[[#This Row],[DaysAgeing]]&gt;5,"yep","on track")</f>
        <v>on track</v>
      </c>
      <c r="Q5509" s="3">
        <f ca="1">IF(Proc[[#This Row],[DateClosed]]="",ABS(NETWORKDAYS(Proc[[#This Row],[DateOpened]],TODAY()))-1,ABS(NETWORKDAYS(Proc[[#This Row],[DateOpened]],Proc[[#This Row],[DateClosed]]))-1)</f>
        <v>4</v>
      </c>
      <c r="R5509" s="178" t="s">
        <v>780</v>
      </c>
      <c r="S5509" s="150"/>
    </row>
    <row r="5510" spans="1:19" hidden="1">
      <c r="A5510" t="s">
        <v>7843</v>
      </c>
      <c r="B5510" s="150" t="str">
        <f>IFERROR(VLOOKUP(Proc[[#This Row],[App]],Table2[],3,0),"open")</f>
        <v>ok</v>
      </c>
      <c r="C5510" s="179" t="s">
        <v>369</v>
      </c>
      <c r="D5510" t="s">
        <v>7845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50" t="s">
        <v>6434</v>
      </c>
      <c r="M5510" s="178">
        <v>46051</v>
      </c>
      <c r="N5510" s="178"/>
      <c r="O5510" s="178"/>
      <c r="P5510" s="178" t="str">
        <f ca="1">IF(Proc[[#This Row],[DaysAgeing]]&gt;5,"yep","on track")</f>
        <v>on track</v>
      </c>
      <c r="Q5510" s="3">
        <f ca="1">IF(Proc[[#This Row],[DateClosed]]="",ABS(NETWORKDAYS(Proc[[#This Row],[DateOpened]],TODAY()))-1,ABS(NETWORKDAYS(Proc[[#This Row],[DateOpened]],Proc[[#This Row],[DateClosed]]))-1)</f>
        <v>4</v>
      </c>
      <c r="R5510" s="178" t="s">
        <v>7844</v>
      </c>
      <c r="S5510" s="150"/>
    </row>
    <row r="5511" spans="1:19" hidden="1">
      <c r="A5511" t="s">
        <v>7850</v>
      </c>
      <c r="B5511" s="150" t="str">
        <f>IFERROR(VLOOKUP(Proc[[#This Row],[App]],Table2[],3,0),"open")</f>
        <v>ok</v>
      </c>
      <c r="C5511" s="179" t="s">
        <v>369</v>
      </c>
      <c r="D5511" t="s">
        <v>7846</v>
      </c>
      <c r="E5511" t="s">
        <v>7848</v>
      </c>
      <c r="F5511" s="150" t="s">
        <v>7848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50" t="s">
        <v>6434</v>
      </c>
      <c r="M5511" s="178">
        <v>46051</v>
      </c>
      <c r="N5511" s="178"/>
      <c r="O5511" s="178"/>
      <c r="P5511" s="178" t="str">
        <f ca="1">IF(Proc[[#This Row],[DaysAgeing]]&gt;5,"yep","on track")</f>
        <v>on track</v>
      </c>
      <c r="Q5511" s="3">
        <f ca="1">IF(Proc[[#This Row],[DateClosed]]="",ABS(NETWORKDAYS(Proc[[#This Row],[DateOpened]],TODAY()))-1,ABS(NETWORKDAYS(Proc[[#This Row],[DateOpened]],Proc[[#This Row],[DateClosed]]))-1)</f>
        <v>4</v>
      </c>
      <c r="R5511" s="178" t="s">
        <v>484</v>
      </c>
      <c r="S5511" s="150"/>
    </row>
    <row r="5512" spans="1:19" hidden="1">
      <c r="A5512" t="s">
        <v>7850</v>
      </c>
      <c r="B5512" s="150" t="str">
        <f>IFERROR(VLOOKUP(Proc[[#This Row],[App]],Table2[],3,0),"open")</f>
        <v>ok</v>
      </c>
      <c r="C5512" s="179" t="s">
        <v>369</v>
      </c>
      <c r="D5512" t="s">
        <v>7847</v>
      </c>
      <c r="E5512" t="s">
        <v>7849</v>
      </c>
      <c r="F5512" s="150" t="s">
        <v>7849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50" t="s">
        <v>6434</v>
      </c>
      <c r="M5512" s="178">
        <v>46051</v>
      </c>
      <c r="N5512" s="178"/>
      <c r="O5512" s="178"/>
      <c r="P5512" s="178" t="str">
        <f ca="1">IF(Proc[[#This Row],[DaysAgeing]]&gt;5,"yep","on track")</f>
        <v>on track</v>
      </c>
      <c r="Q5512" s="3">
        <f ca="1">IF(Proc[[#This Row],[DateClosed]]="",ABS(NETWORKDAYS(Proc[[#This Row],[DateOpened]],TODAY()))-1,ABS(NETWORKDAYS(Proc[[#This Row],[DateOpened]],Proc[[#This Row],[DateClosed]]))-1)</f>
        <v>4</v>
      </c>
      <c r="R5512" s="178" t="s">
        <v>484</v>
      </c>
      <c r="S5512" s="150"/>
    </row>
    <row r="5513" spans="1:19" hidden="1">
      <c r="A5513" t="s">
        <v>7854</v>
      </c>
      <c r="B5513" s="150" t="str">
        <f>IFERROR(VLOOKUP(Proc[[#This Row],[App]],Table2[],3,0),"open")</f>
        <v>ok</v>
      </c>
      <c r="C5513" s="179" t="s">
        <v>369</v>
      </c>
      <c r="D5513" t="s">
        <v>7855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50" t="s">
        <v>6434</v>
      </c>
      <c r="M5513" s="178">
        <v>46051</v>
      </c>
      <c r="N5513" s="178"/>
      <c r="O5513" s="178"/>
      <c r="P5513" s="178" t="str">
        <f ca="1">IF(Proc[[#This Row],[DaysAgeing]]&gt;5,"yep","on track")</f>
        <v>on track</v>
      </c>
      <c r="Q5513" s="3">
        <f ca="1">IF(Proc[[#This Row],[DateClosed]]="",ABS(NETWORKDAYS(Proc[[#This Row],[DateOpened]],TODAY()))-1,ABS(NETWORKDAYS(Proc[[#This Row],[DateOpened]],Proc[[#This Row],[DateClosed]]))-1)</f>
        <v>4</v>
      </c>
      <c r="R5513" s="178" t="s">
        <v>5708</v>
      </c>
      <c r="S5513" s="150"/>
    </row>
    <row r="5514" spans="1:19" hidden="1">
      <c r="A5514" s="179" t="s">
        <v>7854</v>
      </c>
      <c r="B5514" s="150" t="str">
        <f>IFERROR(VLOOKUP(Proc[[#This Row],[App]],Table2[],3,0),"open")</f>
        <v>ok</v>
      </c>
      <c r="C5514" s="179" t="s">
        <v>369</v>
      </c>
      <c r="D5514" t="s">
        <v>7856</v>
      </c>
      <c r="E5514" t="s">
        <v>7859</v>
      </c>
      <c r="F5514" s="150" t="s">
        <v>7859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50" t="s">
        <v>6434</v>
      </c>
      <c r="M5514" s="178">
        <v>46051</v>
      </c>
      <c r="N5514" s="178"/>
      <c r="O5514" s="178"/>
      <c r="P5514" s="178" t="str">
        <f ca="1">IF(Proc[[#This Row],[DaysAgeing]]&gt;5,"yep","on track")</f>
        <v>on track</v>
      </c>
      <c r="Q5514" s="3">
        <f ca="1">IF(Proc[[#This Row],[DateClosed]]="",ABS(NETWORKDAYS(Proc[[#This Row],[DateOpened]],TODAY()))-1,ABS(NETWORKDAYS(Proc[[#This Row],[DateOpened]],Proc[[#This Row],[DateClosed]]))-1)</f>
        <v>4</v>
      </c>
      <c r="R5514" s="178" t="s">
        <v>5708</v>
      </c>
      <c r="S5514" s="150"/>
    </row>
    <row r="5515" spans="1:19" hidden="1">
      <c r="A5515" s="179" t="s">
        <v>7854</v>
      </c>
      <c r="B5515" s="150" t="str">
        <f>IFERROR(VLOOKUP(Proc[[#This Row],[App]],Table2[],3,0),"open")</f>
        <v>ok</v>
      </c>
      <c r="C5515" s="179" t="s">
        <v>369</v>
      </c>
      <c r="D5515" t="s">
        <v>7857</v>
      </c>
      <c r="E5515" t="s">
        <v>7859</v>
      </c>
      <c r="F5515" s="150" t="s">
        <v>7859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50" t="s">
        <v>6434</v>
      </c>
      <c r="M5515" s="178">
        <v>46051</v>
      </c>
      <c r="N5515" s="178"/>
      <c r="O5515" s="178"/>
      <c r="P5515" s="178" t="str">
        <f ca="1">IF(Proc[[#This Row],[DaysAgeing]]&gt;5,"yep","on track")</f>
        <v>on track</v>
      </c>
      <c r="Q5515" s="3">
        <f ca="1">IF(Proc[[#This Row],[DateClosed]]="",ABS(NETWORKDAYS(Proc[[#This Row],[DateOpened]],TODAY()))-1,ABS(NETWORKDAYS(Proc[[#This Row],[DateOpened]],Proc[[#This Row],[DateClosed]]))-1)</f>
        <v>4</v>
      </c>
      <c r="R5515" s="178" t="s">
        <v>5708</v>
      </c>
      <c r="S5515" s="150"/>
    </row>
    <row r="5516" spans="1:19" hidden="1">
      <c r="A5516" s="179" t="s">
        <v>7854</v>
      </c>
      <c r="B5516" s="150" t="str">
        <f>IFERROR(VLOOKUP(Proc[[#This Row],[App]],Table2[],3,0),"open")</f>
        <v>ok</v>
      </c>
      <c r="C5516" s="179" t="s">
        <v>369</v>
      </c>
      <c r="D5516" t="s">
        <v>7858</v>
      </c>
      <c r="E5516" t="s">
        <v>7859</v>
      </c>
      <c r="F5516" s="150" t="s">
        <v>7859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50" t="s">
        <v>6434</v>
      </c>
      <c r="M5516" s="178">
        <v>46051</v>
      </c>
      <c r="N5516" s="178"/>
      <c r="O5516" s="178"/>
      <c r="P5516" s="178" t="str">
        <f ca="1">IF(Proc[[#This Row],[DaysAgeing]]&gt;5,"yep","on track")</f>
        <v>on track</v>
      </c>
      <c r="Q5516" s="3">
        <f ca="1">IF(Proc[[#This Row],[DateClosed]]="",ABS(NETWORKDAYS(Proc[[#This Row],[DateOpened]],TODAY()))-1,ABS(NETWORKDAYS(Proc[[#This Row],[DateOpened]],Proc[[#This Row],[DateClosed]]))-1)</f>
        <v>4</v>
      </c>
      <c r="R5516" s="178" t="s">
        <v>5708</v>
      </c>
      <c r="S5516" s="150"/>
    </row>
    <row r="5517" spans="1:19" hidden="1">
      <c r="A5517" t="s">
        <v>7860</v>
      </c>
      <c r="B5517" s="150" t="str">
        <f>IFERROR(VLOOKUP(Proc[[#This Row],[App]],Table2[],3,0),"open")</f>
        <v>ok</v>
      </c>
      <c r="C5517" s="179" t="s">
        <v>369</v>
      </c>
      <c r="D5517" t="s">
        <v>7861</v>
      </c>
      <c r="E5517" t="s">
        <v>7866</v>
      </c>
      <c r="F5517" s="150" t="s">
        <v>7866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50" t="s">
        <v>6434</v>
      </c>
      <c r="M5517" s="178">
        <v>46051</v>
      </c>
      <c r="N5517" s="178"/>
      <c r="O5517" s="178"/>
      <c r="P5517" s="178" t="str">
        <f ca="1">IF(Proc[[#This Row],[DaysAgeing]]&gt;5,"yep","on track")</f>
        <v>on track</v>
      </c>
      <c r="Q5517" s="3">
        <f ca="1">IF(Proc[[#This Row],[DateClosed]]="",ABS(NETWORKDAYS(Proc[[#This Row],[DateOpened]],TODAY()))-1,ABS(NETWORKDAYS(Proc[[#This Row],[DateOpened]],Proc[[#This Row],[DateClosed]]))-1)</f>
        <v>4</v>
      </c>
      <c r="R5517" s="178" t="s">
        <v>5708</v>
      </c>
      <c r="S5517" s="150"/>
    </row>
    <row r="5518" spans="1:19" hidden="1">
      <c r="A5518" s="179" t="s">
        <v>7860</v>
      </c>
      <c r="B5518" s="150" t="str">
        <f>IFERROR(VLOOKUP(Proc[[#This Row],[App]],Table2[],3,0),"open")</f>
        <v>ok</v>
      </c>
      <c r="C5518" s="179" t="s">
        <v>692</v>
      </c>
      <c r="D5518" t="s">
        <v>7862</v>
      </c>
      <c r="E5518" s="179" t="s">
        <v>7866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50" t="s">
        <v>6434</v>
      </c>
      <c r="M5518" s="178">
        <v>46051</v>
      </c>
      <c r="N5518" s="178"/>
      <c r="O5518" s="178"/>
      <c r="P5518" s="178" t="str">
        <f ca="1">IF(Proc[[#This Row],[DaysAgeing]]&gt;5,"yep","on track")</f>
        <v>on track</v>
      </c>
      <c r="Q5518" s="3">
        <f ca="1">IF(Proc[[#This Row],[DateClosed]]="",ABS(NETWORKDAYS(Proc[[#This Row],[DateOpened]],TODAY()))-1,ABS(NETWORKDAYS(Proc[[#This Row],[DateOpened]],Proc[[#This Row],[DateClosed]]))-1)</f>
        <v>4</v>
      </c>
      <c r="R5518" s="178" t="s">
        <v>5708</v>
      </c>
      <c r="S5518" s="150"/>
    </row>
    <row r="5519" spans="1:19" hidden="1">
      <c r="A5519" s="179" t="s">
        <v>7860</v>
      </c>
      <c r="B5519" s="150" t="str">
        <f>IFERROR(VLOOKUP(Proc[[#This Row],[App]],Table2[],3,0),"open")</f>
        <v>ok</v>
      </c>
      <c r="C5519" s="179" t="s">
        <v>369</v>
      </c>
      <c r="D5519" t="s">
        <v>7863</v>
      </c>
      <c r="E5519" s="179" t="s">
        <v>7866</v>
      </c>
      <c r="F5519" s="150" t="s">
        <v>7866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50" t="s">
        <v>6434</v>
      </c>
      <c r="M5519" s="178">
        <v>46051</v>
      </c>
      <c r="N5519" s="178"/>
      <c r="O5519" s="178"/>
      <c r="P5519" s="178" t="str">
        <f ca="1">IF(Proc[[#This Row],[DaysAgeing]]&gt;5,"yep","on track")</f>
        <v>on track</v>
      </c>
      <c r="Q5519" s="3">
        <f ca="1">IF(Proc[[#This Row],[DateClosed]]="",ABS(NETWORKDAYS(Proc[[#This Row],[DateOpened]],TODAY()))-1,ABS(NETWORKDAYS(Proc[[#This Row],[DateOpened]],Proc[[#This Row],[DateClosed]]))-1)</f>
        <v>4</v>
      </c>
      <c r="R5519" s="178" t="s">
        <v>5708</v>
      </c>
      <c r="S5519" s="150"/>
    </row>
    <row r="5520" spans="1:19" hidden="1">
      <c r="A5520" s="179" t="s">
        <v>7860</v>
      </c>
      <c r="B5520" s="150" t="str">
        <f>IFERROR(VLOOKUP(Proc[[#This Row],[App]],Table2[],3,0),"open")</f>
        <v>ok</v>
      </c>
      <c r="C5520" s="179" t="s">
        <v>369</v>
      </c>
      <c r="D5520" t="s">
        <v>7864</v>
      </c>
      <c r="E5520" s="179" t="s">
        <v>7866</v>
      </c>
      <c r="F5520" s="150" t="s">
        <v>7866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50" t="s">
        <v>6434</v>
      </c>
      <c r="M5520" s="178">
        <v>46051</v>
      </c>
      <c r="N5520" s="178"/>
      <c r="O5520" s="178"/>
      <c r="P5520" s="178" t="str">
        <f ca="1">IF(Proc[[#This Row],[DaysAgeing]]&gt;5,"yep","on track")</f>
        <v>on track</v>
      </c>
      <c r="Q5520" s="3">
        <f ca="1">IF(Proc[[#This Row],[DateClosed]]="",ABS(NETWORKDAYS(Proc[[#This Row],[DateOpened]],TODAY()))-1,ABS(NETWORKDAYS(Proc[[#This Row],[DateOpened]],Proc[[#This Row],[DateClosed]]))-1)</f>
        <v>4</v>
      </c>
      <c r="R5520" s="178" t="s">
        <v>5708</v>
      </c>
      <c r="S5520" s="150"/>
    </row>
    <row r="5521" spans="1:19" hidden="1">
      <c r="A5521" s="179" t="s">
        <v>7860</v>
      </c>
      <c r="B5521" s="150" t="str">
        <f>IFERROR(VLOOKUP(Proc[[#This Row],[App]],Table2[],3,0),"open")</f>
        <v>ok</v>
      </c>
      <c r="C5521" s="179" t="s">
        <v>369</v>
      </c>
      <c r="D5521" t="s">
        <v>7865</v>
      </c>
      <c r="E5521" s="179" t="s">
        <v>7866</v>
      </c>
      <c r="F5521" s="150" t="s">
        <v>7866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50" t="s">
        <v>6434</v>
      </c>
      <c r="M5521" s="178">
        <v>46051</v>
      </c>
      <c r="N5521" s="178"/>
      <c r="O5521" s="178"/>
      <c r="P5521" s="178" t="str">
        <f ca="1">IF(Proc[[#This Row],[DaysAgeing]]&gt;5,"yep","on track")</f>
        <v>on track</v>
      </c>
      <c r="Q5521" s="3">
        <f ca="1">IF(Proc[[#This Row],[DateClosed]]="",ABS(NETWORKDAYS(Proc[[#This Row],[DateOpened]],TODAY()))-1,ABS(NETWORKDAYS(Proc[[#This Row],[DateOpened]],Proc[[#This Row],[DateClosed]]))-1)</f>
        <v>4</v>
      </c>
      <c r="R5521" s="178" t="s">
        <v>5708</v>
      </c>
      <c r="S5521" s="150"/>
    </row>
    <row r="5522" spans="1:19" hidden="1">
      <c r="A5522" t="s">
        <v>7882</v>
      </c>
      <c r="B5522" s="150" t="str">
        <f>IFERROR(VLOOKUP(Proc[[#This Row],[App]],Table2[],3,0),"open")</f>
        <v>ok</v>
      </c>
      <c r="C5522" s="179" t="s">
        <v>369</v>
      </c>
      <c r="D5522" t="s">
        <v>7893</v>
      </c>
      <c r="E5522" t="s">
        <v>7867</v>
      </c>
      <c r="F5522" s="150" t="s">
        <v>7867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50" t="s">
        <v>6434</v>
      </c>
      <c r="M5522" s="178">
        <v>46052</v>
      </c>
      <c r="N5522" s="178"/>
      <c r="O5522" s="178"/>
      <c r="P5522" s="178" t="str">
        <f ca="1">IF(Proc[[#This Row],[DaysAgeing]]&gt;5,"yep","on track")</f>
        <v>on track</v>
      </c>
      <c r="Q5522" s="3">
        <f ca="1">IF(Proc[[#This Row],[DateClosed]]="",ABS(NETWORKDAYS(Proc[[#This Row],[DateOpened]],TODAY()))-1,ABS(NETWORKDAYS(Proc[[#This Row],[DateOpened]],Proc[[#This Row],[DateClosed]]))-1)</f>
        <v>3</v>
      </c>
      <c r="R5522" s="178" t="s">
        <v>7890</v>
      </c>
      <c r="S5522" s="150"/>
    </row>
    <row r="5523" spans="1:19" hidden="1">
      <c r="A5523" s="179" t="s">
        <v>7882</v>
      </c>
      <c r="B5523" s="150" t="str">
        <f>IFERROR(VLOOKUP(Proc[[#This Row],[App]],Table2[],3,0),"open")</f>
        <v>ok</v>
      </c>
      <c r="C5523" s="179" t="s">
        <v>369</v>
      </c>
      <c r="D5523" t="s">
        <v>7894</v>
      </c>
      <c r="E5523" t="s">
        <v>7867</v>
      </c>
      <c r="F5523" s="150" t="s">
        <v>7867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50" t="s">
        <v>6434</v>
      </c>
      <c r="M5523" s="178">
        <v>46052</v>
      </c>
      <c r="N5523" s="178"/>
      <c r="O5523" s="178"/>
      <c r="P5523" s="178" t="str">
        <f ca="1">IF(Proc[[#This Row],[DaysAgeing]]&gt;5,"yep","on track")</f>
        <v>on track</v>
      </c>
      <c r="Q5523" s="3">
        <f ca="1">IF(Proc[[#This Row],[DateClosed]]="",ABS(NETWORKDAYS(Proc[[#This Row],[DateOpened]],TODAY()))-1,ABS(NETWORKDAYS(Proc[[#This Row],[DateOpened]],Proc[[#This Row],[DateClosed]]))-1)</f>
        <v>3</v>
      </c>
      <c r="R5523" s="178" t="s">
        <v>7890</v>
      </c>
      <c r="S5523" s="150"/>
    </row>
    <row r="5524" spans="1:19" hidden="1">
      <c r="A5524" s="179" t="s">
        <v>7882</v>
      </c>
      <c r="B5524" s="150" t="str">
        <f>IFERROR(VLOOKUP(Proc[[#This Row],[App]],Table2[],3,0),"open")</f>
        <v>ok</v>
      </c>
      <c r="C5524" s="179" t="s">
        <v>369</v>
      </c>
      <c r="D5524" t="s">
        <v>7895</v>
      </c>
      <c r="E5524" t="s">
        <v>7867</v>
      </c>
      <c r="F5524" s="150" t="s">
        <v>7867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50" t="s">
        <v>6434</v>
      </c>
      <c r="M5524" s="178">
        <v>46052</v>
      </c>
      <c r="N5524" s="178"/>
      <c r="O5524" s="178"/>
      <c r="P5524" s="178" t="str">
        <f ca="1">IF(Proc[[#This Row],[DaysAgeing]]&gt;5,"yep","on track")</f>
        <v>on track</v>
      </c>
      <c r="Q5524" s="3">
        <f ca="1">IF(Proc[[#This Row],[DateClosed]]="",ABS(NETWORKDAYS(Proc[[#This Row],[DateOpened]],TODAY()))-1,ABS(NETWORKDAYS(Proc[[#This Row],[DateOpened]],Proc[[#This Row],[DateClosed]]))-1)</f>
        <v>3</v>
      </c>
      <c r="R5524" s="178" t="s">
        <v>7890</v>
      </c>
      <c r="S5524" s="150"/>
    </row>
    <row r="5525" spans="1:19" hidden="1">
      <c r="A5525" s="179" t="s">
        <v>7882</v>
      </c>
      <c r="B5525" s="150" t="str">
        <f>IFERROR(VLOOKUP(Proc[[#This Row],[App]],Table2[],3,0),"open")</f>
        <v>ok</v>
      </c>
      <c r="C5525" s="179" t="s">
        <v>369</v>
      </c>
      <c r="D5525" t="s">
        <v>7896</v>
      </c>
      <c r="E5525" t="s">
        <v>7867</v>
      </c>
      <c r="F5525" s="150" t="s">
        <v>7867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50" t="s">
        <v>6434</v>
      </c>
      <c r="M5525" s="178">
        <v>46052</v>
      </c>
      <c r="N5525" s="178"/>
      <c r="O5525" s="178"/>
      <c r="P5525" s="178" t="str">
        <f ca="1">IF(Proc[[#This Row],[DaysAgeing]]&gt;5,"yep","on track")</f>
        <v>on track</v>
      </c>
      <c r="Q5525" s="3">
        <f ca="1">IF(Proc[[#This Row],[DateClosed]]="",ABS(NETWORKDAYS(Proc[[#This Row],[DateOpened]],TODAY()))-1,ABS(NETWORKDAYS(Proc[[#This Row],[DateOpened]],Proc[[#This Row],[DateClosed]]))-1)</f>
        <v>3</v>
      </c>
      <c r="R5525" s="178" t="s">
        <v>7890</v>
      </c>
      <c r="S5525" s="150"/>
    </row>
    <row r="5526" spans="1:19" hidden="1">
      <c r="A5526" s="179" t="s">
        <v>7882</v>
      </c>
      <c r="B5526" s="150" t="str">
        <f>IFERROR(VLOOKUP(Proc[[#This Row],[App]],Table2[],3,0),"open")</f>
        <v>ok</v>
      </c>
      <c r="C5526" s="179" t="s">
        <v>369</v>
      </c>
      <c r="D5526" t="s">
        <v>7897</v>
      </c>
      <c r="E5526" t="s">
        <v>7867</v>
      </c>
      <c r="F5526" s="150" t="s">
        <v>7867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50" t="s">
        <v>6434</v>
      </c>
      <c r="M5526" s="178">
        <v>46052</v>
      </c>
      <c r="N5526" s="178"/>
      <c r="O5526" s="178"/>
      <c r="P5526" s="178" t="str">
        <f ca="1">IF(Proc[[#This Row],[DaysAgeing]]&gt;5,"yep","on track")</f>
        <v>on track</v>
      </c>
      <c r="Q5526" s="3">
        <f ca="1">IF(Proc[[#This Row],[DateClosed]]="",ABS(NETWORKDAYS(Proc[[#This Row],[DateOpened]],TODAY()))-1,ABS(NETWORKDAYS(Proc[[#This Row],[DateOpened]],Proc[[#This Row],[DateClosed]]))-1)</f>
        <v>3</v>
      </c>
      <c r="R5526" s="178" t="s">
        <v>7890</v>
      </c>
      <c r="S5526" s="150"/>
    </row>
    <row r="5527" spans="1:19" hidden="1">
      <c r="A5527" s="179" t="s">
        <v>7882</v>
      </c>
      <c r="B5527" s="150" t="str">
        <f>IFERROR(VLOOKUP(Proc[[#This Row],[App]],Table2[],3,0),"open")</f>
        <v>ok</v>
      </c>
      <c r="C5527" s="179" t="s">
        <v>369</v>
      </c>
      <c r="D5527" t="s">
        <v>7898</v>
      </c>
      <c r="E5527" t="s">
        <v>7867</v>
      </c>
      <c r="F5527" s="150" t="s">
        <v>7867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50" t="s">
        <v>6434</v>
      </c>
      <c r="M5527" s="178">
        <v>46052</v>
      </c>
      <c r="N5527" s="178"/>
      <c r="O5527" s="178"/>
      <c r="P5527" s="178" t="str">
        <f ca="1">IF(Proc[[#This Row],[DaysAgeing]]&gt;5,"yep","on track")</f>
        <v>on track</v>
      </c>
      <c r="Q5527" s="3">
        <f ca="1">IF(Proc[[#This Row],[DateClosed]]="",ABS(NETWORKDAYS(Proc[[#This Row],[DateOpened]],TODAY()))-1,ABS(NETWORKDAYS(Proc[[#This Row],[DateOpened]],Proc[[#This Row],[DateClosed]]))-1)</f>
        <v>3</v>
      </c>
      <c r="R5527" s="178" t="s">
        <v>7890</v>
      </c>
      <c r="S5527" s="150"/>
    </row>
    <row r="5528" spans="1:19" hidden="1">
      <c r="A5528" s="179" t="s">
        <v>7882</v>
      </c>
      <c r="B5528" s="150" t="str">
        <f>IFERROR(VLOOKUP(Proc[[#This Row],[App]],Table2[],3,0),"open")</f>
        <v>ok</v>
      </c>
      <c r="C5528" s="179" t="s">
        <v>369</v>
      </c>
      <c r="D5528" t="s">
        <v>7899</v>
      </c>
      <c r="E5528" t="s">
        <v>7867</v>
      </c>
      <c r="F5528" s="150" t="s">
        <v>7867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50" t="s">
        <v>6434</v>
      </c>
      <c r="M5528" s="178">
        <v>46052</v>
      </c>
      <c r="N5528" s="178"/>
      <c r="O5528" s="178"/>
      <c r="P5528" s="178" t="str">
        <f ca="1">IF(Proc[[#This Row],[DaysAgeing]]&gt;5,"yep","on track")</f>
        <v>on track</v>
      </c>
      <c r="Q5528" s="3">
        <f ca="1">IF(Proc[[#This Row],[DateClosed]]="",ABS(NETWORKDAYS(Proc[[#This Row],[DateOpened]],TODAY()))-1,ABS(NETWORKDAYS(Proc[[#This Row],[DateOpened]],Proc[[#This Row],[DateClosed]]))-1)</f>
        <v>3</v>
      </c>
      <c r="R5528" s="178" t="s">
        <v>7890</v>
      </c>
      <c r="S5528" s="150"/>
    </row>
    <row r="5529" spans="1:19" hidden="1">
      <c r="A5529" s="179" t="s">
        <v>7882</v>
      </c>
      <c r="B5529" s="150" t="str">
        <f>IFERROR(VLOOKUP(Proc[[#This Row],[App]],Table2[],3,0),"open")</f>
        <v>ok</v>
      </c>
      <c r="C5529" s="179" t="s">
        <v>369</v>
      </c>
      <c r="D5529" t="s">
        <v>7900</v>
      </c>
      <c r="E5529" t="s">
        <v>7867</v>
      </c>
      <c r="F5529" s="150" t="s">
        <v>7867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50" t="s">
        <v>6434</v>
      </c>
      <c r="M5529" s="178">
        <v>46052</v>
      </c>
      <c r="N5529" s="178"/>
      <c r="O5529" s="178"/>
      <c r="P5529" s="178" t="str">
        <f ca="1">IF(Proc[[#This Row],[DaysAgeing]]&gt;5,"yep","on track")</f>
        <v>on track</v>
      </c>
      <c r="Q5529" s="3">
        <f ca="1">IF(Proc[[#This Row],[DateClosed]]="",ABS(NETWORKDAYS(Proc[[#This Row],[DateOpened]],TODAY()))-1,ABS(NETWORKDAYS(Proc[[#This Row],[DateOpened]],Proc[[#This Row],[DateClosed]]))-1)</f>
        <v>3</v>
      </c>
      <c r="R5529" s="178" t="s">
        <v>7890</v>
      </c>
      <c r="S5529" s="150"/>
    </row>
    <row r="5530" spans="1:19" hidden="1">
      <c r="A5530" s="179" t="s">
        <v>7882</v>
      </c>
      <c r="B5530" s="150" t="str">
        <f>IFERROR(VLOOKUP(Proc[[#This Row],[App]],Table2[],3,0),"open")</f>
        <v>ok</v>
      </c>
      <c r="C5530" s="179" t="s">
        <v>369</v>
      </c>
      <c r="D5530" t="s">
        <v>7901</v>
      </c>
      <c r="E5530" t="s">
        <v>7867</v>
      </c>
      <c r="F5530" s="150" t="s">
        <v>7867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50" t="s">
        <v>6434</v>
      </c>
      <c r="M5530" s="178">
        <v>46052</v>
      </c>
      <c r="N5530" s="178"/>
      <c r="O5530" s="178"/>
      <c r="P5530" s="178" t="str">
        <f ca="1">IF(Proc[[#This Row],[DaysAgeing]]&gt;5,"yep","on track")</f>
        <v>on track</v>
      </c>
      <c r="Q5530" s="3">
        <f ca="1">IF(Proc[[#This Row],[DateClosed]]="",ABS(NETWORKDAYS(Proc[[#This Row],[DateOpened]],TODAY()))-1,ABS(NETWORKDAYS(Proc[[#This Row],[DateOpened]],Proc[[#This Row],[DateClosed]]))-1)</f>
        <v>3</v>
      </c>
      <c r="R5530" s="178" t="s">
        <v>7890</v>
      </c>
      <c r="S5530" s="150"/>
    </row>
    <row r="5531" spans="1:19" hidden="1">
      <c r="A5531" s="179" t="s">
        <v>7882</v>
      </c>
      <c r="B5531" s="150" t="str">
        <f>IFERROR(VLOOKUP(Proc[[#This Row],[App]],Table2[],3,0),"open")</f>
        <v>ok</v>
      </c>
      <c r="C5531" s="179" t="s">
        <v>369</v>
      </c>
      <c r="D5531" t="s">
        <v>7902</v>
      </c>
      <c r="E5531" t="s">
        <v>7867</v>
      </c>
      <c r="F5531" s="150" t="s">
        <v>7867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50" t="s">
        <v>6434</v>
      </c>
      <c r="M5531" s="178">
        <v>46052</v>
      </c>
      <c r="N5531" s="178"/>
      <c r="O5531" s="178"/>
      <c r="P5531" s="178" t="str">
        <f ca="1">IF(Proc[[#This Row],[DaysAgeing]]&gt;5,"yep","on track")</f>
        <v>on track</v>
      </c>
      <c r="Q5531" s="3">
        <f ca="1">IF(Proc[[#This Row],[DateClosed]]="",ABS(NETWORKDAYS(Proc[[#This Row],[DateOpened]],TODAY()))-1,ABS(NETWORKDAYS(Proc[[#This Row],[DateOpened]],Proc[[#This Row],[DateClosed]]))-1)</f>
        <v>3</v>
      </c>
      <c r="R5531" s="178" t="s">
        <v>7890</v>
      </c>
      <c r="S5531" s="150"/>
    </row>
    <row r="5532" spans="1:19" hidden="1">
      <c r="A5532" s="179" t="s">
        <v>7882</v>
      </c>
      <c r="B5532" s="150" t="str">
        <f>IFERROR(VLOOKUP(Proc[[#This Row],[App]],Table2[],3,0),"open")</f>
        <v>ok</v>
      </c>
      <c r="C5532" s="179" t="s">
        <v>369</v>
      </c>
      <c r="D5532" t="s">
        <v>7903</v>
      </c>
      <c r="E5532" t="s">
        <v>7867</v>
      </c>
      <c r="F5532" s="150" t="s">
        <v>7867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50" t="s">
        <v>6434</v>
      </c>
      <c r="M5532" s="178">
        <v>46052</v>
      </c>
      <c r="N5532" s="178"/>
      <c r="O5532" s="178"/>
      <c r="P5532" s="178" t="str">
        <f ca="1">IF(Proc[[#This Row],[DaysAgeing]]&gt;5,"yep","on track")</f>
        <v>on track</v>
      </c>
      <c r="Q5532" s="3">
        <f ca="1">IF(Proc[[#This Row],[DateClosed]]="",ABS(NETWORKDAYS(Proc[[#This Row],[DateOpened]],TODAY()))-1,ABS(NETWORKDAYS(Proc[[#This Row],[DateOpened]],Proc[[#This Row],[DateClosed]]))-1)</f>
        <v>3</v>
      </c>
      <c r="R5532" s="178" t="s">
        <v>7890</v>
      </c>
      <c r="S5532" s="150"/>
    </row>
    <row r="5533" spans="1:19" hidden="1">
      <c r="A5533" s="179" t="s">
        <v>7882</v>
      </c>
      <c r="B5533" s="150" t="str">
        <f>IFERROR(VLOOKUP(Proc[[#This Row],[App]],Table2[],3,0),"open")</f>
        <v>ok</v>
      </c>
      <c r="C5533" s="179" t="s">
        <v>369</v>
      </c>
      <c r="D5533" t="s">
        <v>7904</v>
      </c>
      <c r="E5533" t="s">
        <v>7867</v>
      </c>
      <c r="F5533" s="150" t="s">
        <v>7867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50" t="s">
        <v>6434</v>
      </c>
      <c r="M5533" s="178">
        <v>46052</v>
      </c>
      <c r="N5533" s="178"/>
      <c r="O5533" s="178"/>
      <c r="P5533" s="178" t="str">
        <f ca="1">IF(Proc[[#This Row],[DaysAgeing]]&gt;5,"yep","on track")</f>
        <v>on track</v>
      </c>
      <c r="Q5533" s="3">
        <f ca="1">IF(Proc[[#This Row],[DateClosed]]="",ABS(NETWORKDAYS(Proc[[#This Row],[DateOpened]],TODAY()))-1,ABS(NETWORKDAYS(Proc[[#This Row],[DateOpened]],Proc[[#This Row],[DateClosed]]))-1)</f>
        <v>3</v>
      </c>
      <c r="R5533" s="178" t="s">
        <v>7890</v>
      </c>
      <c r="S5533" s="150"/>
    </row>
    <row r="5534" spans="1:19" hidden="1">
      <c r="A5534" s="179" t="s">
        <v>7882</v>
      </c>
      <c r="B5534" s="150" t="str">
        <f>IFERROR(VLOOKUP(Proc[[#This Row],[App]],Table2[],3,0),"open")</f>
        <v>ok</v>
      </c>
      <c r="C5534" s="179" t="s">
        <v>369</v>
      </c>
      <c r="D5534" t="s">
        <v>7905</v>
      </c>
      <c r="E5534" t="s">
        <v>7867</v>
      </c>
      <c r="F5534" s="150" t="s">
        <v>7867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50" t="s">
        <v>6434</v>
      </c>
      <c r="M5534" s="178">
        <v>46052</v>
      </c>
      <c r="N5534" s="178"/>
      <c r="O5534" s="178"/>
      <c r="P5534" s="178" t="str">
        <f ca="1">IF(Proc[[#This Row],[DaysAgeing]]&gt;5,"yep","on track")</f>
        <v>on track</v>
      </c>
      <c r="Q5534" s="3">
        <f ca="1">IF(Proc[[#This Row],[DateClosed]]="",ABS(NETWORKDAYS(Proc[[#This Row],[DateOpened]],TODAY()))-1,ABS(NETWORKDAYS(Proc[[#This Row],[DateOpened]],Proc[[#This Row],[DateClosed]]))-1)</f>
        <v>3</v>
      </c>
      <c r="R5534" s="178" t="s">
        <v>7890</v>
      </c>
      <c r="S5534" s="150"/>
    </row>
    <row r="5535" spans="1:19" hidden="1">
      <c r="A5535" s="179" t="s">
        <v>7882</v>
      </c>
      <c r="B5535" s="150" t="str">
        <f>IFERROR(VLOOKUP(Proc[[#This Row],[App]],Table2[],3,0),"open")</f>
        <v>ok</v>
      </c>
      <c r="C5535" s="179" t="s">
        <v>369</v>
      </c>
      <c r="D5535" t="s">
        <v>7906</v>
      </c>
      <c r="E5535" t="s">
        <v>7867</v>
      </c>
      <c r="F5535" s="150" t="s">
        <v>7867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50" t="s">
        <v>6434</v>
      </c>
      <c r="M5535" s="178">
        <v>46052</v>
      </c>
      <c r="N5535" s="178"/>
      <c r="O5535" s="178"/>
      <c r="P5535" s="178" t="str">
        <f ca="1">IF(Proc[[#This Row],[DaysAgeing]]&gt;5,"yep","on track")</f>
        <v>on track</v>
      </c>
      <c r="Q5535" s="3">
        <f ca="1">IF(Proc[[#This Row],[DateClosed]]="",ABS(NETWORKDAYS(Proc[[#This Row],[DateOpened]],TODAY()))-1,ABS(NETWORKDAYS(Proc[[#This Row],[DateOpened]],Proc[[#This Row],[DateClosed]]))-1)</f>
        <v>3</v>
      </c>
      <c r="R5535" s="178" t="s">
        <v>7890</v>
      </c>
      <c r="S5535" s="150"/>
    </row>
    <row r="5536" spans="1:19" hidden="1">
      <c r="A5536" s="179" t="s">
        <v>7882</v>
      </c>
      <c r="B5536" s="150" t="str">
        <f>IFERROR(VLOOKUP(Proc[[#This Row],[App]],Table2[],3,0),"open")</f>
        <v>ok</v>
      </c>
      <c r="C5536" s="179" t="s">
        <v>369</v>
      </c>
      <c r="D5536" t="s">
        <v>7907</v>
      </c>
      <c r="E5536" t="s">
        <v>7867</v>
      </c>
      <c r="F5536" s="150" t="s">
        <v>7867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50" t="s">
        <v>6434</v>
      </c>
      <c r="M5536" s="178">
        <v>46052</v>
      </c>
      <c r="N5536" s="178"/>
      <c r="O5536" s="178"/>
      <c r="P5536" s="178" t="str">
        <f ca="1">IF(Proc[[#This Row],[DaysAgeing]]&gt;5,"yep","on track")</f>
        <v>on track</v>
      </c>
      <c r="Q5536" s="3">
        <f ca="1">IF(Proc[[#This Row],[DateClosed]]="",ABS(NETWORKDAYS(Proc[[#This Row],[DateOpened]],TODAY()))-1,ABS(NETWORKDAYS(Proc[[#This Row],[DateOpened]],Proc[[#This Row],[DateClosed]]))-1)</f>
        <v>3</v>
      </c>
      <c r="R5536" s="178" t="s">
        <v>7890</v>
      </c>
      <c r="S5536" s="150"/>
    </row>
    <row r="5537" spans="1:19" hidden="1">
      <c r="A5537" s="179" t="s">
        <v>7882</v>
      </c>
      <c r="B5537" s="150" t="str">
        <f>IFERROR(VLOOKUP(Proc[[#This Row],[App]],Table2[],3,0),"open")</f>
        <v>ok</v>
      </c>
      <c r="C5537" s="179" t="s">
        <v>369</v>
      </c>
      <c r="D5537" t="s">
        <v>7908</v>
      </c>
      <c r="E5537" t="s">
        <v>7867</v>
      </c>
      <c r="F5537" s="150" t="s">
        <v>7867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50" t="s">
        <v>6434</v>
      </c>
      <c r="M5537" s="178">
        <v>46052</v>
      </c>
      <c r="N5537" s="178"/>
      <c r="O5537" s="178"/>
      <c r="P5537" s="178" t="str">
        <f ca="1">IF(Proc[[#This Row],[DaysAgeing]]&gt;5,"yep","on track")</f>
        <v>on track</v>
      </c>
      <c r="Q5537" s="3">
        <f ca="1">IF(Proc[[#This Row],[DateClosed]]="",ABS(NETWORKDAYS(Proc[[#This Row],[DateOpened]],TODAY()))-1,ABS(NETWORKDAYS(Proc[[#This Row],[DateOpened]],Proc[[#This Row],[DateClosed]]))-1)</f>
        <v>3</v>
      </c>
      <c r="R5537" s="178" t="s">
        <v>7890</v>
      </c>
      <c r="S5537" s="150"/>
    </row>
    <row r="5538" spans="1:19" hidden="1">
      <c r="A5538" s="179" t="s">
        <v>7882</v>
      </c>
      <c r="B5538" s="150" t="str">
        <f>IFERROR(VLOOKUP(Proc[[#This Row],[App]],Table2[],3,0),"open")</f>
        <v>ok</v>
      </c>
      <c r="C5538" s="179" t="s">
        <v>369</v>
      </c>
      <c r="D5538" t="s">
        <v>7909</v>
      </c>
      <c r="E5538" t="s">
        <v>7867</v>
      </c>
      <c r="F5538" s="150" t="s">
        <v>7867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50" t="s">
        <v>6434</v>
      </c>
      <c r="M5538" s="178">
        <v>46052</v>
      </c>
      <c r="N5538" s="178"/>
      <c r="O5538" s="178"/>
      <c r="P5538" s="178" t="str">
        <f ca="1">IF(Proc[[#This Row],[DaysAgeing]]&gt;5,"yep","on track")</f>
        <v>on track</v>
      </c>
      <c r="Q5538" s="3">
        <f ca="1">IF(Proc[[#This Row],[DateClosed]]="",ABS(NETWORKDAYS(Proc[[#This Row],[DateOpened]],TODAY()))-1,ABS(NETWORKDAYS(Proc[[#This Row],[DateOpened]],Proc[[#This Row],[DateClosed]]))-1)</f>
        <v>3</v>
      </c>
      <c r="R5538" s="178" t="s">
        <v>7890</v>
      </c>
      <c r="S5538" s="150"/>
    </row>
    <row r="5539" spans="1:19" hidden="1">
      <c r="A5539" s="179" t="s">
        <v>7882</v>
      </c>
      <c r="B5539" s="150" t="str">
        <f>IFERROR(VLOOKUP(Proc[[#This Row],[App]],Table2[],3,0),"open")</f>
        <v>ok</v>
      </c>
      <c r="C5539" s="179" t="s">
        <v>369</v>
      </c>
      <c r="D5539" t="s">
        <v>7910</v>
      </c>
      <c r="E5539" t="s">
        <v>7867</v>
      </c>
      <c r="F5539" s="150" t="s">
        <v>7867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50" t="s">
        <v>6434</v>
      </c>
      <c r="M5539" s="178">
        <v>46052</v>
      </c>
      <c r="N5539" s="178"/>
      <c r="O5539" s="178"/>
      <c r="P5539" s="178" t="str">
        <f ca="1">IF(Proc[[#This Row],[DaysAgeing]]&gt;5,"yep","on track")</f>
        <v>on track</v>
      </c>
      <c r="Q5539" s="3">
        <f ca="1">IF(Proc[[#This Row],[DateClosed]]="",ABS(NETWORKDAYS(Proc[[#This Row],[DateOpened]],TODAY()))-1,ABS(NETWORKDAYS(Proc[[#This Row],[DateOpened]],Proc[[#This Row],[DateClosed]]))-1)</f>
        <v>3</v>
      </c>
      <c r="R5539" s="178" t="s">
        <v>7890</v>
      </c>
      <c r="S5539" s="150"/>
    </row>
    <row r="5540" spans="1:19" hidden="1">
      <c r="A5540" s="179" t="s">
        <v>7882</v>
      </c>
      <c r="B5540" s="150" t="str">
        <f>IFERROR(VLOOKUP(Proc[[#This Row],[App]],Table2[],3,0),"open")</f>
        <v>ok</v>
      </c>
      <c r="C5540" s="179" t="s">
        <v>369</v>
      </c>
      <c r="D5540" t="s">
        <v>7911</v>
      </c>
      <c r="E5540" t="s">
        <v>7867</v>
      </c>
      <c r="F5540" s="150" t="s">
        <v>7867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50" t="s">
        <v>6434</v>
      </c>
      <c r="M5540" s="178">
        <v>46052</v>
      </c>
      <c r="N5540" s="178"/>
      <c r="O5540" s="178"/>
      <c r="P5540" s="178" t="str">
        <f ca="1">IF(Proc[[#This Row],[DaysAgeing]]&gt;5,"yep","on track")</f>
        <v>on track</v>
      </c>
      <c r="Q5540" s="3">
        <f ca="1">IF(Proc[[#This Row],[DateClosed]]="",ABS(NETWORKDAYS(Proc[[#This Row],[DateOpened]],TODAY()))-1,ABS(NETWORKDAYS(Proc[[#This Row],[DateOpened]],Proc[[#This Row],[DateClosed]]))-1)</f>
        <v>3</v>
      </c>
      <c r="R5540" s="178" t="s">
        <v>7890</v>
      </c>
      <c r="S5540" s="150"/>
    </row>
    <row r="5541" spans="1:19" hidden="1">
      <c r="A5541" s="179" t="s">
        <v>7882</v>
      </c>
      <c r="B5541" s="150" t="str">
        <f>IFERROR(VLOOKUP(Proc[[#This Row],[App]],Table2[],3,0),"open")</f>
        <v>ok</v>
      </c>
      <c r="C5541" s="179" t="s">
        <v>369</v>
      </c>
      <c r="D5541" t="s">
        <v>7912</v>
      </c>
      <c r="E5541" t="s">
        <v>7867</v>
      </c>
      <c r="F5541" s="150" t="s">
        <v>7867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50" t="s">
        <v>6434</v>
      </c>
      <c r="M5541" s="178">
        <v>46052</v>
      </c>
      <c r="N5541" s="178"/>
      <c r="O5541" s="178"/>
      <c r="P5541" s="178" t="str">
        <f ca="1">IF(Proc[[#This Row],[DaysAgeing]]&gt;5,"yep","on track")</f>
        <v>on track</v>
      </c>
      <c r="Q5541" s="3">
        <f ca="1">IF(Proc[[#This Row],[DateClosed]]="",ABS(NETWORKDAYS(Proc[[#This Row],[DateOpened]],TODAY()))-1,ABS(NETWORKDAYS(Proc[[#This Row],[DateOpened]],Proc[[#This Row],[DateClosed]]))-1)</f>
        <v>3</v>
      </c>
      <c r="R5541" s="178" t="s">
        <v>7890</v>
      </c>
      <c r="S5541" s="150"/>
    </row>
    <row r="5542" spans="1:19" hidden="1">
      <c r="A5542" s="179" t="s">
        <v>7882</v>
      </c>
      <c r="B5542" s="150" t="str">
        <f>IFERROR(VLOOKUP(Proc[[#This Row],[App]],Table2[],3,0),"open")</f>
        <v>ok</v>
      </c>
      <c r="C5542" s="179" t="s">
        <v>369</v>
      </c>
      <c r="D5542" t="s">
        <v>7913</v>
      </c>
      <c r="E5542" t="s">
        <v>7867</v>
      </c>
      <c r="F5542" s="150" t="s">
        <v>7867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50" t="s">
        <v>6434</v>
      </c>
      <c r="M5542" s="178">
        <v>46052</v>
      </c>
      <c r="N5542" s="178"/>
      <c r="O5542" s="178"/>
      <c r="P5542" s="178" t="str">
        <f ca="1">IF(Proc[[#This Row],[DaysAgeing]]&gt;5,"yep","on track")</f>
        <v>on track</v>
      </c>
      <c r="Q5542" s="3">
        <f ca="1">IF(Proc[[#This Row],[DateClosed]]="",ABS(NETWORKDAYS(Proc[[#This Row],[DateOpened]],TODAY()))-1,ABS(NETWORKDAYS(Proc[[#This Row],[DateOpened]],Proc[[#This Row],[DateClosed]]))-1)</f>
        <v>3</v>
      </c>
      <c r="R5542" s="178" t="s">
        <v>7890</v>
      </c>
      <c r="S5542" s="150"/>
    </row>
    <row r="5543" spans="1:19" hidden="1">
      <c r="A5543" s="179" t="s">
        <v>7882</v>
      </c>
      <c r="B5543" s="150" t="str">
        <f>IFERROR(VLOOKUP(Proc[[#This Row],[App]],Table2[],3,0),"open")</f>
        <v>ok</v>
      </c>
      <c r="C5543" s="179" t="s">
        <v>369</v>
      </c>
      <c r="D5543" t="s">
        <v>7914</v>
      </c>
      <c r="E5543" t="s">
        <v>7867</v>
      </c>
      <c r="F5543" s="150" t="s">
        <v>7867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50" t="s">
        <v>6434</v>
      </c>
      <c r="M5543" s="178">
        <v>46052</v>
      </c>
      <c r="N5543" s="178"/>
      <c r="O5543" s="178"/>
      <c r="P5543" s="178" t="str">
        <f ca="1">IF(Proc[[#This Row],[DaysAgeing]]&gt;5,"yep","on track")</f>
        <v>on track</v>
      </c>
      <c r="Q5543" s="3">
        <f ca="1">IF(Proc[[#This Row],[DateClosed]]="",ABS(NETWORKDAYS(Proc[[#This Row],[DateOpened]],TODAY()))-1,ABS(NETWORKDAYS(Proc[[#This Row],[DateOpened]],Proc[[#This Row],[DateClosed]]))-1)</f>
        <v>3</v>
      </c>
      <c r="R5543" s="178" t="s">
        <v>7890</v>
      </c>
      <c r="S5543" s="150"/>
    </row>
    <row r="5544" spans="1:19" hidden="1">
      <c r="A5544" s="179" t="s">
        <v>7882</v>
      </c>
      <c r="B5544" s="150" t="str">
        <f>IFERROR(VLOOKUP(Proc[[#This Row],[App]],Table2[],3,0),"open")</f>
        <v>ok</v>
      </c>
      <c r="C5544" s="179" t="s">
        <v>369</v>
      </c>
      <c r="D5544" t="s">
        <v>7915</v>
      </c>
      <c r="E5544" t="s">
        <v>7867</v>
      </c>
      <c r="F5544" s="150" t="s">
        <v>7867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50" t="s">
        <v>6434</v>
      </c>
      <c r="M5544" s="178">
        <v>46052</v>
      </c>
      <c r="N5544" s="178"/>
      <c r="O5544" s="178"/>
      <c r="P5544" s="178" t="str">
        <f ca="1">IF(Proc[[#This Row],[DaysAgeing]]&gt;5,"yep","on track")</f>
        <v>on track</v>
      </c>
      <c r="Q5544" s="3">
        <f ca="1">IF(Proc[[#This Row],[DateClosed]]="",ABS(NETWORKDAYS(Proc[[#This Row],[DateOpened]],TODAY()))-1,ABS(NETWORKDAYS(Proc[[#This Row],[DateOpened]],Proc[[#This Row],[DateClosed]]))-1)</f>
        <v>3</v>
      </c>
      <c r="R5544" s="178" t="s">
        <v>7890</v>
      </c>
      <c r="S5544" s="150"/>
    </row>
    <row r="5545" spans="1:19" hidden="1">
      <c r="A5545" s="179" t="s">
        <v>7882</v>
      </c>
      <c r="B5545" s="150" t="str">
        <f>IFERROR(VLOOKUP(Proc[[#This Row],[App]],Table2[],3,0),"open")</f>
        <v>ok</v>
      </c>
      <c r="C5545" s="179" t="s">
        <v>369</v>
      </c>
      <c r="D5545" t="s">
        <v>7916</v>
      </c>
      <c r="E5545" t="s">
        <v>7867</v>
      </c>
      <c r="F5545" s="150" t="s">
        <v>7867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50" t="s">
        <v>6434</v>
      </c>
      <c r="M5545" s="178">
        <v>46052</v>
      </c>
      <c r="N5545" s="178"/>
      <c r="O5545" s="178"/>
      <c r="P5545" s="178" t="str">
        <f ca="1">IF(Proc[[#This Row],[DaysAgeing]]&gt;5,"yep","on track")</f>
        <v>on track</v>
      </c>
      <c r="Q5545" s="3">
        <f ca="1">IF(Proc[[#This Row],[DateClosed]]="",ABS(NETWORKDAYS(Proc[[#This Row],[DateOpened]],TODAY()))-1,ABS(NETWORKDAYS(Proc[[#This Row],[DateOpened]],Proc[[#This Row],[DateClosed]]))-1)</f>
        <v>3</v>
      </c>
      <c r="R5545" s="178" t="s">
        <v>7890</v>
      </c>
      <c r="S5545" s="150"/>
    </row>
    <row r="5546" spans="1:19" hidden="1">
      <c r="A5546" s="179" t="s">
        <v>7882</v>
      </c>
      <c r="B5546" s="150" t="str">
        <f>IFERROR(VLOOKUP(Proc[[#This Row],[App]],Table2[],3,0),"open")</f>
        <v>ok</v>
      </c>
      <c r="C5546" s="179" t="s">
        <v>369</v>
      </c>
      <c r="D5546" t="s">
        <v>7917</v>
      </c>
      <c r="E5546" t="s">
        <v>7867</v>
      </c>
      <c r="F5546" s="150" t="s">
        <v>7867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50" t="s">
        <v>6434</v>
      </c>
      <c r="M5546" s="178">
        <v>46052</v>
      </c>
      <c r="N5546" s="178"/>
      <c r="O5546" s="178"/>
      <c r="P5546" s="178" t="str">
        <f ca="1">IF(Proc[[#This Row],[DaysAgeing]]&gt;5,"yep","on track")</f>
        <v>on track</v>
      </c>
      <c r="Q5546" s="3">
        <f ca="1">IF(Proc[[#This Row],[DateClosed]]="",ABS(NETWORKDAYS(Proc[[#This Row],[DateOpened]],TODAY()))-1,ABS(NETWORKDAYS(Proc[[#This Row],[DateOpened]],Proc[[#This Row],[DateClosed]]))-1)</f>
        <v>3</v>
      </c>
      <c r="R5546" s="178" t="s">
        <v>7890</v>
      </c>
      <c r="S5546" s="150"/>
    </row>
    <row r="5547" spans="1:19" hidden="1">
      <c r="A5547" s="179" t="s">
        <v>7882</v>
      </c>
      <c r="B5547" s="150" t="str">
        <f>IFERROR(VLOOKUP(Proc[[#This Row],[App]],Table2[],3,0),"open")</f>
        <v>ok</v>
      </c>
      <c r="C5547" s="179" t="s">
        <v>369</v>
      </c>
      <c r="D5547" t="s">
        <v>7918</v>
      </c>
      <c r="E5547" t="s">
        <v>7867</v>
      </c>
      <c r="F5547" s="150" t="s">
        <v>7867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50" t="s">
        <v>6434</v>
      </c>
      <c r="M5547" s="178">
        <v>46052</v>
      </c>
      <c r="N5547" s="178"/>
      <c r="O5547" s="178"/>
      <c r="P5547" s="178" t="str">
        <f ca="1">IF(Proc[[#This Row],[DaysAgeing]]&gt;5,"yep","on track")</f>
        <v>on track</v>
      </c>
      <c r="Q5547" s="3">
        <f ca="1">IF(Proc[[#This Row],[DateClosed]]="",ABS(NETWORKDAYS(Proc[[#This Row],[DateOpened]],TODAY()))-1,ABS(NETWORKDAYS(Proc[[#This Row],[DateOpened]],Proc[[#This Row],[DateClosed]]))-1)</f>
        <v>3</v>
      </c>
      <c r="R5547" s="178" t="s">
        <v>7890</v>
      </c>
      <c r="S5547" s="150"/>
    </row>
    <row r="5548" spans="1:19" hidden="1">
      <c r="A5548" s="179" t="s">
        <v>7882</v>
      </c>
      <c r="B5548" s="150" t="str">
        <f>IFERROR(VLOOKUP(Proc[[#This Row],[App]],Table2[],3,0),"open")</f>
        <v>ok</v>
      </c>
      <c r="C5548" s="179" t="s">
        <v>369</v>
      </c>
      <c r="D5548" t="s">
        <v>7892</v>
      </c>
      <c r="E5548" t="s">
        <v>7868</v>
      </c>
      <c r="F5548" s="150" t="s">
        <v>7868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50" t="s">
        <v>6434</v>
      </c>
      <c r="M5548" s="178">
        <v>46052</v>
      </c>
      <c r="N5548" s="178"/>
      <c r="O5548" s="178"/>
      <c r="P5548" s="178" t="str">
        <f ca="1">IF(Proc[[#This Row],[DaysAgeing]]&gt;5,"yep","on track")</f>
        <v>on track</v>
      </c>
      <c r="Q5548" s="3">
        <f ca="1">IF(Proc[[#This Row],[DateClosed]]="",ABS(NETWORKDAYS(Proc[[#This Row],[DateOpened]],TODAY()))-1,ABS(NETWORKDAYS(Proc[[#This Row],[DateOpened]],Proc[[#This Row],[DateClosed]]))-1)</f>
        <v>3</v>
      </c>
      <c r="R5548" s="178" t="s">
        <v>7890</v>
      </c>
      <c r="S5548" s="150"/>
    </row>
    <row r="5549" spans="1:19" hidden="1">
      <c r="A5549" s="179" t="s">
        <v>7882</v>
      </c>
      <c r="B5549" s="150" t="str">
        <f>IFERROR(VLOOKUP(Proc[[#This Row],[App]],Table2[],3,0),"open")</f>
        <v>ok</v>
      </c>
      <c r="C5549" s="179" t="s">
        <v>369</v>
      </c>
      <c r="D5549" t="s">
        <v>7919</v>
      </c>
      <c r="E5549" t="s">
        <v>7868</v>
      </c>
      <c r="F5549" s="150" t="s">
        <v>7868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50" t="s">
        <v>6434</v>
      </c>
      <c r="M5549" s="178">
        <v>46052</v>
      </c>
      <c r="N5549" s="178"/>
      <c r="O5549" s="178"/>
      <c r="P5549" s="178" t="str">
        <f ca="1">IF(Proc[[#This Row],[DaysAgeing]]&gt;5,"yep","on track")</f>
        <v>on track</v>
      </c>
      <c r="Q5549" s="3">
        <f ca="1">IF(Proc[[#This Row],[DateClosed]]="",ABS(NETWORKDAYS(Proc[[#This Row],[DateOpened]],TODAY()))-1,ABS(NETWORKDAYS(Proc[[#This Row],[DateOpened]],Proc[[#This Row],[DateClosed]]))-1)</f>
        <v>3</v>
      </c>
      <c r="R5549" s="178" t="s">
        <v>7890</v>
      </c>
      <c r="S5549" s="150"/>
    </row>
    <row r="5550" spans="1:19" hidden="1">
      <c r="A5550" s="179" t="s">
        <v>7882</v>
      </c>
      <c r="B5550" s="150" t="str">
        <f>IFERROR(VLOOKUP(Proc[[#This Row],[App]],Table2[],3,0),"open")</f>
        <v>ok</v>
      </c>
      <c r="C5550" s="179" t="s">
        <v>369</v>
      </c>
      <c r="D5550" t="s">
        <v>7920</v>
      </c>
      <c r="E5550" t="s">
        <v>7869</v>
      </c>
      <c r="F5550" s="150" t="s">
        <v>7869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50" t="s">
        <v>6434</v>
      </c>
      <c r="M5550" s="178">
        <v>46052</v>
      </c>
      <c r="N5550" s="178"/>
      <c r="O5550" s="178"/>
      <c r="P5550" s="178" t="str">
        <f ca="1">IF(Proc[[#This Row],[DaysAgeing]]&gt;5,"yep","on track")</f>
        <v>on track</v>
      </c>
      <c r="Q5550" s="3">
        <f ca="1">IF(Proc[[#This Row],[DateClosed]]="",ABS(NETWORKDAYS(Proc[[#This Row],[DateOpened]],TODAY()))-1,ABS(NETWORKDAYS(Proc[[#This Row],[DateOpened]],Proc[[#This Row],[DateClosed]]))-1)</f>
        <v>3</v>
      </c>
      <c r="R5550" s="178" t="s">
        <v>7890</v>
      </c>
      <c r="S5550" s="150"/>
    </row>
    <row r="5551" spans="1:19" hidden="1">
      <c r="A5551" s="179" t="s">
        <v>7882</v>
      </c>
      <c r="B5551" s="150" t="str">
        <f>IFERROR(VLOOKUP(Proc[[#This Row],[App]],Table2[],3,0),"open")</f>
        <v>ok</v>
      </c>
      <c r="C5551" s="179" t="s">
        <v>369</v>
      </c>
      <c r="D5551" t="s">
        <v>7921</v>
      </c>
      <c r="E5551" t="s">
        <v>7870</v>
      </c>
      <c r="F5551" s="150" t="s">
        <v>7870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50" t="s">
        <v>6434</v>
      </c>
      <c r="M5551" s="178">
        <v>46052</v>
      </c>
      <c r="N5551" s="178"/>
      <c r="O5551" s="178"/>
      <c r="P5551" s="178" t="str">
        <f ca="1">IF(Proc[[#This Row],[DaysAgeing]]&gt;5,"yep","on track")</f>
        <v>on track</v>
      </c>
      <c r="Q5551" s="3">
        <f ca="1">IF(Proc[[#This Row],[DateClosed]]="",ABS(NETWORKDAYS(Proc[[#This Row],[DateOpened]],TODAY()))-1,ABS(NETWORKDAYS(Proc[[#This Row],[DateOpened]],Proc[[#This Row],[DateClosed]]))-1)</f>
        <v>3</v>
      </c>
      <c r="R5551" s="178" t="s">
        <v>7890</v>
      </c>
      <c r="S5551" s="150"/>
    </row>
    <row r="5552" spans="1:19" hidden="1">
      <c r="A5552" s="179" t="s">
        <v>7882</v>
      </c>
      <c r="B5552" s="150" t="str">
        <f>IFERROR(VLOOKUP(Proc[[#This Row],[App]],Table2[],3,0),"open")</f>
        <v>ok</v>
      </c>
      <c r="C5552" s="179" t="s">
        <v>369</v>
      </c>
      <c r="D5552" t="s">
        <v>7922</v>
      </c>
      <c r="E5552" t="s">
        <v>7871</v>
      </c>
      <c r="F5552" s="150" t="s">
        <v>7871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50" t="s">
        <v>6434</v>
      </c>
      <c r="M5552" s="178">
        <v>46052</v>
      </c>
      <c r="N5552" s="178"/>
      <c r="O5552" s="178"/>
      <c r="P5552" s="178" t="str">
        <f ca="1">IF(Proc[[#This Row],[DaysAgeing]]&gt;5,"yep","on track")</f>
        <v>on track</v>
      </c>
      <c r="Q5552" s="3">
        <f ca="1">IF(Proc[[#This Row],[DateClosed]]="",ABS(NETWORKDAYS(Proc[[#This Row],[DateOpened]],TODAY()))-1,ABS(NETWORKDAYS(Proc[[#This Row],[DateOpened]],Proc[[#This Row],[DateClosed]]))-1)</f>
        <v>3</v>
      </c>
      <c r="R5552" s="178" t="s">
        <v>7890</v>
      </c>
      <c r="S5552" s="150"/>
    </row>
    <row r="5553" spans="1:19" hidden="1">
      <c r="A5553" s="179" t="s">
        <v>7882</v>
      </c>
      <c r="B5553" s="150" t="str">
        <f>IFERROR(VLOOKUP(Proc[[#This Row],[App]],Table2[],3,0),"open")</f>
        <v>ok</v>
      </c>
      <c r="C5553" s="179" t="s">
        <v>369</v>
      </c>
      <c r="D5553" t="s">
        <v>7923</v>
      </c>
      <c r="E5553" t="s">
        <v>7872</v>
      </c>
      <c r="F5553" s="150" t="s">
        <v>7872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50" t="s">
        <v>6434</v>
      </c>
      <c r="M5553" s="178">
        <v>46052</v>
      </c>
      <c r="N5553" s="178"/>
      <c r="O5553" s="178"/>
      <c r="P5553" s="178" t="str">
        <f ca="1">IF(Proc[[#This Row],[DaysAgeing]]&gt;5,"yep","on track")</f>
        <v>on track</v>
      </c>
      <c r="Q5553" s="3">
        <f ca="1">IF(Proc[[#This Row],[DateClosed]]="",ABS(NETWORKDAYS(Proc[[#This Row],[DateOpened]],TODAY()))-1,ABS(NETWORKDAYS(Proc[[#This Row],[DateOpened]],Proc[[#This Row],[DateClosed]]))-1)</f>
        <v>3</v>
      </c>
      <c r="R5553" s="178" t="s">
        <v>7890</v>
      </c>
      <c r="S5553" s="150"/>
    </row>
    <row r="5554" spans="1:19" hidden="1">
      <c r="A5554" s="179" t="s">
        <v>7882</v>
      </c>
      <c r="B5554" s="150" t="str">
        <f>IFERROR(VLOOKUP(Proc[[#This Row],[App]],Table2[],3,0),"open")</f>
        <v>ok</v>
      </c>
      <c r="C5554" s="179" t="s">
        <v>369</v>
      </c>
      <c r="D5554" t="s">
        <v>7924</v>
      </c>
      <c r="E5554" t="s">
        <v>7872</v>
      </c>
      <c r="F5554" s="150" t="s">
        <v>7872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50" t="s">
        <v>6434</v>
      </c>
      <c r="M5554" s="178">
        <v>46052</v>
      </c>
      <c r="N5554" s="178"/>
      <c r="O5554" s="178"/>
      <c r="P5554" s="178" t="str">
        <f ca="1">IF(Proc[[#This Row],[DaysAgeing]]&gt;5,"yep","on track")</f>
        <v>on track</v>
      </c>
      <c r="Q5554" s="3">
        <f ca="1">IF(Proc[[#This Row],[DateClosed]]="",ABS(NETWORKDAYS(Proc[[#This Row],[DateOpened]],TODAY()))-1,ABS(NETWORKDAYS(Proc[[#This Row],[DateOpened]],Proc[[#This Row],[DateClosed]]))-1)</f>
        <v>3</v>
      </c>
      <c r="R5554" s="178" t="s">
        <v>7890</v>
      </c>
      <c r="S5554" s="150"/>
    </row>
    <row r="5555" spans="1:19" hidden="1">
      <c r="A5555" s="179" t="s">
        <v>7882</v>
      </c>
      <c r="B5555" s="150" t="str">
        <f>IFERROR(VLOOKUP(Proc[[#This Row],[App]],Table2[],3,0),"open")</f>
        <v>ok</v>
      </c>
      <c r="C5555" s="179" t="s">
        <v>369</v>
      </c>
      <c r="D5555" t="s">
        <v>7925</v>
      </c>
      <c r="E5555" t="s">
        <v>7872</v>
      </c>
      <c r="F5555" s="150" t="s">
        <v>7872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50" t="s">
        <v>6434</v>
      </c>
      <c r="M5555" s="178">
        <v>46052</v>
      </c>
      <c r="N5555" s="178"/>
      <c r="O5555" s="178"/>
      <c r="P5555" s="178" t="str">
        <f ca="1">IF(Proc[[#This Row],[DaysAgeing]]&gt;5,"yep","on track")</f>
        <v>on track</v>
      </c>
      <c r="Q5555" s="3">
        <f ca="1">IF(Proc[[#This Row],[DateClosed]]="",ABS(NETWORKDAYS(Proc[[#This Row],[DateOpened]],TODAY()))-1,ABS(NETWORKDAYS(Proc[[#This Row],[DateOpened]],Proc[[#This Row],[DateClosed]]))-1)</f>
        <v>3</v>
      </c>
      <c r="R5555" s="178" t="s">
        <v>7890</v>
      </c>
      <c r="S5555" s="150"/>
    </row>
    <row r="5556" spans="1:19" hidden="1">
      <c r="A5556" s="179" t="s">
        <v>7882</v>
      </c>
      <c r="B5556" s="150" t="str">
        <f>IFERROR(VLOOKUP(Proc[[#This Row],[App]],Table2[],3,0),"open")</f>
        <v>ok</v>
      </c>
      <c r="C5556" s="179" t="s">
        <v>369</v>
      </c>
      <c r="D5556" t="s">
        <v>7926</v>
      </c>
      <c r="E5556" t="s">
        <v>7872</v>
      </c>
      <c r="F5556" s="150" t="s">
        <v>7872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50" t="s">
        <v>6434</v>
      </c>
      <c r="M5556" s="178">
        <v>46052</v>
      </c>
      <c r="N5556" s="178"/>
      <c r="O5556" s="178"/>
      <c r="P5556" s="178" t="str">
        <f ca="1">IF(Proc[[#This Row],[DaysAgeing]]&gt;5,"yep","on track")</f>
        <v>on track</v>
      </c>
      <c r="Q5556" s="3">
        <f ca="1">IF(Proc[[#This Row],[DateClosed]]="",ABS(NETWORKDAYS(Proc[[#This Row],[DateOpened]],TODAY()))-1,ABS(NETWORKDAYS(Proc[[#This Row],[DateOpened]],Proc[[#This Row],[DateClosed]]))-1)</f>
        <v>3</v>
      </c>
      <c r="R5556" s="178" t="s">
        <v>7890</v>
      </c>
      <c r="S5556" s="150"/>
    </row>
    <row r="5557" spans="1:19" hidden="1">
      <c r="A5557" s="179" t="s">
        <v>7882</v>
      </c>
      <c r="B5557" s="150" t="str">
        <f>IFERROR(VLOOKUP(Proc[[#This Row],[App]],Table2[],3,0),"open")</f>
        <v>ok</v>
      </c>
      <c r="C5557" s="179" t="s">
        <v>369</v>
      </c>
      <c r="D5557" t="s">
        <v>7927</v>
      </c>
      <c r="E5557" t="s">
        <v>7872</v>
      </c>
      <c r="F5557" s="150" t="s">
        <v>7872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50" t="s">
        <v>6434</v>
      </c>
      <c r="M5557" s="178">
        <v>46052</v>
      </c>
      <c r="N5557" s="178"/>
      <c r="O5557" s="178"/>
      <c r="P5557" s="178" t="str">
        <f ca="1">IF(Proc[[#This Row],[DaysAgeing]]&gt;5,"yep","on track")</f>
        <v>on track</v>
      </c>
      <c r="Q5557" s="3">
        <f ca="1">IF(Proc[[#This Row],[DateClosed]]="",ABS(NETWORKDAYS(Proc[[#This Row],[DateOpened]],TODAY()))-1,ABS(NETWORKDAYS(Proc[[#This Row],[DateOpened]],Proc[[#This Row],[DateClosed]]))-1)</f>
        <v>3</v>
      </c>
      <c r="R5557" s="178" t="s">
        <v>7890</v>
      </c>
      <c r="S5557" s="150"/>
    </row>
    <row r="5558" spans="1:19" hidden="1">
      <c r="A5558" s="179" t="s">
        <v>7882</v>
      </c>
      <c r="B5558" s="150" t="str">
        <f>IFERROR(VLOOKUP(Proc[[#This Row],[App]],Table2[],3,0),"open")</f>
        <v>ok</v>
      </c>
      <c r="C5558" s="179" t="s">
        <v>369</v>
      </c>
      <c r="D5558" t="s">
        <v>7928</v>
      </c>
      <c r="E5558" t="s">
        <v>7872</v>
      </c>
      <c r="F5558" s="150" t="s">
        <v>7872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50" t="s">
        <v>6434</v>
      </c>
      <c r="M5558" s="178">
        <v>46052</v>
      </c>
      <c r="N5558" s="178"/>
      <c r="O5558" s="178"/>
      <c r="P5558" s="178" t="str">
        <f ca="1">IF(Proc[[#This Row],[DaysAgeing]]&gt;5,"yep","on track")</f>
        <v>on track</v>
      </c>
      <c r="Q5558" s="3">
        <f ca="1">IF(Proc[[#This Row],[DateClosed]]="",ABS(NETWORKDAYS(Proc[[#This Row],[DateOpened]],TODAY()))-1,ABS(NETWORKDAYS(Proc[[#This Row],[DateOpened]],Proc[[#This Row],[DateClosed]]))-1)</f>
        <v>3</v>
      </c>
      <c r="R5558" s="178" t="s">
        <v>7890</v>
      </c>
      <c r="S5558" s="150"/>
    </row>
    <row r="5559" spans="1:19" hidden="1">
      <c r="A5559" s="179" t="s">
        <v>7882</v>
      </c>
      <c r="B5559" s="150" t="str">
        <f>IFERROR(VLOOKUP(Proc[[#This Row],[App]],Table2[],3,0),"open")</f>
        <v>ok</v>
      </c>
      <c r="C5559" s="179" t="s">
        <v>369</v>
      </c>
      <c r="D5559" t="s">
        <v>7929</v>
      </c>
      <c r="E5559" t="s">
        <v>7872</v>
      </c>
      <c r="F5559" s="150" t="s">
        <v>7872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50" t="s">
        <v>6434</v>
      </c>
      <c r="M5559" s="178">
        <v>46052</v>
      </c>
      <c r="N5559" s="178"/>
      <c r="O5559" s="178"/>
      <c r="P5559" s="178" t="str">
        <f ca="1">IF(Proc[[#This Row],[DaysAgeing]]&gt;5,"yep","on track")</f>
        <v>on track</v>
      </c>
      <c r="Q5559" s="3">
        <f ca="1">IF(Proc[[#This Row],[DateClosed]]="",ABS(NETWORKDAYS(Proc[[#This Row],[DateOpened]],TODAY()))-1,ABS(NETWORKDAYS(Proc[[#This Row],[DateOpened]],Proc[[#This Row],[DateClosed]]))-1)</f>
        <v>3</v>
      </c>
      <c r="R5559" s="178" t="s">
        <v>7890</v>
      </c>
      <c r="S5559" s="150"/>
    </row>
    <row r="5560" spans="1:19" hidden="1">
      <c r="A5560" s="179" t="s">
        <v>7882</v>
      </c>
      <c r="B5560" s="150" t="str">
        <f>IFERROR(VLOOKUP(Proc[[#This Row],[App]],Table2[],3,0),"open")</f>
        <v>ok</v>
      </c>
      <c r="C5560" s="179" t="s">
        <v>369</v>
      </c>
      <c r="D5560" t="s">
        <v>7930</v>
      </c>
      <c r="E5560" t="s">
        <v>7872</v>
      </c>
      <c r="F5560" s="150" t="s">
        <v>7872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50" t="s">
        <v>6434</v>
      </c>
      <c r="M5560" s="178">
        <v>46052</v>
      </c>
      <c r="N5560" s="178"/>
      <c r="O5560" s="178"/>
      <c r="P5560" s="178" t="str">
        <f ca="1">IF(Proc[[#This Row],[DaysAgeing]]&gt;5,"yep","on track")</f>
        <v>on track</v>
      </c>
      <c r="Q5560" s="3">
        <f ca="1">IF(Proc[[#This Row],[DateClosed]]="",ABS(NETWORKDAYS(Proc[[#This Row],[DateOpened]],TODAY()))-1,ABS(NETWORKDAYS(Proc[[#This Row],[DateOpened]],Proc[[#This Row],[DateClosed]]))-1)</f>
        <v>3</v>
      </c>
      <c r="R5560" s="178" t="s">
        <v>7890</v>
      </c>
      <c r="S5560" s="150"/>
    </row>
    <row r="5561" spans="1:19" hidden="1">
      <c r="A5561" s="179" t="s">
        <v>7882</v>
      </c>
      <c r="B5561" s="150" t="str">
        <f>IFERROR(VLOOKUP(Proc[[#This Row],[App]],Table2[],3,0),"open")</f>
        <v>ok</v>
      </c>
      <c r="C5561" s="179" t="s">
        <v>369</v>
      </c>
      <c r="D5561" t="s">
        <v>7931</v>
      </c>
      <c r="E5561" t="s">
        <v>7872</v>
      </c>
      <c r="F5561" s="150" t="s">
        <v>7872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50" t="s">
        <v>6434</v>
      </c>
      <c r="M5561" s="178">
        <v>46052</v>
      </c>
      <c r="N5561" s="178"/>
      <c r="O5561" s="178"/>
      <c r="P5561" s="178" t="str">
        <f ca="1">IF(Proc[[#This Row],[DaysAgeing]]&gt;5,"yep","on track")</f>
        <v>on track</v>
      </c>
      <c r="Q5561" s="3">
        <f ca="1">IF(Proc[[#This Row],[DateClosed]]="",ABS(NETWORKDAYS(Proc[[#This Row],[DateOpened]],TODAY()))-1,ABS(NETWORKDAYS(Proc[[#This Row],[DateOpened]],Proc[[#This Row],[DateClosed]]))-1)</f>
        <v>3</v>
      </c>
      <c r="R5561" s="178" t="s">
        <v>7890</v>
      </c>
      <c r="S5561" s="150"/>
    </row>
    <row r="5562" spans="1:19" hidden="1">
      <c r="A5562" s="179" t="s">
        <v>7882</v>
      </c>
      <c r="B5562" s="150" t="str">
        <f>IFERROR(VLOOKUP(Proc[[#This Row],[App]],Table2[],3,0),"open")</f>
        <v>ok</v>
      </c>
      <c r="C5562" s="179" t="s">
        <v>369</v>
      </c>
      <c r="D5562" t="s">
        <v>7932</v>
      </c>
      <c r="E5562" t="s">
        <v>7872</v>
      </c>
      <c r="F5562" s="150" t="s">
        <v>7872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50" t="s">
        <v>6434</v>
      </c>
      <c r="M5562" s="178">
        <v>46052</v>
      </c>
      <c r="N5562" s="178"/>
      <c r="O5562" s="178"/>
      <c r="P5562" s="178" t="str">
        <f ca="1">IF(Proc[[#This Row],[DaysAgeing]]&gt;5,"yep","on track")</f>
        <v>on track</v>
      </c>
      <c r="Q5562" s="3">
        <f ca="1">IF(Proc[[#This Row],[DateClosed]]="",ABS(NETWORKDAYS(Proc[[#This Row],[DateOpened]],TODAY()))-1,ABS(NETWORKDAYS(Proc[[#This Row],[DateOpened]],Proc[[#This Row],[DateClosed]]))-1)</f>
        <v>3</v>
      </c>
      <c r="R5562" s="178" t="s">
        <v>7890</v>
      </c>
      <c r="S5562" s="150"/>
    </row>
    <row r="5563" spans="1:19" hidden="1">
      <c r="A5563" s="179" t="s">
        <v>7882</v>
      </c>
      <c r="B5563" s="150" t="str">
        <f>IFERROR(VLOOKUP(Proc[[#This Row],[App]],Table2[],3,0),"open")</f>
        <v>ok</v>
      </c>
      <c r="C5563" s="179" t="s">
        <v>369</v>
      </c>
      <c r="D5563" t="s">
        <v>7933</v>
      </c>
      <c r="E5563" t="s">
        <v>7872</v>
      </c>
      <c r="F5563" s="150" t="s">
        <v>7872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50" t="s">
        <v>6434</v>
      </c>
      <c r="M5563" s="178">
        <v>46052</v>
      </c>
      <c r="N5563" s="178"/>
      <c r="O5563" s="178"/>
      <c r="P5563" s="178" t="str">
        <f ca="1">IF(Proc[[#This Row],[DaysAgeing]]&gt;5,"yep","on track")</f>
        <v>on track</v>
      </c>
      <c r="Q5563" s="3">
        <f ca="1">IF(Proc[[#This Row],[DateClosed]]="",ABS(NETWORKDAYS(Proc[[#This Row],[DateOpened]],TODAY()))-1,ABS(NETWORKDAYS(Proc[[#This Row],[DateOpened]],Proc[[#This Row],[DateClosed]]))-1)</f>
        <v>3</v>
      </c>
      <c r="R5563" s="178" t="s">
        <v>7890</v>
      </c>
      <c r="S5563" s="150"/>
    </row>
    <row r="5564" spans="1:19" hidden="1">
      <c r="A5564" s="179" t="s">
        <v>7882</v>
      </c>
      <c r="B5564" s="150" t="str">
        <f>IFERROR(VLOOKUP(Proc[[#This Row],[App]],Table2[],3,0),"open")</f>
        <v>ok</v>
      </c>
      <c r="C5564" s="179" t="s">
        <v>369</v>
      </c>
      <c r="D5564" t="s">
        <v>7934</v>
      </c>
      <c r="E5564" t="s">
        <v>7872</v>
      </c>
      <c r="F5564" s="150" t="s">
        <v>7872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50" t="s">
        <v>6434</v>
      </c>
      <c r="M5564" s="178">
        <v>46052</v>
      </c>
      <c r="N5564" s="178"/>
      <c r="O5564" s="178"/>
      <c r="P5564" s="178" t="str">
        <f ca="1">IF(Proc[[#This Row],[DaysAgeing]]&gt;5,"yep","on track")</f>
        <v>on track</v>
      </c>
      <c r="Q5564" s="3">
        <f ca="1">IF(Proc[[#This Row],[DateClosed]]="",ABS(NETWORKDAYS(Proc[[#This Row],[DateOpened]],TODAY()))-1,ABS(NETWORKDAYS(Proc[[#This Row],[DateOpened]],Proc[[#This Row],[DateClosed]]))-1)</f>
        <v>3</v>
      </c>
      <c r="R5564" s="178" t="s">
        <v>7890</v>
      </c>
      <c r="S5564" s="150"/>
    </row>
    <row r="5565" spans="1:19" hidden="1">
      <c r="A5565" s="179" t="s">
        <v>7882</v>
      </c>
      <c r="B5565" s="150" t="str">
        <f>IFERROR(VLOOKUP(Proc[[#This Row],[App]],Table2[],3,0),"open")</f>
        <v>ok</v>
      </c>
      <c r="C5565" s="179" t="s">
        <v>369</v>
      </c>
      <c r="D5565" t="s">
        <v>7935</v>
      </c>
      <c r="E5565" t="s">
        <v>7872</v>
      </c>
      <c r="F5565" s="150" t="s">
        <v>7872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50" t="s">
        <v>6434</v>
      </c>
      <c r="M5565" s="178">
        <v>46052</v>
      </c>
      <c r="N5565" s="178"/>
      <c r="O5565" s="178"/>
      <c r="P5565" s="178" t="str">
        <f ca="1">IF(Proc[[#This Row],[DaysAgeing]]&gt;5,"yep","on track")</f>
        <v>on track</v>
      </c>
      <c r="Q5565" s="3">
        <f ca="1">IF(Proc[[#This Row],[DateClosed]]="",ABS(NETWORKDAYS(Proc[[#This Row],[DateOpened]],TODAY()))-1,ABS(NETWORKDAYS(Proc[[#This Row],[DateOpened]],Proc[[#This Row],[DateClosed]]))-1)</f>
        <v>3</v>
      </c>
      <c r="R5565" s="178" t="s">
        <v>7890</v>
      </c>
      <c r="S5565" s="150"/>
    </row>
    <row r="5566" spans="1:19" hidden="1">
      <c r="A5566" s="179" t="s">
        <v>7882</v>
      </c>
      <c r="B5566" s="150" t="str">
        <f>IFERROR(VLOOKUP(Proc[[#This Row],[App]],Table2[],3,0),"open")</f>
        <v>ok</v>
      </c>
      <c r="C5566" s="179" t="s">
        <v>369</v>
      </c>
      <c r="D5566" t="s">
        <v>7936</v>
      </c>
      <c r="E5566" t="s">
        <v>7872</v>
      </c>
      <c r="F5566" s="150" t="s">
        <v>7872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50" t="s">
        <v>6434</v>
      </c>
      <c r="M5566" s="178">
        <v>46052</v>
      </c>
      <c r="N5566" s="178"/>
      <c r="O5566" s="178"/>
      <c r="P5566" s="178" t="str">
        <f ca="1">IF(Proc[[#This Row],[DaysAgeing]]&gt;5,"yep","on track")</f>
        <v>on track</v>
      </c>
      <c r="Q5566" s="3">
        <f ca="1">IF(Proc[[#This Row],[DateClosed]]="",ABS(NETWORKDAYS(Proc[[#This Row],[DateOpened]],TODAY()))-1,ABS(NETWORKDAYS(Proc[[#This Row],[DateOpened]],Proc[[#This Row],[DateClosed]]))-1)</f>
        <v>3</v>
      </c>
      <c r="R5566" s="178" t="s">
        <v>7890</v>
      </c>
      <c r="S5566" s="150"/>
    </row>
    <row r="5567" spans="1:19" hidden="1">
      <c r="A5567" s="179" t="s">
        <v>7882</v>
      </c>
      <c r="B5567" s="150" t="str">
        <f>IFERROR(VLOOKUP(Proc[[#This Row],[App]],Table2[],3,0),"open")</f>
        <v>ok</v>
      </c>
      <c r="C5567" s="179" t="s">
        <v>369</v>
      </c>
      <c r="D5567" t="s">
        <v>7937</v>
      </c>
      <c r="E5567" t="s">
        <v>7872</v>
      </c>
      <c r="F5567" s="150" t="s">
        <v>7872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50" t="s">
        <v>6434</v>
      </c>
      <c r="M5567" s="178">
        <v>46052</v>
      </c>
      <c r="N5567" s="178"/>
      <c r="O5567" s="178"/>
      <c r="P5567" s="178" t="str">
        <f ca="1">IF(Proc[[#This Row],[DaysAgeing]]&gt;5,"yep","on track")</f>
        <v>on track</v>
      </c>
      <c r="Q5567" s="3">
        <f ca="1">IF(Proc[[#This Row],[DateClosed]]="",ABS(NETWORKDAYS(Proc[[#This Row],[DateOpened]],TODAY()))-1,ABS(NETWORKDAYS(Proc[[#This Row],[DateOpened]],Proc[[#This Row],[DateClosed]]))-1)</f>
        <v>3</v>
      </c>
      <c r="R5567" s="178" t="s">
        <v>7890</v>
      </c>
      <c r="S5567" s="150"/>
    </row>
    <row r="5568" spans="1:19" hidden="1">
      <c r="A5568" s="179" t="s">
        <v>7882</v>
      </c>
      <c r="B5568" s="150" t="str">
        <f>IFERROR(VLOOKUP(Proc[[#This Row],[App]],Table2[],3,0),"open")</f>
        <v>ok</v>
      </c>
      <c r="C5568" s="179" t="s">
        <v>369</v>
      </c>
      <c r="D5568" t="s">
        <v>7938</v>
      </c>
      <c r="E5568" t="s">
        <v>7871</v>
      </c>
      <c r="F5568" s="150" t="s">
        <v>7871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50" t="s">
        <v>6434</v>
      </c>
      <c r="M5568" s="178">
        <v>46052</v>
      </c>
      <c r="N5568" s="178"/>
      <c r="O5568" s="178"/>
      <c r="P5568" s="178" t="str">
        <f ca="1">IF(Proc[[#This Row],[DaysAgeing]]&gt;5,"yep","on track")</f>
        <v>on track</v>
      </c>
      <c r="Q5568" s="3">
        <f ca="1">IF(Proc[[#This Row],[DateClosed]]="",ABS(NETWORKDAYS(Proc[[#This Row],[DateOpened]],TODAY()))-1,ABS(NETWORKDAYS(Proc[[#This Row],[DateOpened]],Proc[[#This Row],[DateClosed]]))-1)</f>
        <v>3</v>
      </c>
      <c r="R5568" s="178" t="s">
        <v>7890</v>
      </c>
      <c r="S5568" s="150"/>
    </row>
    <row r="5569" spans="1:19" hidden="1">
      <c r="A5569" s="179" t="s">
        <v>7882</v>
      </c>
      <c r="B5569" s="150" t="str">
        <f>IFERROR(VLOOKUP(Proc[[#This Row],[App]],Table2[],3,0),"open")</f>
        <v>ok</v>
      </c>
      <c r="C5569" s="179" t="s">
        <v>369</v>
      </c>
      <c r="D5569" t="s">
        <v>7939</v>
      </c>
      <c r="E5569" t="s">
        <v>7873</v>
      </c>
      <c r="F5569" s="150" t="s">
        <v>7873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50" t="s">
        <v>6434</v>
      </c>
      <c r="M5569" s="178">
        <v>46052</v>
      </c>
      <c r="N5569" s="178"/>
      <c r="O5569" s="178"/>
      <c r="P5569" s="178" t="str">
        <f ca="1">IF(Proc[[#This Row],[DaysAgeing]]&gt;5,"yep","on track")</f>
        <v>on track</v>
      </c>
      <c r="Q5569" s="3">
        <f ca="1">IF(Proc[[#This Row],[DateClosed]]="",ABS(NETWORKDAYS(Proc[[#This Row],[DateOpened]],TODAY()))-1,ABS(NETWORKDAYS(Proc[[#This Row],[DateOpened]],Proc[[#This Row],[DateClosed]]))-1)</f>
        <v>3</v>
      </c>
      <c r="R5569" s="178" t="s">
        <v>7890</v>
      </c>
      <c r="S5569" s="150"/>
    </row>
    <row r="5570" spans="1:19" hidden="1">
      <c r="A5570" s="179" t="s">
        <v>7882</v>
      </c>
      <c r="B5570" s="150" t="str">
        <f>IFERROR(VLOOKUP(Proc[[#This Row],[App]],Table2[],3,0),"open")</f>
        <v>ok</v>
      </c>
      <c r="C5570" s="179" t="s">
        <v>369</v>
      </c>
      <c r="D5570" t="s">
        <v>7940</v>
      </c>
      <c r="E5570" t="s">
        <v>7874</v>
      </c>
      <c r="F5570" s="150" t="s">
        <v>7874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50" t="s">
        <v>6434</v>
      </c>
      <c r="M5570" s="178">
        <v>46052</v>
      </c>
      <c r="N5570" s="178"/>
      <c r="O5570" s="178"/>
      <c r="P5570" s="178" t="str">
        <f ca="1">IF(Proc[[#This Row],[DaysAgeing]]&gt;5,"yep","on track")</f>
        <v>on track</v>
      </c>
      <c r="Q5570" s="3">
        <f ca="1">IF(Proc[[#This Row],[DateClosed]]="",ABS(NETWORKDAYS(Proc[[#This Row],[DateOpened]],TODAY()))-1,ABS(NETWORKDAYS(Proc[[#This Row],[DateOpened]],Proc[[#This Row],[DateClosed]]))-1)</f>
        <v>3</v>
      </c>
      <c r="R5570" s="178" t="s">
        <v>7890</v>
      </c>
      <c r="S5570" s="150"/>
    </row>
    <row r="5571" spans="1:19" hidden="1">
      <c r="A5571" s="179" t="s">
        <v>7882</v>
      </c>
      <c r="B5571" s="150" t="str">
        <f>IFERROR(VLOOKUP(Proc[[#This Row],[App]],Table2[],3,0),"open")</f>
        <v>ok</v>
      </c>
      <c r="C5571" s="179" t="s">
        <v>369</v>
      </c>
      <c r="D5571" t="s">
        <v>7941</v>
      </c>
      <c r="E5571" t="s">
        <v>7875</v>
      </c>
      <c r="F5571" s="150" t="s">
        <v>7875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50" t="s">
        <v>6434</v>
      </c>
      <c r="M5571" s="178">
        <v>46052</v>
      </c>
      <c r="N5571" s="178"/>
      <c r="O5571" s="178"/>
      <c r="P5571" s="178" t="str">
        <f ca="1">IF(Proc[[#This Row],[DaysAgeing]]&gt;5,"yep","on track")</f>
        <v>on track</v>
      </c>
      <c r="Q5571" s="3">
        <f ca="1">IF(Proc[[#This Row],[DateClosed]]="",ABS(NETWORKDAYS(Proc[[#This Row],[DateOpened]],TODAY()))-1,ABS(NETWORKDAYS(Proc[[#This Row],[DateOpened]],Proc[[#This Row],[DateClosed]]))-1)</f>
        <v>3</v>
      </c>
      <c r="R5571" s="178" t="s">
        <v>7890</v>
      </c>
      <c r="S5571" s="150"/>
    </row>
    <row r="5572" spans="1:19" hidden="1">
      <c r="A5572" s="179" t="s">
        <v>7882</v>
      </c>
      <c r="B5572" s="150" t="str">
        <f>IFERROR(VLOOKUP(Proc[[#This Row],[App]],Table2[],3,0),"open")</f>
        <v>ok</v>
      </c>
      <c r="C5572" s="179" t="s">
        <v>369</v>
      </c>
      <c r="D5572" t="s">
        <v>7942</v>
      </c>
      <c r="E5572" t="s">
        <v>7875</v>
      </c>
      <c r="F5572" s="150" t="s">
        <v>7875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50" t="s">
        <v>6434</v>
      </c>
      <c r="M5572" s="178">
        <v>46052</v>
      </c>
      <c r="N5572" s="178"/>
      <c r="O5572" s="178"/>
      <c r="P5572" s="178" t="str">
        <f ca="1">IF(Proc[[#This Row],[DaysAgeing]]&gt;5,"yep","on track")</f>
        <v>on track</v>
      </c>
      <c r="Q5572" s="3">
        <f ca="1">IF(Proc[[#This Row],[DateClosed]]="",ABS(NETWORKDAYS(Proc[[#This Row],[DateOpened]],TODAY()))-1,ABS(NETWORKDAYS(Proc[[#This Row],[DateOpened]],Proc[[#This Row],[DateClosed]]))-1)</f>
        <v>3</v>
      </c>
      <c r="R5572" s="178" t="s">
        <v>7890</v>
      </c>
      <c r="S5572" s="150"/>
    </row>
    <row r="5573" spans="1:19" hidden="1">
      <c r="A5573" s="179" t="s">
        <v>7882</v>
      </c>
      <c r="B5573" s="150" t="str">
        <f>IFERROR(VLOOKUP(Proc[[#This Row],[App]],Table2[],3,0),"open")</f>
        <v>ok</v>
      </c>
      <c r="C5573" s="179" t="s">
        <v>369</v>
      </c>
      <c r="D5573" t="s">
        <v>7943</v>
      </c>
      <c r="E5573" t="s">
        <v>7875</v>
      </c>
      <c r="F5573" s="150" t="s">
        <v>7875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50" t="s">
        <v>6434</v>
      </c>
      <c r="M5573" s="178">
        <v>46052</v>
      </c>
      <c r="N5573" s="178"/>
      <c r="O5573" s="178"/>
      <c r="P5573" s="178" t="str">
        <f ca="1">IF(Proc[[#This Row],[DaysAgeing]]&gt;5,"yep","on track")</f>
        <v>on track</v>
      </c>
      <c r="Q5573" s="3">
        <f ca="1">IF(Proc[[#This Row],[DateClosed]]="",ABS(NETWORKDAYS(Proc[[#This Row],[DateOpened]],TODAY()))-1,ABS(NETWORKDAYS(Proc[[#This Row],[DateOpened]],Proc[[#This Row],[DateClosed]]))-1)</f>
        <v>3</v>
      </c>
      <c r="R5573" s="178" t="s">
        <v>7890</v>
      </c>
      <c r="S5573" s="150"/>
    </row>
    <row r="5574" spans="1:19" hidden="1">
      <c r="A5574" s="179" t="s">
        <v>7882</v>
      </c>
      <c r="B5574" s="150" t="str">
        <f>IFERROR(VLOOKUP(Proc[[#This Row],[App]],Table2[],3,0),"open")</f>
        <v>ok</v>
      </c>
      <c r="C5574" s="179" t="s">
        <v>369</v>
      </c>
      <c r="D5574" t="s">
        <v>7944</v>
      </c>
      <c r="E5574" t="s">
        <v>7876</v>
      </c>
      <c r="F5574" s="150" t="s">
        <v>7876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50" t="s">
        <v>6434</v>
      </c>
      <c r="M5574" s="178">
        <v>46052</v>
      </c>
      <c r="N5574" s="178"/>
      <c r="O5574" s="178"/>
      <c r="P5574" s="178" t="str">
        <f ca="1">IF(Proc[[#This Row],[DaysAgeing]]&gt;5,"yep","on track")</f>
        <v>on track</v>
      </c>
      <c r="Q5574" s="3">
        <f ca="1">IF(Proc[[#This Row],[DateClosed]]="",ABS(NETWORKDAYS(Proc[[#This Row],[DateOpened]],TODAY()))-1,ABS(NETWORKDAYS(Proc[[#This Row],[DateOpened]],Proc[[#This Row],[DateClosed]]))-1)</f>
        <v>3</v>
      </c>
      <c r="R5574" s="178" t="s">
        <v>7890</v>
      </c>
      <c r="S5574" s="150"/>
    </row>
    <row r="5575" spans="1:19" hidden="1">
      <c r="A5575" s="179" t="s">
        <v>7882</v>
      </c>
      <c r="B5575" s="150" t="str">
        <f>IFERROR(VLOOKUP(Proc[[#This Row],[App]],Table2[],3,0),"open")</f>
        <v>ok</v>
      </c>
      <c r="C5575" s="179" t="s">
        <v>369</v>
      </c>
      <c r="D5575" t="s">
        <v>7945</v>
      </c>
      <c r="E5575" t="s">
        <v>7876</v>
      </c>
      <c r="F5575" s="150" t="s">
        <v>7876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50" t="s">
        <v>6434</v>
      </c>
      <c r="M5575" s="178">
        <v>46052</v>
      </c>
      <c r="N5575" s="178"/>
      <c r="O5575" s="178"/>
      <c r="P5575" s="178" t="str">
        <f ca="1">IF(Proc[[#This Row],[DaysAgeing]]&gt;5,"yep","on track")</f>
        <v>on track</v>
      </c>
      <c r="Q5575" s="3">
        <f ca="1">IF(Proc[[#This Row],[DateClosed]]="",ABS(NETWORKDAYS(Proc[[#This Row],[DateOpened]],TODAY()))-1,ABS(NETWORKDAYS(Proc[[#This Row],[DateOpened]],Proc[[#This Row],[DateClosed]]))-1)</f>
        <v>3</v>
      </c>
      <c r="R5575" s="178" t="s">
        <v>7890</v>
      </c>
      <c r="S5575" s="150"/>
    </row>
    <row r="5576" spans="1:19" hidden="1">
      <c r="A5576" s="179" t="s">
        <v>7882</v>
      </c>
      <c r="B5576" s="150" t="str">
        <f>IFERROR(VLOOKUP(Proc[[#This Row],[App]],Table2[],3,0),"open")</f>
        <v>ok</v>
      </c>
      <c r="C5576" s="179" t="s">
        <v>369</v>
      </c>
      <c r="D5576" t="s">
        <v>7946</v>
      </c>
      <c r="E5576" t="s">
        <v>7876</v>
      </c>
      <c r="F5576" s="150" t="s">
        <v>7876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50" t="s">
        <v>6434</v>
      </c>
      <c r="M5576" s="178">
        <v>46052</v>
      </c>
      <c r="N5576" s="178"/>
      <c r="O5576" s="178"/>
      <c r="P5576" s="178" t="str">
        <f ca="1">IF(Proc[[#This Row],[DaysAgeing]]&gt;5,"yep","on track")</f>
        <v>on track</v>
      </c>
      <c r="Q5576" s="3">
        <f ca="1">IF(Proc[[#This Row],[DateClosed]]="",ABS(NETWORKDAYS(Proc[[#This Row],[DateOpened]],TODAY()))-1,ABS(NETWORKDAYS(Proc[[#This Row],[DateOpened]],Proc[[#This Row],[DateClosed]]))-1)</f>
        <v>3</v>
      </c>
      <c r="R5576" s="178" t="s">
        <v>7890</v>
      </c>
      <c r="S5576" s="150"/>
    </row>
    <row r="5577" spans="1:19" hidden="1">
      <c r="A5577" s="179" t="s">
        <v>7882</v>
      </c>
      <c r="B5577" s="150" t="str">
        <f>IFERROR(VLOOKUP(Proc[[#This Row],[App]],Table2[],3,0),"open")</f>
        <v>ok</v>
      </c>
      <c r="C5577" s="179" t="s">
        <v>369</v>
      </c>
      <c r="D5577" t="s">
        <v>7947</v>
      </c>
      <c r="E5577" t="s">
        <v>7877</v>
      </c>
      <c r="F5577" s="150" t="s">
        <v>7877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50" t="s">
        <v>6434</v>
      </c>
      <c r="M5577" s="178">
        <v>46052</v>
      </c>
      <c r="N5577" s="178"/>
      <c r="O5577" s="178"/>
      <c r="P5577" s="178" t="str">
        <f ca="1">IF(Proc[[#This Row],[DaysAgeing]]&gt;5,"yep","on track")</f>
        <v>on track</v>
      </c>
      <c r="Q5577" s="3">
        <f ca="1">IF(Proc[[#This Row],[DateClosed]]="",ABS(NETWORKDAYS(Proc[[#This Row],[DateOpened]],TODAY()))-1,ABS(NETWORKDAYS(Proc[[#This Row],[DateOpened]],Proc[[#This Row],[DateClosed]]))-1)</f>
        <v>3</v>
      </c>
      <c r="R5577" s="178" t="s">
        <v>7890</v>
      </c>
      <c r="S5577" s="150"/>
    </row>
    <row r="5578" spans="1:19" hidden="1">
      <c r="A5578" s="179" t="s">
        <v>7882</v>
      </c>
      <c r="B5578" s="150" t="str">
        <f>IFERROR(VLOOKUP(Proc[[#This Row],[App]],Table2[],3,0),"open")</f>
        <v>ok</v>
      </c>
      <c r="C5578" s="179" t="s">
        <v>369</v>
      </c>
      <c r="D5578" t="s">
        <v>7948</v>
      </c>
      <c r="E5578" t="s">
        <v>7877</v>
      </c>
      <c r="F5578" s="150" t="s">
        <v>7877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50" t="s">
        <v>6434</v>
      </c>
      <c r="M5578" s="178">
        <v>46052</v>
      </c>
      <c r="N5578" s="178"/>
      <c r="O5578" s="178"/>
      <c r="P5578" s="178" t="str">
        <f ca="1">IF(Proc[[#This Row],[DaysAgeing]]&gt;5,"yep","on track")</f>
        <v>on track</v>
      </c>
      <c r="Q5578" s="3">
        <f ca="1">IF(Proc[[#This Row],[DateClosed]]="",ABS(NETWORKDAYS(Proc[[#This Row],[DateOpened]],TODAY()))-1,ABS(NETWORKDAYS(Proc[[#This Row],[DateOpened]],Proc[[#This Row],[DateClosed]]))-1)</f>
        <v>3</v>
      </c>
      <c r="R5578" s="178" t="s">
        <v>7890</v>
      </c>
      <c r="S5578" s="150"/>
    </row>
    <row r="5579" spans="1:19" hidden="1">
      <c r="A5579" s="179" t="s">
        <v>7882</v>
      </c>
      <c r="B5579" s="150" t="str">
        <f>IFERROR(VLOOKUP(Proc[[#This Row],[App]],Table2[],3,0),"open")</f>
        <v>ok</v>
      </c>
      <c r="C5579" s="179" t="s">
        <v>369</v>
      </c>
      <c r="D5579" t="s">
        <v>7949</v>
      </c>
      <c r="E5579" t="s">
        <v>7877</v>
      </c>
      <c r="F5579" s="150" t="s">
        <v>7877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50" t="s">
        <v>6434</v>
      </c>
      <c r="M5579" s="178">
        <v>46052</v>
      </c>
      <c r="N5579" s="178"/>
      <c r="O5579" s="178"/>
      <c r="P5579" s="178" t="str">
        <f ca="1">IF(Proc[[#This Row],[DaysAgeing]]&gt;5,"yep","on track")</f>
        <v>on track</v>
      </c>
      <c r="Q5579" s="3">
        <f ca="1">IF(Proc[[#This Row],[DateClosed]]="",ABS(NETWORKDAYS(Proc[[#This Row],[DateOpened]],TODAY()))-1,ABS(NETWORKDAYS(Proc[[#This Row],[DateOpened]],Proc[[#This Row],[DateClosed]]))-1)</f>
        <v>3</v>
      </c>
      <c r="R5579" s="178" t="s">
        <v>7890</v>
      </c>
      <c r="S5579" s="150"/>
    </row>
    <row r="5580" spans="1:19" hidden="1">
      <c r="A5580" s="179" t="s">
        <v>7882</v>
      </c>
      <c r="B5580" s="150" t="str">
        <f>IFERROR(VLOOKUP(Proc[[#This Row],[App]],Table2[],3,0),"open")</f>
        <v>ok</v>
      </c>
      <c r="C5580" s="179" t="s">
        <v>369</v>
      </c>
      <c r="D5580" t="s">
        <v>7950</v>
      </c>
      <c r="E5580" t="s">
        <v>7878</v>
      </c>
      <c r="F5580" s="150" t="s">
        <v>7878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50" t="s">
        <v>6434</v>
      </c>
      <c r="M5580" s="178">
        <v>46052</v>
      </c>
      <c r="N5580" s="178"/>
      <c r="O5580" s="178"/>
      <c r="P5580" s="178" t="str">
        <f ca="1">IF(Proc[[#This Row],[DaysAgeing]]&gt;5,"yep","on track")</f>
        <v>on track</v>
      </c>
      <c r="Q5580" s="3">
        <f ca="1">IF(Proc[[#This Row],[DateClosed]]="",ABS(NETWORKDAYS(Proc[[#This Row],[DateOpened]],TODAY()))-1,ABS(NETWORKDAYS(Proc[[#This Row],[DateOpened]],Proc[[#This Row],[DateClosed]]))-1)</f>
        <v>3</v>
      </c>
      <c r="R5580" s="178" t="s">
        <v>7890</v>
      </c>
      <c r="S5580" s="150"/>
    </row>
    <row r="5581" spans="1:19" hidden="1">
      <c r="A5581" s="179" t="s">
        <v>7882</v>
      </c>
      <c r="B5581" s="150" t="str">
        <f>IFERROR(VLOOKUP(Proc[[#This Row],[App]],Table2[],3,0),"open")</f>
        <v>ok</v>
      </c>
      <c r="C5581" s="179" t="s">
        <v>369</v>
      </c>
      <c r="D5581" t="s">
        <v>7951</v>
      </c>
      <c r="E5581" t="s">
        <v>7878</v>
      </c>
      <c r="F5581" s="150" t="s">
        <v>7878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50" t="s">
        <v>6434</v>
      </c>
      <c r="M5581" s="178">
        <v>46052</v>
      </c>
      <c r="N5581" s="178"/>
      <c r="O5581" s="178"/>
      <c r="P5581" s="178" t="str">
        <f ca="1">IF(Proc[[#This Row],[DaysAgeing]]&gt;5,"yep","on track")</f>
        <v>on track</v>
      </c>
      <c r="Q5581" s="3">
        <f ca="1">IF(Proc[[#This Row],[DateClosed]]="",ABS(NETWORKDAYS(Proc[[#This Row],[DateOpened]],TODAY()))-1,ABS(NETWORKDAYS(Proc[[#This Row],[DateOpened]],Proc[[#This Row],[DateClosed]]))-1)</f>
        <v>3</v>
      </c>
      <c r="R5581" s="178" t="s">
        <v>7890</v>
      </c>
      <c r="S5581" s="150"/>
    </row>
    <row r="5582" spans="1:19" hidden="1">
      <c r="A5582" s="179" t="s">
        <v>7882</v>
      </c>
      <c r="B5582" s="150" t="str">
        <f>IFERROR(VLOOKUP(Proc[[#This Row],[App]],Table2[],3,0),"open")</f>
        <v>ok</v>
      </c>
      <c r="C5582" s="179" t="s">
        <v>369</v>
      </c>
      <c r="D5582" t="s">
        <v>7952</v>
      </c>
      <c r="E5582" t="s">
        <v>7879</v>
      </c>
      <c r="F5582" s="150" t="s">
        <v>7879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50" t="s">
        <v>6434</v>
      </c>
      <c r="M5582" s="178">
        <v>46052</v>
      </c>
      <c r="N5582" s="178"/>
      <c r="O5582" s="178"/>
      <c r="P5582" s="178" t="str">
        <f ca="1">IF(Proc[[#This Row],[DaysAgeing]]&gt;5,"yep","on track")</f>
        <v>on track</v>
      </c>
      <c r="Q5582" s="3">
        <f ca="1">IF(Proc[[#This Row],[DateClosed]]="",ABS(NETWORKDAYS(Proc[[#This Row],[DateOpened]],TODAY()))-1,ABS(NETWORKDAYS(Proc[[#This Row],[DateOpened]],Proc[[#This Row],[DateClosed]]))-1)</f>
        <v>3</v>
      </c>
      <c r="R5582" s="178" t="s">
        <v>7890</v>
      </c>
      <c r="S5582" s="150"/>
    </row>
    <row r="5583" spans="1:19" hidden="1">
      <c r="A5583" s="179" t="s">
        <v>7882</v>
      </c>
      <c r="B5583" s="150" t="str">
        <f>IFERROR(VLOOKUP(Proc[[#This Row],[App]],Table2[],3,0),"open")</f>
        <v>ok</v>
      </c>
      <c r="C5583" s="179" t="s">
        <v>369</v>
      </c>
      <c r="D5583" t="s">
        <v>7953</v>
      </c>
      <c r="E5583" t="s">
        <v>7880</v>
      </c>
      <c r="F5583" s="150" t="s">
        <v>7880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50" t="s">
        <v>6434</v>
      </c>
      <c r="M5583" s="178">
        <v>46052</v>
      </c>
      <c r="N5583" s="178"/>
      <c r="O5583" s="178"/>
      <c r="P5583" s="178" t="str">
        <f ca="1">IF(Proc[[#This Row],[DaysAgeing]]&gt;5,"yep","on track")</f>
        <v>on track</v>
      </c>
      <c r="Q5583" s="3">
        <f ca="1">IF(Proc[[#This Row],[DateClosed]]="",ABS(NETWORKDAYS(Proc[[#This Row],[DateOpened]],TODAY()))-1,ABS(NETWORKDAYS(Proc[[#This Row],[DateOpened]],Proc[[#This Row],[DateClosed]]))-1)</f>
        <v>3</v>
      </c>
      <c r="R5583" s="178" t="s">
        <v>7890</v>
      </c>
      <c r="S5583" s="150"/>
    </row>
    <row r="5584" spans="1:19" hidden="1">
      <c r="A5584" s="179" t="s">
        <v>7882</v>
      </c>
      <c r="B5584" s="150" t="str">
        <f>IFERROR(VLOOKUP(Proc[[#This Row],[App]],Table2[],3,0),"open")</f>
        <v>ok</v>
      </c>
      <c r="C5584" s="179" t="s">
        <v>369</v>
      </c>
      <c r="D5584" t="s">
        <v>7954</v>
      </c>
      <c r="E5584" t="s">
        <v>7880</v>
      </c>
      <c r="F5584" s="150" t="s">
        <v>7880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50" t="s">
        <v>6434</v>
      </c>
      <c r="M5584" s="178">
        <v>46052</v>
      </c>
      <c r="N5584" s="178"/>
      <c r="O5584" s="178"/>
      <c r="P5584" s="178" t="str">
        <f ca="1">IF(Proc[[#This Row],[DaysAgeing]]&gt;5,"yep","on track")</f>
        <v>on track</v>
      </c>
      <c r="Q5584" s="3">
        <f ca="1">IF(Proc[[#This Row],[DateClosed]]="",ABS(NETWORKDAYS(Proc[[#This Row],[DateOpened]],TODAY()))-1,ABS(NETWORKDAYS(Proc[[#This Row],[DateOpened]],Proc[[#This Row],[DateClosed]]))-1)</f>
        <v>3</v>
      </c>
      <c r="R5584" s="178" t="s">
        <v>7890</v>
      </c>
      <c r="S5584" s="150"/>
    </row>
    <row r="5585" spans="1:19" hidden="1">
      <c r="A5585" s="179" t="s">
        <v>7882</v>
      </c>
      <c r="B5585" s="150" t="str">
        <f>IFERROR(VLOOKUP(Proc[[#This Row],[App]],Table2[],3,0),"open")</f>
        <v>ok</v>
      </c>
      <c r="C5585" s="179" t="s">
        <v>369</v>
      </c>
      <c r="D5585" t="s">
        <v>7955</v>
      </c>
      <c r="E5585" t="s">
        <v>7881</v>
      </c>
      <c r="F5585" s="150" t="s">
        <v>7881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50" t="s">
        <v>6434</v>
      </c>
      <c r="M5585" s="178">
        <v>46052</v>
      </c>
      <c r="N5585" s="178"/>
      <c r="O5585" s="178"/>
      <c r="P5585" s="178" t="str">
        <f ca="1">IF(Proc[[#This Row],[DaysAgeing]]&gt;5,"yep","on track")</f>
        <v>on track</v>
      </c>
      <c r="Q5585" s="3">
        <f ca="1">IF(Proc[[#This Row],[DateClosed]]="",ABS(NETWORKDAYS(Proc[[#This Row],[DateOpened]],TODAY()))-1,ABS(NETWORKDAYS(Proc[[#This Row],[DateOpened]],Proc[[#This Row],[DateClosed]]))-1)</f>
        <v>3</v>
      </c>
      <c r="R5585" s="178" t="s">
        <v>7890</v>
      </c>
      <c r="S5585" s="150"/>
    </row>
    <row r="5586" spans="1:19" hidden="1">
      <c r="A5586" s="179" t="s">
        <v>7882</v>
      </c>
      <c r="B5586" s="150" t="str">
        <f>IFERROR(VLOOKUP(Proc[[#This Row],[App]],Table2[],3,0),"open")</f>
        <v>ok</v>
      </c>
      <c r="C5586" s="179" t="s">
        <v>369</v>
      </c>
      <c r="D5586" t="s">
        <v>7956</v>
      </c>
      <c r="E5586" t="s">
        <v>7881</v>
      </c>
      <c r="F5586" s="150" t="s">
        <v>7881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50" t="s">
        <v>6434</v>
      </c>
      <c r="M5586" s="178">
        <v>46052</v>
      </c>
      <c r="N5586" s="178"/>
      <c r="O5586" s="178"/>
      <c r="P5586" s="178" t="str">
        <f ca="1">IF(Proc[[#This Row],[DaysAgeing]]&gt;5,"yep","on track")</f>
        <v>on track</v>
      </c>
      <c r="Q5586" s="3">
        <f ca="1">IF(Proc[[#This Row],[DateClosed]]="",ABS(NETWORKDAYS(Proc[[#This Row],[DateOpened]],TODAY()))-1,ABS(NETWORKDAYS(Proc[[#This Row],[DateOpened]],Proc[[#This Row],[DateClosed]]))-1)</f>
        <v>3</v>
      </c>
      <c r="R5586" s="178" t="s">
        <v>7890</v>
      </c>
      <c r="S5586" s="150"/>
    </row>
    <row r="5587" spans="1:19" hidden="1">
      <c r="A5587" s="179" t="s">
        <v>7882</v>
      </c>
      <c r="B5587" s="150" t="str">
        <f>IFERROR(VLOOKUP(Proc[[#This Row],[App]],Table2[],3,0),"open")</f>
        <v>ok</v>
      </c>
      <c r="C5587" s="179" t="s">
        <v>369</v>
      </c>
      <c r="D5587" t="s">
        <v>7957</v>
      </c>
      <c r="E5587" t="s">
        <v>7881</v>
      </c>
      <c r="F5587" s="150" t="s">
        <v>7881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50" t="s">
        <v>6434</v>
      </c>
      <c r="M5587" s="178">
        <v>46052</v>
      </c>
      <c r="N5587" s="178"/>
      <c r="O5587" s="178"/>
      <c r="P5587" s="178" t="str">
        <f ca="1">IF(Proc[[#This Row],[DaysAgeing]]&gt;5,"yep","on track")</f>
        <v>on track</v>
      </c>
      <c r="Q5587" s="3">
        <f ca="1">IF(Proc[[#This Row],[DateClosed]]="",ABS(NETWORKDAYS(Proc[[#This Row],[DateOpened]],TODAY()))-1,ABS(NETWORKDAYS(Proc[[#This Row],[DateOpened]],Proc[[#This Row],[DateClosed]]))-1)</f>
        <v>3</v>
      </c>
      <c r="R5587" s="178" t="s">
        <v>7890</v>
      </c>
      <c r="S5587" s="150"/>
    </row>
    <row r="5588" spans="1:19" hidden="1">
      <c r="A5588" s="179" t="s">
        <v>7882</v>
      </c>
      <c r="B5588" s="150" t="str">
        <f>IFERROR(VLOOKUP(Proc[[#This Row],[App]],Table2[],3,0),"open")</f>
        <v>ok</v>
      </c>
      <c r="C5588" s="179" t="s">
        <v>369</v>
      </c>
      <c r="D5588" t="s">
        <v>7958</v>
      </c>
      <c r="E5588" t="s">
        <v>7881</v>
      </c>
      <c r="F5588" s="150" t="s">
        <v>7881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50" t="s">
        <v>6434</v>
      </c>
      <c r="M5588" s="178">
        <v>46052</v>
      </c>
      <c r="N5588" s="178"/>
      <c r="O5588" s="178"/>
      <c r="P5588" s="178" t="str">
        <f ca="1">IF(Proc[[#This Row],[DaysAgeing]]&gt;5,"yep","on track")</f>
        <v>on track</v>
      </c>
      <c r="Q5588" s="3">
        <f ca="1">IF(Proc[[#This Row],[DateClosed]]="",ABS(NETWORKDAYS(Proc[[#This Row],[DateOpened]],TODAY()))-1,ABS(NETWORKDAYS(Proc[[#This Row],[DateOpened]],Proc[[#This Row],[DateClosed]]))-1)</f>
        <v>3</v>
      </c>
      <c r="R5588" s="178" t="s">
        <v>7890</v>
      </c>
      <c r="S5588" s="150"/>
    </row>
    <row r="5589" spans="1:19" hidden="1">
      <c r="A5589" s="179" t="s">
        <v>7882</v>
      </c>
      <c r="B5589" s="150" t="str">
        <f>IFERROR(VLOOKUP(Proc[[#This Row],[App]],Table2[],3,0),"open")</f>
        <v>ok</v>
      </c>
      <c r="C5589" s="179" t="s">
        <v>369</v>
      </c>
      <c r="D5589" t="s">
        <v>7959</v>
      </c>
      <c r="E5589" t="s">
        <v>7881</v>
      </c>
      <c r="F5589" s="150" t="s">
        <v>7881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50" t="s">
        <v>6434</v>
      </c>
      <c r="M5589" s="178">
        <v>46052</v>
      </c>
      <c r="N5589" s="178"/>
      <c r="O5589" s="178"/>
      <c r="P5589" s="178" t="str">
        <f ca="1">IF(Proc[[#This Row],[DaysAgeing]]&gt;5,"yep","on track")</f>
        <v>on track</v>
      </c>
      <c r="Q5589" s="3">
        <f ca="1">IF(Proc[[#This Row],[DateClosed]]="",ABS(NETWORKDAYS(Proc[[#This Row],[DateOpened]],TODAY()))-1,ABS(NETWORKDAYS(Proc[[#This Row],[DateOpened]],Proc[[#This Row],[DateClosed]]))-1)</f>
        <v>3</v>
      </c>
      <c r="R5589" s="178" t="s">
        <v>7890</v>
      </c>
      <c r="S5589" s="150"/>
    </row>
    <row r="5590" spans="1:19" hidden="1">
      <c r="A5590" s="179" t="s">
        <v>7882</v>
      </c>
      <c r="B5590" s="150" t="str">
        <f>IFERROR(VLOOKUP(Proc[[#This Row],[App]],Table2[],3,0),"open")</f>
        <v>ok</v>
      </c>
      <c r="C5590" s="179" t="s">
        <v>369</v>
      </c>
      <c r="D5590" t="s">
        <v>7960</v>
      </c>
      <c r="E5590" t="s">
        <v>7881</v>
      </c>
      <c r="F5590" s="150" t="s">
        <v>7881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50" t="s">
        <v>6434</v>
      </c>
      <c r="M5590" s="178">
        <v>46052</v>
      </c>
      <c r="N5590" s="178"/>
      <c r="O5590" s="178"/>
      <c r="P5590" s="178" t="str">
        <f ca="1">IF(Proc[[#This Row],[DaysAgeing]]&gt;5,"yep","on track")</f>
        <v>on track</v>
      </c>
      <c r="Q5590" s="3">
        <f ca="1">IF(Proc[[#This Row],[DateClosed]]="",ABS(NETWORKDAYS(Proc[[#This Row],[DateOpened]],TODAY()))-1,ABS(NETWORKDAYS(Proc[[#This Row],[DateOpened]],Proc[[#This Row],[DateClosed]]))-1)</f>
        <v>3</v>
      </c>
      <c r="R5590" s="178" t="s">
        <v>7890</v>
      </c>
      <c r="S5590" s="150"/>
    </row>
    <row r="5591" spans="1:19" hidden="1">
      <c r="A5591" s="179" t="s">
        <v>7882</v>
      </c>
      <c r="B5591" s="150" t="str">
        <f>IFERROR(VLOOKUP(Proc[[#This Row],[App]],Table2[],3,0),"open")</f>
        <v>ok</v>
      </c>
      <c r="C5591" s="179" t="s">
        <v>369</v>
      </c>
      <c r="D5591" t="s">
        <v>7961</v>
      </c>
      <c r="E5591" t="s">
        <v>7881</v>
      </c>
      <c r="F5591" s="150" t="s">
        <v>7881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50" t="s">
        <v>6434</v>
      </c>
      <c r="M5591" s="178">
        <v>46052</v>
      </c>
      <c r="N5591" s="178"/>
      <c r="O5591" s="178"/>
      <c r="P5591" s="178" t="str">
        <f ca="1">IF(Proc[[#This Row],[DaysAgeing]]&gt;5,"yep","on track")</f>
        <v>on track</v>
      </c>
      <c r="Q5591" s="3">
        <f ca="1">IF(Proc[[#This Row],[DateClosed]]="",ABS(NETWORKDAYS(Proc[[#This Row],[DateOpened]],TODAY()))-1,ABS(NETWORKDAYS(Proc[[#This Row],[DateOpened]],Proc[[#This Row],[DateClosed]]))-1)</f>
        <v>3</v>
      </c>
      <c r="R5591" s="178" t="s">
        <v>7890</v>
      </c>
      <c r="S5591" s="150"/>
    </row>
    <row r="5592" spans="1:19" hidden="1">
      <c r="A5592" s="179" t="s">
        <v>7882</v>
      </c>
      <c r="B5592" s="150" t="str">
        <f>IFERROR(VLOOKUP(Proc[[#This Row],[App]],Table2[],3,0),"open")</f>
        <v>ok</v>
      </c>
      <c r="C5592" s="179" t="s">
        <v>369</v>
      </c>
      <c r="D5592" t="s">
        <v>7962</v>
      </c>
      <c r="E5592" t="s">
        <v>7881</v>
      </c>
      <c r="F5592" s="150" t="s">
        <v>7881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50" t="s">
        <v>6434</v>
      </c>
      <c r="M5592" s="178">
        <v>46052</v>
      </c>
      <c r="N5592" s="178"/>
      <c r="O5592" s="178"/>
      <c r="P5592" s="178" t="str">
        <f ca="1">IF(Proc[[#This Row],[DaysAgeing]]&gt;5,"yep","on track")</f>
        <v>on track</v>
      </c>
      <c r="Q5592" s="3">
        <f ca="1">IF(Proc[[#This Row],[DateClosed]]="",ABS(NETWORKDAYS(Proc[[#This Row],[DateOpened]],TODAY()))-1,ABS(NETWORKDAYS(Proc[[#This Row],[DateOpened]],Proc[[#This Row],[DateClosed]]))-1)</f>
        <v>3</v>
      </c>
      <c r="R5592" s="178" t="s">
        <v>7890</v>
      </c>
      <c r="S5592" s="150"/>
    </row>
    <row r="5593" spans="1:19" hidden="1">
      <c r="A5593" s="179" t="s">
        <v>7882</v>
      </c>
      <c r="B5593" s="150" t="str">
        <f>IFERROR(VLOOKUP(Proc[[#This Row],[App]],Table2[],3,0),"open")</f>
        <v>ok</v>
      </c>
      <c r="C5593" s="179" t="s">
        <v>369</v>
      </c>
      <c r="D5593" t="s">
        <v>7963</v>
      </c>
      <c r="E5593" t="s">
        <v>7881</v>
      </c>
      <c r="F5593" s="150" t="s">
        <v>7881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50" t="s">
        <v>6434</v>
      </c>
      <c r="M5593" s="178">
        <v>46052</v>
      </c>
      <c r="N5593" s="178"/>
      <c r="O5593" s="178"/>
      <c r="P5593" s="178" t="str">
        <f ca="1">IF(Proc[[#This Row],[DaysAgeing]]&gt;5,"yep","on track")</f>
        <v>on track</v>
      </c>
      <c r="Q5593" s="3">
        <f ca="1">IF(Proc[[#This Row],[DateClosed]]="",ABS(NETWORKDAYS(Proc[[#This Row],[DateOpened]],TODAY()))-1,ABS(NETWORKDAYS(Proc[[#This Row],[DateOpened]],Proc[[#This Row],[DateClosed]]))-1)</f>
        <v>3</v>
      </c>
      <c r="R5593" s="178" t="s">
        <v>7890</v>
      </c>
      <c r="S5593" s="150"/>
    </row>
    <row r="5594" spans="1:19" hidden="1">
      <c r="A5594" s="179" t="s">
        <v>7882</v>
      </c>
      <c r="B5594" s="150" t="str">
        <f>IFERROR(VLOOKUP(Proc[[#This Row],[App]],Table2[],3,0),"open")</f>
        <v>ok</v>
      </c>
      <c r="C5594" s="179" t="s">
        <v>369</v>
      </c>
      <c r="D5594" t="s">
        <v>7964</v>
      </c>
      <c r="E5594" t="s">
        <v>7881</v>
      </c>
      <c r="F5594" s="150" t="s">
        <v>7881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50" t="s">
        <v>6434</v>
      </c>
      <c r="M5594" s="178">
        <v>46052</v>
      </c>
      <c r="N5594" s="178"/>
      <c r="O5594" s="178"/>
      <c r="P5594" s="178" t="str">
        <f ca="1">IF(Proc[[#This Row],[DaysAgeing]]&gt;5,"yep","on track")</f>
        <v>on track</v>
      </c>
      <c r="Q5594" s="3">
        <f ca="1">IF(Proc[[#This Row],[DateClosed]]="",ABS(NETWORKDAYS(Proc[[#This Row],[DateOpened]],TODAY()))-1,ABS(NETWORKDAYS(Proc[[#This Row],[DateOpened]],Proc[[#This Row],[DateClosed]]))-1)</f>
        <v>3</v>
      </c>
      <c r="R5594" s="178" t="s">
        <v>7890</v>
      </c>
      <c r="S5594" s="150"/>
    </row>
    <row r="5595" spans="1:19" hidden="1">
      <c r="A5595" s="179" t="s">
        <v>7882</v>
      </c>
      <c r="B5595" s="150" t="str">
        <f>IFERROR(VLOOKUP(Proc[[#This Row],[App]],Table2[],3,0),"open")</f>
        <v>ok</v>
      </c>
      <c r="C5595" s="179" t="s">
        <v>369</v>
      </c>
      <c r="D5595" t="s">
        <v>7965</v>
      </c>
      <c r="E5595" t="s">
        <v>7881</v>
      </c>
      <c r="F5595" s="150" t="s">
        <v>7881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50" t="s">
        <v>6434</v>
      </c>
      <c r="M5595" s="178">
        <v>46052</v>
      </c>
      <c r="N5595" s="178"/>
      <c r="O5595" s="178"/>
      <c r="P5595" s="178" t="str">
        <f ca="1">IF(Proc[[#This Row],[DaysAgeing]]&gt;5,"yep","on track")</f>
        <v>on track</v>
      </c>
      <c r="Q5595" s="3">
        <f ca="1">IF(Proc[[#This Row],[DateClosed]]="",ABS(NETWORKDAYS(Proc[[#This Row],[DateOpened]],TODAY()))-1,ABS(NETWORKDAYS(Proc[[#This Row],[DateOpened]],Proc[[#This Row],[DateClosed]]))-1)</f>
        <v>3</v>
      </c>
      <c r="R5595" s="178" t="s">
        <v>7890</v>
      </c>
      <c r="S5595" s="150"/>
    </row>
    <row r="5596" spans="1:19" hidden="1">
      <c r="A5596" s="179" t="s">
        <v>7882</v>
      </c>
      <c r="B5596" s="150" t="str">
        <f>IFERROR(VLOOKUP(Proc[[#This Row],[App]],Table2[],3,0),"open")</f>
        <v>ok</v>
      </c>
      <c r="C5596" s="179" t="s">
        <v>369</v>
      </c>
      <c r="D5596" t="s">
        <v>7966</v>
      </c>
      <c r="E5596" t="s">
        <v>7881</v>
      </c>
      <c r="F5596" s="150" t="s">
        <v>7881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50" t="s">
        <v>6434</v>
      </c>
      <c r="M5596" s="178">
        <v>46052</v>
      </c>
      <c r="N5596" s="178"/>
      <c r="O5596" s="178"/>
      <c r="P5596" s="178" t="str">
        <f ca="1">IF(Proc[[#This Row],[DaysAgeing]]&gt;5,"yep","on track")</f>
        <v>on track</v>
      </c>
      <c r="Q5596" s="3">
        <f ca="1">IF(Proc[[#This Row],[DateClosed]]="",ABS(NETWORKDAYS(Proc[[#This Row],[DateOpened]],TODAY()))-1,ABS(NETWORKDAYS(Proc[[#This Row],[DateOpened]],Proc[[#This Row],[DateClosed]]))-1)</f>
        <v>3</v>
      </c>
      <c r="R5596" s="178" t="s">
        <v>7890</v>
      </c>
      <c r="S5596" s="150"/>
    </row>
    <row r="5597" spans="1:19" hidden="1">
      <c r="A5597" s="179" t="s">
        <v>7882</v>
      </c>
      <c r="B5597" s="150" t="str">
        <f>IFERROR(VLOOKUP(Proc[[#This Row],[App]],Table2[],3,0),"open")</f>
        <v>ok</v>
      </c>
      <c r="C5597" s="179" t="s">
        <v>369</v>
      </c>
      <c r="D5597" t="s">
        <v>7967</v>
      </c>
      <c r="E5597" t="s">
        <v>7881</v>
      </c>
      <c r="F5597" s="150" t="s">
        <v>7881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50" t="s">
        <v>6434</v>
      </c>
      <c r="M5597" s="178">
        <v>46052</v>
      </c>
      <c r="N5597" s="178"/>
      <c r="O5597" s="178"/>
      <c r="P5597" s="178" t="str">
        <f ca="1">IF(Proc[[#This Row],[DaysAgeing]]&gt;5,"yep","on track")</f>
        <v>on track</v>
      </c>
      <c r="Q5597" s="3">
        <f ca="1">IF(Proc[[#This Row],[DateClosed]]="",ABS(NETWORKDAYS(Proc[[#This Row],[DateOpened]],TODAY()))-1,ABS(NETWORKDAYS(Proc[[#This Row],[DateOpened]],Proc[[#This Row],[DateClosed]]))-1)</f>
        <v>3</v>
      </c>
      <c r="R5597" s="178" t="s">
        <v>7890</v>
      </c>
      <c r="S5597" s="150"/>
    </row>
    <row r="5598" spans="1:19" hidden="1">
      <c r="A5598" s="179" t="s">
        <v>7882</v>
      </c>
      <c r="B5598" s="150" t="str">
        <f>IFERROR(VLOOKUP(Proc[[#This Row],[App]],Table2[],3,0),"open")</f>
        <v>ok</v>
      </c>
      <c r="C5598" s="179" t="s">
        <v>369</v>
      </c>
      <c r="D5598" t="s">
        <v>7968</v>
      </c>
      <c r="E5598" t="s">
        <v>7881</v>
      </c>
      <c r="F5598" s="150" t="s">
        <v>7881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50" t="s">
        <v>6434</v>
      </c>
      <c r="M5598" s="178">
        <v>46052</v>
      </c>
      <c r="N5598" s="178"/>
      <c r="O5598" s="178"/>
      <c r="P5598" s="178" t="str">
        <f ca="1">IF(Proc[[#This Row],[DaysAgeing]]&gt;5,"yep","on track")</f>
        <v>on track</v>
      </c>
      <c r="Q5598" s="3">
        <f ca="1">IF(Proc[[#This Row],[DateClosed]]="",ABS(NETWORKDAYS(Proc[[#This Row],[DateOpened]],TODAY()))-1,ABS(NETWORKDAYS(Proc[[#This Row],[DateOpened]],Proc[[#This Row],[DateClosed]]))-1)</f>
        <v>3</v>
      </c>
      <c r="R5598" s="178" t="s">
        <v>7890</v>
      </c>
      <c r="S5598" s="150"/>
    </row>
    <row r="5599" spans="1:19" hidden="1">
      <c r="A5599" s="179" t="s">
        <v>7882</v>
      </c>
      <c r="B5599" s="150" t="str">
        <f>IFERROR(VLOOKUP(Proc[[#This Row],[App]],Table2[],3,0),"open")</f>
        <v>ok</v>
      </c>
      <c r="C5599" s="179" t="s">
        <v>369</v>
      </c>
      <c r="D5599" t="s">
        <v>7969</v>
      </c>
      <c r="E5599" t="s">
        <v>7881</v>
      </c>
      <c r="F5599" s="150" t="s">
        <v>7881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50" t="s">
        <v>6434</v>
      </c>
      <c r="M5599" s="178">
        <v>46052</v>
      </c>
      <c r="N5599" s="178"/>
      <c r="O5599" s="178"/>
      <c r="P5599" s="178" t="str">
        <f ca="1">IF(Proc[[#This Row],[DaysAgeing]]&gt;5,"yep","on track")</f>
        <v>on track</v>
      </c>
      <c r="Q5599" s="3">
        <f ca="1">IF(Proc[[#This Row],[DateClosed]]="",ABS(NETWORKDAYS(Proc[[#This Row],[DateOpened]],TODAY()))-1,ABS(NETWORKDAYS(Proc[[#This Row],[DateOpened]],Proc[[#This Row],[DateClosed]]))-1)</f>
        <v>3</v>
      </c>
      <c r="R5599" s="178" t="s">
        <v>7890</v>
      </c>
      <c r="S5599" s="150"/>
    </row>
    <row r="5600" spans="1:19" hidden="1">
      <c r="A5600" s="179" t="s">
        <v>7882</v>
      </c>
      <c r="B5600" s="150" t="str">
        <f>IFERROR(VLOOKUP(Proc[[#This Row],[App]],Table2[],3,0),"open")</f>
        <v>ok</v>
      </c>
      <c r="C5600" s="179" t="s">
        <v>369</v>
      </c>
      <c r="D5600" t="s">
        <v>7970</v>
      </c>
      <c r="E5600" t="s">
        <v>7881</v>
      </c>
      <c r="F5600" s="150" t="s">
        <v>7881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50" t="s">
        <v>6434</v>
      </c>
      <c r="M5600" s="178">
        <v>46052</v>
      </c>
      <c r="N5600" s="178"/>
      <c r="O5600" s="178"/>
      <c r="P5600" s="178" t="str">
        <f ca="1">IF(Proc[[#This Row],[DaysAgeing]]&gt;5,"yep","on track")</f>
        <v>on track</v>
      </c>
      <c r="Q5600" s="3">
        <f ca="1">IF(Proc[[#This Row],[DateClosed]]="",ABS(NETWORKDAYS(Proc[[#This Row],[DateOpened]],TODAY()))-1,ABS(NETWORKDAYS(Proc[[#This Row],[DateOpened]],Proc[[#This Row],[DateClosed]]))-1)</f>
        <v>3</v>
      </c>
      <c r="R5600" s="178" t="s">
        <v>7890</v>
      </c>
      <c r="S5600" s="150"/>
    </row>
    <row r="5601" spans="1:19" hidden="1">
      <c r="A5601" s="179" t="s">
        <v>7882</v>
      </c>
      <c r="B5601" s="150" t="str">
        <f>IFERROR(VLOOKUP(Proc[[#This Row],[App]],Table2[],3,0),"open")</f>
        <v>ok</v>
      </c>
      <c r="C5601" s="179" t="s">
        <v>369</v>
      </c>
      <c r="D5601" t="s">
        <v>7971</v>
      </c>
      <c r="E5601" t="s">
        <v>7881</v>
      </c>
      <c r="F5601" s="150" t="s">
        <v>7881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50" t="s">
        <v>6434</v>
      </c>
      <c r="M5601" s="178">
        <v>46052</v>
      </c>
      <c r="N5601" s="178"/>
      <c r="O5601" s="178"/>
      <c r="P5601" s="178" t="str">
        <f ca="1">IF(Proc[[#This Row],[DaysAgeing]]&gt;5,"yep","on track")</f>
        <v>on track</v>
      </c>
      <c r="Q5601" s="3">
        <f ca="1">IF(Proc[[#This Row],[DateClosed]]="",ABS(NETWORKDAYS(Proc[[#This Row],[DateOpened]],TODAY()))-1,ABS(NETWORKDAYS(Proc[[#This Row],[DateOpened]],Proc[[#This Row],[DateClosed]]))-1)</f>
        <v>3</v>
      </c>
      <c r="R5601" s="178" t="s">
        <v>7890</v>
      </c>
      <c r="S5601" s="150"/>
    </row>
    <row r="5602" spans="1:19" hidden="1">
      <c r="A5602" t="s">
        <v>7883</v>
      </c>
      <c r="B5602" s="150" t="str">
        <f>IFERROR(VLOOKUP(Proc[[#This Row],[App]],Table2[],3,0),"open")</f>
        <v>ok</v>
      </c>
      <c r="C5602" s="179" t="s">
        <v>369</v>
      </c>
      <c r="D5602" t="s">
        <v>7884</v>
      </c>
      <c r="E5602" t="s">
        <v>7612</v>
      </c>
      <c r="F5602" s="181" t="str">
        <f>VLOOKUP(Proc[[#This Row],[Obj]],Sheet1!A:B,2,0)</f>
        <v>P000001411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50" t="s">
        <v>6434</v>
      </c>
      <c r="M5602" s="178">
        <v>46052</v>
      </c>
      <c r="N5602" s="178"/>
      <c r="O5602" s="178"/>
      <c r="P5602" s="178" t="str">
        <f ca="1">IF(Proc[[#This Row],[DaysAgeing]]&gt;5,"yep","on track")</f>
        <v>on track</v>
      </c>
      <c r="Q5602" s="3">
        <f ca="1">IF(Proc[[#This Row],[DateClosed]]="",ABS(NETWORKDAYS(Proc[[#This Row],[DateOpened]],TODAY()))-1,ABS(NETWORKDAYS(Proc[[#This Row],[DateOpened]],Proc[[#This Row],[DateClosed]]))-1)</f>
        <v>3</v>
      </c>
      <c r="R5602" s="178" t="s">
        <v>5708</v>
      </c>
      <c r="S5602" s="150"/>
    </row>
    <row r="5603" spans="1:19" hidden="1">
      <c r="A5603" s="179" t="s">
        <v>7883</v>
      </c>
      <c r="B5603" s="150" t="str">
        <f>IFERROR(VLOOKUP(Proc[[#This Row],[App]],Table2[],3,0),"open")</f>
        <v>ok</v>
      </c>
      <c r="C5603" s="180" t="s">
        <v>369</v>
      </c>
      <c r="D5603" t="s">
        <v>7885</v>
      </c>
      <c r="E5603" t="s">
        <v>7612</v>
      </c>
      <c r="F5603" s="181" t="str">
        <f>VLOOKUP(Proc[[#This Row],[Obj]],Sheet1!A:B,2,0)</f>
        <v>P000001411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50" t="s">
        <v>6434</v>
      </c>
      <c r="M5603" s="178">
        <v>46052</v>
      </c>
      <c r="N5603" s="178"/>
      <c r="O5603" s="178"/>
      <c r="P5603" s="178" t="str">
        <f ca="1">IF(Proc[[#This Row],[DaysAgeing]]&gt;5,"yep","on track")</f>
        <v>on track</v>
      </c>
      <c r="Q5603" s="3">
        <f ca="1">IF(Proc[[#This Row],[DateClosed]]="",ABS(NETWORKDAYS(Proc[[#This Row],[DateOpened]],TODAY()))-1,ABS(NETWORKDAYS(Proc[[#This Row],[DateOpened]],Proc[[#This Row],[DateClosed]]))-1)</f>
        <v>3</v>
      </c>
      <c r="R5603" s="178" t="s">
        <v>5708</v>
      </c>
      <c r="S5603" s="150"/>
    </row>
    <row r="5604" spans="1:19" hidden="1">
      <c r="A5604" s="179" t="s">
        <v>7883</v>
      </c>
      <c r="B5604" s="150" t="str">
        <f>IFERROR(VLOOKUP(Proc[[#This Row],[App]],Table2[],3,0),"open")</f>
        <v>ok</v>
      </c>
      <c r="C5604" s="180" t="s">
        <v>369</v>
      </c>
      <c r="D5604" t="s">
        <v>7886</v>
      </c>
      <c r="E5604" t="s">
        <v>7612</v>
      </c>
      <c r="F5604" s="181" t="str">
        <f>VLOOKUP(Proc[[#This Row],[Obj]],Sheet1!A:B,2,0)</f>
        <v>P000001411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50" t="s">
        <v>6434</v>
      </c>
      <c r="M5604" s="178">
        <v>46052</v>
      </c>
      <c r="N5604" s="178"/>
      <c r="O5604" s="178"/>
      <c r="P5604" s="178" t="str">
        <f ca="1">IF(Proc[[#This Row],[DaysAgeing]]&gt;5,"yep","on track")</f>
        <v>on track</v>
      </c>
      <c r="Q5604" s="3">
        <f ca="1">IF(Proc[[#This Row],[DateClosed]]="",ABS(NETWORKDAYS(Proc[[#This Row],[DateOpened]],TODAY()))-1,ABS(NETWORKDAYS(Proc[[#This Row],[DateOpened]],Proc[[#This Row],[DateClosed]]))-1)</f>
        <v>3</v>
      </c>
      <c r="R5604" s="178" t="s">
        <v>5708</v>
      </c>
      <c r="S5604" s="150"/>
    </row>
    <row r="5605" spans="1:19" hidden="1">
      <c r="A5605" s="179" t="s">
        <v>7883</v>
      </c>
      <c r="B5605" s="150" t="str">
        <f>IFERROR(VLOOKUP(Proc[[#This Row],[App]],Table2[],3,0),"open")</f>
        <v>ok</v>
      </c>
      <c r="C5605" s="180" t="s">
        <v>369</v>
      </c>
      <c r="D5605" t="s">
        <v>7887</v>
      </c>
      <c r="E5605" t="s">
        <v>7612</v>
      </c>
      <c r="F5605" s="181" t="str">
        <f>VLOOKUP(Proc[[#This Row],[Obj]],Sheet1!A:B,2,0)</f>
        <v>P000001411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50" t="s">
        <v>6434</v>
      </c>
      <c r="M5605" s="178">
        <v>46052</v>
      </c>
      <c r="N5605" s="178"/>
      <c r="O5605" s="178"/>
      <c r="P5605" s="178" t="str">
        <f ca="1">IF(Proc[[#This Row],[DaysAgeing]]&gt;5,"yep","on track")</f>
        <v>on track</v>
      </c>
      <c r="Q5605" s="3">
        <f ca="1">IF(Proc[[#This Row],[DateClosed]]="",ABS(NETWORKDAYS(Proc[[#This Row],[DateOpened]],TODAY()))-1,ABS(NETWORKDAYS(Proc[[#This Row],[DateOpened]],Proc[[#This Row],[DateClosed]]))-1)</f>
        <v>3</v>
      </c>
      <c r="R5605" s="178" t="s">
        <v>5708</v>
      </c>
      <c r="S5605" s="150"/>
    </row>
    <row r="5606" spans="1:19" hidden="1">
      <c r="A5606" s="179" t="s">
        <v>7883</v>
      </c>
      <c r="B5606" s="150" t="str">
        <f>IFERROR(VLOOKUP(Proc[[#This Row],[App]],Table2[],3,0),"open")</f>
        <v>ok</v>
      </c>
      <c r="C5606" s="180" t="s">
        <v>369</v>
      </c>
      <c r="D5606" t="s">
        <v>7888</v>
      </c>
      <c r="E5606" t="s">
        <v>7612</v>
      </c>
      <c r="F5606" s="181" t="str">
        <f>VLOOKUP(Proc[[#This Row],[Obj]],Sheet1!A:B,2,0)</f>
        <v>P000001411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50" t="s">
        <v>6434</v>
      </c>
      <c r="M5606" s="178">
        <v>46052</v>
      </c>
      <c r="N5606" s="178"/>
      <c r="O5606" s="178"/>
      <c r="P5606" s="178" t="str">
        <f ca="1">IF(Proc[[#This Row],[DaysAgeing]]&gt;5,"yep","on track")</f>
        <v>on track</v>
      </c>
      <c r="Q5606" s="3">
        <f ca="1">IF(Proc[[#This Row],[DateClosed]]="",ABS(NETWORKDAYS(Proc[[#This Row],[DateOpened]],TODAY()))-1,ABS(NETWORKDAYS(Proc[[#This Row],[DateOpened]],Proc[[#This Row],[DateClosed]]))-1)</f>
        <v>3</v>
      </c>
      <c r="R5606" s="178" t="s">
        <v>5708</v>
      </c>
      <c r="S5606" s="150"/>
    </row>
    <row r="5607" spans="1:19" hidden="1">
      <c r="A5607" s="179" t="s">
        <v>7883</v>
      </c>
      <c r="B5607" s="150" t="str">
        <f>IFERROR(VLOOKUP(Proc[[#This Row],[App]],Table2[],3,0),"open")</f>
        <v>ok</v>
      </c>
      <c r="C5607" s="180" t="s">
        <v>369</v>
      </c>
      <c r="D5607" t="s">
        <v>7889</v>
      </c>
      <c r="E5607" t="s">
        <v>7612</v>
      </c>
      <c r="F5607" s="181" t="str">
        <f>VLOOKUP(Proc[[#This Row],[Obj]],Sheet1!A:B,2,0)</f>
        <v>P000001411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50" t="s">
        <v>6434</v>
      </c>
      <c r="M5607" s="178">
        <v>46052</v>
      </c>
      <c r="N5607" s="178"/>
      <c r="O5607" s="178"/>
      <c r="P5607" s="178" t="str">
        <f ca="1">IF(Proc[[#This Row],[DaysAgeing]]&gt;5,"yep","on track")</f>
        <v>on track</v>
      </c>
      <c r="Q5607" s="3">
        <f ca="1">IF(Proc[[#This Row],[DateClosed]]="",ABS(NETWORKDAYS(Proc[[#This Row],[DateOpened]],TODAY()))-1,ABS(NETWORKDAYS(Proc[[#This Row],[DateOpened]],Proc[[#This Row],[DateClosed]]))-1)</f>
        <v>3</v>
      </c>
      <c r="R5607" s="178" t="s">
        <v>5708</v>
      </c>
      <c r="S5607" s="150"/>
    </row>
    <row r="5608" spans="1:19" hidden="1">
      <c r="A5608" t="s">
        <v>7981</v>
      </c>
      <c r="B5608" s="150" t="str">
        <f>IFERROR(VLOOKUP(Proc[[#This Row],[App]],Table2[],3,0),"open")</f>
        <v>ok</v>
      </c>
      <c r="C5608" s="179" t="s">
        <v>377</v>
      </c>
      <c r="D5608" t="s">
        <v>7972</v>
      </c>
      <c r="E5608" t="s">
        <v>7983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50" t="s">
        <v>6434</v>
      </c>
      <c r="M5608" s="178">
        <v>46056</v>
      </c>
      <c r="N5608" s="178"/>
      <c r="O5608" s="178"/>
      <c r="P5608" s="178" t="str">
        <f ca="1">IF(Proc[[#This Row],[DaysAgeing]]&gt;5,"yep","on track")</f>
        <v>on track</v>
      </c>
      <c r="Q5608" s="3">
        <f ca="1">IF(Proc[[#This Row],[DateClosed]]="",ABS(NETWORKDAYS(Proc[[#This Row],[DateOpened]],TODAY()))-1,ABS(NETWORKDAYS(Proc[[#This Row],[DateOpened]],Proc[[#This Row],[DateClosed]]))-1)</f>
        <v>1</v>
      </c>
      <c r="R5608" s="178" t="s">
        <v>415</v>
      </c>
      <c r="S5608" s="150"/>
    </row>
    <row r="5609" spans="1:19" hidden="1">
      <c r="A5609" s="179" t="s">
        <v>7981</v>
      </c>
      <c r="B5609" s="150" t="str">
        <f>IFERROR(VLOOKUP(Proc[[#This Row],[App]],Table2[],3,0),"open")</f>
        <v>ok</v>
      </c>
      <c r="C5609" s="179" t="s">
        <v>377</v>
      </c>
      <c r="D5609" t="s">
        <v>7973</v>
      </c>
      <c r="E5609" t="s">
        <v>7984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50" t="s">
        <v>6434</v>
      </c>
      <c r="M5609" s="178">
        <v>46056</v>
      </c>
      <c r="N5609" s="178"/>
      <c r="O5609" s="178"/>
      <c r="P5609" s="178" t="str">
        <f ca="1">IF(Proc[[#This Row],[DaysAgeing]]&gt;5,"yep","on track")</f>
        <v>on track</v>
      </c>
      <c r="Q5609" s="3">
        <f ca="1">IF(Proc[[#This Row],[DateClosed]]="",ABS(NETWORKDAYS(Proc[[#This Row],[DateOpened]],TODAY()))-1,ABS(NETWORKDAYS(Proc[[#This Row],[DateOpened]],Proc[[#This Row],[DateClosed]]))-1)</f>
        <v>1</v>
      </c>
      <c r="R5609" s="178" t="s">
        <v>415</v>
      </c>
      <c r="S5609" s="150"/>
    </row>
    <row r="5610" spans="1:19" hidden="1">
      <c r="A5610" s="179" t="s">
        <v>7981</v>
      </c>
      <c r="B5610" s="150" t="str">
        <f>IFERROR(VLOOKUP(Proc[[#This Row],[App]],Table2[],3,0),"open")</f>
        <v>ok</v>
      </c>
      <c r="C5610" s="179" t="s">
        <v>377</v>
      </c>
      <c r="D5610" t="s">
        <v>7974</v>
      </c>
      <c r="E5610" t="s">
        <v>7984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50" t="s">
        <v>6434</v>
      </c>
      <c r="M5610" s="178">
        <v>46056</v>
      </c>
      <c r="N5610" s="178"/>
      <c r="O5610" s="178"/>
      <c r="P5610" s="178" t="str">
        <f ca="1">IF(Proc[[#This Row],[DaysAgeing]]&gt;5,"yep","on track")</f>
        <v>on track</v>
      </c>
      <c r="Q5610" s="3">
        <f ca="1">IF(Proc[[#This Row],[DateClosed]]="",ABS(NETWORKDAYS(Proc[[#This Row],[DateOpened]],TODAY()))-1,ABS(NETWORKDAYS(Proc[[#This Row],[DateOpened]],Proc[[#This Row],[DateClosed]]))-1)</f>
        <v>1</v>
      </c>
      <c r="R5610" s="178" t="s">
        <v>415</v>
      </c>
      <c r="S5610" s="150"/>
    </row>
    <row r="5611" spans="1:19" hidden="1">
      <c r="A5611" s="179" t="s">
        <v>7981</v>
      </c>
      <c r="B5611" s="150" t="str">
        <f>IFERROR(VLOOKUP(Proc[[#This Row],[App]],Table2[],3,0),"open")</f>
        <v>ok</v>
      </c>
      <c r="C5611" s="179" t="s">
        <v>377</v>
      </c>
      <c r="D5611" t="s">
        <v>7975</v>
      </c>
      <c r="E5611" t="s">
        <v>7985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50" t="s">
        <v>6434</v>
      </c>
      <c r="M5611" s="178">
        <v>46056</v>
      </c>
      <c r="N5611" s="178"/>
      <c r="O5611" s="178"/>
      <c r="P5611" s="178" t="str">
        <f ca="1">IF(Proc[[#This Row],[DaysAgeing]]&gt;5,"yep","on track")</f>
        <v>on track</v>
      </c>
      <c r="Q5611" s="3">
        <f ca="1">IF(Proc[[#This Row],[DateClosed]]="",ABS(NETWORKDAYS(Proc[[#This Row],[DateOpened]],TODAY()))-1,ABS(NETWORKDAYS(Proc[[#This Row],[DateOpened]],Proc[[#This Row],[DateClosed]]))-1)</f>
        <v>1</v>
      </c>
      <c r="R5611" s="178" t="s">
        <v>415</v>
      </c>
      <c r="S5611" s="150"/>
    </row>
    <row r="5612" spans="1:19" hidden="1">
      <c r="A5612" s="179" t="s">
        <v>7981</v>
      </c>
      <c r="B5612" s="150" t="str">
        <f>IFERROR(VLOOKUP(Proc[[#This Row],[App]],Table2[],3,0),"open")</f>
        <v>ok</v>
      </c>
      <c r="C5612" s="179" t="s">
        <v>377</v>
      </c>
      <c r="D5612" t="s">
        <v>7976</v>
      </c>
      <c r="E5612" t="s">
        <v>7985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50" t="s">
        <v>6434</v>
      </c>
      <c r="M5612" s="178">
        <v>46056</v>
      </c>
      <c r="N5612" s="178"/>
      <c r="O5612" s="178"/>
      <c r="P5612" s="178" t="str">
        <f ca="1">IF(Proc[[#This Row],[DaysAgeing]]&gt;5,"yep","on track")</f>
        <v>on track</v>
      </c>
      <c r="Q5612" s="3">
        <f ca="1">IF(Proc[[#This Row],[DateClosed]]="",ABS(NETWORKDAYS(Proc[[#This Row],[DateOpened]],TODAY()))-1,ABS(NETWORKDAYS(Proc[[#This Row],[DateOpened]],Proc[[#This Row],[DateClosed]]))-1)</f>
        <v>1</v>
      </c>
      <c r="R5612" s="178" t="s">
        <v>415</v>
      </c>
      <c r="S5612" s="150"/>
    </row>
    <row r="5613" spans="1:19" hidden="1">
      <c r="A5613" s="179" t="s">
        <v>7981</v>
      </c>
      <c r="B5613" s="150" t="str">
        <f>IFERROR(VLOOKUP(Proc[[#This Row],[App]],Table2[],3,0),"open")</f>
        <v>ok</v>
      </c>
      <c r="C5613" s="179" t="s">
        <v>377</v>
      </c>
      <c r="D5613" t="s">
        <v>7977</v>
      </c>
      <c r="E5613" t="s">
        <v>7985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50" t="s">
        <v>6434</v>
      </c>
      <c r="M5613" s="178">
        <v>46056</v>
      </c>
      <c r="N5613" s="178"/>
      <c r="O5613" s="178"/>
      <c r="P5613" s="178" t="str">
        <f ca="1">IF(Proc[[#This Row],[DaysAgeing]]&gt;5,"yep","on track")</f>
        <v>on track</v>
      </c>
      <c r="Q5613" s="3">
        <f ca="1">IF(Proc[[#This Row],[DateClosed]]="",ABS(NETWORKDAYS(Proc[[#This Row],[DateOpened]],TODAY()))-1,ABS(NETWORKDAYS(Proc[[#This Row],[DateOpened]],Proc[[#This Row],[DateClosed]]))-1)</f>
        <v>1</v>
      </c>
      <c r="R5613" s="178" t="s">
        <v>415</v>
      </c>
      <c r="S5613" s="150"/>
    </row>
    <row r="5614" spans="1:19" hidden="1">
      <c r="A5614" s="179" t="s">
        <v>7981</v>
      </c>
      <c r="B5614" s="150" t="str">
        <f>IFERROR(VLOOKUP(Proc[[#This Row],[App]],Table2[],3,0),"open")</f>
        <v>ok</v>
      </c>
      <c r="C5614" s="179" t="s">
        <v>377</v>
      </c>
      <c r="D5614" t="s">
        <v>7978</v>
      </c>
      <c r="E5614" t="s">
        <v>7985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50" t="s">
        <v>6434</v>
      </c>
      <c r="M5614" s="178">
        <v>46056</v>
      </c>
      <c r="N5614" s="178"/>
      <c r="O5614" s="178"/>
      <c r="P5614" s="178" t="str">
        <f ca="1">IF(Proc[[#This Row],[DaysAgeing]]&gt;5,"yep","on track")</f>
        <v>on track</v>
      </c>
      <c r="Q5614" s="3">
        <f ca="1">IF(Proc[[#This Row],[DateClosed]]="",ABS(NETWORKDAYS(Proc[[#This Row],[DateOpened]],TODAY()))-1,ABS(NETWORKDAYS(Proc[[#This Row],[DateOpened]],Proc[[#This Row],[DateClosed]]))-1)</f>
        <v>1</v>
      </c>
      <c r="R5614" s="178" t="s">
        <v>415</v>
      </c>
      <c r="S5614" s="150"/>
    </row>
    <row r="5615" spans="1:19" hidden="1">
      <c r="A5615" s="179" t="s">
        <v>7981</v>
      </c>
      <c r="B5615" s="150" t="str">
        <f>IFERROR(VLOOKUP(Proc[[#This Row],[App]],Table2[],3,0),"open")</f>
        <v>ok</v>
      </c>
      <c r="C5615" s="179" t="s">
        <v>377</v>
      </c>
      <c r="D5615" t="s">
        <v>7979</v>
      </c>
      <c r="E5615" t="s">
        <v>7985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50" t="s">
        <v>6434</v>
      </c>
      <c r="M5615" s="178">
        <v>46056</v>
      </c>
      <c r="N5615" s="178"/>
      <c r="O5615" s="178"/>
      <c r="P5615" s="178" t="str">
        <f ca="1">IF(Proc[[#This Row],[DaysAgeing]]&gt;5,"yep","on track")</f>
        <v>on track</v>
      </c>
      <c r="Q5615" s="3">
        <f ca="1">IF(Proc[[#This Row],[DateClosed]]="",ABS(NETWORKDAYS(Proc[[#This Row],[DateOpened]],TODAY()))-1,ABS(NETWORKDAYS(Proc[[#This Row],[DateOpened]],Proc[[#This Row],[DateClosed]]))-1)</f>
        <v>1</v>
      </c>
      <c r="R5615" s="178" t="s">
        <v>415</v>
      </c>
      <c r="S5615" s="150"/>
    </row>
    <row r="5616" spans="1:19" hidden="1">
      <c r="A5616" s="179" t="s">
        <v>7981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7986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50" t="s">
        <v>6434</v>
      </c>
      <c r="M5616" s="178">
        <v>46056</v>
      </c>
      <c r="N5616" s="178"/>
      <c r="O5616" s="178"/>
      <c r="P5616" s="178" t="str">
        <f ca="1">IF(Proc[[#This Row],[DaysAgeing]]&gt;5,"yep","on track")</f>
        <v>on track</v>
      </c>
      <c r="Q5616" s="3">
        <f ca="1">IF(Proc[[#This Row],[DateClosed]]="",ABS(NETWORKDAYS(Proc[[#This Row],[DateOpened]],TODAY()))-1,ABS(NETWORKDAYS(Proc[[#This Row],[DateOpened]],Proc[[#This Row],[DateClosed]]))-1)</f>
        <v>1</v>
      </c>
      <c r="R5616" s="178" t="s">
        <v>415</v>
      </c>
      <c r="S5616" s="150"/>
    </row>
    <row r="5617" spans="1:19" hidden="1">
      <c r="A5617" s="179" t="s">
        <v>7981</v>
      </c>
      <c r="B5617" s="150" t="str">
        <f>IFERROR(VLOOKUP(Proc[[#This Row],[App]],Table2[],3,0),"open")</f>
        <v>ok</v>
      </c>
      <c r="C5617" s="179" t="s">
        <v>377</v>
      </c>
      <c r="D5617" t="s">
        <v>7980</v>
      </c>
      <c r="E5617" t="s">
        <v>7987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50" t="s">
        <v>6434</v>
      </c>
      <c r="M5617" s="178">
        <v>46056</v>
      </c>
      <c r="N5617" s="178"/>
      <c r="O5617" s="178"/>
      <c r="P5617" s="178" t="str">
        <f ca="1">IF(Proc[[#This Row],[DaysAgeing]]&gt;5,"yep","on track")</f>
        <v>on track</v>
      </c>
      <c r="Q5617" s="3">
        <f ca="1">IF(Proc[[#This Row],[DateClosed]]="",ABS(NETWORKDAYS(Proc[[#This Row],[DateOpened]],TODAY()))-1,ABS(NETWORKDAYS(Proc[[#This Row],[DateOpened]],Proc[[#This Row],[DateClosed]]))-1)</f>
        <v>1</v>
      </c>
      <c r="R5617" s="178" t="s">
        <v>415</v>
      </c>
      <c r="S5617" s="150"/>
    </row>
    <row r="5618" spans="1:19" hidden="1">
      <c r="A5618" s="179" t="s">
        <v>7981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7988</v>
      </c>
      <c r="F5618" s="181" t="str">
        <f>VLOOKUP(Proc[[#This Row],[Obj]],Sheet1!A:B,2,0)</f>
        <v>H000004863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50" t="s">
        <v>6434</v>
      </c>
      <c r="M5618" s="178">
        <v>46056</v>
      </c>
      <c r="N5618" s="178"/>
      <c r="O5618" s="178"/>
      <c r="P5618" s="178" t="str">
        <f ca="1">IF(Proc[[#This Row],[DaysAgeing]]&gt;5,"yep","on track")</f>
        <v>on track</v>
      </c>
      <c r="Q5618" s="3">
        <f ca="1">IF(Proc[[#This Row],[DateClosed]]="",ABS(NETWORKDAYS(Proc[[#This Row],[DateOpened]],TODAY()))-1,ABS(NETWORKDAYS(Proc[[#This Row],[DateOpened]],Proc[[#This Row],[DateClosed]]))-1)</f>
        <v>1</v>
      </c>
      <c r="R5618" s="178" t="s">
        <v>415</v>
      </c>
      <c r="S5618" s="150"/>
    </row>
    <row r="5619" spans="1:19" hidden="1">
      <c r="A5619" s="179" t="s">
        <v>7981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7988</v>
      </c>
      <c r="F5619" s="181" t="str">
        <f>VLOOKUP(Proc[[#This Row],[Obj]],Sheet1!A:B,2,0)</f>
        <v>H000004863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50" t="s">
        <v>6434</v>
      </c>
      <c r="M5619" s="178">
        <v>46056</v>
      </c>
      <c r="N5619" s="178"/>
      <c r="O5619" s="178"/>
      <c r="P5619" s="178" t="str">
        <f ca="1">IF(Proc[[#This Row],[DaysAgeing]]&gt;5,"yep","on track")</f>
        <v>on track</v>
      </c>
      <c r="Q5619" s="3">
        <f ca="1">IF(Proc[[#This Row],[DateClosed]]="",ABS(NETWORKDAYS(Proc[[#This Row],[DateOpened]],TODAY()))-1,ABS(NETWORKDAYS(Proc[[#This Row],[DateOpened]],Proc[[#This Row],[DateClosed]]))-1)</f>
        <v>1</v>
      </c>
      <c r="R5619" s="178" t="s">
        <v>415</v>
      </c>
      <c r="S5619" s="150"/>
    </row>
    <row r="5620" spans="1:19" hidden="1">
      <c r="A5620" s="179" t="s">
        <v>7981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7988</v>
      </c>
      <c r="F5620" s="181" t="str">
        <f>VLOOKUP(Proc[[#This Row],[Obj]],Sheet1!A:B,2,0)</f>
        <v>H000004863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50" t="s">
        <v>6434</v>
      </c>
      <c r="M5620" s="178">
        <v>46056</v>
      </c>
      <c r="N5620" s="178"/>
      <c r="O5620" s="178"/>
      <c r="P5620" s="178" t="str">
        <f ca="1">IF(Proc[[#This Row],[DaysAgeing]]&gt;5,"yep","on track")</f>
        <v>on track</v>
      </c>
      <c r="Q5620" s="3">
        <f ca="1">IF(Proc[[#This Row],[DateClosed]]="",ABS(NETWORKDAYS(Proc[[#This Row],[DateOpened]],TODAY()))-1,ABS(NETWORKDAYS(Proc[[#This Row],[DateOpened]],Proc[[#This Row],[DateClosed]]))-1)</f>
        <v>1</v>
      </c>
      <c r="R5620" s="178" t="s">
        <v>415</v>
      </c>
      <c r="S5620" s="150"/>
    </row>
    <row r="5621" spans="1:19" hidden="1">
      <c r="A5621" s="179" t="s">
        <v>7981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7988</v>
      </c>
      <c r="F5621" s="181" t="str">
        <f>VLOOKUP(Proc[[#This Row],[Obj]],Sheet1!A:B,2,0)</f>
        <v>H000004863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50" t="s">
        <v>6434</v>
      </c>
      <c r="M5621" s="178">
        <v>46056</v>
      </c>
      <c r="N5621" s="178"/>
      <c r="O5621" s="178"/>
      <c r="P5621" s="178" t="str">
        <f ca="1">IF(Proc[[#This Row],[DaysAgeing]]&gt;5,"yep","on track")</f>
        <v>on track</v>
      </c>
      <c r="Q5621" s="3">
        <f ca="1">IF(Proc[[#This Row],[DateClosed]]="",ABS(NETWORKDAYS(Proc[[#This Row],[DateOpened]],TODAY()))-1,ABS(NETWORKDAYS(Proc[[#This Row],[DateOpened]],Proc[[#This Row],[DateClosed]]))-1)</f>
        <v>1</v>
      </c>
      <c r="R5621" s="178" t="s">
        <v>415</v>
      </c>
      <c r="S5621" s="150"/>
    </row>
    <row r="5622" spans="1:19" hidden="1">
      <c r="A5622" s="179" t="s">
        <v>7981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7988</v>
      </c>
      <c r="F5622" s="181" t="str">
        <f>VLOOKUP(Proc[[#This Row],[Obj]],Sheet1!A:B,2,0)</f>
        <v>H000004863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50" t="s">
        <v>6434</v>
      </c>
      <c r="M5622" s="178">
        <v>46056</v>
      </c>
      <c r="N5622" s="178"/>
      <c r="O5622" s="178"/>
      <c r="P5622" s="178" t="str">
        <f ca="1">IF(Proc[[#This Row],[DaysAgeing]]&gt;5,"yep","on track")</f>
        <v>on track</v>
      </c>
      <c r="Q5622" s="3">
        <f ca="1">IF(Proc[[#This Row],[DateClosed]]="",ABS(NETWORKDAYS(Proc[[#This Row],[DateOpened]],TODAY()))-1,ABS(NETWORKDAYS(Proc[[#This Row],[DateOpened]],Proc[[#This Row],[DateClosed]]))-1)</f>
        <v>1</v>
      </c>
      <c r="R5622" s="178" t="s">
        <v>415</v>
      </c>
      <c r="S5622" s="150"/>
    </row>
    <row r="5623" spans="1:19" hidden="1">
      <c r="A5623" s="179" t="s">
        <v>7981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7989</v>
      </c>
      <c r="F5623" s="181" t="str">
        <f>VLOOKUP(Proc[[#This Row],[Obj]],Sheet1!A:B,2,0)</f>
        <v>H000004864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50" t="s">
        <v>6434</v>
      </c>
      <c r="M5623" s="178">
        <v>46056</v>
      </c>
      <c r="N5623" s="178"/>
      <c r="O5623" s="178"/>
      <c r="P5623" s="178" t="str">
        <f ca="1">IF(Proc[[#This Row],[DaysAgeing]]&gt;5,"yep","on track")</f>
        <v>on track</v>
      </c>
      <c r="Q5623" s="3">
        <f ca="1">IF(Proc[[#This Row],[DateClosed]]="",ABS(NETWORKDAYS(Proc[[#This Row],[DateOpened]],TODAY()))-1,ABS(NETWORKDAYS(Proc[[#This Row],[DateOpened]],Proc[[#This Row],[DateClosed]]))-1)</f>
        <v>1</v>
      </c>
      <c r="R5623" s="178" t="s">
        <v>415</v>
      </c>
      <c r="S5623" s="150"/>
    </row>
    <row r="5624" spans="1:19" hidden="1">
      <c r="A5624" s="179" t="s">
        <v>7981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7989</v>
      </c>
      <c r="F5624" s="181" t="str">
        <f>VLOOKUP(Proc[[#This Row],[Obj]],Sheet1!A:B,2,0)</f>
        <v>H000004864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50" t="s">
        <v>6434</v>
      </c>
      <c r="M5624" s="178">
        <v>46056</v>
      </c>
      <c r="N5624" s="178"/>
      <c r="O5624" s="178"/>
      <c r="P5624" s="178" t="str">
        <f ca="1">IF(Proc[[#This Row],[DaysAgeing]]&gt;5,"yep","on track")</f>
        <v>on track</v>
      </c>
      <c r="Q5624" s="3">
        <f ca="1">IF(Proc[[#This Row],[DateClosed]]="",ABS(NETWORKDAYS(Proc[[#This Row],[DateOpened]],TODAY()))-1,ABS(NETWORKDAYS(Proc[[#This Row],[DateOpened]],Proc[[#This Row],[DateClosed]]))-1)</f>
        <v>1</v>
      </c>
      <c r="R5624" s="178" t="s">
        <v>415</v>
      </c>
      <c r="S5624" s="150"/>
    </row>
    <row r="5625" spans="1:19" hidden="1">
      <c r="A5625" s="179" t="s">
        <v>7981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7989</v>
      </c>
      <c r="F5625" s="181" t="str">
        <f>VLOOKUP(Proc[[#This Row],[Obj]],Sheet1!A:B,2,0)</f>
        <v>H000004864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50" t="s">
        <v>6434</v>
      </c>
      <c r="M5625" s="178">
        <v>46056</v>
      </c>
      <c r="N5625" s="178"/>
      <c r="O5625" s="178"/>
      <c r="P5625" s="178" t="str">
        <f ca="1">IF(Proc[[#This Row],[DaysAgeing]]&gt;5,"yep","on track")</f>
        <v>on track</v>
      </c>
      <c r="Q5625" s="3">
        <f ca="1">IF(Proc[[#This Row],[DateClosed]]="",ABS(NETWORKDAYS(Proc[[#This Row],[DateOpened]],TODAY()))-1,ABS(NETWORKDAYS(Proc[[#This Row],[DateOpened]],Proc[[#This Row],[DateClosed]]))-1)</f>
        <v>1</v>
      </c>
      <c r="R5625" s="178" t="s">
        <v>415</v>
      </c>
      <c r="S5625" s="150"/>
    </row>
    <row r="5626" spans="1:19" hidden="1">
      <c r="A5626" s="179" t="s">
        <v>7981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7989</v>
      </c>
      <c r="F5626" s="181" t="str">
        <f>VLOOKUP(Proc[[#This Row],[Obj]],Sheet1!A:B,2,0)</f>
        <v>H000004864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50" t="s">
        <v>6434</v>
      </c>
      <c r="M5626" s="178">
        <v>46056</v>
      </c>
      <c r="N5626" s="178"/>
      <c r="O5626" s="178"/>
      <c r="P5626" s="178" t="str">
        <f ca="1">IF(Proc[[#This Row],[DaysAgeing]]&gt;5,"yep","on track")</f>
        <v>on track</v>
      </c>
      <c r="Q5626" s="3">
        <f ca="1">IF(Proc[[#This Row],[DateClosed]]="",ABS(NETWORKDAYS(Proc[[#This Row],[DateOpened]],TODAY()))-1,ABS(NETWORKDAYS(Proc[[#This Row],[DateOpened]],Proc[[#This Row],[DateClosed]]))-1)</f>
        <v>1</v>
      </c>
      <c r="R5626" s="178" t="s">
        <v>415</v>
      </c>
      <c r="S5626" s="150"/>
    </row>
    <row r="5627" spans="1:19" hidden="1">
      <c r="A5627" s="179" t="s">
        <v>7981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7989</v>
      </c>
      <c r="F5627" s="181" t="str">
        <f>VLOOKUP(Proc[[#This Row],[Obj]],Sheet1!A:B,2,0)</f>
        <v>H000004864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50" t="s">
        <v>6434</v>
      </c>
      <c r="M5627" s="178">
        <v>46056</v>
      </c>
      <c r="N5627" s="178"/>
      <c r="O5627" s="178"/>
      <c r="P5627" s="178" t="str">
        <f ca="1">IF(Proc[[#This Row],[DaysAgeing]]&gt;5,"yep","on track")</f>
        <v>on track</v>
      </c>
      <c r="Q5627" s="3">
        <f ca="1">IF(Proc[[#This Row],[DateClosed]]="",ABS(NETWORKDAYS(Proc[[#This Row],[DateOpened]],TODAY()))-1,ABS(NETWORKDAYS(Proc[[#This Row],[DateOpened]],Proc[[#This Row],[DateClosed]]))-1)</f>
        <v>1</v>
      </c>
      <c r="R5627" s="178" t="s">
        <v>415</v>
      </c>
      <c r="S5627" s="150"/>
    </row>
    <row r="5628" spans="1:19" hidden="1">
      <c r="A5628" s="179" t="s">
        <v>7981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7990</v>
      </c>
      <c r="F5628" s="181" t="str">
        <f>VLOOKUP(Proc[[#This Row],[Obj]],Sheet1!A:B,2,0)</f>
        <v>H000004865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50" t="s">
        <v>6434</v>
      </c>
      <c r="M5628" s="178">
        <v>46056</v>
      </c>
      <c r="N5628" s="178"/>
      <c r="O5628" s="178"/>
      <c r="P5628" s="178" t="str">
        <f ca="1">IF(Proc[[#This Row],[DaysAgeing]]&gt;5,"yep","on track")</f>
        <v>on track</v>
      </c>
      <c r="Q5628" s="3">
        <f ca="1">IF(Proc[[#This Row],[DateClosed]]="",ABS(NETWORKDAYS(Proc[[#This Row],[DateOpened]],TODAY()))-1,ABS(NETWORKDAYS(Proc[[#This Row],[DateOpened]],Proc[[#This Row],[DateClosed]]))-1)</f>
        <v>1</v>
      </c>
      <c r="R5628" s="178" t="s">
        <v>415</v>
      </c>
      <c r="S5628" s="150"/>
    </row>
    <row r="5629" spans="1:19" hidden="1">
      <c r="A5629" s="179" t="s">
        <v>7981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7990</v>
      </c>
      <c r="F5629" s="181" t="str">
        <f>VLOOKUP(Proc[[#This Row],[Obj]],Sheet1!A:B,2,0)</f>
        <v>H000004865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50" t="s">
        <v>6434</v>
      </c>
      <c r="M5629" s="178">
        <v>46056</v>
      </c>
      <c r="N5629" s="178"/>
      <c r="O5629" s="178"/>
      <c r="P5629" s="178" t="str">
        <f ca="1">IF(Proc[[#This Row],[DaysAgeing]]&gt;5,"yep","on track")</f>
        <v>on track</v>
      </c>
      <c r="Q5629" s="3">
        <f ca="1">IF(Proc[[#This Row],[DateClosed]]="",ABS(NETWORKDAYS(Proc[[#This Row],[DateOpened]],TODAY()))-1,ABS(NETWORKDAYS(Proc[[#This Row],[DateOpened]],Proc[[#This Row],[DateClosed]]))-1)</f>
        <v>1</v>
      </c>
      <c r="R5629" s="178" t="s">
        <v>415</v>
      </c>
      <c r="S5629" s="150"/>
    </row>
    <row r="5630" spans="1:19" hidden="1">
      <c r="A5630" s="179" t="s">
        <v>7981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7990</v>
      </c>
      <c r="F5630" s="181" t="str">
        <f>VLOOKUP(Proc[[#This Row],[Obj]],Sheet1!A:B,2,0)</f>
        <v>H000004865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50" t="s">
        <v>6434</v>
      </c>
      <c r="M5630" s="178">
        <v>46056</v>
      </c>
      <c r="N5630" s="178"/>
      <c r="O5630" s="178"/>
      <c r="P5630" s="178" t="str">
        <f ca="1">IF(Proc[[#This Row],[DaysAgeing]]&gt;5,"yep","on track")</f>
        <v>on track</v>
      </c>
      <c r="Q5630" s="3">
        <f ca="1">IF(Proc[[#This Row],[DateClosed]]="",ABS(NETWORKDAYS(Proc[[#This Row],[DateOpened]],TODAY()))-1,ABS(NETWORKDAYS(Proc[[#This Row],[DateOpened]],Proc[[#This Row],[DateClosed]]))-1)</f>
        <v>1</v>
      </c>
      <c r="R5630" s="178" t="s">
        <v>415</v>
      </c>
      <c r="S5630" s="150"/>
    </row>
    <row r="5631" spans="1:19" hidden="1">
      <c r="A5631" s="179" t="s">
        <v>7981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7990</v>
      </c>
      <c r="F5631" s="181" t="str">
        <f>VLOOKUP(Proc[[#This Row],[Obj]],Sheet1!A:B,2,0)</f>
        <v>H000004865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50" t="s">
        <v>6434</v>
      </c>
      <c r="M5631" s="178">
        <v>46056</v>
      </c>
      <c r="N5631" s="178"/>
      <c r="O5631" s="178"/>
      <c r="P5631" s="178" t="str">
        <f ca="1">IF(Proc[[#This Row],[DaysAgeing]]&gt;5,"yep","on track")</f>
        <v>on track</v>
      </c>
      <c r="Q5631" s="3">
        <f ca="1">IF(Proc[[#This Row],[DateClosed]]="",ABS(NETWORKDAYS(Proc[[#This Row],[DateOpened]],TODAY()))-1,ABS(NETWORKDAYS(Proc[[#This Row],[DateOpened]],Proc[[#This Row],[DateClosed]]))-1)</f>
        <v>1</v>
      </c>
      <c r="R5631" s="178" t="s">
        <v>415</v>
      </c>
      <c r="S5631" s="150"/>
    </row>
    <row r="5632" spans="1:19" hidden="1">
      <c r="A5632" s="179" t="s">
        <v>7981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7990</v>
      </c>
      <c r="F5632" s="181" t="str">
        <f>VLOOKUP(Proc[[#This Row],[Obj]],Sheet1!A:B,2,0)</f>
        <v>H000004865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50" t="s">
        <v>6434</v>
      </c>
      <c r="M5632" s="178">
        <v>46056</v>
      </c>
      <c r="N5632" s="178"/>
      <c r="O5632" s="178"/>
      <c r="P5632" s="178" t="str">
        <f ca="1">IF(Proc[[#This Row],[DaysAgeing]]&gt;5,"yep","on track")</f>
        <v>on track</v>
      </c>
      <c r="Q5632" s="3">
        <f ca="1">IF(Proc[[#This Row],[DateClosed]]="",ABS(NETWORKDAYS(Proc[[#This Row],[DateOpened]],TODAY()))-1,ABS(NETWORKDAYS(Proc[[#This Row],[DateOpened]],Proc[[#This Row],[DateClosed]]))-1)</f>
        <v>1</v>
      </c>
      <c r="R5632" s="178" t="s">
        <v>415</v>
      </c>
      <c r="S5632" s="150"/>
    </row>
    <row r="5633" spans="1:19" hidden="1">
      <c r="A5633" t="s">
        <v>7982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7991</v>
      </c>
      <c r="F5633" s="181" t="str">
        <f>VLOOKUP(Proc[[#This Row],[Obj]],Sheet1!A:B,2,0)</f>
        <v>H000002292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50" t="s">
        <v>6434</v>
      </c>
      <c r="M5633" s="178">
        <v>46056</v>
      </c>
      <c r="N5633" s="178"/>
      <c r="O5633" s="178"/>
      <c r="P5633" s="178" t="str">
        <f ca="1">IF(Proc[[#This Row],[DaysAgeing]]&gt;5,"yep","on track")</f>
        <v>on track</v>
      </c>
      <c r="Q5633" s="3">
        <f ca="1">IF(Proc[[#This Row],[DateClosed]]="",ABS(NETWORKDAYS(Proc[[#This Row],[DateOpened]],TODAY()))-1,ABS(NETWORKDAYS(Proc[[#This Row],[DateOpened]],Proc[[#This Row],[DateClosed]]))-1)</f>
        <v>1</v>
      </c>
      <c r="R5633" s="178" t="s">
        <v>4415</v>
      </c>
      <c r="S5633" s="150"/>
    </row>
    <row r="5634" spans="1:19" hidden="1">
      <c r="A5634" t="s">
        <v>7995</v>
      </c>
      <c r="B5634" s="150" t="str">
        <f>IFERROR(VLOOKUP(Proc[[#This Row],[App]],Table2[],3,0),"open")</f>
        <v>open</v>
      </c>
      <c r="C5634" t="s">
        <v>375</v>
      </c>
      <c r="D5634" t="s">
        <v>7993</v>
      </c>
      <c r="E5634" s="180" t="s">
        <v>7994</v>
      </c>
      <c r="F5634" s="181" t="str">
        <f>VLOOKUP(Proc[[#This Row],[Obj]],Sheet1!A:B,2,0)</f>
        <v>H000000714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0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1" t="s">
        <v>6434</v>
      </c>
      <c r="M5634" s="178">
        <v>46056</v>
      </c>
      <c r="N5634" s="178"/>
      <c r="O5634" s="178"/>
      <c r="P5634" s="178" t="str">
        <f ca="1">IF(Proc[[#This Row],[DaysAgeing]]&gt;5,"yep","on track")</f>
        <v>on track</v>
      </c>
      <c r="Q5634" s="3">
        <f ca="1">IF(Proc[[#This Row],[DateClosed]]="",ABS(NETWORKDAYS(Proc[[#This Row],[DateOpened]],TODAY()))-1,ABS(NETWORKDAYS(Proc[[#This Row],[DateOpened]],Proc[[#This Row],[DateClosed]]))-1)</f>
        <v>1</v>
      </c>
      <c r="R5634" s="178" t="s">
        <v>415</v>
      </c>
      <c r="S5634" s="150"/>
    </row>
    <row r="5635" spans="1:19" hidden="1">
      <c r="A5635" t="s">
        <v>8005</v>
      </c>
      <c r="B5635" s="181" t="str">
        <f>IFERROR(VLOOKUP(Proc[[#This Row],[App]],Table2[],3,0),"open")</f>
        <v>open</v>
      </c>
      <c r="C5635" t="s">
        <v>370</v>
      </c>
      <c r="D5635" t="s">
        <v>8006</v>
      </c>
      <c r="E5635" t="s">
        <v>4828</v>
      </c>
      <c r="F5635" s="181"/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0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1" t="s">
        <v>6434</v>
      </c>
      <c r="M5635" s="178">
        <v>46056</v>
      </c>
      <c r="N5635" s="178"/>
      <c r="O5635" s="178"/>
      <c r="P5635" s="178" t="str">
        <f ca="1">IF(Proc[[#This Row],[DaysAgeing]]&gt;5,"yep","on track")</f>
        <v>on track</v>
      </c>
      <c r="Q5635" s="3">
        <f ca="1">IF(Proc[[#This Row],[DateClosed]]="",ABS(NETWORKDAYS(Proc[[#This Row],[DateOpened]],TODAY()))-1,ABS(NETWORKDAYS(Proc[[#This Row],[DateOpened]],Proc[[#This Row],[DateClosed]]))-1)</f>
        <v>1</v>
      </c>
      <c r="R5635" s="178" t="s">
        <v>3639</v>
      </c>
      <c r="S5635" s="181"/>
    </row>
    <row r="5636" spans="1:19" hidden="1">
      <c r="A5636" s="180" t="s">
        <v>8005</v>
      </c>
      <c r="B5636" s="181" t="str">
        <f>IFERROR(VLOOKUP(Proc[[#This Row],[App]],Table2[],3,0),"open")</f>
        <v>open</v>
      </c>
      <c r="C5636" s="180" t="s">
        <v>370</v>
      </c>
      <c r="D5636" t="s">
        <v>8007</v>
      </c>
      <c r="E5636" t="s">
        <v>4828</v>
      </c>
      <c r="F5636" s="181"/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0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1" t="s">
        <v>6434</v>
      </c>
      <c r="M5636" s="178">
        <v>46056</v>
      </c>
      <c r="N5636" s="178"/>
      <c r="O5636" s="178"/>
      <c r="P5636" s="178" t="str">
        <f ca="1">IF(Proc[[#This Row],[DaysAgeing]]&gt;5,"yep","on track")</f>
        <v>on track</v>
      </c>
      <c r="Q5636" s="3">
        <f ca="1">IF(Proc[[#This Row],[DateClosed]]="",ABS(NETWORKDAYS(Proc[[#This Row],[DateOpened]],TODAY()))-1,ABS(NETWORKDAYS(Proc[[#This Row],[DateOpened]],Proc[[#This Row],[DateClosed]]))-1)</f>
        <v>1</v>
      </c>
      <c r="R5636" s="178" t="s">
        <v>3639</v>
      </c>
      <c r="S5636" s="181"/>
    </row>
    <row r="5637" spans="1:19" hidden="1">
      <c r="A5637" s="180" t="s">
        <v>8005</v>
      </c>
      <c r="B5637" s="181" t="str">
        <f>IFERROR(VLOOKUP(Proc[[#This Row],[App]],Table2[],3,0),"open")</f>
        <v>open</v>
      </c>
      <c r="C5637" s="180" t="s">
        <v>370</v>
      </c>
      <c r="D5637" t="s">
        <v>8008</v>
      </c>
      <c r="E5637" t="s">
        <v>4828</v>
      </c>
      <c r="F5637" s="181"/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0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1" t="s">
        <v>6434</v>
      </c>
      <c r="M5637" s="178">
        <v>46056</v>
      </c>
      <c r="N5637" s="178"/>
      <c r="O5637" s="178"/>
      <c r="P5637" s="178" t="str">
        <f ca="1">IF(Proc[[#This Row],[DaysAgeing]]&gt;5,"yep","on track")</f>
        <v>on track</v>
      </c>
      <c r="Q5637" s="3">
        <f ca="1">IF(Proc[[#This Row],[DateClosed]]="",ABS(NETWORKDAYS(Proc[[#This Row],[DateOpened]],TODAY()))-1,ABS(NETWORKDAYS(Proc[[#This Row],[DateOpened]],Proc[[#This Row],[DateClosed]]))-1)</f>
        <v>1</v>
      </c>
      <c r="R5637" s="178" t="s">
        <v>3639</v>
      </c>
      <c r="S5637" s="181"/>
    </row>
    <row r="5638" spans="1:19" hidden="1">
      <c r="A5638" s="180" t="s">
        <v>8005</v>
      </c>
      <c r="B5638" s="181" t="str">
        <f>IFERROR(VLOOKUP(Proc[[#This Row],[App]],Table2[],3,0),"open")</f>
        <v>open</v>
      </c>
      <c r="C5638" s="180" t="s">
        <v>370</v>
      </c>
      <c r="D5638" t="s">
        <v>8009</v>
      </c>
      <c r="E5638" t="s">
        <v>4828</v>
      </c>
      <c r="F5638" s="181"/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0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1" t="s">
        <v>6434</v>
      </c>
      <c r="M5638" s="178">
        <v>46056</v>
      </c>
      <c r="N5638" s="178"/>
      <c r="O5638" s="178"/>
      <c r="P5638" s="178" t="str">
        <f ca="1">IF(Proc[[#This Row],[DaysAgeing]]&gt;5,"yep","on track")</f>
        <v>on track</v>
      </c>
      <c r="Q5638" s="3">
        <f ca="1">IF(Proc[[#This Row],[DateClosed]]="",ABS(NETWORKDAYS(Proc[[#This Row],[DateOpened]],TODAY()))-1,ABS(NETWORKDAYS(Proc[[#This Row],[DateOpened]],Proc[[#This Row],[DateClosed]]))-1)</f>
        <v>1</v>
      </c>
      <c r="R5638" s="178" t="s">
        <v>3639</v>
      </c>
      <c r="S5638" s="181"/>
    </row>
    <row r="5639" spans="1:19" hidden="1">
      <c r="A5639" s="180" t="s">
        <v>8005</v>
      </c>
      <c r="B5639" s="181" t="str">
        <f>IFERROR(VLOOKUP(Proc[[#This Row],[App]],Table2[],3,0),"open")</f>
        <v>open</v>
      </c>
      <c r="C5639" s="180" t="s">
        <v>370</v>
      </c>
      <c r="D5639" t="s">
        <v>8010</v>
      </c>
      <c r="E5639" t="s">
        <v>4828</v>
      </c>
      <c r="F5639" s="181"/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0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1" t="s">
        <v>6434</v>
      </c>
      <c r="M5639" s="178">
        <v>46056</v>
      </c>
      <c r="N5639" s="178"/>
      <c r="O5639" s="178"/>
      <c r="P5639" s="178" t="str">
        <f ca="1">IF(Proc[[#This Row],[DaysAgeing]]&gt;5,"yep","on track")</f>
        <v>on track</v>
      </c>
      <c r="Q5639" s="3">
        <f ca="1">IF(Proc[[#This Row],[DateClosed]]="",ABS(NETWORKDAYS(Proc[[#This Row],[DateOpened]],TODAY()))-1,ABS(NETWORKDAYS(Proc[[#This Row],[DateOpened]],Proc[[#This Row],[DateClosed]]))-1)</f>
        <v>1</v>
      </c>
      <c r="R5639" s="178" t="s">
        <v>3639</v>
      </c>
      <c r="S5639" s="181"/>
    </row>
    <row r="5640" spans="1:19" hidden="1">
      <c r="A5640" s="180" t="s">
        <v>8005</v>
      </c>
      <c r="B5640" s="181" t="str">
        <f>IFERROR(VLOOKUP(Proc[[#This Row],[App]],Table2[],3,0),"open")</f>
        <v>open</v>
      </c>
      <c r="C5640" s="180" t="s">
        <v>370</v>
      </c>
      <c r="D5640" t="s">
        <v>8011</v>
      </c>
      <c r="E5640" t="s">
        <v>4828</v>
      </c>
      <c r="F5640" s="181"/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0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1" t="s">
        <v>6434</v>
      </c>
      <c r="M5640" s="178">
        <v>46056</v>
      </c>
      <c r="N5640" s="178"/>
      <c r="O5640" s="178"/>
      <c r="P5640" s="178" t="str">
        <f ca="1">IF(Proc[[#This Row],[DaysAgeing]]&gt;5,"yep","on track")</f>
        <v>on track</v>
      </c>
      <c r="Q5640" s="3">
        <f ca="1">IF(Proc[[#This Row],[DateClosed]]="",ABS(NETWORKDAYS(Proc[[#This Row],[DateOpened]],TODAY()))-1,ABS(NETWORKDAYS(Proc[[#This Row],[DateOpened]],Proc[[#This Row],[DateClosed]]))-1)</f>
        <v>1</v>
      </c>
      <c r="R5640" s="178" t="s">
        <v>3639</v>
      </c>
      <c r="S5640" s="181"/>
    </row>
    <row r="5641" spans="1:19" hidden="1">
      <c r="A5641" s="180" t="s">
        <v>8005</v>
      </c>
      <c r="B5641" s="181" t="str">
        <f>IFERROR(VLOOKUP(Proc[[#This Row],[App]],Table2[],3,0),"open")</f>
        <v>open</v>
      </c>
      <c r="C5641" s="180" t="s">
        <v>370</v>
      </c>
      <c r="D5641" t="s">
        <v>8012</v>
      </c>
      <c r="E5641" t="s">
        <v>4828</v>
      </c>
      <c r="F5641" s="181"/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0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1" t="s">
        <v>6434</v>
      </c>
      <c r="M5641" s="178">
        <v>46056</v>
      </c>
      <c r="N5641" s="178"/>
      <c r="O5641" s="178"/>
      <c r="P5641" s="178" t="str">
        <f ca="1">IF(Proc[[#This Row],[DaysAgeing]]&gt;5,"yep","on track")</f>
        <v>on track</v>
      </c>
      <c r="Q5641" s="3">
        <f ca="1">IF(Proc[[#This Row],[DateClosed]]="",ABS(NETWORKDAYS(Proc[[#This Row],[DateOpened]],TODAY()))-1,ABS(NETWORKDAYS(Proc[[#This Row],[DateOpened]],Proc[[#This Row],[DateClosed]]))-1)</f>
        <v>1</v>
      </c>
      <c r="R5641" s="178" t="s">
        <v>3639</v>
      </c>
      <c r="S5641" s="181"/>
    </row>
    <row r="5642" spans="1:19" hidden="1">
      <c r="A5642" s="180" t="s">
        <v>8005</v>
      </c>
      <c r="B5642" s="181" t="str">
        <f>IFERROR(VLOOKUP(Proc[[#This Row],[App]],Table2[],3,0),"open")</f>
        <v>open</v>
      </c>
      <c r="C5642" s="180" t="s">
        <v>370</v>
      </c>
      <c r="D5642" t="s">
        <v>8013</v>
      </c>
      <c r="E5642" t="s">
        <v>4828</v>
      </c>
      <c r="F5642" s="181"/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0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1" t="s">
        <v>6434</v>
      </c>
      <c r="M5642" s="178">
        <v>46056</v>
      </c>
      <c r="N5642" s="178"/>
      <c r="O5642" s="178"/>
      <c r="P5642" s="178" t="str">
        <f ca="1">IF(Proc[[#This Row],[DaysAgeing]]&gt;5,"yep","on track")</f>
        <v>on track</v>
      </c>
      <c r="Q5642" s="3">
        <f ca="1">IF(Proc[[#This Row],[DateClosed]]="",ABS(NETWORKDAYS(Proc[[#This Row],[DateOpened]],TODAY()))-1,ABS(NETWORKDAYS(Proc[[#This Row],[DateOpened]],Proc[[#This Row],[DateClosed]]))-1)</f>
        <v>1</v>
      </c>
      <c r="R5642" s="178" t="s">
        <v>3639</v>
      </c>
      <c r="S5642" s="181"/>
    </row>
    <row r="5643" spans="1:19" hidden="1">
      <c r="A5643" s="180" t="s">
        <v>8005</v>
      </c>
      <c r="B5643" s="181" t="str">
        <f>IFERROR(VLOOKUP(Proc[[#This Row],[App]],Table2[],3,0),"open")</f>
        <v>open</v>
      </c>
      <c r="C5643" s="180" t="s">
        <v>370</v>
      </c>
      <c r="D5643" t="s">
        <v>8014</v>
      </c>
      <c r="E5643" t="s">
        <v>4828</v>
      </c>
      <c r="F5643" s="181"/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0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1" t="s">
        <v>6434</v>
      </c>
      <c r="M5643" s="178">
        <v>46056</v>
      </c>
      <c r="N5643" s="178"/>
      <c r="O5643" s="178"/>
      <c r="P5643" s="178" t="str">
        <f ca="1">IF(Proc[[#This Row],[DaysAgeing]]&gt;5,"yep","on track")</f>
        <v>on track</v>
      </c>
      <c r="Q5643" s="3">
        <f ca="1">IF(Proc[[#This Row],[DateClosed]]="",ABS(NETWORKDAYS(Proc[[#This Row],[DateOpened]],TODAY()))-1,ABS(NETWORKDAYS(Proc[[#This Row],[DateOpened]],Proc[[#This Row],[DateClosed]]))-1)</f>
        <v>1</v>
      </c>
      <c r="R5643" s="178" t="s">
        <v>3639</v>
      </c>
      <c r="S5643" s="181"/>
    </row>
    <row r="5644" spans="1:19" hidden="1">
      <c r="A5644" s="180" t="s">
        <v>8005</v>
      </c>
      <c r="B5644" s="181" t="str">
        <f>IFERROR(VLOOKUP(Proc[[#This Row],[App]],Table2[],3,0),"open")</f>
        <v>open</v>
      </c>
      <c r="C5644" s="180" t="s">
        <v>370</v>
      </c>
      <c r="D5644" t="s">
        <v>8015</v>
      </c>
      <c r="E5644" t="s">
        <v>4828</v>
      </c>
      <c r="F5644" s="181"/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0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1" t="s">
        <v>6434</v>
      </c>
      <c r="M5644" s="178">
        <v>46056</v>
      </c>
      <c r="N5644" s="178"/>
      <c r="O5644" s="178"/>
      <c r="P5644" s="178" t="str">
        <f ca="1">IF(Proc[[#This Row],[DaysAgeing]]&gt;5,"yep","on track")</f>
        <v>on track</v>
      </c>
      <c r="Q5644" s="3">
        <f ca="1">IF(Proc[[#This Row],[DateClosed]]="",ABS(NETWORKDAYS(Proc[[#This Row],[DateOpened]],TODAY()))-1,ABS(NETWORKDAYS(Proc[[#This Row],[DateOpened]],Proc[[#This Row],[DateClosed]]))-1)</f>
        <v>1</v>
      </c>
      <c r="R5644" s="178" t="s">
        <v>3639</v>
      </c>
      <c r="S5644" s="181"/>
    </row>
    <row r="5645" spans="1:19" hidden="1">
      <c r="A5645" s="180" t="s">
        <v>8005</v>
      </c>
      <c r="B5645" s="181" t="str">
        <f>IFERROR(VLOOKUP(Proc[[#This Row],[App]],Table2[],3,0),"open")</f>
        <v>open</v>
      </c>
      <c r="C5645" s="180" t="s">
        <v>370</v>
      </c>
      <c r="D5645" t="s">
        <v>8016</v>
      </c>
      <c r="E5645" t="s">
        <v>4828</v>
      </c>
      <c r="F5645" s="181"/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0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1" t="s">
        <v>6434</v>
      </c>
      <c r="M5645" s="178">
        <v>46056</v>
      </c>
      <c r="N5645" s="178"/>
      <c r="O5645" s="178"/>
      <c r="P5645" s="178" t="str">
        <f ca="1">IF(Proc[[#This Row],[DaysAgeing]]&gt;5,"yep","on track")</f>
        <v>on track</v>
      </c>
      <c r="Q5645" s="3">
        <f ca="1">IF(Proc[[#This Row],[DateClosed]]="",ABS(NETWORKDAYS(Proc[[#This Row],[DateOpened]],TODAY()))-1,ABS(NETWORKDAYS(Proc[[#This Row],[DateOpened]],Proc[[#This Row],[DateClosed]]))-1)</f>
        <v>1</v>
      </c>
      <c r="R5645" s="178" t="s">
        <v>3639</v>
      </c>
      <c r="S5645" s="181"/>
    </row>
    <row r="5646" spans="1:19" hidden="1">
      <c r="A5646" s="180" t="s">
        <v>8005</v>
      </c>
      <c r="B5646" s="181" t="str">
        <f>IFERROR(VLOOKUP(Proc[[#This Row],[App]],Table2[],3,0),"open")</f>
        <v>open</v>
      </c>
      <c r="C5646" s="180" t="s">
        <v>370</v>
      </c>
      <c r="D5646" t="s">
        <v>8017</v>
      </c>
      <c r="E5646" t="s">
        <v>4828</v>
      </c>
      <c r="F5646" s="181"/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0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1" t="s">
        <v>6434</v>
      </c>
      <c r="M5646" s="178">
        <v>46056</v>
      </c>
      <c r="N5646" s="178"/>
      <c r="O5646" s="178"/>
      <c r="P5646" s="178" t="str">
        <f ca="1">IF(Proc[[#This Row],[DaysAgeing]]&gt;5,"yep","on track")</f>
        <v>on track</v>
      </c>
      <c r="Q5646" s="3">
        <f ca="1">IF(Proc[[#This Row],[DateClosed]]="",ABS(NETWORKDAYS(Proc[[#This Row],[DateOpened]],TODAY()))-1,ABS(NETWORKDAYS(Proc[[#This Row],[DateOpened]],Proc[[#This Row],[DateClosed]]))-1)</f>
        <v>1</v>
      </c>
      <c r="R5646" s="178" t="s">
        <v>3639</v>
      </c>
      <c r="S5646" s="181"/>
    </row>
    <row r="5647" spans="1:19" hidden="1">
      <c r="A5647" s="180" t="s">
        <v>8005</v>
      </c>
      <c r="B5647" s="181" t="str">
        <f>IFERROR(VLOOKUP(Proc[[#This Row],[App]],Table2[],3,0),"open")</f>
        <v>open</v>
      </c>
      <c r="C5647" s="180" t="s">
        <v>370</v>
      </c>
      <c r="D5647" t="s">
        <v>8018</v>
      </c>
      <c r="E5647" t="s">
        <v>4828</v>
      </c>
      <c r="F5647" s="181"/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0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1" t="s">
        <v>6434</v>
      </c>
      <c r="M5647" s="178">
        <v>46056</v>
      </c>
      <c r="N5647" s="178"/>
      <c r="O5647" s="178"/>
      <c r="P5647" s="178" t="str">
        <f ca="1">IF(Proc[[#This Row],[DaysAgeing]]&gt;5,"yep","on track")</f>
        <v>on track</v>
      </c>
      <c r="Q5647" s="3">
        <f ca="1">IF(Proc[[#This Row],[DateClosed]]="",ABS(NETWORKDAYS(Proc[[#This Row],[DateOpened]],TODAY()))-1,ABS(NETWORKDAYS(Proc[[#This Row],[DateOpened]],Proc[[#This Row],[DateClosed]]))-1)</f>
        <v>1</v>
      </c>
      <c r="R5647" s="178" t="s">
        <v>3639</v>
      </c>
      <c r="S5647" s="181"/>
    </row>
    <row r="5648" spans="1:19" hidden="1">
      <c r="A5648" t="s">
        <v>8019</v>
      </c>
      <c r="B5648" s="181" t="str">
        <f>IFERROR(VLOOKUP(Proc[[#This Row],[App]],Table2[],3,0),"open")</f>
        <v>open</v>
      </c>
      <c r="C5648" t="s">
        <v>370</v>
      </c>
      <c r="D5648" t="s">
        <v>5779</v>
      </c>
      <c r="E5648" t="s">
        <v>5803</v>
      </c>
      <c r="F5648" s="181"/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0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1" t="s">
        <v>6434</v>
      </c>
      <c r="M5648" s="178">
        <v>46056</v>
      </c>
      <c r="N5648" s="178"/>
      <c r="O5648" s="178"/>
      <c r="P5648" s="178" t="str">
        <f ca="1">IF(Proc[[#This Row],[DaysAgeing]]&gt;5,"yep","on track")</f>
        <v>on track</v>
      </c>
      <c r="Q5648" s="3">
        <f ca="1">IF(Proc[[#This Row],[DateClosed]]="",ABS(NETWORKDAYS(Proc[[#This Row],[DateOpened]],TODAY()))-1,ABS(NETWORKDAYS(Proc[[#This Row],[DateOpened]],Proc[[#This Row],[DateClosed]]))-1)</f>
        <v>1</v>
      </c>
      <c r="R5648" s="180" t="s">
        <v>489</v>
      </c>
      <c r="S5648" s="180"/>
    </row>
    <row r="5649" spans="1:19" hidden="1">
      <c r="A5649" s="180" t="s">
        <v>8019</v>
      </c>
      <c r="B5649" s="181" t="str">
        <f>IFERROR(VLOOKUP(Proc[[#This Row],[App]],Table2[],3,0),"open")</f>
        <v>open</v>
      </c>
      <c r="C5649" s="180" t="s">
        <v>370</v>
      </c>
      <c r="D5649" t="s">
        <v>5780</v>
      </c>
      <c r="E5649" t="s">
        <v>5803</v>
      </c>
      <c r="F5649" s="181"/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0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1" t="s">
        <v>6434</v>
      </c>
      <c r="M5649" s="178">
        <v>46056</v>
      </c>
      <c r="N5649" s="178"/>
      <c r="O5649" s="178"/>
      <c r="P5649" s="178" t="str">
        <f ca="1">IF(Proc[[#This Row],[DaysAgeing]]&gt;5,"yep","on track")</f>
        <v>on track</v>
      </c>
      <c r="Q5649" s="3">
        <f ca="1">IF(Proc[[#This Row],[DateClosed]]="",ABS(NETWORKDAYS(Proc[[#This Row],[DateOpened]],TODAY()))-1,ABS(NETWORKDAYS(Proc[[#This Row],[DateOpened]],Proc[[#This Row],[DateClosed]]))-1)</f>
        <v>1</v>
      </c>
      <c r="R5649" s="180" t="s">
        <v>489</v>
      </c>
      <c r="S5649" s="180"/>
    </row>
    <row r="5650" spans="1:19" hidden="1">
      <c r="A5650" s="180" t="s">
        <v>8019</v>
      </c>
      <c r="B5650" s="181" t="str">
        <f>IFERROR(VLOOKUP(Proc[[#This Row],[App]],Table2[],3,0),"open")</f>
        <v>open</v>
      </c>
      <c r="C5650" s="180" t="s">
        <v>370</v>
      </c>
      <c r="D5650" t="s">
        <v>5781</v>
      </c>
      <c r="E5650" t="s">
        <v>5804</v>
      </c>
      <c r="F5650" s="181"/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0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1" t="s">
        <v>6434</v>
      </c>
      <c r="M5650" s="178">
        <v>46056</v>
      </c>
      <c r="N5650" s="178"/>
      <c r="O5650" s="178"/>
      <c r="P5650" s="178" t="str">
        <f ca="1">IF(Proc[[#This Row],[DaysAgeing]]&gt;5,"yep","on track")</f>
        <v>on track</v>
      </c>
      <c r="Q5650" s="3">
        <f ca="1">IF(Proc[[#This Row],[DateClosed]]="",ABS(NETWORKDAYS(Proc[[#This Row],[DateOpened]],TODAY()))-1,ABS(NETWORKDAYS(Proc[[#This Row],[DateOpened]],Proc[[#This Row],[DateClosed]]))-1)</f>
        <v>1</v>
      </c>
      <c r="R5650" s="180" t="s">
        <v>489</v>
      </c>
      <c r="S5650" s="180"/>
    </row>
    <row r="5651" spans="1:19" hidden="1">
      <c r="A5651" s="180" t="s">
        <v>8019</v>
      </c>
      <c r="B5651" s="181" t="str">
        <f>IFERROR(VLOOKUP(Proc[[#This Row],[App]],Table2[],3,0),"open")</f>
        <v>open</v>
      </c>
      <c r="C5651" s="180" t="s">
        <v>370</v>
      </c>
      <c r="D5651" t="s">
        <v>5782</v>
      </c>
      <c r="E5651" t="s">
        <v>5804</v>
      </c>
      <c r="F5651" s="181"/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0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1" t="s">
        <v>6434</v>
      </c>
      <c r="M5651" s="178">
        <v>46056</v>
      </c>
      <c r="N5651" s="178"/>
      <c r="O5651" s="178"/>
      <c r="P5651" s="178" t="str">
        <f ca="1">IF(Proc[[#This Row],[DaysAgeing]]&gt;5,"yep","on track")</f>
        <v>on track</v>
      </c>
      <c r="Q5651" s="3">
        <f ca="1">IF(Proc[[#This Row],[DateClosed]]="",ABS(NETWORKDAYS(Proc[[#This Row],[DateOpened]],TODAY()))-1,ABS(NETWORKDAYS(Proc[[#This Row],[DateOpened]],Proc[[#This Row],[DateClosed]]))-1)</f>
        <v>1</v>
      </c>
      <c r="R5651" s="180" t="s">
        <v>489</v>
      </c>
      <c r="S5651" s="180"/>
    </row>
    <row r="5652" spans="1:19" hidden="1">
      <c r="A5652" s="180" t="s">
        <v>8019</v>
      </c>
      <c r="B5652" s="181" t="str">
        <f>IFERROR(VLOOKUP(Proc[[#This Row],[App]],Table2[],3,0),"open")</f>
        <v>open</v>
      </c>
      <c r="C5652" s="180" t="s">
        <v>370</v>
      </c>
      <c r="D5652" t="s">
        <v>8020</v>
      </c>
      <c r="E5652" t="s">
        <v>8058</v>
      </c>
      <c r="F5652" s="181"/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0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1" t="s">
        <v>6434</v>
      </c>
      <c r="M5652" s="178">
        <v>46056</v>
      </c>
      <c r="N5652" s="178"/>
      <c r="O5652" s="178"/>
      <c r="P5652" s="178" t="str">
        <f ca="1">IF(Proc[[#This Row],[DaysAgeing]]&gt;5,"yep","on track")</f>
        <v>on track</v>
      </c>
      <c r="Q5652" s="3">
        <f ca="1">IF(Proc[[#This Row],[DateClosed]]="",ABS(NETWORKDAYS(Proc[[#This Row],[DateOpened]],TODAY()))-1,ABS(NETWORKDAYS(Proc[[#This Row],[DateOpened]],Proc[[#This Row],[DateClosed]]))-1)</f>
        <v>1</v>
      </c>
      <c r="R5652" s="180" t="s">
        <v>489</v>
      </c>
      <c r="S5652" s="180"/>
    </row>
    <row r="5653" spans="1:19" hidden="1">
      <c r="A5653" s="180" t="s">
        <v>8019</v>
      </c>
      <c r="B5653" s="181" t="str">
        <f>IFERROR(VLOOKUP(Proc[[#This Row],[App]],Table2[],3,0),"open")</f>
        <v>open</v>
      </c>
      <c r="C5653" s="180" t="s">
        <v>370</v>
      </c>
      <c r="D5653" t="s">
        <v>8021</v>
      </c>
      <c r="E5653" t="s">
        <v>8059</v>
      </c>
      <c r="F5653" s="181"/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0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1" t="s">
        <v>6434</v>
      </c>
      <c r="M5653" s="178">
        <v>46056</v>
      </c>
      <c r="N5653" s="178"/>
      <c r="O5653" s="178"/>
      <c r="P5653" s="178" t="str">
        <f ca="1">IF(Proc[[#This Row],[DaysAgeing]]&gt;5,"yep","on track")</f>
        <v>on track</v>
      </c>
      <c r="Q5653" s="3">
        <f ca="1">IF(Proc[[#This Row],[DateClosed]]="",ABS(NETWORKDAYS(Proc[[#This Row],[DateOpened]],TODAY()))-1,ABS(NETWORKDAYS(Proc[[#This Row],[DateOpened]],Proc[[#This Row],[DateClosed]]))-1)</f>
        <v>1</v>
      </c>
      <c r="R5653" s="180" t="s">
        <v>489</v>
      </c>
      <c r="S5653" s="180"/>
    </row>
    <row r="5654" spans="1:19" hidden="1">
      <c r="A5654" s="180" t="s">
        <v>8019</v>
      </c>
      <c r="B5654" s="181" t="str">
        <f>IFERROR(VLOOKUP(Proc[[#This Row],[App]],Table2[],3,0),"open")</f>
        <v>open</v>
      </c>
      <c r="C5654" s="180" t="s">
        <v>370</v>
      </c>
      <c r="D5654" t="s">
        <v>8022</v>
      </c>
      <c r="E5654" t="s">
        <v>8059</v>
      </c>
      <c r="F5654" s="181"/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0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1" t="s">
        <v>6434</v>
      </c>
      <c r="M5654" s="178">
        <v>46056</v>
      </c>
      <c r="N5654" s="178"/>
      <c r="O5654" s="178"/>
      <c r="P5654" s="178" t="str">
        <f ca="1">IF(Proc[[#This Row],[DaysAgeing]]&gt;5,"yep","on track")</f>
        <v>on track</v>
      </c>
      <c r="Q5654" s="3">
        <f ca="1">IF(Proc[[#This Row],[DateClosed]]="",ABS(NETWORKDAYS(Proc[[#This Row],[DateOpened]],TODAY()))-1,ABS(NETWORKDAYS(Proc[[#This Row],[DateOpened]],Proc[[#This Row],[DateClosed]]))-1)</f>
        <v>1</v>
      </c>
      <c r="R5654" s="180" t="s">
        <v>489</v>
      </c>
      <c r="S5654" s="180"/>
    </row>
    <row r="5655" spans="1:19" hidden="1">
      <c r="A5655" s="180" t="s">
        <v>8019</v>
      </c>
      <c r="B5655" s="181" t="str">
        <f>IFERROR(VLOOKUP(Proc[[#This Row],[App]],Table2[],3,0),"open")</f>
        <v>open</v>
      </c>
      <c r="C5655" s="180" t="s">
        <v>370</v>
      </c>
      <c r="D5655" t="s">
        <v>8023</v>
      </c>
      <c r="E5655" t="s">
        <v>8059</v>
      </c>
      <c r="F5655" s="181"/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0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1" t="s">
        <v>6434</v>
      </c>
      <c r="M5655" s="178">
        <v>46056</v>
      </c>
      <c r="N5655" s="178"/>
      <c r="O5655" s="178"/>
      <c r="P5655" s="178" t="str">
        <f ca="1">IF(Proc[[#This Row],[DaysAgeing]]&gt;5,"yep","on track")</f>
        <v>on track</v>
      </c>
      <c r="Q5655" s="3">
        <f ca="1">IF(Proc[[#This Row],[DateClosed]]="",ABS(NETWORKDAYS(Proc[[#This Row],[DateOpened]],TODAY()))-1,ABS(NETWORKDAYS(Proc[[#This Row],[DateOpened]],Proc[[#This Row],[DateClosed]]))-1)</f>
        <v>1</v>
      </c>
      <c r="R5655" s="180" t="s">
        <v>489</v>
      </c>
      <c r="S5655" s="180"/>
    </row>
    <row r="5656" spans="1:19" hidden="1">
      <c r="A5656" s="180" t="s">
        <v>8019</v>
      </c>
      <c r="B5656" s="181" t="str">
        <f>IFERROR(VLOOKUP(Proc[[#This Row],[App]],Table2[],3,0),"open")</f>
        <v>open</v>
      </c>
      <c r="C5656" s="180" t="s">
        <v>370</v>
      </c>
      <c r="D5656" t="s">
        <v>8024</v>
      </c>
      <c r="E5656" t="s">
        <v>8059</v>
      </c>
      <c r="F5656" s="181"/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0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1" t="s">
        <v>6434</v>
      </c>
      <c r="M5656" s="178">
        <v>46056</v>
      </c>
      <c r="N5656" s="178"/>
      <c r="O5656" s="178"/>
      <c r="P5656" s="178" t="str">
        <f ca="1">IF(Proc[[#This Row],[DaysAgeing]]&gt;5,"yep","on track")</f>
        <v>on track</v>
      </c>
      <c r="Q5656" s="3">
        <f ca="1">IF(Proc[[#This Row],[DateClosed]]="",ABS(NETWORKDAYS(Proc[[#This Row],[DateOpened]],TODAY()))-1,ABS(NETWORKDAYS(Proc[[#This Row],[DateOpened]],Proc[[#This Row],[DateClosed]]))-1)</f>
        <v>1</v>
      </c>
      <c r="R5656" s="180" t="s">
        <v>489</v>
      </c>
      <c r="S5656" s="180"/>
    </row>
    <row r="5657" spans="1:19" hidden="1">
      <c r="A5657" s="180" t="s">
        <v>8019</v>
      </c>
      <c r="B5657" s="181" t="str">
        <f>IFERROR(VLOOKUP(Proc[[#This Row],[App]],Table2[],3,0),"open")</f>
        <v>open</v>
      </c>
      <c r="C5657" s="180" t="s">
        <v>370</v>
      </c>
      <c r="D5657" t="s">
        <v>8025</v>
      </c>
      <c r="E5657" t="s">
        <v>2372</v>
      </c>
      <c r="F5657" s="181"/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0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1" t="s">
        <v>6434</v>
      </c>
      <c r="M5657" s="178">
        <v>46056</v>
      </c>
      <c r="N5657" s="178"/>
      <c r="O5657" s="178"/>
      <c r="P5657" s="178" t="str">
        <f ca="1">IF(Proc[[#This Row],[DaysAgeing]]&gt;5,"yep","on track")</f>
        <v>on track</v>
      </c>
      <c r="Q5657" s="3">
        <f ca="1">IF(Proc[[#This Row],[DateClosed]]="",ABS(NETWORKDAYS(Proc[[#This Row],[DateOpened]],TODAY()))-1,ABS(NETWORKDAYS(Proc[[#This Row],[DateOpened]],Proc[[#This Row],[DateClosed]]))-1)</f>
        <v>1</v>
      </c>
      <c r="R5657" s="180" t="s">
        <v>489</v>
      </c>
      <c r="S5657" s="180"/>
    </row>
    <row r="5658" spans="1:19" hidden="1">
      <c r="A5658" s="180" t="s">
        <v>8019</v>
      </c>
      <c r="B5658" s="181" t="str">
        <f>IFERROR(VLOOKUP(Proc[[#This Row],[App]],Table2[],3,0),"open")</f>
        <v>open</v>
      </c>
      <c r="C5658" s="180" t="s">
        <v>375</v>
      </c>
      <c r="D5658" t="s">
        <v>8026</v>
      </c>
      <c r="E5658" t="s">
        <v>8060</v>
      </c>
      <c r="F5658" s="181"/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0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1" t="s">
        <v>6434</v>
      </c>
      <c r="M5658" s="178">
        <v>46056</v>
      </c>
      <c r="N5658" s="178"/>
      <c r="O5658" s="178"/>
      <c r="P5658" s="178" t="str">
        <f ca="1">IF(Proc[[#This Row],[DaysAgeing]]&gt;5,"yep","on track")</f>
        <v>on track</v>
      </c>
      <c r="Q5658" s="3">
        <f ca="1">IF(Proc[[#This Row],[DateClosed]]="",ABS(NETWORKDAYS(Proc[[#This Row],[DateOpened]],TODAY()))-1,ABS(NETWORKDAYS(Proc[[#This Row],[DateOpened]],Proc[[#This Row],[DateClosed]]))-1)</f>
        <v>1</v>
      </c>
      <c r="R5658" s="180" t="s">
        <v>489</v>
      </c>
      <c r="S5658" s="181"/>
    </row>
    <row r="5659" spans="1:19" hidden="1">
      <c r="A5659" s="180" t="s">
        <v>8019</v>
      </c>
      <c r="B5659" s="181" t="str">
        <f>IFERROR(VLOOKUP(Proc[[#This Row],[App]],Table2[],3,0),"open")</f>
        <v>open</v>
      </c>
      <c r="C5659" s="180" t="s">
        <v>375</v>
      </c>
      <c r="D5659" t="s">
        <v>8027</v>
      </c>
      <c r="E5659" t="s">
        <v>8061</v>
      </c>
      <c r="F5659" s="181"/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0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1" t="s">
        <v>6434</v>
      </c>
      <c r="M5659" s="178">
        <v>46056</v>
      </c>
      <c r="N5659" s="178"/>
      <c r="O5659" s="178"/>
      <c r="P5659" s="178" t="str">
        <f ca="1">IF(Proc[[#This Row],[DaysAgeing]]&gt;5,"yep","on track")</f>
        <v>on track</v>
      </c>
      <c r="Q5659" s="3">
        <f ca="1">IF(Proc[[#This Row],[DateClosed]]="",ABS(NETWORKDAYS(Proc[[#This Row],[DateOpened]],TODAY()))-1,ABS(NETWORKDAYS(Proc[[#This Row],[DateOpened]],Proc[[#This Row],[DateClosed]]))-1)</f>
        <v>1</v>
      </c>
      <c r="R5659" s="180" t="s">
        <v>489</v>
      </c>
      <c r="S5659" s="181"/>
    </row>
    <row r="5660" spans="1:19" hidden="1">
      <c r="A5660" s="180" t="s">
        <v>8019</v>
      </c>
      <c r="B5660" s="181" t="str">
        <f>IFERROR(VLOOKUP(Proc[[#This Row],[App]],Table2[],3,0),"open")</f>
        <v>open</v>
      </c>
      <c r="C5660" s="180" t="s">
        <v>375</v>
      </c>
      <c r="D5660" t="s">
        <v>8028</v>
      </c>
      <c r="E5660" t="s">
        <v>8061</v>
      </c>
      <c r="F5660" s="181"/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0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1" t="s">
        <v>6434</v>
      </c>
      <c r="M5660" s="178">
        <v>46056</v>
      </c>
      <c r="N5660" s="178"/>
      <c r="O5660" s="178"/>
      <c r="P5660" s="178" t="str">
        <f ca="1">IF(Proc[[#This Row],[DaysAgeing]]&gt;5,"yep","on track")</f>
        <v>on track</v>
      </c>
      <c r="Q5660" s="3">
        <f ca="1">IF(Proc[[#This Row],[DateClosed]]="",ABS(NETWORKDAYS(Proc[[#This Row],[DateOpened]],TODAY()))-1,ABS(NETWORKDAYS(Proc[[#This Row],[DateOpened]],Proc[[#This Row],[DateClosed]]))-1)</f>
        <v>1</v>
      </c>
      <c r="R5660" s="180" t="s">
        <v>489</v>
      </c>
      <c r="S5660" s="181"/>
    </row>
    <row r="5661" spans="1:19" hidden="1">
      <c r="A5661" s="180" t="s">
        <v>8019</v>
      </c>
      <c r="B5661" s="181" t="str">
        <f>IFERROR(VLOOKUP(Proc[[#This Row],[App]],Table2[],3,0),"open")</f>
        <v>open</v>
      </c>
      <c r="C5661" s="180" t="s">
        <v>375</v>
      </c>
      <c r="D5661" t="s">
        <v>8029</v>
      </c>
      <c r="E5661" t="s">
        <v>8061</v>
      </c>
      <c r="F5661" s="181"/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0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1" t="s">
        <v>6434</v>
      </c>
      <c r="M5661" s="178">
        <v>46056</v>
      </c>
      <c r="N5661" s="178"/>
      <c r="O5661" s="178"/>
      <c r="P5661" s="178" t="str">
        <f ca="1">IF(Proc[[#This Row],[DaysAgeing]]&gt;5,"yep","on track")</f>
        <v>on track</v>
      </c>
      <c r="Q5661" s="3">
        <f ca="1">IF(Proc[[#This Row],[DateClosed]]="",ABS(NETWORKDAYS(Proc[[#This Row],[DateOpened]],TODAY()))-1,ABS(NETWORKDAYS(Proc[[#This Row],[DateOpened]],Proc[[#This Row],[DateClosed]]))-1)</f>
        <v>1</v>
      </c>
      <c r="R5661" s="180" t="s">
        <v>489</v>
      </c>
      <c r="S5661" s="181"/>
    </row>
    <row r="5662" spans="1:19" hidden="1">
      <c r="A5662" s="180" t="s">
        <v>8019</v>
      </c>
      <c r="B5662" s="181" t="str">
        <f>IFERROR(VLOOKUP(Proc[[#This Row],[App]],Table2[],3,0),"open")</f>
        <v>open</v>
      </c>
      <c r="C5662" s="180" t="s">
        <v>375</v>
      </c>
      <c r="D5662" t="s">
        <v>8030</v>
      </c>
      <c r="E5662" t="s">
        <v>8061</v>
      </c>
      <c r="F5662" s="181"/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1" t="s">
        <v>6434</v>
      </c>
      <c r="M5662" s="178">
        <v>46056</v>
      </c>
      <c r="N5662" s="178"/>
      <c r="O5662" s="178"/>
      <c r="P5662" s="178" t="str">
        <f ca="1">IF(Proc[[#This Row],[DaysAgeing]]&gt;5,"yep","on track")</f>
        <v>on track</v>
      </c>
      <c r="Q5662" s="3">
        <f ca="1">IF(Proc[[#This Row],[DateClosed]]="",ABS(NETWORKDAYS(Proc[[#This Row],[DateOpened]],TODAY()))-1,ABS(NETWORKDAYS(Proc[[#This Row],[DateOpened]],Proc[[#This Row],[DateClosed]]))-1)</f>
        <v>1</v>
      </c>
      <c r="R5662" s="180" t="s">
        <v>489</v>
      </c>
      <c r="S5662" s="181"/>
    </row>
    <row r="5663" spans="1:19" hidden="1">
      <c r="A5663" s="180" t="s">
        <v>8019</v>
      </c>
      <c r="B5663" s="181" t="str">
        <f>IFERROR(VLOOKUP(Proc[[#This Row],[App]],Table2[],3,0),"open")</f>
        <v>open</v>
      </c>
      <c r="C5663" s="180" t="s">
        <v>370</v>
      </c>
      <c r="D5663" t="s">
        <v>8031</v>
      </c>
      <c r="E5663" t="s">
        <v>8061</v>
      </c>
      <c r="F5663" s="181"/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0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1" t="s">
        <v>6434</v>
      </c>
      <c r="M5663" s="178">
        <v>46056</v>
      </c>
      <c r="N5663" s="178"/>
      <c r="O5663" s="178"/>
      <c r="P5663" s="178" t="str">
        <f ca="1">IF(Proc[[#This Row],[DaysAgeing]]&gt;5,"yep","on track")</f>
        <v>on track</v>
      </c>
      <c r="Q5663" s="3">
        <f ca="1">IF(Proc[[#This Row],[DateClosed]]="",ABS(NETWORKDAYS(Proc[[#This Row],[DateOpened]],TODAY()))-1,ABS(NETWORKDAYS(Proc[[#This Row],[DateOpened]],Proc[[#This Row],[DateClosed]]))-1)</f>
        <v>1</v>
      </c>
      <c r="R5663" s="180" t="s">
        <v>489</v>
      </c>
      <c r="S5663" s="180"/>
    </row>
    <row r="5664" spans="1:19" hidden="1">
      <c r="A5664" s="180" t="s">
        <v>8019</v>
      </c>
      <c r="B5664" s="181" t="str">
        <f>IFERROR(VLOOKUP(Proc[[#This Row],[App]],Table2[],3,0),"open")</f>
        <v>open</v>
      </c>
      <c r="C5664" s="180" t="s">
        <v>370</v>
      </c>
      <c r="D5664" t="s">
        <v>8032</v>
      </c>
      <c r="E5664" t="s">
        <v>8061</v>
      </c>
      <c r="F5664" s="181"/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0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1" t="s">
        <v>6434</v>
      </c>
      <c r="M5664" s="178">
        <v>46056</v>
      </c>
      <c r="N5664" s="178"/>
      <c r="O5664" s="178"/>
      <c r="P5664" s="178" t="str">
        <f ca="1">IF(Proc[[#This Row],[DaysAgeing]]&gt;5,"yep","on track")</f>
        <v>on track</v>
      </c>
      <c r="Q5664" s="3">
        <f ca="1">IF(Proc[[#This Row],[DateClosed]]="",ABS(NETWORKDAYS(Proc[[#This Row],[DateOpened]],TODAY()))-1,ABS(NETWORKDAYS(Proc[[#This Row],[DateOpened]],Proc[[#This Row],[DateClosed]]))-1)</f>
        <v>1</v>
      </c>
      <c r="R5664" s="180" t="s">
        <v>489</v>
      </c>
      <c r="S5664" s="180"/>
    </row>
    <row r="5665" spans="1:19" hidden="1">
      <c r="A5665" s="180" t="s">
        <v>8019</v>
      </c>
      <c r="B5665" s="181" t="str">
        <f>IFERROR(VLOOKUP(Proc[[#This Row],[App]],Table2[],3,0),"open")</f>
        <v>open</v>
      </c>
      <c r="C5665" s="180" t="s">
        <v>370</v>
      </c>
      <c r="D5665" t="s">
        <v>8033</v>
      </c>
      <c r="E5665" t="s">
        <v>8061</v>
      </c>
      <c r="F5665" s="181"/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0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1" t="s">
        <v>6434</v>
      </c>
      <c r="M5665" s="178">
        <v>46056</v>
      </c>
      <c r="N5665" s="178"/>
      <c r="O5665" s="178"/>
      <c r="P5665" s="178" t="str">
        <f ca="1">IF(Proc[[#This Row],[DaysAgeing]]&gt;5,"yep","on track")</f>
        <v>on track</v>
      </c>
      <c r="Q5665" s="3">
        <f ca="1">IF(Proc[[#This Row],[DateClosed]]="",ABS(NETWORKDAYS(Proc[[#This Row],[DateOpened]],TODAY()))-1,ABS(NETWORKDAYS(Proc[[#This Row],[DateOpened]],Proc[[#This Row],[DateClosed]]))-1)</f>
        <v>1</v>
      </c>
      <c r="R5665" s="180" t="s">
        <v>489</v>
      </c>
      <c r="S5665" s="180"/>
    </row>
    <row r="5666" spans="1:19" hidden="1">
      <c r="A5666" s="180" t="s">
        <v>8019</v>
      </c>
      <c r="B5666" s="181" t="str">
        <f>IFERROR(VLOOKUP(Proc[[#This Row],[App]],Table2[],3,0),"open")</f>
        <v>open</v>
      </c>
      <c r="C5666" s="180" t="s">
        <v>370</v>
      </c>
      <c r="D5666" t="s">
        <v>8034</v>
      </c>
      <c r="E5666" t="s">
        <v>8061</v>
      </c>
      <c r="F5666" s="181"/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0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1" t="s">
        <v>6434</v>
      </c>
      <c r="M5666" s="178">
        <v>46056</v>
      </c>
      <c r="N5666" s="178"/>
      <c r="O5666" s="178"/>
      <c r="P5666" s="178" t="str">
        <f ca="1">IF(Proc[[#This Row],[DaysAgeing]]&gt;5,"yep","on track")</f>
        <v>on track</v>
      </c>
      <c r="Q5666" s="3">
        <f ca="1">IF(Proc[[#This Row],[DateClosed]]="",ABS(NETWORKDAYS(Proc[[#This Row],[DateOpened]],TODAY()))-1,ABS(NETWORKDAYS(Proc[[#This Row],[DateOpened]],Proc[[#This Row],[DateClosed]]))-1)</f>
        <v>1</v>
      </c>
      <c r="R5666" s="180" t="s">
        <v>489</v>
      </c>
      <c r="S5666" s="180"/>
    </row>
    <row r="5667" spans="1:19" hidden="1">
      <c r="A5667" s="180" t="s">
        <v>8019</v>
      </c>
      <c r="B5667" s="181" t="str">
        <f>IFERROR(VLOOKUP(Proc[[#This Row],[App]],Table2[],3,0),"open")</f>
        <v>open</v>
      </c>
      <c r="C5667" s="180" t="s">
        <v>370</v>
      </c>
      <c r="D5667" t="s">
        <v>8035</v>
      </c>
      <c r="E5667" t="s">
        <v>8061</v>
      </c>
      <c r="F5667" s="181"/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0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1" t="s">
        <v>6434</v>
      </c>
      <c r="M5667" s="178">
        <v>46056</v>
      </c>
      <c r="N5667" s="178"/>
      <c r="O5667" s="178"/>
      <c r="P5667" s="178" t="str">
        <f ca="1">IF(Proc[[#This Row],[DaysAgeing]]&gt;5,"yep","on track")</f>
        <v>on track</v>
      </c>
      <c r="Q5667" s="3">
        <f ca="1">IF(Proc[[#This Row],[DateClosed]]="",ABS(NETWORKDAYS(Proc[[#This Row],[DateOpened]],TODAY()))-1,ABS(NETWORKDAYS(Proc[[#This Row],[DateOpened]],Proc[[#This Row],[DateClosed]]))-1)</f>
        <v>1</v>
      </c>
      <c r="R5667" s="180" t="s">
        <v>489</v>
      </c>
      <c r="S5667" s="180"/>
    </row>
    <row r="5668" spans="1:19" hidden="1">
      <c r="A5668" s="180" t="s">
        <v>8019</v>
      </c>
      <c r="B5668" s="181" t="str">
        <f>IFERROR(VLOOKUP(Proc[[#This Row],[App]],Table2[],3,0),"open")</f>
        <v>open</v>
      </c>
      <c r="C5668" s="180" t="s">
        <v>370</v>
      </c>
      <c r="D5668" t="s">
        <v>8036</v>
      </c>
      <c r="E5668" t="s">
        <v>8062</v>
      </c>
      <c r="F5668" s="181"/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0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1" t="s">
        <v>6434</v>
      </c>
      <c r="M5668" s="178">
        <v>46056</v>
      </c>
      <c r="N5668" s="178"/>
      <c r="O5668" s="178"/>
      <c r="P5668" s="178" t="str">
        <f ca="1">IF(Proc[[#This Row],[DaysAgeing]]&gt;5,"yep","on track")</f>
        <v>on track</v>
      </c>
      <c r="Q5668" s="3">
        <f ca="1">IF(Proc[[#This Row],[DateClosed]]="",ABS(NETWORKDAYS(Proc[[#This Row],[DateOpened]],TODAY()))-1,ABS(NETWORKDAYS(Proc[[#This Row],[DateOpened]],Proc[[#This Row],[DateClosed]]))-1)</f>
        <v>1</v>
      </c>
      <c r="R5668" s="180" t="s">
        <v>489</v>
      </c>
      <c r="S5668" s="180"/>
    </row>
    <row r="5669" spans="1:19" hidden="1">
      <c r="A5669" s="180" t="s">
        <v>8019</v>
      </c>
      <c r="B5669" s="181" t="str">
        <f>IFERROR(VLOOKUP(Proc[[#This Row],[App]],Table2[],3,0),"open")</f>
        <v>open</v>
      </c>
      <c r="C5669" s="180" t="s">
        <v>370</v>
      </c>
      <c r="D5669" t="s">
        <v>8037</v>
      </c>
      <c r="E5669" t="s">
        <v>8063</v>
      </c>
      <c r="F5669" s="181"/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0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1" t="s">
        <v>6434</v>
      </c>
      <c r="M5669" s="178">
        <v>46056</v>
      </c>
      <c r="N5669" s="178"/>
      <c r="O5669" s="178"/>
      <c r="P5669" s="178" t="str">
        <f ca="1">IF(Proc[[#This Row],[DaysAgeing]]&gt;5,"yep","on track")</f>
        <v>on track</v>
      </c>
      <c r="Q5669" s="3">
        <f ca="1">IF(Proc[[#This Row],[DateClosed]]="",ABS(NETWORKDAYS(Proc[[#This Row],[DateOpened]],TODAY()))-1,ABS(NETWORKDAYS(Proc[[#This Row],[DateOpened]],Proc[[#This Row],[DateClosed]]))-1)</f>
        <v>1</v>
      </c>
      <c r="R5669" s="180" t="s">
        <v>489</v>
      </c>
      <c r="S5669" s="180"/>
    </row>
    <row r="5670" spans="1:19" hidden="1">
      <c r="A5670" s="180" t="s">
        <v>8019</v>
      </c>
      <c r="B5670" s="181" t="str">
        <f>IFERROR(VLOOKUP(Proc[[#This Row],[App]],Table2[],3,0),"open")</f>
        <v>open</v>
      </c>
      <c r="C5670" s="180" t="s">
        <v>370</v>
      </c>
      <c r="D5670" t="s">
        <v>8038</v>
      </c>
      <c r="E5670" t="s">
        <v>8063</v>
      </c>
      <c r="F5670" s="181"/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0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1" t="s">
        <v>6434</v>
      </c>
      <c r="M5670" s="178">
        <v>46056</v>
      </c>
      <c r="N5670" s="178"/>
      <c r="O5670" s="178"/>
      <c r="P5670" s="178" t="str">
        <f ca="1">IF(Proc[[#This Row],[DaysAgeing]]&gt;5,"yep","on track")</f>
        <v>on track</v>
      </c>
      <c r="Q5670" s="3">
        <f ca="1">IF(Proc[[#This Row],[DateClosed]]="",ABS(NETWORKDAYS(Proc[[#This Row],[DateOpened]],TODAY()))-1,ABS(NETWORKDAYS(Proc[[#This Row],[DateOpened]],Proc[[#This Row],[DateClosed]]))-1)</f>
        <v>1</v>
      </c>
      <c r="R5670" s="180" t="s">
        <v>489</v>
      </c>
      <c r="S5670" s="180"/>
    </row>
    <row r="5671" spans="1:19" hidden="1">
      <c r="A5671" s="180" t="s">
        <v>8019</v>
      </c>
      <c r="B5671" s="181" t="str">
        <f>IFERROR(VLOOKUP(Proc[[#This Row],[App]],Table2[],3,0),"open")</f>
        <v>open</v>
      </c>
      <c r="C5671" s="180" t="s">
        <v>370</v>
      </c>
      <c r="D5671" t="s">
        <v>3110</v>
      </c>
      <c r="E5671" t="s">
        <v>8064</v>
      </c>
      <c r="F5671" s="181"/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0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1" t="s">
        <v>6434</v>
      </c>
      <c r="M5671" s="178">
        <v>46056</v>
      </c>
      <c r="N5671" s="178"/>
      <c r="O5671" s="178"/>
      <c r="P5671" s="178" t="str">
        <f ca="1">IF(Proc[[#This Row],[DaysAgeing]]&gt;5,"yep","on track")</f>
        <v>on track</v>
      </c>
      <c r="Q5671" s="3">
        <f ca="1">IF(Proc[[#This Row],[DateClosed]]="",ABS(NETWORKDAYS(Proc[[#This Row],[DateOpened]],TODAY()))-1,ABS(NETWORKDAYS(Proc[[#This Row],[DateOpened]],Proc[[#This Row],[DateClosed]]))-1)</f>
        <v>1</v>
      </c>
      <c r="R5671" s="180" t="s">
        <v>489</v>
      </c>
      <c r="S5671" s="180"/>
    </row>
    <row r="5672" spans="1:19" hidden="1">
      <c r="A5672" s="180" t="s">
        <v>8019</v>
      </c>
      <c r="B5672" s="181" t="str">
        <f>IFERROR(VLOOKUP(Proc[[#This Row],[App]],Table2[],3,0),"open")</f>
        <v>open</v>
      </c>
      <c r="C5672" s="180" t="s">
        <v>370</v>
      </c>
      <c r="D5672" t="s">
        <v>8039</v>
      </c>
      <c r="E5672" t="s">
        <v>8063</v>
      </c>
      <c r="F5672" s="181"/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0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1" t="s">
        <v>6434</v>
      </c>
      <c r="M5672" s="178">
        <v>46056</v>
      </c>
      <c r="N5672" s="178"/>
      <c r="O5672" s="178"/>
      <c r="P5672" s="178" t="str">
        <f ca="1">IF(Proc[[#This Row],[DaysAgeing]]&gt;5,"yep","on track")</f>
        <v>on track</v>
      </c>
      <c r="Q5672" s="3">
        <f ca="1">IF(Proc[[#This Row],[DateClosed]]="",ABS(NETWORKDAYS(Proc[[#This Row],[DateOpened]],TODAY()))-1,ABS(NETWORKDAYS(Proc[[#This Row],[DateOpened]],Proc[[#This Row],[DateClosed]]))-1)</f>
        <v>1</v>
      </c>
      <c r="R5672" s="180" t="s">
        <v>489</v>
      </c>
      <c r="S5672" s="180"/>
    </row>
    <row r="5673" spans="1:19" hidden="1">
      <c r="A5673" s="180" t="s">
        <v>8019</v>
      </c>
      <c r="B5673" s="181" t="str">
        <f>IFERROR(VLOOKUP(Proc[[#This Row],[App]],Table2[],3,0),"open")</f>
        <v>open</v>
      </c>
      <c r="C5673" s="180" t="s">
        <v>375</v>
      </c>
      <c r="D5673" t="s">
        <v>8040</v>
      </c>
      <c r="E5673" t="s">
        <v>8062</v>
      </c>
      <c r="F5673" s="181"/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0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1" t="s">
        <v>6434</v>
      </c>
      <c r="M5673" s="178">
        <v>46056</v>
      </c>
      <c r="N5673" s="178"/>
      <c r="O5673" s="178"/>
      <c r="P5673" s="178" t="str">
        <f ca="1">IF(Proc[[#This Row],[DaysAgeing]]&gt;5,"yep","on track")</f>
        <v>on track</v>
      </c>
      <c r="Q5673" s="3">
        <f ca="1">IF(Proc[[#This Row],[DateClosed]]="",ABS(NETWORKDAYS(Proc[[#This Row],[DateOpened]],TODAY()))-1,ABS(NETWORKDAYS(Proc[[#This Row],[DateOpened]],Proc[[#This Row],[DateClosed]]))-1)</f>
        <v>1</v>
      </c>
      <c r="R5673" s="180" t="s">
        <v>489</v>
      </c>
      <c r="S5673" s="181"/>
    </row>
    <row r="5674" spans="1:19" hidden="1">
      <c r="A5674" s="180" t="s">
        <v>8019</v>
      </c>
      <c r="B5674" s="181" t="str">
        <f>IFERROR(VLOOKUP(Proc[[#This Row],[App]],Table2[],3,0),"open")</f>
        <v>open</v>
      </c>
      <c r="C5674" s="180" t="s">
        <v>375</v>
      </c>
      <c r="D5674" t="s">
        <v>8041</v>
      </c>
      <c r="E5674" t="s">
        <v>8065</v>
      </c>
      <c r="F5674" s="181"/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0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1" t="s">
        <v>6434</v>
      </c>
      <c r="M5674" s="178">
        <v>46056</v>
      </c>
      <c r="N5674" s="178"/>
      <c r="O5674" s="178"/>
      <c r="P5674" s="178" t="str">
        <f ca="1">IF(Proc[[#This Row],[DaysAgeing]]&gt;5,"yep","on track")</f>
        <v>on track</v>
      </c>
      <c r="Q5674" s="3">
        <f ca="1">IF(Proc[[#This Row],[DateClosed]]="",ABS(NETWORKDAYS(Proc[[#This Row],[DateOpened]],TODAY()))-1,ABS(NETWORKDAYS(Proc[[#This Row],[DateOpened]],Proc[[#This Row],[DateClosed]]))-1)</f>
        <v>1</v>
      </c>
      <c r="R5674" s="180" t="s">
        <v>489</v>
      </c>
      <c r="S5674" s="181"/>
    </row>
    <row r="5675" spans="1:19" hidden="1">
      <c r="A5675" s="180" t="s">
        <v>8019</v>
      </c>
      <c r="B5675" s="181" t="str">
        <f>IFERROR(VLOOKUP(Proc[[#This Row],[App]],Table2[],3,0),"open")</f>
        <v>open</v>
      </c>
      <c r="C5675" s="180" t="s">
        <v>370</v>
      </c>
      <c r="D5675" t="s">
        <v>8042</v>
      </c>
      <c r="E5675" t="s">
        <v>8065</v>
      </c>
      <c r="F5675" s="181"/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0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1" t="s">
        <v>6434</v>
      </c>
      <c r="M5675" s="178">
        <v>46056</v>
      </c>
      <c r="N5675" s="178"/>
      <c r="O5675" s="178"/>
      <c r="P5675" s="178" t="str">
        <f ca="1">IF(Proc[[#This Row],[DaysAgeing]]&gt;5,"yep","on track")</f>
        <v>on track</v>
      </c>
      <c r="Q5675" s="3">
        <f ca="1">IF(Proc[[#This Row],[DateClosed]]="",ABS(NETWORKDAYS(Proc[[#This Row],[DateOpened]],TODAY()))-1,ABS(NETWORKDAYS(Proc[[#This Row],[DateOpened]],Proc[[#This Row],[DateClosed]]))-1)</f>
        <v>1</v>
      </c>
      <c r="R5675" s="180" t="s">
        <v>489</v>
      </c>
      <c r="S5675" s="180"/>
    </row>
    <row r="5676" spans="1:19" hidden="1">
      <c r="A5676" s="180" t="s">
        <v>8019</v>
      </c>
      <c r="B5676" s="181" t="str">
        <f>IFERROR(VLOOKUP(Proc[[#This Row],[App]],Table2[],3,0),"open")</f>
        <v>open</v>
      </c>
      <c r="C5676" s="180" t="s">
        <v>370</v>
      </c>
      <c r="D5676" t="s">
        <v>8043</v>
      </c>
      <c r="E5676" t="s">
        <v>8064</v>
      </c>
      <c r="F5676" s="181"/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0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1" t="s">
        <v>6434</v>
      </c>
      <c r="M5676" s="178">
        <v>46056</v>
      </c>
      <c r="N5676" s="178"/>
      <c r="O5676" s="178"/>
      <c r="P5676" s="178" t="str">
        <f ca="1">IF(Proc[[#This Row],[DaysAgeing]]&gt;5,"yep","on track")</f>
        <v>on track</v>
      </c>
      <c r="Q5676" s="3">
        <f ca="1">IF(Proc[[#This Row],[DateClosed]]="",ABS(NETWORKDAYS(Proc[[#This Row],[DateOpened]],TODAY()))-1,ABS(NETWORKDAYS(Proc[[#This Row],[DateOpened]],Proc[[#This Row],[DateClosed]]))-1)</f>
        <v>1</v>
      </c>
      <c r="R5676" s="180" t="s">
        <v>489</v>
      </c>
      <c r="S5676" s="180"/>
    </row>
    <row r="5677" spans="1:19" hidden="1">
      <c r="A5677" s="180" t="s">
        <v>8019</v>
      </c>
      <c r="B5677" s="181" t="str">
        <f>IFERROR(VLOOKUP(Proc[[#This Row],[App]],Table2[],3,0),"open")</f>
        <v>open</v>
      </c>
      <c r="C5677" s="180" t="s">
        <v>370</v>
      </c>
      <c r="D5677" t="s">
        <v>8044</v>
      </c>
      <c r="E5677" t="s">
        <v>8062</v>
      </c>
      <c r="F5677" s="181"/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0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1" t="s">
        <v>6434</v>
      </c>
      <c r="M5677" s="178">
        <v>46056</v>
      </c>
      <c r="N5677" s="178"/>
      <c r="O5677" s="178"/>
      <c r="P5677" s="178" t="str">
        <f ca="1">IF(Proc[[#This Row],[DaysAgeing]]&gt;5,"yep","on track")</f>
        <v>on track</v>
      </c>
      <c r="Q5677" s="3">
        <f ca="1">IF(Proc[[#This Row],[DateClosed]]="",ABS(NETWORKDAYS(Proc[[#This Row],[DateOpened]],TODAY()))-1,ABS(NETWORKDAYS(Proc[[#This Row],[DateOpened]],Proc[[#This Row],[DateClosed]]))-1)</f>
        <v>1</v>
      </c>
      <c r="R5677" s="180" t="s">
        <v>489</v>
      </c>
      <c r="S5677" s="180"/>
    </row>
    <row r="5678" spans="1:19" hidden="1">
      <c r="A5678" s="180" t="s">
        <v>8019</v>
      </c>
      <c r="B5678" s="181" t="str">
        <f>IFERROR(VLOOKUP(Proc[[#This Row],[App]],Table2[],3,0),"open")</f>
        <v>open</v>
      </c>
      <c r="C5678" s="180" t="s">
        <v>370</v>
      </c>
      <c r="D5678" t="s">
        <v>8045</v>
      </c>
      <c r="E5678" t="s">
        <v>8066</v>
      </c>
      <c r="F5678" s="181"/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0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1" t="s">
        <v>6434</v>
      </c>
      <c r="M5678" s="178">
        <v>46056</v>
      </c>
      <c r="N5678" s="178"/>
      <c r="O5678" s="178"/>
      <c r="P5678" s="178" t="str">
        <f ca="1">IF(Proc[[#This Row],[DaysAgeing]]&gt;5,"yep","on track")</f>
        <v>on track</v>
      </c>
      <c r="Q5678" s="3">
        <f ca="1">IF(Proc[[#This Row],[DateClosed]]="",ABS(NETWORKDAYS(Proc[[#This Row],[DateOpened]],TODAY()))-1,ABS(NETWORKDAYS(Proc[[#This Row],[DateOpened]],Proc[[#This Row],[DateClosed]]))-1)</f>
        <v>1</v>
      </c>
      <c r="R5678" s="180" t="s">
        <v>489</v>
      </c>
      <c r="S5678" s="180"/>
    </row>
    <row r="5679" spans="1:19" hidden="1">
      <c r="A5679" s="180" t="s">
        <v>8019</v>
      </c>
      <c r="B5679" s="181" t="str">
        <f>IFERROR(VLOOKUP(Proc[[#This Row],[App]],Table2[],3,0),"open")</f>
        <v>open</v>
      </c>
      <c r="C5679" s="180" t="s">
        <v>375</v>
      </c>
      <c r="D5679" t="s">
        <v>8046</v>
      </c>
      <c r="E5679" t="s">
        <v>8064</v>
      </c>
      <c r="F5679" s="181"/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0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1" t="s">
        <v>6434</v>
      </c>
      <c r="M5679" s="178">
        <v>46056</v>
      </c>
      <c r="N5679" s="178"/>
      <c r="O5679" s="178"/>
      <c r="P5679" s="178" t="str">
        <f ca="1">IF(Proc[[#This Row],[DaysAgeing]]&gt;5,"yep","on track")</f>
        <v>on track</v>
      </c>
      <c r="Q5679" s="3">
        <f ca="1">IF(Proc[[#This Row],[DateClosed]]="",ABS(NETWORKDAYS(Proc[[#This Row],[DateOpened]],TODAY()))-1,ABS(NETWORKDAYS(Proc[[#This Row],[DateOpened]],Proc[[#This Row],[DateClosed]]))-1)</f>
        <v>1</v>
      </c>
      <c r="R5679" s="180" t="s">
        <v>489</v>
      </c>
      <c r="S5679" s="181"/>
    </row>
    <row r="5680" spans="1:19" hidden="1">
      <c r="A5680" s="180" t="s">
        <v>8019</v>
      </c>
      <c r="B5680" s="181" t="str">
        <f>IFERROR(VLOOKUP(Proc[[#This Row],[App]],Table2[],3,0),"open")</f>
        <v>open</v>
      </c>
      <c r="C5680" s="180" t="s">
        <v>375</v>
      </c>
      <c r="D5680" t="s">
        <v>8047</v>
      </c>
      <c r="E5680" t="s">
        <v>8066</v>
      </c>
      <c r="F5680" s="181"/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0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1" t="s">
        <v>6434</v>
      </c>
      <c r="M5680" s="178">
        <v>46056</v>
      </c>
      <c r="N5680" s="178"/>
      <c r="O5680" s="178"/>
      <c r="P5680" s="178" t="str">
        <f ca="1">IF(Proc[[#This Row],[DaysAgeing]]&gt;5,"yep","on track")</f>
        <v>on track</v>
      </c>
      <c r="Q5680" s="3">
        <f ca="1">IF(Proc[[#This Row],[DateClosed]]="",ABS(NETWORKDAYS(Proc[[#This Row],[DateOpened]],TODAY()))-1,ABS(NETWORKDAYS(Proc[[#This Row],[DateOpened]],Proc[[#This Row],[DateClosed]]))-1)</f>
        <v>1</v>
      </c>
      <c r="R5680" s="180" t="s">
        <v>489</v>
      </c>
      <c r="S5680" s="181"/>
    </row>
    <row r="5681" spans="1:19" hidden="1">
      <c r="A5681" s="180" t="s">
        <v>8019</v>
      </c>
      <c r="B5681" s="181" t="str">
        <f>IFERROR(VLOOKUP(Proc[[#This Row],[App]],Table2[],3,0),"open")</f>
        <v>open</v>
      </c>
      <c r="C5681" s="180" t="s">
        <v>370</v>
      </c>
      <c r="D5681" t="s">
        <v>8048</v>
      </c>
      <c r="E5681" t="s">
        <v>8067</v>
      </c>
      <c r="F5681" s="181"/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0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1" t="s">
        <v>6434</v>
      </c>
      <c r="M5681" s="178">
        <v>46056</v>
      </c>
      <c r="N5681" s="178"/>
      <c r="O5681" s="178"/>
      <c r="P5681" s="178" t="str">
        <f ca="1">IF(Proc[[#This Row],[DaysAgeing]]&gt;5,"yep","on track")</f>
        <v>on track</v>
      </c>
      <c r="Q5681" s="3">
        <f ca="1">IF(Proc[[#This Row],[DateClosed]]="",ABS(NETWORKDAYS(Proc[[#This Row],[DateOpened]],TODAY()))-1,ABS(NETWORKDAYS(Proc[[#This Row],[DateOpened]],Proc[[#This Row],[DateClosed]]))-1)</f>
        <v>1</v>
      </c>
      <c r="R5681" s="180" t="s">
        <v>489</v>
      </c>
      <c r="S5681" s="180"/>
    </row>
    <row r="5682" spans="1:19" hidden="1">
      <c r="A5682" s="180" t="s">
        <v>8019</v>
      </c>
      <c r="B5682" s="181" t="str">
        <f>IFERROR(VLOOKUP(Proc[[#This Row],[App]],Table2[],3,0),"open")</f>
        <v>open</v>
      </c>
      <c r="C5682" s="180" t="s">
        <v>370</v>
      </c>
      <c r="D5682" t="s">
        <v>8049</v>
      </c>
      <c r="E5682" t="s">
        <v>8067</v>
      </c>
      <c r="F5682" s="181"/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0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1" t="s">
        <v>6434</v>
      </c>
      <c r="M5682" s="178">
        <v>46056</v>
      </c>
      <c r="N5682" s="178"/>
      <c r="O5682" s="178"/>
      <c r="P5682" s="178" t="str">
        <f ca="1">IF(Proc[[#This Row],[DaysAgeing]]&gt;5,"yep","on track")</f>
        <v>on track</v>
      </c>
      <c r="Q5682" s="3">
        <f ca="1">IF(Proc[[#This Row],[DateClosed]]="",ABS(NETWORKDAYS(Proc[[#This Row],[DateOpened]],TODAY()))-1,ABS(NETWORKDAYS(Proc[[#This Row],[DateOpened]],Proc[[#This Row],[DateClosed]]))-1)</f>
        <v>1</v>
      </c>
      <c r="R5682" s="180" t="s">
        <v>489</v>
      </c>
      <c r="S5682" s="180"/>
    </row>
    <row r="5683" spans="1:19" hidden="1">
      <c r="A5683" s="180" t="s">
        <v>8019</v>
      </c>
      <c r="B5683" s="181" t="str">
        <f>IFERROR(VLOOKUP(Proc[[#This Row],[App]],Table2[],3,0),"open")</f>
        <v>open</v>
      </c>
      <c r="C5683" s="180" t="s">
        <v>370</v>
      </c>
      <c r="D5683" t="s">
        <v>8050</v>
      </c>
      <c r="E5683" t="s">
        <v>8065</v>
      </c>
      <c r="F5683" s="181"/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0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1" t="s">
        <v>6434</v>
      </c>
      <c r="M5683" s="178">
        <v>46056</v>
      </c>
      <c r="N5683" s="178"/>
      <c r="O5683" s="178"/>
      <c r="P5683" s="178" t="str">
        <f ca="1">IF(Proc[[#This Row],[DaysAgeing]]&gt;5,"yep","on track")</f>
        <v>on track</v>
      </c>
      <c r="Q5683" s="3">
        <f ca="1">IF(Proc[[#This Row],[DateClosed]]="",ABS(NETWORKDAYS(Proc[[#This Row],[DateOpened]],TODAY()))-1,ABS(NETWORKDAYS(Proc[[#This Row],[DateOpened]],Proc[[#This Row],[DateClosed]]))-1)</f>
        <v>1</v>
      </c>
      <c r="R5683" s="180" t="s">
        <v>489</v>
      </c>
      <c r="S5683" s="180"/>
    </row>
    <row r="5684" spans="1:19" hidden="1">
      <c r="A5684" s="180" t="s">
        <v>8019</v>
      </c>
      <c r="B5684" s="181" t="str">
        <f>IFERROR(VLOOKUP(Proc[[#This Row],[App]],Table2[],3,0),"open")</f>
        <v>open</v>
      </c>
      <c r="C5684" s="180" t="s">
        <v>370</v>
      </c>
      <c r="D5684" t="s">
        <v>8051</v>
      </c>
      <c r="E5684" t="s">
        <v>8065</v>
      </c>
      <c r="F5684" s="181"/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0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1" t="s">
        <v>6434</v>
      </c>
      <c r="M5684" s="178">
        <v>46056</v>
      </c>
      <c r="N5684" s="178"/>
      <c r="O5684" s="178"/>
      <c r="P5684" s="178" t="str">
        <f ca="1">IF(Proc[[#This Row],[DaysAgeing]]&gt;5,"yep","on track")</f>
        <v>on track</v>
      </c>
      <c r="Q5684" s="3">
        <f ca="1">IF(Proc[[#This Row],[DateClosed]]="",ABS(NETWORKDAYS(Proc[[#This Row],[DateOpened]],TODAY()))-1,ABS(NETWORKDAYS(Proc[[#This Row],[DateOpened]],Proc[[#This Row],[DateClosed]]))-1)</f>
        <v>1</v>
      </c>
      <c r="R5684" s="180" t="s">
        <v>489</v>
      </c>
      <c r="S5684" s="180"/>
    </row>
    <row r="5685" spans="1:19" hidden="1">
      <c r="A5685" s="180" t="s">
        <v>8019</v>
      </c>
      <c r="B5685" s="181" t="str">
        <f>IFERROR(VLOOKUP(Proc[[#This Row],[App]],Table2[],3,0),"open")</f>
        <v>open</v>
      </c>
      <c r="C5685" s="180" t="s">
        <v>370</v>
      </c>
      <c r="D5685" t="s">
        <v>8052</v>
      </c>
      <c r="E5685" t="s">
        <v>8064</v>
      </c>
      <c r="F5685" s="181"/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0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1" t="s">
        <v>6434</v>
      </c>
      <c r="M5685" s="178">
        <v>46056</v>
      </c>
      <c r="N5685" s="178"/>
      <c r="O5685" s="178"/>
      <c r="P5685" s="178" t="str">
        <f ca="1">IF(Proc[[#This Row],[DaysAgeing]]&gt;5,"yep","on track")</f>
        <v>on track</v>
      </c>
      <c r="Q5685" s="3">
        <f ca="1">IF(Proc[[#This Row],[DateClosed]]="",ABS(NETWORKDAYS(Proc[[#This Row],[DateOpened]],TODAY()))-1,ABS(NETWORKDAYS(Proc[[#This Row],[DateOpened]],Proc[[#This Row],[DateClosed]]))-1)</f>
        <v>1</v>
      </c>
      <c r="R5685" s="180" t="s">
        <v>489</v>
      </c>
      <c r="S5685" s="180"/>
    </row>
    <row r="5686" spans="1:19" hidden="1">
      <c r="A5686" s="180" t="s">
        <v>8019</v>
      </c>
      <c r="B5686" s="181" t="str">
        <f>IFERROR(VLOOKUP(Proc[[#This Row],[App]],Table2[],3,0),"open")</f>
        <v>open</v>
      </c>
      <c r="C5686" s="180" t="s">
        <v>370</v>
      </c>
      <c r="D5686" t="s">
        <v>8053</v>
      </c>
      <c r="E5686" t="s">
        <v>8064</v>
      </c>
      <c r="F5686" s="181"/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0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1" t="s">
        <v>6434</v>
      </c>
      <c r="M5686" s="178">
        <v>46056</v>
      </c>
      <c r="N5686" s="178"/>
      <c r="O5686" s="178"/>
      <c r="P5686" s="178" t="str">
        <f ca="1">IF(Proc[[#This Row],[DaysAgeing]]&gt;5,"yep","on track")</f>
        <v>on track</v>
      </c>
      <c r="Q5686" s="3">
        <f ca="1">IF(Proc[[#This Row],[DateClosed]]="",ABS(NETWORKDAYS(Proc[[#This Row],[DateOpened]],TODAY()))-1,ABS(NETWORKDAYS(Proc[[#This Row],[DateOpened]],Proc[[#This Row],[DateClosed]]))-1)</f>
        <v>1</v>
      </c>
      <c r="R5686" s="180" t="s">
        <v>489</v>
      </c>
      <c r="S5686" s="180"/>
    </row>
    <row r="5687" spans="1:19" hidden="1">
      <c r="A5687" s="180" t="s">
        <v>8019</v>
      </c>
      <c r="B5687" s="181" t="str">
        <f>IFERROR(VLOOKUP(Proc[[#This Row],[App]],Table2[],3,0),"open")</f>
        <v>open</v>
      </c>
      <c r="C5687" s="180" t="s">
        <v>370</v>
      </c>
      <c r="D5687" t="s">
        <v>8054</v>
      </c>
      <c r="E5687" t="s">
        <v>8065</v>
      </c>
      <c r="F5687" s="181"/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0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1" t="s">
        <v>6434</v>
      </c>
      <c r="M5687" s="178">
        <v>46056</v>
      </c>
      <c r="N5687" s="178"/>
      <c r="O5687" s="178"/>
      <c r="P5687" s="178" t="str">
        <f ca="1">IF(Proc[[#This Row],[DaysAgeing]]&gt;5,"yep","on track")</f>
        <v>on track</v>
      </c>
      <c r="Q5687" s="3">
        <f ca="1">IF(Proc[[#This Row],[DateClosed]]="",ABS(NETWORKDAYS(Proc[[#This Row],[DateOpened]],TODAY()))-1,ABS(NETWORKDAYS(Proc[[#This Row],[DateOpened]],Proc[[#This Row],[DateClosed]]))-1)</f>
        <v>1</v>
      </c>
      <c r="R5687" s="180" t="s">
        <v>489</v>
      </c>
      <c r="S5687" s="180"/>
    </row>
    <row r="5688" spans="1:19" hidden="1">
      <c r="A5688" s="180" t="s">
        <v>8019</v>
      </c>
      <c r="B5688" s="181" t="str">
        <f>IFERROR(VLOOKUP(Proc[[#This Row],[App]],Table2[],3,0),"open")</f>
        <v>open</v>
      </c>
      <c r="C5688" s="180" t="s">
        <v>370</v>
      </c>
      <c r="D5688" t="s">
        <v>8055</v>
      </c>
      <c r="E5688" t="s">
        <v>8064</v>
      </c>
      <c r="F5688" s="181"/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0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1" t="s">
        <v>6434</v>
      </c>
      <c r="M5688" s="178">
        <v>46056</v>
      </c>
      <c r="N5688" s="178"/>
      <c r="O5688" s="178"/>
      <c r="P5688" s="178" t="str">
        <f ca="1">IF(Proc[[#This Row],[DaysAgeing]]&gt;5,"yep","on track")</f>
        <v>on track</v>
      </c>
      <c r="Q5688" s="3">
        <f ca="1">IF(Proc[[#This Row],[DateClosed]]="",ABS(NETWORKDAYS(Proc[[#This Row],[DateOpened]],TODAY()))-1,ABS(NETWORKDAYS(Proc[[#This Row],[DateOpened]],Proc[[#This Row],[DateClosed]]))-1)</f>
        <v>1</v>
      </c>
      <c r="R5688" s="180" t="s">
        <v>489</v>
      </c>
      <c r="S5688" s="180"/>
    </row>
    <row r="5689" spans="1:19" hidden="1">
      <c r="A5689" s="180" t="s">
        <v>8019</v>
      </c>
      <c r="B5689" s="181" t="str">
        <f>IFERROR(VLOOKUP(Proc[[#This Row],[App]],Table2[],3,0),"open")</f>
        <v>open</v>
      </c>
      <c r="C5689" s="180" t="s">
        <v>370</v>
      </c>
      <c r="D5689" t="s">
        <v>3146</v>
      </c>
      <c r="E5689" t="s">
        <v>8064</v>
      </c>
      <c r="F5689" s="181"/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0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1" t="s">
        <v>6434</v>
      </c>
      <c r="M5689" s="178">
        <v>46056</v>
      </c>
      <c r="N5689" s="178"/>
      <c r="O5689" s="178"/>
      <c r="P5689" s="178" t="str">
        <f ca="1">IF(Proc[[#This Row],[DaysAgeing]]&gt;5,"yep","on track")</f>
        <v>on track</v>
      </c>
      <c r="Q5689" s="3">
        <f ca="1">IF(Proc[[#This Row],[DateClosed]]="",ABS(NETWORKDAYS(Proc[[#This Row],[DateOpened]],TODAY()))-1,ABS(NETWORKDAYS(Proc[[#This Row],[DateOpened]],Proc[[#This Row],[DateClosed]]))-1)</f>
        <v>1</v>
      </c>
      <c r="R5689" s="180" t="s">
        <v>489</v>
      </c>
      <c r="S5689" s="180"/>
    </row>
    <row r="5690" spans="1:19" hidden="1">
      <c r="A5690" s="180" t="s">
        <v>8019</v>
      </c>
      <c r="B5690" s="181" t="str">
        <f>IFERROR(VLOOKUP(Proc[[#This Row],[App]],Table2[],3,0),"open")</f>
        <v>open</v>
      </c>
      <c r="C5690" s="180" t="s">
        <v>370</v>
      </c>
      <c r="D5690" t="s">
        <v>3151</v>
      </c>
      <c r="E5690" t="s">
        <v>8062</v>
      </c>
      <c r="F5690" s="181"/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0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1" t="s">
        <v>6434</v>
      </c>
      <c r="M5690" s="178">
        <v>46056</v>
      </c>
      <c r="N5690" s="178"/>
      <c r="O5690" s="178"/>
      <c r="P5690" s="178" t="str">
        <f ca="1">IF(Proc[[#This Row],[DaysAgeing]]&gt;5,"yep","on track")</f>
        <v>on track</v>
      </c>
      <c r="Q5690" s="3">
        <f ca="1">IF(Proc[[#This Row],[DateClosed]]="",ABS(NETWORKDAYS(Proc[[#This Row],[DateOpened]],TODAY()))-1,ABS(NETWORKDAYS(Proc[[#This Row],[DateOpened]],Proc[[#This Row],[DateClosed]]))-1)</f>
        <v>1</v>
      </c>
      <c r="R5690" s="180" t="s">
        <v>489</v>
      </c>
      <c r="S5690" s="180"/>
    </row>
    <row r="5691" spans="1:19" hidden="1">
      <c r="A5691" s="180" t="s">
        <v>8019</v>
      </c>
      <c r="B5691" s="181" t="str">
        <f>IFERROR(VLOOKUP(Proc[[#This Row],[App]],Table2[],3,0),"open")</f>
        <v>open</v>
      </c>
      <c r="C5691" s="180" t="s">
        <v>370</v>
      </c>
      <c r="D5691" t="s">
        <v>8056</v>
      </c>
      <c r="E5691" t="s">
        <v>8068</v>
      </c>
      <c r="F5691" s="181"/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0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1" t="s">
        <v>6434</v>
      </c>
      <c r="M5691" s="178">
        <v>46056</v>
      </c>
      <c r="N5691" s="178"/>
      <c r="O5691" s="178"/>
      <c r="P5691" s="178" t="str">
        <f ca="1">IF(Proc[[#This Row],[DaysAgeing]]&gt;5,"yep","on track")</f>
        <v>on track</v>
      </c>
      <c r="Q5691" s="3">
        <f ca="1">IF(Proc[[#This Row],[DateClosed]]="",ABS(NETWORKDAYS(Proc[[#This Row],[DateOpened]],TODAY()))-1,ABS(NETWORKDAYS(Proc[[#This Row],[DateOpened]],Proc[[#This Row],[DateClosed]]))-1)</f>
        <v>1</v>
      </c>
      <c r="R5691" s="180" t="s">
        <v>489</v>
      </c>
      <c r="S5691" s="180"/>
    </row>
    <row r="5692" spans="1:19" hidden="1">
      <c r="A5692" s="180" t="s">
        <v>8019</v>
      </c>
      <c r="B5692" s="181" t="str">
        <f>IFERROR(VLOOKUP(Proc[[#This Row],[App]],Table2[],3,0),"open")</f>
        <v>open</v>
      </c>
      <c r="C5692" s="180" t="s">
        <v>370</v>
      </c>
      <c r="D5692" t="s">
        <v>8057</v>
      </c>
      <c r="E5692" t="s">
        <v>8069</v>
      </c>
      <c r="F5692" s="181"/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0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1" t="s">
        <v>6434</v>
      </c>
      <c r="M5692" s="178">
        <v>46056</v>
      </c>
      <c r="N5692" s="178"/>
      <c r="O5692" s="178"/>
      <c r="P5692" s="178" t="str">
        <f ca="1">IF(Proc[[#This Row],[DaysAgeing]]&gt;5,"yep","on track")</f>
        <v>on track</v>
      </c>
      <c r="Q5692" s="3">
        <f ca="1">IF(Proc[[#This Row],[DateClosed]]="",ABS(NETWORKDAYS(Proc[[#This Row],[DateOpened]],TODAY()))-1,ABS(NETWORKDAYS(Proc[[#This Row],[DateOpened]],Proc[[#This Row],[DateClosed]]))-1)</f>
        <v>1</v>
      </c>
      <c r="R5692" s="180" t="s">
        <v>489</v>
      </c>
      <c r="S5692" s="180"/>
    </row>
    <row r="5693" spans="1:19" hidden="1">
      <c r="A5693" t="s">
        <v>8070</v>
      </c>
      <c r="B5693" s="181" t="str">
        <f>IFERROR(VLOOKUP(Proc[[#This Row],[App]],Table2[],3,0),"open")</f>
        <v>open</v>
      </c>
      <c r="C5693" t="s">
        <v>404</v>
      </c>
      <c r="D5693" t="s">
        <v>8071</v>
      </c>
      <c r="E5693" t="s">
        <v>8135</v>
      </c>
      <c r="F5693" s="181"/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0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1" t="s">
        <v>6434</v>
      </c>
      <c r="M5693" s="178">
        <v>46056</v>
      </c>
      <c r="N5693" s="178"/>
      <c r="O5693" s="178"/>
      <c r="P5693" s="178" t="str">
        <f ca="1">IF(Proc[[#This Row],[DaysAgeing]]&gt;5,"yep","on track")</f>
        <v>on track</v>
      </c>
      <c r="Q5693" s="3">
        <f ca="1">IF(Proc[[#This Row],[DateClosed]]="",ABS(NETWORKDAYS(Proc[[#This Row],[DateOpened]],TODAY()))-1,ABS(NETWORKDAYS(Proc[[#This Row],[DateOpened]],Proc[[#This Row],[DateClosed]]))-1)</f>
        <v>1</v>
      </c>
      <c r="R5693" s="178" t="s">
        <v>5708</v>
      </c>
      <c r="S5693" s="181"/>
    </row>
    <row r="5694" spans="1:19" hidden="1">
      <c r="A5694" s="180" t="s">
        <v>8070</v>
      </c>
      <c r="B5694" s="181" t="str">
        <f>IFERROR(VLOOKUP(Proc[[#This Row],[App]],Table2[],3,0),"open")</f>
        <v>open</v>
      </c>
      <c r="C5694" s="180" t="s">
        <v>404</v>
      </c>
      <c r="D5694" t="s">
        <v>8072</v>
      </c>
      <c r="E5694" t="s">
        <v>8136</v>
      </c>
      <c r="F5694" s="181"/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0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1" t="s">
        <v>6434</v>
      </c>
      <c r="M5694" s="178">
        <v>46056</v>
      </c>
      <c r="N5694" s="178"/>
      <c r="O5694" s="178"/>
      <c r="P5694" s="178" t="str">
        <f ca="1">IF(Proc[[#This Row],[DaysAgeing]]&gt;5,"yep","on track")</f>
        <v>on track</v>
      </c>
      <c r="Q5694" s="3">
        <f ca="1">IF(Proc[[#This Row],[DateClosed]]="",ABS(NETWORKDAYS(Proc[[#This Row],[DateOpened]],TODAY()))-1,ABS(NETWORKDAYS(Proc[[#This Row],[DateOpened]],Proc[[#This Row],[DateClosed]]))-1)</f>
        <v>1</v>
      </c>
      <c r="R5694" s="178" t="s">
        <v>5708</v>
      </c>
      <c r="S5694" s="181"/>
    </row>
    <row r="5695" spans="1:19" hidden="1">
      <c r="A5695" s="180" t="s">
        <v>8070</v>
      </c>
      <c r="B5695" s="181" t="str">
        <f>IFERROR(VLOOKUP(Proc[[#This Row],[App]],Table2[],3,0),"open")</f>
        <v>open</v>
      </c>
      <c r="C5695" s="180" t="s">
        <v>404</v>
      </c>
      <c r="D5695" t="s">
        <v>8073</v>
      </c>
      <c r="E5695" s="180" t="s">
        <v>8139</v>
      </c>
      <c r="F5695" s="181"/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0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1" t="s">
        <v>6434</v>
      </c>
      <c r="M5695" s="178">
        <v>46056</v>
      </c>
      <c r="N5695" s="178"/>
      <c r="O5695" s="178"/>
      <c r="P5695" s="178" t="str">
        <f ca="1">IF(Proc[[#This Row],[DaysAgeing]]&gt;5,"yep","on track")</f>
        <v>on track</v>
      </c>
      <c r="Q5695" s="3">
        <f ca="1">IF(Proc[[#This Row],[DateClosed]]="",ABS(NETWORKDAYS(Proc[[#This Row],[DateOpened]],TODAY()))-1,ABS(NETWORKDAYS(Proc[[#This Row],[DateOpened]],Proc[[#This Row],[DateClosed]]))-1)</f>
        <v>1</v>
      </c>
      <c r="R5695" s="178" t="s">
        <v>5708</v>
      </c>
      <c r="S5695" s="181"/>
    </row>
    <row r="5696" spans="1:19" hidden="1">
      <c r="A5696" s="180" t="s">
        <v>8070</v>
      </c>
      <c r="B5696" s="181" t="str">
        <f>IFERROR(VLOOKUP(Proc[[#This Row],[App]],Table2[],3,0),"open")</f>
        <v>open</v>
      </c>
      <c r="C5696" s="180" t="s">
        <v>404</v>
      </c>
      <c r="D5696" t="s">
        <v>8074</v>
      </c>
      <c r="E5696" t="s">
        <v>8136</v>
      </c>
      <c r="F5696" s="181"/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0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1" t="s">
        <v>6434</v>
      </c>
      <c r="M5696" s="178">
        <v>46056</v>
      </c>
      <c r="N5696" s="178"/>
      <c r="O5696" s="178"/>
      <c r="P5696" s="178" t="str">
        <f ca="1">IF(Proc[[#This Row],[DaysAgeing]]&gt;5,"yep","on track")</f>
        <v>on track</v>
      </c>
      <c r="Q5696" s="3">
        <f ca="1">IF(Proc[[#This Row],[DateClosed]]="",ABS(NETWORKDAYS(Proc[[#This Row],[DateOpened]],TODAY()))-1,ABS(NETWORKDAYS(Proc[[#This Row],[DateOpened]],Proc[[#This Row],[DateClosed]]))-1)</f>
        <v>1</v>
      </c>
      <c r="R5696" s="178" t="s">
        <v>5708</v>
      </c>
      <c r="S5696" s="181"/>
    </row>
    <row r="5697" spans="1:19">
      <c r="A5697" s="180" t="s">
        <v>8070</v>
      </c>
      <c r="B5697" s="181" t="str">
        <f>IFERROR(VLOOKUP(Proc[[#This Row],[App]],Table2[],3,0),"open")</f>
        <v>open</v>
      </c>
      <c r="C5697" s="180" t="s">
        <v>370</v>
      </c>
      <c r="D5697" t="s">
        <v>7811</v>
      </c>
      <c r="E5697" t="s">
        <v>426</v>
      </c>
      <c r="F5697" s="181"/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0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1" t="s">
        <v>6434</v>
      </c>
      <c r="M5697" s="178">
        <v>46056</v>
      </c>
      <c r="N5697" s="178"/>
      <c r="O5697" s="178"/>
      <c r="P5697" s="178" t="str">
        <f ca="1">IF(Proc[[#This Row],[DaysAgeing]]&gt;5,"yep","on track")</f>
        <v>on track</v>
      </c>
      <c r="Q5697" s="3">
        <f ca="1">IF(Proc[[#This Row],[DateClosed]]="",ABS(NETWORKDAYS(Proc[[#This Row],[DateOpened]],TODAY()))-1,ABS(NETWORKDAYS(Proc[[#This Row],[DateOpened]],Proc[[#This Row],[DateClosed]]))-1)</f>
        <v>1</v>
      </c>
      <c r="R5697" s="178" t="s">
        <v>5708</v>
      </c>
      <c r="S5697" s="181"/>
    </row>
    <row r="5698" spans="1:19">
      <c r="A5698" s="180" t="s">
        <v>8070</v>
      </c>
      <c r="B5698" s="181" t="str">
        <f>IFERROR(VLOOKUP(Proc[[#This Row],[App]],Table2[],3,0),"open")</f>
        <v>open</v>
      </c>
      <c r="C5698" s="180" t="s">
        <v>370</v>
      </c>
      <c r="D5698" t="s">
        <v>7812</v>
      </c>
      <c r="E5698" t="s">
        <v>426</v>
      </c>
      <c r="F5698" s="181"/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0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1" t="s">
        <v>6434</v>
      </c>
      <c r="M5698" s="178">
        <v>46056</v>
      </c>
      <c r="N5698" s="178"/>
      <c r="O5698" s="178"/>
      <c r="P5698" s="178" t="str">
        <f ca="1">IF(Proc[[#This Row],[DaysAgeing]]&gt;5,"yep","on track")</f>
        <v>on track</v>
      </c>
      <c r="Q5698" s="3">
        <f ca="1">IF(Proc[[#This Row],[DateClosed]]="",ABS(NETWORKDAYS(Proc[[#This Row],[DateOpened]],TODAY()))-1,ABS(NETWORKDAYS(Proc[[#This Row],[DateOpened]],Proc[[#This Row],[DateClosed]]))-1)</f>
        <v>1</v>
      </c>
      <c r="R5698" s="178" t="s">
        <v>5708</v>
      </c>
      <c r="S5698" s="181"/>
    </row>
    <row r="5699" spans="1:19">
      <c r="A5699" s="180" t="s">
        <v>8070</v>
      </c>
      <c r="B5699" s="181" t="str">
        <f>IFERROR(VLOOKUP(Proc[[#This Row],[App]],Table2[],3,0),"open")</f>
        <v>open</v>
      </c>
      <c r="C5699" s="180" t="s">
        <v>370</v>
      </c>
      <c r="D5699" t="s">
        <v>7813</v>
      </c>
      <c r="E5699" s="180" t="s">
        <v>426</v>
      </c>
      <c r="F5699" s="181"/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0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1" t="s">
        <v>6434</v>
      </c>
      <c r="M5699" s="178">
        <v>46056</v>
      </c>
      <c r="N5699" s="178"/>
      <c r="O5699" s="178"/>
      <c r="P5699" s="178" t="str">
        <f ca="1">IF(Proc[[#This Row],[DaysAgeing]]&gt;5,"yep","on track")</f>
        <v>on track</v>
      </c>
      <c r="Q5699" s="3">
        <f ca="1">IF(Proc[[#This Row],[DateClosed]]="",ABS(NETWORKDAYS(Proc[[#This Row],[DateOpened]],TODAY()))-1,ABS(NETWORKDAYS(Proc[[#This Row],[DateOpened]],Proc[[#This Row],[DateClosed]]))-1)</f>
        <v>1</v>
      </c>
      <c r="R5699" s="178" t="s">
        <v>5708</v>
      </c>
      <c r="S5699" s="181"/>
    </row>
    <row r="5700" spans="1:19">
      <c r="A5700" s="180" t="s">
        <v>8070</v>
      </c>
      <c r="B5700" s="181" t="str">
        <f>IFERROR(VLOOKUP(Proc[[#This Row],[App]],Table2[],3,0),"open")</f>
        <v>open</v>
      </c>
      <c r="C5700" s="180" t="s">
        <v>370</v>
      </c>
      <c r="D5700" t="s">
        <v>7814</v>
      </c>
      <c r="E5700" s="180" t="s">
        <v>426</v>
      </c>
      <c r="F5700" s="181"/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0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1" t="s">
        <v>6434</v>
      </c>
      <c r="M5700" s="178">
        <v>46056</v>
      </c>
      <c r="N5700" s="178"/>
      <c r="O5700" s="178"/>
      <c r="P5700" s="178" t="str">
        <f ca="1">IF(Proc[[#This Row],[DaysAgeing]]&gt;5,"yep","on track")</f>
        <v>on track</v>
      </c>
      <c r="Q5700" s="3">
        <f ca="1">IF(Proc[[#This Row],[DateClosed]]="",ABS(NETWORKDAYS(Proc[[#This Row],[DateOpened]],TODAY()))-1,ABS(NETWORKDAYS(Proc[[#This Row],[DateOpened]],Proc[[#This Row],[DateClosed]]))-1)</f>
        <v>1</v>
      </c>
      <c r="R5700" s="178" t="s">
        <v>5708</v>
      </c>
      <c r="S5700" s="181"/>
    </row>
    <row r="5701" spans="1:19">
      <c r="A5701" s="180" t="s">
        <v>8070</v>
      </c>
      <c r="B5701" s="181" t="str">
        <f>IFERROR(VLOOKUP(Proc[[#This Row],[App]],Table2[],3,0),"open")</f>
        <v>open</v>
      </c>
      <c r="C5701" s="180" t="s">
        <v>370</v>
      </c>
      <c r="D5701" t="s">
        <v>7815</v>
      </c>
      <c r="E5701" s="180" t="s">
        <v>426</v>
      </c>
      <c r="F5701" s="181"/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0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1" t="s">
        <v>6434</v>
      </c>
      <c r="M5701" s="178">
        <v>46056</v>
      </c>
      <c r="N5701" s="178"/>
      <c r="O5701" s="178"/>
      <c r="P5701" s="178" t="str">
        <f ca="1">IF(Proc[[#This Row],[DaysAgeing]]&gt;5,"yep","on track")</f>
        <v>on track</v>
      </c>
      <c r="Q5701" s="3">
        <f ca="1">IF(Proc[[#This Row],[DateClosed]]="",ABS(NETWORKDAYS(Proc[[#This Row],[DateOpened]],TODAY()))-1,ABS(NETWORKDAYS(Proc[[#This Row],[DateOpened]],Proc[[#This Row],[DateClosed]]))-1)</f>
        <v>1</v>
      </c>
      <c r="R5701" s="178" t="s">
        <v>5708</v>
      </c>
      <c r="S5701" s="181"/>
    </row>
    <row r="5702" spans="1:19">
      <c r="A5702" s="180" t="s">
        <v>8070</v>
      </c>
      <c r="B5702" s="181" t="str">
        <f>IFERROR(VLOOKUP(Proc[[#This Row],[App]],Table2[],3,0),"open")</f>
        <v>open</v>
      </c>
      <c r="C5702" s="180" t="s">
        <v>370</v>
      </c>
      <c r="D5702" t="s">
        <v>7816</v>
      </c>
      <c r="E5702" s="180" t="s">
        <v>426</v>
      </c>
      <c r="F5702" s="181"/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0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1" t="s">
        <v>6434</v>
      </c>
      <c r="M5702" s="178">
        <v>46056</v>
      </c>
      <c r="N5702" s="178"/>
      <c r="O5702" s="178"/>
      <c r="P5702" s="178" t="str">
        <f ca="1">IF(Proc[[#This Row],[DaysAgeing]]&gt;5,"yep","on track")</f>
        <v>on track</v>
      </c>
      <c r="Q5702" s="3">
        <f ca="1">IF(Proc[[#This Row],[DateClosed]]="",ABS(NETWORKDAYS(Proc[[#This Row],[DateOpened]],TODAY()))-1,ABS(NETWORKDAYS(Proc[[#This Row],[DateOpened]],Proc[[#This Row],[DateClosed]]))-1)</f>
        <v>1</v>
      </c>
      <c r="R5702" s="178" t="s">
        <v>5708</v>
      </c>
      <c r="S5702" s="181"/>
    </row>
    <row r="5703" spans="1:19">
      <c r="A5703" s="180" t="s">
        <v>8070</v>
      </c>
      <c r="B5703" s="181" t="str">
        <f>IFERROR(VLOOKUP(Proc[[#This Row],[App]],Table2[],3,0),"open")</f>
        <v>open</v>
      </c>
      <c r="C5703" s="180" t="s">
        <v>370</v>
      </c>
      <c r="D5703" t="s">
        <v>7817</v>
      </c>
      <c r="E5703" s="180" t="s">
        <v>426</v>
      </c>
      <c r="F5703" s="181"/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0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1" t="s">
        <v>6434</v>
      </c>
      <c r="M5703" s="178">
        <v>46056</v>
      </c>
      <c r="N5703" s="178"/>
      <c r="O5703" s="178"/>
      <c r="P5703" s="178" t="str">
        <f ca="1">IF(Proc[[#This Row],[DaysAgeing]]&gt;5,"yep","on track")</f>
        <v>on track</v>
      </c>
      <c r="Q5703" s="3">
        <f ca="1">IF(Proc[[#This Row],[DateClosed]]="",ABS(NETWORKDAYS(Proc[[#This Row],[DateOpened]],TODAY()))-1,ABS(NETWORKDAYS(Proc[[#This Row],[DateOpened]],Proc[[#This Row],[DateClosed]]))-1)</f>
        <v>1</v>
      </c>
      <c r="R5703" s="178" t="s">
        <v>5708</v>
      </c>
      <c r="S5703" s="181"/>
    </row>
    <row r="5704" spans="1:19" hidden="1">
      <c r="A5704" s="180" t="s">
        <v>8070</v>
      </c>
      <c r="B5704" s="181" t="str">
        <f>IFERROR(VLOOKUP(Proc[[#This Row],[App]],Table2[],3,0),"open")</f>
        <v>open</v>
      </c>
      <c r="C5704" s="180" t="s">
        <v>404</v>
      </c>
      <c r="D5704" t="s">
        <v>8075</v>
      </c>
      <c r="E5704" t="s">
        <v>8137</v>
      </c>
      <c r="F5704" s="181"/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0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1" t="s">
        <v>6434</v>
      </c>
      <c r="M5704" s="178">
        <v>46056</v>
      </c>
      <c r="N5704" s="178"/>
      <c r="O5704" s="178"/>
      <c r="P5704" s="178" t="str">
        <f ca="1">IF(Proc[[#This Row],[DaysAgeing]]&gt;5,"yep","on track")</f>
        <v>on track</v>
      </c>
      <c r="Q5704" s="3">
        <f ca="1">IF(Proc[[#This Row],[DateClosed]]="",ABS(NETWORKDAYS(Proc[[#This Row],[DateOpened]],TODAY()))-1,ABS(NETWORKDAYS(Proc[[#This Row],[DateOpened]],Proc[[#This Row],[DateClosed]]))-1)</f>
        <v>1</v>
      </c>
      <c r="R5704" s="178" t="s">
        <v>5708</v>
      </c>
      <c r="S5704" s="181"/>
    </row>
    <row r="5705" spans="1:19" hidden="1">
      <c r="A5705" s="180" t="s">
        <v>8070</v>
      </c>
      <c r="B5705" s="181" t="str">
        <f>IFERROR(VLOOKUP(Proc[[#This Row],[App]],Table2[],3,0),"open")</f>
        <v>open</v>
      </c>
      <c r="C5705" s="180" t="s">
        <v>404</v>
      </c>
      <c r="D5705" t="s">
        <v>8076</v>
      </c>
      <c r="E5705" t="s">
        <v>8137</v>
      </c>
      <c r="F5705" s="181"/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0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1" t="s">
        <v>6434</v>
      </c>
      <c r="M5705" s="178">
        <v>46056</v>
      </c>
      <c r="N5705" s="178"/>
      <c r="O5705" s="178"/>
      <c r="P5705" s="178" t="str">
        <f ca="1">IF(Proc[[#This Row],[DaysAgeing]]&gt;5,"yep","on track")</f>
        <v>on track</v>
      </c>
      <c r="Q5705" s="3">
        <f ca="1">IF(Proc[[#This Row],[DateClosed]]="",ABS(NETWORKDAYS(Proc[[#This Row],[DateOpened]],TODAY()))-1,ABS(NETWORKDAYS(Proc[[#This Row],[DateOpened]],Proc[[#This Row],[DateClosed]]))-1)</f>
        <v>1</v>
      </c>
      <c r="R5705" s="178" t="s">
        <v>5708</v>
      </c>
      <c r="S5705" s="181"/>
    </row>
    <row r="5706" spans="1:19">
      <c r="A5706" s="180" t="s">
        <v>8070</v>
      </c>
      <c r="B5706" s="181" t="str">
        <f>IFERROR(VLOOKUP(Proc[[#This Row],[App]],Table2[],3,0),"open")</f>
        <v>open</v>
      </c>
      <c r="C5706" s="180" t="s">
        <v>370</v>
      </c>
      <c r="D5706" t="s">
        <v>8077</v>
      </c>
      <c r="E5706" t="s">
        <v>8137</v>
      </c>
      <c r="F5706" s="181"/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0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1" t="s">
        <v>6434</v>
      </c>
      <c r="M5706" s="178">
        <v>46056</v>
      </c>
      <c r="N5706" s="178"/>
      <c r="O5706" s="178"/>
      <c r="P5706" s="178" t="str">
        <f ca="1">IF(Proc[[#This Row],[DaysAgeing]]&gt;5,"yep","on track")</f>
        <v>on track</v>
      </c>
      <c r="Q5706" s="3">
        <f ca="1">IF(Proc[[#This Row],[DateClosed]]="",ABS(NETWORKDAYS(Proc[[#This Row],[DateOpened]],TODAY()))-1,ABS(NETWORKDAYS(Proc[[#This Row],[DateOpened]],Proc[[#This Row],[DateClosed]]))-1)</f>
        <v>1</v>
      </c>
      <c r="R5706" s="178" t="s">
        <v>5708</v>
      </c>
      <c r="S5706" s="181"/>
    </row>
    <row r="5707" spans="1:19">
      <c r="A5707" s="180" t="s">
        <v>8070</v>
      </c>
      <c r="B5707" s="181" t="str">
        <f>IFERROR(VLOOKUP(Proc[[#This Row],[App]],Table2[],3,0),"open")</f>
        <v>open</v>
      </c>
      <c r="C5707" s="180" t="s">
        <v>370</v>
      </c>
      <c r="D5707" t="s">
        <v>8078</v>
      </c>
      <c r="E5707" t="s">
        <v>8137</v>
      </c>
      <c r="F5707" s="181"/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0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1" t="s">
        <v>6434</v>
      </c>
      <c r="M5707" s="178">
        <v>46056</v>
      </c>
      <c r="N5707" s="178"/>
      <c r="O5707" s="178"/>
      <c r="P5707" s="178" t="str">
        <f ca="1">IF(Proc[[#This Row],[DaysAgeing]]&gt;5,"yep","on track")</f>
        <v>on track</v>
      </c>
      <c r="Q5707" s="3">
        <f ca="1">IF(Proc[[#This Row],[DateClosed]]="",ABS(NETWORKDAYS(Proc[[#This Row],[DateOpened]],TODAY()))-1,ABS(NETWORKDAYS(Proc[[#This Row],[DateOpened]],Proc[[#This Row],[DateClosed]]))-1)</f>
        <v>1</v>
      </c>
      <c r="R5707" s="178" t="s">
        <v>5708</v>
      </c>
      <c r="S5707" s="181"/>
    </row>
    <row r="5708" spans="1:19">
      <c r="A5708" s="180" t="s">
        <v>8070</v>
      </c>
      <c r="B5708" s="181" t="str">
        <f>IFERROR(VLOOKUP(Proc[[#This Row],[App]],Table2[],3,0),"open")</f>
        <v>open</v>
      </c>
      <c r="C5708" s="180" t="s">
        <v>370</v>
      </c>
      <c r="D5708" t="s">
        <v>8079</v>
      </c>
      <c r="E5708" t="s">
        <v>8138</v>
      </c>
      <c r="F5708" s="181"/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0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1" t="s">
        <v>6434</v>
      </c>
      <c r="M5708" s="178">
        <v>46056</v>
      </c>
      <c r="N5708" s="178"/>
      <c r="O5708" s="178"/>
      <c r="P5708" s="178" t="str">
        <f ca="1">IF(Proc[[#This Row],[DaysAgeing]]&gt;5,"yep","on track")</f>
        <v>on track</v>
      </c>
      <c r="Q5708" s="3">
        <f ca="1">IF(Proc[[#This Row],[DateClosed]]="",ABS(NETWORKDAYS(Proc[[#This Row],[DateOpened]],TODAY()))-1,ABS(NETWORKDAYS(Proc[[#This Row],[DateOpened]],Proc[[#This Row],[DateClosed]]))-1)</f>
        <v>1</v>
      </c>
      <c r="R5708" s="178" t="s">
        <v>5708</v>
      </c>
      <c r="S5708" s="181"/>
    </row>
    <row r="5709" spans="1:19">
      <c r="A5709" s="180" t="s">
        <v>8070</v>
      </c>
      <c r="B5709" s="181" t="str">
        <f>IFERROR(VLOOKUP(Proc[[#This Row],[App]],Table2[],3,0),"open")</f>
        <v>open</v>
      </c>
      <c r="C5709" s="180" t="s">
        <v>370</v>
      </c>
      <c r="D5709" t="s">
        <v>8080</v>
      </c>
      <c r="E5709" t="s">
        <v>8138</v>
      </c>
      <c r="F5709" s="181"/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0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1" t="s">
        <v>6434</v>
      </c>
      <c r="M5709" s="178">
        <v>46056</v>
      </c>
      <c r="N5709" s="178"/>
      <c r="O5709" s="178"/>
      <c r="P5709" s="178" t="str">
        <f ca="1">IF(Proc[[#This Row],[DaysAgeing]]&gt;5,"yep","on track")</f>
        <v>on track</v>
      </c>
      <c r="Q5709" s="3">
        <f ca="1">IF(Proc[[#This Row],[DateClosed]]="",ABS(NETWORKDAYS(Proc[[#This Row],[DateOpened]],TODAY()))-1,ABS(NETWORKDAYS(Proc[[#This Row],[DateOpened]],Proc[[#This Row],[DateClosed]]))-1)</f>
        <v>1</v>
      </c>
      <c r="R5709" s="178" t="s">
        <v>5708</v>
      </c>
      <c r="S5709" s="181"/>
    </row>
    <row r="5710" spans="1:19">
      <c r="A5710" s="180" t="s">
        <v>8070</v>
      </c>
      <c r="B5710" s="181" t="str">
        <f>IFERROR(VLOOKUP(Proc[[#This Row],[App]],Table2[],3,0),"open")</f>
        <v>open</v>
      </c>
      <c r="C5710" s="180" t="s">
        <v>370</v>
      </c>
      <c r="D5710" t="s">
        <v>8081</v>
      </c>
      <c r="E5710" t="s">
        <v>8138</v>
      </c>
      <c r="F5710" s="181"/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0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1" t="s">
        <v>6434</v>
      </c>
      <c r="M5710" s="178">
        <v>46056</v>
      </c>
      <c r="N5710" s="178"/>
      <c r="O5710" s="178"/>
      <c r="P5710" s="178" t="str">
        <f ca="1">IF(Proc[[#This Row],[DaysAgeing]]&gt;5,"yep","on track")</f>
        <v>on track</v>
      </c>
      <c r="Q5710" s="3">
        <f ca="1">IF(Proc[[#This Row],[DateClosed]]="",ABS(NETWORKDAYS(Proc[[#This Row],[DateOpened]],TODAY()))-1,ABS(NETWORKDAYS(Proc[[#This Row],[DateOpened]],Proc[[#This Row],[DateClosed]]))-1)</f>
        <v>1</v>
      </c>
      <c r="R5710" s="178" t="s">
        <v>5708</v>
      </c>
      <c r="S5710" s="181"/>
    </row>
    <row r="5711" spans="1:19">
      <c r="A5711" s="180" t="s">
        <v>8070</v>
      </c>
      <c r="B5711" s="181" t="str">
        <f>IFERROR(VLOOKUP(Proc[[#This Row],[App]],Table2[],3,0),"open")</f>
        <v>open</v>
      </c>
      <c r="C5711" s="180" t="s">
        <v>370</v>
      </c>
      <c r="D5711" t="s">
        <v>8082</v>
      </c>
      <c r="E5711" t="s">
        <v>8138</v>
      </c>
      <c r="F5711" s="181"/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0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1" t="s">
        <v>6434</v>
      </c>
      <c r="M5711" s="178">
        <v>46056</v>
      </c>
      <c r="N5711" s="178"/>
      <c r="O5711" s="178"/>
      <c r="P5711" s="178" t="str">
        <f ca="1">IF(Proc[[#This Row],[DaysAgeing]]&gt;5,"yep","on track")</f>
        <v>on track</v>
      </c>
      <c r="Q5711" s="3">
        <f ca="1">IF(Proc[[#This Row],[DateClosed]]="",ABS(NETWORKDAYS(Proc[[#This Row],[DateOpened]],TODAY()))-1,ABS(NETWORKDAYS(Proc[[#This Row],[DateOpened]],Proc[[#This Row],[DateClosed]]))-1)</f>
        <v>1</v>
      </c>
      <c r="R5711" s="178" t="s">
        <v>5708</v>
      </c>
      <c r="S5711" s="181"/>
    </row>
    <row r="5712" spans="1:19">
      <c r="A5712" s="180" t="s">
        <v>8070</v>
      </c>
      <c r="B5712" s="181" t="str">
        <f>IFERROR(VLOOKUP(Proc[[#This Row],[App]],Table2[],3,0),"open")</f>
        <v>open</v>
      </c>
      <c r="C5712" s="180" t="s">
        <v>370</v>
      </c>
      <c r="D5712" t="s">
        <v>8083</v>
      </c>
      <c r="E5712" t="s">
        <v>8138</v>
      </c>
      <c r="F5712" s="181"/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0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1" t="s">
        <v>6434</v>
      </c>
      <c r="M5712" s="178">
        <v>46056</v>
      </c>
      <c r="N5712" s="178"/>
      <c r="O5712" s="178"/>
      <c r="P5712" s="178" t="str">
        <f ca="1">IF(Proc[[#This Row],[DaysAgeing]]&gt;5,"yep","on track")</f>
        <v>on track</v>
      </c>
      <c r="Q5712" s="3">
        <f ca="1">IF(Proc[[#This Row],[DateClosed]]="",ABS(NETWORKDAYS(Proc[[#This Row],[DateOpened]],TODAY()))-1,ABS(NETWORKDAYS(Proc[[#This Row],[DateOpened]],Proc[[#This Row],[DateClosed]]))-1)</f>
        <v>1</v>
      </c>
      <c r="R5712" s="178" t="s">
        <v>5708</v>
      </c>
      <c r="S5712" s="181"/>
    </row>
    <row r="5713" spans="1:19">
      <c r="A5713" s="180" t="s">
        <v>8070</v>
      </c>
      <c r="B5713" s="181" t="str">
        <f>IFERROR(VLOOKUP(Proc[[#This Row],[App]],Table2[],3,0),"open")</f>
        <v>open</v>
      </c>
      <c r="C5713" s="180" t="s">
        <v>370</v>
      </c>
      <c r="D5713" t="s">
        <v>8084</v>
      </c>
      <c r="E5713" t="s">
        <v>8138</v>
      </c>
      <c r="F5713" s="181"/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0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1" t="s">
        <v>6434</v>
      </c>
      <c r="M5713" s="178">
        <v>46056</v>
      </c>
      <c r="N5713" s="178"/>
      <c r="O5713" s="178"/>
      <c r="P5713" s="178" t="str">
        <f ca="1">IF(Proc[[#This Row],[DaysAgeing]]&gt;5,"yep","on track")</f>
        <v>on track</v>
      </c>
      <c r="Q5713" s="3">
        <f ca="1">IF(Proc[[#This Row],[DateClosed]]="",ABS(NETWORKDAYS(Proc[[#This Row],[DateOpened]],TODAY()))-1,ABS(NETWORKDAYS(Proc[[#This Row],[DateOpened]],Proc[[#This Row],[DateClosed]]))-1)</f>
        <v>1</v>
      </c>
      <c r="R5713" s="178" t="s">
        <v>5708</v>
      </c>
      <c r="S5713" s="181"/>
    </row>
    <row r="5714" spans="1:19">
      <c r="A5714" s="180" t="s">
        <v>8070</v>
      </c>
      <c r="B5714" s="181" t="str">
        <f>IFERROR(VLOOKUP(Proc[[#This Row],[App]],Table2[],3,0),"open")</f>
        <v>open</v>
      </c>
      <c r="C5714" s="180" t="s">
        <v>370</v>
      </c>
      <c r="D5714" t="s">
        <v>8085</v>
      </c>
      <c r="E5714" t="s">
        <v>8138</v>
      </c>
      <c r="F5714" s="181"/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0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1" t="s">
        <v>6434</v>
      </c>
      <c r="M5714" s="178">
        <v>46056</v>
      </c>
      <c r="N5714" s="178"/>
      <c r="O5714" s="178"/>
      <c r="P5714" s="178" t="str">
        <f ca="1">IF(Proc[[#This Row],[DaysAgeing]]&gt;5,"yep","on track")</f>
        <v>on track</v>
      </c>
      <c r="Q5714" s="3">
        <f ca="1">IF(Proc[[#This Row],[DateClosed]]="",ABS(NETWORKDAYS(Proc[[#This Row],[DateOpened]],TODAY()))-1,ABS(NETWORKDAYS(Proc[[#This Row],[DateOpened]],Proc[[#This Row],[DateClosed]]))-1)</f>
        <v>1</v>
      </c>
      <c r="R5714" s="178" t="s">
        <v>5708</v>
      </c>
      <c r="S5714" s="181"/>
    </row>
    <row r="5715" spans="1:19">
      <c r="A5715" s="180" t="s">
        <v>8070</v>
      </c>
      <c r="B5715" s="181" t="str">
        <f>IFERROR(VLOOKUP(Proc[[#This Row],[App]],Table2[],3,0),"open")</f>
        <v>open</v>
      </c>
      <c r="C5715" s="180" t="s">
        <v>370</v>
      </c>
      <c r="D5715" t="s">
        <v>8086</v>
      </c>
      <c r="E5715" t="s">
        <v>8138</v>
      </c>
      <c r="F5715" s="181"/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0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1" t="s">
        <v>6434</v>
      </c>
      <c r="M5715" s="178">
        <v>46056</v>
      </c>
      <c r="N5715" s="178"/>
      <c r="O5715" s="178"/>
      <c r="P5715" s="178" t="str">
        <f ca="1">IF(Proc[[#This Row],[DaysAgeing]]&gt;5,"yep","on track")</f>
        <v>on track</v>
      </c>
      <c r="Q5715" s="3">
        <f ca="1">IF(Proc[[#This Row],[DateClosed]]="",ABS(NETWORKDAYS(Proc[[#This Row],[DateOpened]],TODAY()))-1,ABS(NETWORKDAYS(Proc[[#This Row],[DateOpened]],Proc[[#This Row],[DateClosed]]))-1)</f>
        <v>1</v>
      </c>
      <c r="R5715" s="178" t="s">
        <v>5708</v>
      </c>
      <c r="S5715" s="181"/>
    </row>
    <row r="5716" spans="1:19">
      <c r="A5716" s="180" t="s">
        <v>8070</v>
      </c>
      <c r="B5716" s="181" t="str">
        <f>IFERROR(VLOOKUP(Proc[[#This Row],[App]],Table2[],3,0),"open")</f>
        <v>open</v>
      </c>
      <c r="C5716" s="180" t="s">
        <v>370</v>
      </c>
      <c r="D5716" t="s">
        <v>8087</v>
      </c>
      <c r="E5716" t="s">
        <v>8138</v>
      </c>
      <c r="F5716" s="181"/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0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1" t="s">
        <v>6434</v>
      </c>
      <c r="M5716" s="178">
        <v>46056</v>
      </c>
      <c r="N5716" s="178"/>
      <c r="O5716" s="178"/>
      <c r="P5716" s="178" t="str">
        <f ca="1">IF(Proc[[#This Row],[DaysAgeing]]&gt;5,"yep","on track")</f>
        <v>on track</v>
      </c>
      <c r="Q5716" s="3">
        <f ca="1">IF(Proc[[#This Row],[DateClosed]]="",ABS(NETWORKDAYS(Proc[[#This Row],[DateOpened]],TODAY()))-1,ABS(NETWORKDAYS(Proc[[#This Row],[DateOpened]],Proc[[#This Row],[DateClosed]]))-1)</f>
        <v>1</v>
      </c>
      <c r="R5716" s="178" t="s">
        <v>5708</v>
      </c>
      <c r="S5716" s="181"/>
    </row>
    <row r="5717" spans="1:19">
      <c r="A5717" s="180" t="s">
        <v>8070</v>
      </c>
      <c r="B5717" s="181" t="str">
        <f>IFERROR(VLOOKUP(Proc[[#This Row],[App]],Table2[],3,0),"open")</f>
        <v>open</v>
      </c>
      <c r="C5717" s="180" t="s">
        <v>370</v>
      </c>
      <c r="D5717" t="s">
        <v>8088</v>
      </c>
      <c r="E5717" t="s">
        <v>8138</v>
      </c>
      <c r="F5717" s="181"/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0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1" t="s">
        <v>6434</v>
      </c>
      <c r="M5717" s="178">
        <v>46056</v>
      </c>
      <c r="N5717" s="178"/>
      <c r="O5717" s="178"/>
      <c r="P5717" s="178" t="str">
        <f ca="1">IF(Proc[[#This Row],[DaysAgeing]]&gt;5,"yep","on track")</f>
        <v>on track</v>
      </c>
      <c r="Q5717" s="3">
        <f ca="1">IF(Proc[[#This Row],[DateClosed]]="",ABS(NETWORKDAYS(Proc[[#This Row],[DateOpened]],TODAY()))-1,ABS(NETWORKDAYS(Proc[[#This Row],[DateOpened]],Proc[[#This Row],[DateClosed]]))-1)</f>
        <v>1</v>
      </c>
      <c r="R5717" s="178" t="s">
        <v>5708</v>
      </c>
      <c r="S5717" s="181"/>
    </row>
    <row r="5718" spans="1:19">
      <c r="A5718" s="180" t="s">
        <v>8070</v>
      </c>
      <c r="B5718" s="181" t="str">
        <f>IFERROR(VLOOKUP(Proc[[#This Row],[App]],Table2[],3,0),"open")</f>
        <v>open</v>
      </c>
      <c r="C5718" s="180" t="s">
        <v>370</v>
      </c>
      <c r="D5718" t="s">
        <v>8089</v>
      </c>
      <c r="E5718" t="s">
        <v>8138</v>
      </c>
      <c r="F5718" s="181"/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0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1" t="s">
        <v>6434</v>
      </c>
      <c r="M5718" s="178">
        <v>46056</v>
      </c>
      <c r="N5718" s="178"/>
      <c r="O5718" s="178"/>
      <c r="P5718" s="178" t="str">
        <f ca="1">IF(Proc[[#This Row],[DaysAgeing]]&gt;5,"yep","on track")</f>
        <v>on track</v>
      </c>
      <c r="Q5718" s="3">
        <f ca="1">IF(Proc[[#This Row],[DateClosed]]="",ABS(NETWORKDAYS(Proc[[#This Row],[DateOpened]],TODAY()))-1,ABS(NETWORKDAYS(Proc[[#This Row],[DateOpened]],Proc[[#This Row],[DateClosed]]))-1)</f>
        <v>1</v>
      </c>
      <c r="R5718" s="178" t="s">
        <v>5708</v>
      </c>
      <c r="S5718" s="181"/>
    </row>
    <row r="5719" spans="1:19">
      <c r="A5719" s="180" t="s">
        <v>8070</v>
      </c>
      <c r="B5719" s="181" t="str">
        <f>IFERROR(VLOOKUP(Proc[[#This Row],[App]],Table2[],3,0),"open")</f>
        <v>open</v>
      </c>
      <c r="C5719" s="180" t="s">
        <v>370</v>
      </c>
      <c r="D5719" t="s">
        <v>8090</v>
      </c>
      <c r="E5719" t="s">
        <v>8138</v>
      </c>
      <c r="F5719" s="181"/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0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1" t="s">
        <v>6434</v>
      </c>
      <c r="M5719" s="178">
        <v>46056</v>
      </c>
      <c r="N5719" s="178"/>
      <c r="O5719" s="178"/>
      <c r="P5719" s="178" t="str">
        <f ca="1">IF(Proc[[#This Row],[DaysAgeing]]&gt;5,"yep","on track")</f>
        <v>on track</v>
      </c>
      <c r="Q5719" s="3">
        <f ca="1">IF(Proc[[#This Row],[DateClosed]]="",ABS(NETWORKDAYS(Proc[[#This Row],[DateOpened]],TODAY()))-1,ABS(NETWORKDAYS(Proc[[#This Row],[DateOpened]],Proc[[#This Row],[DateClosed]]))-1)</f>
        <v>1</v>
      </c>
      <c r="R5719" s="178" t="s">
        <v>5708</v>
      </c>
      <c r="S5719" s="181"/>
    </row>
    <row r="5720" spans="1:19">
      <c r="A5720" s="180" t="s">
        <v>8070</v>
      </c>
      <c r="B5720" s="181" t="str">
        <f>IFERROR(VLOOKUP(Proc[[#This Row],[App]],Table2[],3,0),"open")</f>
        <v>open</v>
      </c>
      <c r="C5720" s="180" t="s">
        <v>370</v>
      </c>
      <c r="D5720" t="s">
        <v>8091</v>
      </c>
      <c r="E5720" t="s">
        <v>8138</v>
      </c>
      <c r="F5720" s="181"/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0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1" t="s">
        <v>6434</v>
      </c>
      <c r="M5720" s="178">
        <v>46056</v>
      </c>
      <c r="N5720" s="178"/>
      <c r="O5720" s="178"/>
      <c r="P5720" s="178" t="str">
        <f ca="1">IF(Proc[[#This Row],[DaysAgeing]]&gt;5,"yep","on track")</f>
        <v>on track</v>
      </c>
      <c r="Q5720" s="3">
        <f ca="1">IF(Proc[[#This Row],[DateClosed]]="",ABS(NETWORKDAYS(Proc[[#This Row],[DateOpened]],TODAY()))-1,ABS(NETWORKDAYS(Proc[[#This Row],[DateOpened]],Proc[[#This Row],[DateClosed]]))-1)</f>
        <v>1</v>
      </c>
      <c r="R5720" s="178" t="s">
        <v>5708</v>
      </c>
      <c r="S5720" s="181"/>
    </row>
    <row r="5721" spans="1:19">
      <c r="A5721" s="180" t="s">
        <v>8070</v>
      </c>
      <c r="B5721" s="181" t="str">
        <f>IFERROR(VLOOKUP(Proc[[#This Row],[App]],Table2[],3,0),"open")</f>
        <v>open</v>
      </c>
      <c r="C5721" s="180" t="s">
        <v>370</v>
      </c>
      <c r="D5721" t="s">
        <v>8092</v>
      </c>
      <c r="E5721" t="s">
        <v>8138</v>
      </c>
      <c r="F5721" s="181"/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0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1" t="s">
        <v>6434</v>
      </c>
      <c r="M5721" s="178">
        <v>46056</v>
      </c>
      <c r="N5721" s="178"/>
      <c r="O5721" s="178"/>
      <c r="P5721" s="178" t="str">
        <f ca="1">IF(Proc[[#This Row],[DaysAgeing]]&gt;5,"yep","on track")</f>
        <v>on track</v>
      </c>
      <c r="Q5721" s="3">
        <f ca="1">IF(Proc[[#This Row],[DateClosed]]="",ABS(NETWORKDAYS(Proc[[#This Row],[DateOpened]],TODAY()))-1,ABS(NETWORKDAYS(Proc[[#This Row],[DateOpened]],Proc[[#This Row],[DateClosed]]))-1)</f>
        <v>1</v>
      </c>
      <c r="R5721" s="178" t="s">
        <v>5708</v>
      </c>
      <c r="S5721" s="181"/>
    </row>
    <row r="5722" spans="1:19">
      <c r="A5722" s="180" t="s">
        <v>8070</v>
      </c>
      <c r="B5722" s="181" t="str">
        <f>IFERROR(VLOOKUP(Proc[[#This Row],[App]],Table2[],3,0),"open")</f>
        <v>open</v>
      </c>
      <c r="C5722" s="180" t="s">
        <v>370</v>
      </c>
      <c r="D5722" t="s">
        <v>8093</v>
      </c>
      <c r="E5722" t="s">
        <v>8138</v>
      </c>
      <c r="F5722" s="181"/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0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1" t="s">
        <v>6434</v>
      </c>
      <c r="M5722" s="178">
        <v>46056</v>
      </c>
      <c r="N5722" s="178"/>
      <c r="O5722" s="178"/>
      <c r="P5722" s="178" t="str">
        <f ca="1">IF(Proc[[#This Row],[DaysAgeing]]&gt;5,"yep","on track")</f>
        <v>on track</v>
      </c>
      <c r="Q5722" s="3">
        <f ca="1">IF(Proc[[#This Row],[DateClosed]]="",ABS(NETWORKDAYS(Proc[[#This Row],[DateOpened]],TODAY()))-1,ABS(NETWORKDAYS(Proc[[#This Row],[DateOpened]],Proc[[#This Row],[DateClosed]]))-1)</f>
        <v>1</v>
      </c>
      <c r="R5722" s="178" t="s">
        <v>5708</v>
      </c>
      <c r="S5722" s="181"/>
    </row>
    <row r="5723" spans="1:19">
      <c r="A5723" s="180" t="s">
        <v>8070</v>
      </c>
      <c r="B5723" s="181" t="str">
        <f>IFERROR(VLOOKUP(Proc[[#This Row],[App]],Table2[],3,0),"open")</f>
        <v>open</v>
      </c>
      <c r="C5723" s="180" t="s">
        <v>370</v>
      </c>
      <c r="D5723" t="s">
        <v>8094</v>
      </c>
      <c r="E5723" t="s">
        <v>8138</v>
      </c>
      <c r="F5723" s="181"/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0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1" t="s">
        <v>6434</v>
      </c>
      <c r="M5723" s="178">
        <v>46056</v>
      </c>
      <c r="N5723" s="178"/>
      <c r="O5723" s="178"/>
      <c r="P5723" s="178" t="str">
        <f ca="1">IF(Proc[[#This Row],[DaysAgeing]]&gt;5,"yep","on track")</f>
        <v>on track</v>
      </c>
      <c r="Q5723" s="3">
        <f ca="1">IF(Proc[[#This Row],[DateClosed]]="",ABS(NETWORKDAYS(Proc[[#This Row],[DateOpened]],TODAY()))-1,ABS(NETWORKDAYS(Proc[[#This Row],[DateOpened]],Proc[[#This Row],[DateClosed]]))-1)</f>
        <v>1</v>
      </c>
      <c r="R5723" s="178" t="s">
        <v>5708</v>
      </c>
      <c r="S5723" s="181"/>
    </row>
    <row r="5724" spans="1:19">
      <c r="A5724" s="180" t="s">
        <v>8070</v>
      </c>
      <c r="B5724" s="181" t="str">
        <f>IFERROR(VLOOKUP(Proc[[#This Row],[App]],Table2[],3,0),"open")</f>
        <v>open</v>
      </c>
      <c r="C5724" s="180" t="s">
        <v>370</v>
      </c>
      <c r="D5724" t="s">
        <v>8095</v>
      </c>
      <c r="E5724" t="s">
        <v>8138</v>
      </c>
      <c r="F5724" s="181"/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0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1" t="s">
        <v>6434</v>
      </c>
      <c r="M5724" s="178">
        <v>46056</v>
      </c>
      <c r="N5724" s="178"/>
      <c r="O5724" s="178"/>
      <c r="P5724" s="178" t="str">
        <f ca="1">IF(Proc[[#This Row],[DaysAgeing]]&gt;5,"yep","on track")</f>
        <v>on track</v>
      </c>
      <c r="Q5724" s="3">
        <f ca="1">IF(Proc[[#This Row],[DateClosed]]="",ABS(NETWORKDAYS(Proc[[#This Row],[DateOpened]],TODAY()))-1,ABS(NETWORKDAYS(Proc[[#This Row],[DateOpened]],Proc[[#This Row],[DateClosed]]))-1)</f>
        <v>1</v>
      </c>
      <c r="R5724" s="178" t="s">
        <v>5708</v>
      </c>
      <c r="S5724" s="181"/>
    </row>
    <row r="5725" spans="1:19">
      <c r="A5725" s="180" t="s">
        <v>8070</v>
      </c>
      <c r="B5725" s="181" t="str">
        <f>IFERROR(VLOOKUP(Proc[[#This Row],[App]],Table2[],3,0),"open")</f>
        <v>open</v>
      </c>
      <c r="C5725" s="180" t="s">
        <v>370</v>
      </c>
      <c r="D5725" t="s">
        <v>8096</v>
      </c>
      <c r="E5725" t="s">
        <v>8138</v>
      </c>
      <c r="F5725" s="181"/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0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1" t="s">
        <v>6434</v>
      </c>
      <c r="M5725" s="178">
        <v>46056</v>
      </c>
      <c r="N5725" s="178"/>
      <c r="O5725" s="178"/>
      <c r="P5725" s="178" t="str">
        <f ca="1">IF(Proc[[#This Row],[DaysAgeing]]&gt;5,"yep","on track")</f>
        <v>on track</v>
      </c>
      <c r="Q5725" s="3">
        <f ca="1">IF(Proc[[#This Row],[DateClosed]]="",ABS(NETWORKDAYS(Proc[[#This Row],[DateOpened]],TODAY()))-1,ABS(NETWORKDAYS(Proc[[#This Row],[DateOpened]],Proc[[#This Row],[DateClosed]]))-1)</f>
        <v>1</v>
      </c>
      <c r="R5725" s="178" t="s">
        <v>5708</v>
      </c>
      <c r="S5725" s="181"/>
    </row>
    <row r="5726" spans="1:19">
      <c r="A5726" s="180" t="s">
        <v>8070</v>
      </c>
      <c r="B5726" s="181" t="str">
        <f>IFERROR(VLOOKUP(Proc[[#This Row],[App]],Table2[],3,0),"open")</f>
        <v>open</v>
      </c>
      <c r="C5726" s="180" t="s">
        <v>370</v>
      </c>
      <c r="D5726" t="s">
        <v>8097</v>
      </c>
      <c r="E5726" t="s">
        <v>8138</v>
      </c>
      <c r="F5726" s="181"/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0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1" t="s">
        <v>6434</v>
      </c>
      <c r="M5726" s="178">
        <v>46056</v>
      </c>
      <c r="N5726" s="178"/>
      <c r="O5726" s="178"/>
      <c r="P5726" s="178" t="str">
        <f ca="1">IF(Proc[[#This Row],[DaysAgeing]]&gt;5,"yep","on track")</f>
        <v>on track</v>
      </c>
      <c r="Q5726" s="3">
        <f ca="1">IF(Proc[[#This Row],[DateClosed]]="",ABS(NETWORKDAYS(Proc[[#This Row],[DateOpened]],TODAY()))-1,ABS(NETWORKDAYS(Proc[[#This Row],[DateOpened]],Proc[[#This Row],[DateClosed]]))-1)</f>
        <v>1</v>
      </c>
      <c r="R5726" s="178" t="s">
        <v>5708</v>
      </c>
      <c r="S5726" s="181"/>
    </row>
    <row r="5727" spans="1:19">
      <c r="A5727" s="180" t="s">
        <v>8070</v>
      </c>
      <c r="B5727" s="181" t="str">
        <f>IFERROR(VLOOKUP(Proc[[#This Row],[App]],Table2[],3,0),"open")</f>
        <v>open</v>
      </c>
      <c r="C5727" s="180" t="s">
        <v>370</v>
      </c>
      <c r="D5727" t="s">
        <v>8098</v>
      </c>
      <c r="E5727" t="s">
        <v>8138</v>
      </c>
      <c r="F5727" s="181"/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0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1" t="s">
        <v>6434</v>
      </c>
      <c r="M5727" s="178">
        <v>46056</v>
      </c>
      <c r="N5727" s="178"/>
      <c r="O5727" s="178"/>
      <c r="P5727" s="178" t="str">
        <f ca="1">IF(Proc[[#This Row],[DaysAgeing]]&gt;5,"yep","on track")</f>
        <v>on track</v>
      </c>
      <c r="Q5727" s="3">
        <f ca="1">IF(Proc[[#This Row],[DateClosed]]="",ABS(NETWORKDAYS(Proc[[#This Row],[DateOpened]],TODAY()))-1,ABS(NETWORKDAYS(Proc[[#This Row],[DateOpened]],Proc[[#This Row],[DateClosed]]))-1)</f>
        <v>1</v>
      </c>
      <c r="R5727" s="178" t="s">
        <v>5708</v>
      </c>
      <c r="S5727" s="181"/>
    </row>
    <row r="5728" spans="1:19">
      <c r="A5728" s="180" t="s">
        <v>8070</v>
      </c>
      <c r="B5728" s="181" t="str">
        <f>IFERROR(VLOOKUP(Proc[[#This Row],[App]],Table2[],3,0),"open")</f>
        <v>open</v>
      </c>
      <c r="C5728" s="180" t="s">
        <v>370</v>
      </c>
      <c r="D5728" t="s">
        <v>8099</v>
      </c>
      <c r="E5728" t="s">
        <v>8138</v>
      </c>
      <c r="F5728" s="181"/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0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1" t="s">
        <v>6434</v>
      </c>
      <c r="M5728" s="178">
        <v>46056</v>
      </c>
      <c r="N5728" s="178"/>
      <c r="O5728" s="178"/>
      <c r="P5728" s="178" t="str">
        <f ca="1">IF(Proc[[#This Row],[DaysAgeing]]&gt;5,"yep","on track")</f>
        <v>on track</v>
      </c>
      <c r="Q5728" s="3">
        <f ca="1">IF(Proc[[#This Row],[DateClosed]]="",ABS(NETWORKDAYS(Proc[[#This Row],[DateOpened]],TODAY()))-1,ABS(NETWORKDAYS(Proc[[#This Row],[DateOpened]],Proc[[#This Row],[DateClosed]]))-1)</f>
        <v>1</v>
      </c>
      <c r="R5728" s="178" t="s">
        <v>5708</v>
      </c>
      <c r="S5728" s="181"/>
    </row>
    <row r="5729" spans="1:19">
      <c r="A5729" s="180" t="s">
        <v>8070</v>
      </c>
      <c r="B5729" s="181" t="str">
        <f>IFERROR(VLOOKUP(Proc[[#This Row],[App]],Table2[],3,0),"open")</f>
        <v>open</v>
      </c>
      <c r="C5729" s="180" t="s">
        <v>370</v>
      </c>
      <c r="D5729" t="s">
        <v>8100</v>
      </c>
      <c r="E5729" t="s">
        <v>8138</v>
      </c>
      <c r="F5729" s="181"/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0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1" t="s">
        <v>6434</v>
      </c>
      <c r="M5729" s="178">
        <v>46056</v>
      </c>
      <c r="N5729" s="178"/>
      <c r="O5729" s="178"/>
      <c r="P5729" s="178" t="str">
        <f ca="1">IF(Proc[[#This Row],[DaysAgeing]]&gt;5,"yep","on track")</f>
        <v>on track</v>
      </c>
      <c r="Q5729" s="3">
        <f ca="1">IF(Proc[[#This Row],[DateClosed]]="",ABS(NETWORKDAYS(Proc[[#This Row],[DateOpened]],TODAY()))-1,ABS(NETWORKDAYS(Proc[[#This Row],[DateOpened]],Proc[[#This Row],[DateClosed]]))-1)</f>
        <v>1</v>
      </c>
      <c r="R5729" s="178" t="s">
        <v>5708</v>
      </c>
      <c r="S5729" s="181"/>
    </row>
    <row r="5730" spans="1:19">
      <c r="A5730" s="180" t="s">
        <v>8070</v>
      </c>
      <c r="B5730" s="181" t="str">
        <f>IFERROR(VLOOKUP(Proc[[#This Row],[App]],Table2[],3,0),"open")</f>
        <v>open</v>
      </c>
      <c r="C5730" s="180" t="s">
        <v>370</v>
      </c>
      <c r="D5730" t="s">
        <v>8101</v>
      </c>
      <c r="E5730" t="s">
        <v>8138</v>
      </c>
      <c r="F5730" s="181"/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0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1" t="s">
        <v>6434</v>
      </c>
      <c r="M5730" s="178">
        <v>46056</v>
      </c>
      <c r="N5730" s="178"/>
      <c r="O5730" s="178"/>
      <c r="P5730" s="178" t="str">
        <f ca="1">IF(Proc[[#This Row],[DaysAgeing]]&gt;5,"yep","on track")</f>
        <v>on track</v>
      </c>
      <c r="Q5730" s="3">
        <f ca="1">IF(Proc[[#This Row],[DateClosed]]="",ABS(NETWORKDAYS(Proc[[#This Row],[DateOpened]],TODAY()))-1,ABS(NETWORKDAYS(Proc[[#This Row],[DateOpened]],Proc[[#This Row],[DateClosed]]))-1)</f>
        <v>1</v>
      </c>
      <c r="R5730" s="178" t="s">
        <v>5708</v>
      </c>
      <c r="S5730" s="181"/>
    </row>
    <row r="5731" spans="1:19">
      <c r="A5731" s="180" t="s">
        <v>8070</v>
      </c>
      <c r="B5731" s="181" t="str">
        <f>IFERROR(VLOOKUP(Proc[[#This Row],[App]],Table2[],3,0),"open")</f>
        <v>open</v>
      </c>
      <c r="C5731" s="180" t="s">
        <v>370</v>
      </c>
      <c r="D5731" t="s">
        <v>8102</v>
      </c>
      <c r="E5731" t="s">
        <v>8138</v>
      </c>
      <c r="F5731" s="181"/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0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1" t="s">
        <v>6434</v>
      </c>
      <c r="M5731" s="178">
        <v>46056</v>
      </c>
      <c r="N5731" s="178"/>
      <c r="O5731" s="178"/>
      <c r="P5731" s="178" t="str">
        <f ca="1">IF(Proc[[#This Row],[DaysAgeing]]&gt;5,"yep","on track")</f>
        <v>on track</v>
      </c>
      <c r="Q5731" s="3">
        <f ca="1">IF(Proc[[#This Row],[DateClosed]]="",ABS(NETWORKDAYS(Proc[[#This Row],[DateOpened]],TODAY()))-1,ABS(NETWORKDAYS(Proc[[#This Row],[DateOpened]],Proc[[#This Row],[DateClosed]]))-1)</f>
        <v>1</v>
      </c>
      <c r="R5731" s="178" t="s">
        <v>5708</v>
      </c>
      <c r="S5731" s="181"/>
    </row>
    <row r="5732" spans="1:19">
      <c r="A5732" s="180" t="s">
        <v>8070</v>
      </c>
      <c r="B5732" s="181" t="str">
        <f>IFERROR(VLOOKUP(Proc[[#This Row],[App]],Table2[],3,0),"open")</f>
        <v>open</v>
      </c>
      <c r="C5732" s="180" t="s">
        <v>370</v>
      </c>
      <c r="D5732" t="s">
        <v>8103</v>
      </c>
      <c r="E5732" t="s">
        <v>8138</v>
      </c>
      <c r="F5732" s="181"/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0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1" t="s">
        <v>6434</v>
      </c>
      <c r="M5732" s="178">
        <v>46056</v>
      </c>
      <c r="N5732" s="178"/>
      <c r="O5732" s="178"/>
      <c r="P5732" s="178" t="str">
        <f ca="1">IF(Proc[[#This Row],[DaysAgeing]]&gt;5,"yep","on track")</f>
        <v>on track</v>
      </c>
      <c r="Q5732" s="3">
        <f ca="1">IF(Proc[[#This Row],[DateClosed]]="",ABS(NETWORKDAYS(Proc[[#This Row],[DateOpened]],TODAY()))-1,ABS(NETWORKDAYS(Proc[[#This Row],[DateOpened]],Proc[[#This Row],[DateClosed]]))-1)</f>
        <v>1</v>
      </c>
      <c r="R5732" s="178" t="s">
        <v>5708</v>
      </c>
      <c r="S5732" s="181"/>
    </row>
    <row r="5733" spans="1:19">
      <c r="A5733" s="180" t="s">
        <v>8070</v>
      </c>
      <c r="B5733" s="181" t="str">
        <f>IFERROR(VLOOKUP(Proc[[#This Row],[App]],Table2[],3,0),"open")</f>
        <v>open</v>
      </c>
      <c r="C5733" s="180" t="s">
        <v>370</v>
      </c>
      <c r="D5733" t="s">
        <v>8104</v>
      </c>
      <c r="E5733" t="s">
        <v>8138</v>
      </c>
      <c r="F5733" s="181"/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0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1" t="s">
        <v>6434</v>
      </c>
      <c r="M5733" s="178">
        <v>46056</v>
      </c>
      <c r="N5733" s="178"/>
      <c r="O5733" s="178"/>
      <c r="P5733" s="178" t="str">
        <f ca="1">IF(Proc[[#This Row],[DaysAgeing]]&gt;5,"yep","on track")</f>
        <v>on track</v>
      </c>
      <c r="Q5733" s="3">
        <f ca="1">IF(Proc[[#This Row],[DateClosed]]="",ABS(NETWORKDAYS(Proc[[#This Row],[DateOpened]],TODAY()))-1,ABS(NETWORKDAYS(Proc[[#This Row],[DateOpened]],Proc[[#This Row],[DateClosed]]))-1)</f>
        <v>1</v>
      </c>
      <c r="R5733" s="178" t="s">
        <v>5708</v>
      </c>
      <c r="S5733" s="181"/>
    </row>
    <row r="5734" spans="1:19">
      <c r="A5734" s="180" t="s">
        <v>8070</v>
      </c>
      <c r="B5734" s="181" t="str">
        <f>IFERROR(VLOOKUP(Proc[[#This Row],[App]],Table2[],3,0),"open")</f>
        <v>open</v>
      </c>
      <c r="C5734" s="180" t="s">
        <v>370</v>
      </c>
      <c r="D5734" t="s">
        <v>8105</v>
      </c>
      <c r="E5734" t="s">
        <v>8138</v>
      </c>
      <c r="F5734" s="181"/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0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1" t="s">
        <v>6434</v>
      </c>
      <c r="M5734" s="178">
        <v>46056</v>
      </c>
      <c r="N5734" s="178"/>
      <c r="O5734" s="178"/>
      <c r="P5734" s="178" t="str">
        <f ca="1">IF(Proc[[#This Row],[DaysAgeing]]&gt;5,"yep","on track")</f>
        <v>on track</v>
      </c>
      <c r="Q5734" s="3">
        <f ca="1">IF(Proc[[#This Row],[DateClosed]]="",ABS(NETWORKDAYS(Proc[[#This Row],[DateOpened]],TODAY()))-1,ABS(NETWORKDAYS(Proc[[#This Row],[DateOpened]],Proc[[#This Row],[DateClosed]]))-1)</f>
        <v>1</v>
      </c>
      <c r="R5734" s="178" t="s">
        <v>5708</v>
      </c>
      <c r="S5734" s="181"/>
    </row>
    <row r="5735" spans="1:19">
      <c r="A5735" s="180" t="s">
        <v>8070</v>
      </c>
      <c r="B5735" s="181" t="str">
        <f>IFERROR(VLOOKUP(Proc[[#This Row],[App]],Table2[],3,0),"open")</f>
        <v>open</v>
      </c>
      <c r="C5735" s="180" t="s">
        <v>370</v>
      </c>
      <c r="D5735" t="s">
        <v>8106</v>
      </c>
      <c r="E5735" t="s">
        <v>8138</v>
      </c>
      <c r="F5735" s="181"/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0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1" t="s">
        <v>6434</v>
      </c>
      <c r="M5735" s="178">
        <v>46056</v>
      </c>
      <c r="N5735" s="178"/>
      <c r="O5735" s="178"/>
      <c r="P5735" s="178" t="str">
        <f ca="1">IF(Proc[[#This Row],[DaysAgeing]]&gt;5,"yep","on track")</f>
        <v>on track</v>
      </c>
      <c r="Q5735" s="3">
        <f ca="1">IF(Proc[[#This Row],[DateClosed]]="",ABS(NETWORKDAYS(Proc[[#This Row],[DateOpened]],TODAY()))-1,ABS(NETWORKDAYS(Proc[[#This Row],[DateOpened]],Proc[[#This Row],[DateClosed]]))-1)</f>
        <v>1</v>
      </c>
      <c r="R5735" s="178" t="s">
        <v>5708</v>
      </c>
      <c r="S5735" s="181"/>
    </row>
    <row r="5736" spans="1:19">
      <c r="A5736" s="180" t="s">
        <v>8070</v>
      </c>
      <c r="B5736" s="181" t="str">
        <f>IFERROR(VLOOKUP(Proc[[#This Row],[App]],Table2[],3,0),"open")</f>
        <v>open</v>
      </c>
      <c r="C5736" s="180" t="s">
        <v>370</v>
      </c>
      <c r="D5736" t="s">
        <v>8107</v>
      </c>
      <c r="E5736" t="s">
        <v>8138</v>
      </c>
      <c r="F5736" s="181"/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0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1" t="s">
        <v>6434</v>
      </c>
      <c r="M5736" s="178">
        <v>46056</v>
      </c>
      <c r="N5736" s="178"/>
      <c r="O5736" s="178"/>
      <c r="P5736" s="178" t="str">
        <f ca="1">IF(Proc[[#This Row],[DaysAgeing]]&gt;5,"yep","on track")</f>
        <v>on track</v>
      </c>
      <c r="Q5736" s="3">
        <f ca="1">IF(Proc[[#This Row],[DateClosed]]="",ABS(NETWORKDAYS(Proc[[#This Row],[DateOpened]],TODAY()))-1,ABS(NETWORKDAYS(Proc[[#This Row],[DateOpened]],Proc[[#This Row],[DateClosed]]))-1)</f>
        <v>1</v>
      </c>
      <c r="R5736" s="178" t="s">
        <v>5708</v>
      </c>
      <c r="S5736" s="181"/>
    </row>
    <row r="5737" spans="1:19">
      <c r="A5737" s="180" t="s">
        <v>8070</v>
      </c>
      <c r="B5737" s="181" t="str">
        <f>IFERROR(VLOOKUP(Proc[[#This Row],[App]],Table2[],3,0),"open")</f>
        <v>open</v>
      </c>
      <c r="C5737" s="180" t="s">
        <v>370</v>
      </c>
      <c r="D5737" t="s">
        <v>8108</v>
      </c>
      <c r="E5737" t="s">
        <v>8138</v>
      </c>
      <c r="F5737" s="181"/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0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1" t="s">
        <v>6434</v>
      </c>
      <c r="M5737" s="178">
        <v>46056</v>
      </c>
      <c r="N5737" s="178"/>
      <c r="O5737" s="178"/>
      <c r="P5737" s="178" t="str">
        <f ca="1">IF(Proc[[#This Row],[DaysAgeing]]&gt;5,"yep","on track")</f>
        <v>on track</v>
      </c>
      <c r="Q5737" s="3">
        <f ca="1">IF(Proc[[#This Row],[DateClosed]]="",ABS(NETWORKDAYS(Proc[[#This Row],[DateOpened]],TODAY()))-1,ABS(NETWORKDAYS(Proc[[#This Row],[DateOpened]],Proc[[#This Row],[DateClosed]]))-1)</f>
        <v>1</v>
      </c>
      <c r="R5737" s="178" t="s">
        <v>5708</v>
      </c>
      <c r="S5737" s="181"/>
    </row>
    <row r="5738" spans="1:19">
      <c r="A5738" s="180" t="s">
        <v>8070</v>
      </c>
      <c r="B5738" s="181" t="str">
        <f>IFERROR(VLOOKUP(Proc[[#This Row],[App]],Table2[],3,0),"open")</f>
        <v>open</v>
      </c>
      <c r="C5738" s="180" t="s">
        <v>370</v>
      </c>
      <c r="D5738" t="s">
        <v>8109</v>
      </c>
      <c r="E5738" t="s">
        <v>8138</v>
      </c>
      <c r="F5738" s="181"/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0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1" t="s">
        <v>6434</v>
      </c>
      <c r="M5738" s="178">
        <v>46056</v>
      </c>
      <c r="N5738" s="178"/>
      <c r="O5738" s="178"/>
      <c r="P5738" s="178" t="str">
        <f ca="1">IF(Proc[[#This Row],[DaysAgeing]]&gt;5,"yep","on track")</f>
        <v>on track</v>
      </c>
      <c r="Q5738" s="3">
        <f ca="1">IF(Proc[[#This Row],[DateClosed]]="",ABS(NETWORKDAYS(Proc[[#This Row],[DateOpened]],TODAY()))-1,ABS(NETWORKDAYS(Proc[[#This Row],[DateOpened]],Proc[[#This Row],[DateClosed]]))-1)</f>
        <v>1</v>
      </c>
      <c r="R5738" s="178" t="s">
        <v>5708</v>
      </c>
      <c r="S5738" s="181"/>
    </row>
    <row r="5739" spans="1:19">
      <c r="A5739" s="180" t="s">
        <v>8070</v>
      </c>
      <c r="B5739" s="181" t="str">
        <f>IFERROR(VLOOKUP(Proc[[#This Row],[App]],Table2[],3,0),"open")</f>
        <v>open</v>
      </c>
      <c r="C5739" s="180" t="s">
        <v>370</v>
      </c>
      <c r="D5739" t="s">
        <v>8110</v>
      </c>
      <c r="E5739" t="s">
        <v>8138</v>
      </c>
      <c r="F5739" s="181"/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0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1" t="s">
        <v>6434</v>
      </c>
      <c r="M5739" s="178">
        <v>46056</v>
      </c>
      <c r="N5739" s="178"/>
      <c r="O5739" s="178"/>
      <c r="P5739" s="178" t="str">
        <f ca="1">IF(Proc[[#This Row],[DaysAgeing]]&gt;5,"yep","on track")</f>
        <v>on track</v>
      </c>
      <c r="Q5739" s="3">
        <f ca="1">IF(Proc[[#This Row],[DateClosed]]="",ABS(NETWORKDAYS(Proc[[#This Row],[DateOpened]],TODAY()))-1,ABS(NETWORKDAYS(Proc[[#This Row],[DateOpened]],Proc[[#This Row],[DateClosed]]))-1)</f>
        <v>1</v>
      </c>
      <c r="R5739" s="178" t="s">
        <v>5708</v>
      </c>
      <c r="S5739" s="181"/>
    </row>
    <row r="5740" spans="1:19">
      <c r="A5740" s="180" t="s">
        <v>8070</v>
      </c>
      <c r="B5740" s="181" t="str">
        <f>IFERROR(VLOOKUP(Proc[[#This Row],[App]],Table2[],3,0),"open")</f>
        <v>open</v>
      </c>
      <c r="C5740" s="180" t="s">
        <v>370</v>
      </c>
      <c r="D5740" t="s">
        <v>8111</v>
      </c>
      <c r="E5740" t="s">
        <v>8138</v>
      </c>
      <c r="F5740" s="181"/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0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1" t="s">
        <v>6434</v>
      </c>
      <c r="M5740" s="178">
        <v>46056</v>
      </c>
      <c r="N5740" s="178"/>
      <c r="O5740" s="178"/>
      <c r="P5740" s="178" t="str">
        <f ca="1">IF(Proc[[#This Row],[DaysAgeing]]&gt;5,"yep","on track")</f>
        <v>on track</v>
      </c>
      <c r="Q5740" s="3">
        <f ca="1">IF(Proc[[#This Row],[DateClosed]]="",ABS(NETWORKDAYS(Proc[[#This Row],[DateOpened]],TODAY()))-1,ABS(NETWORKDAYS(Proc[[#This Row],[DateOpened]],Proc[[#This Row],[DateClosed]]))-1)</f>
        <v>1</v>
      </c>
      <c r="R5740" s="178" t="s">
        <v>5708</v>
      </c>
      <c r="S5740" s="181"/>
    </row>
    <row r="5741" spans="1:19">
      <c r="A5741" s="180" t="s">
        <v>8070</v>
      </c>
      <c r="B5741" s="181" t="str">
        <f>IFERROR(VLOOKUP(Proc[[#This Row],[App]],Table2[],3,0),"open")</f>
        <v>open</v>
      </c>
      <c r="C5741" s="180" t="s">
        <v>370</v>
      </c>
      <c r="D5741" t="s">
        <v>8112</v>
      </c>
      <c r="E5741" t="s">
        <v>8138</v>
      </c>
      <c r="F5741" s="181"/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0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1" t="s">
        <v>6434</v>
      </c>
      <c r="M5741" s="178">
        <v>46056</v>
      </c>
      <c r="N5741" s="178"/>
      <c r="O5741" s="178"/>
      <c r="P5741" s="178" t="str">
        <f ca="1">IF(Proc[[#This Row],[DaysAgeing]]&gt;5,"yep","on track")</f>
        <v>on track</v>
      </c>
      <c r="Q5741" s="3">
        <f ca="1">IF(Proc[[#This Row],[DateClosed]]="",ABS(NETWORKDAYS(Proc[[#This Row],[DateOpened]],TODAY()))-1,ABS(NETWORKDAYS(Proc[[#This Row],[DateOpened]],Proc[[#This Row],[DateClosed]]))-1)</f>
        <v>1</v>
      </c>
      <c r="R5741" s="178" t="s">
        <v>5708</v>
      </c>
      <c r="S5741" s="181"/>
    </row>
    <row r="5742" spans="1:19">
      <c r="A5742" s="180" t="s">
        <v>8070</v>
      </c>
      <c r="B5742" s="181" t="str">
        <f>IFERROR(VLOOKUP(Proc[[#This Row],[App]],Table2[],3,0),"open")</f>
        <v>open</v>
      </c>
      <c r="C5742" s="180" t="s">
        <v>370</v>
      </c>
      <c r="D5742" t="s">
        <v>8113</v>
      </c>
      <c r="E5742" t="s">
        <v>8138</v>
      </c>
      <c r="F5742" s="181"/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0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1" t="s">
        <v>6434</v>
      </c>
      <c r="M5742" s="178">
        <v>46056</v>
      </c>
      <c r="N5742" s="178"/>
      <c r="O5742" s="178"/>
      <c r="P5742" s="178" t="str">
        <f ca="1">IF(Proc[[#This Row],[DaysAgeing]]&gt;5,"yep","on track")</f>
        <v>on track</v>
      </c>
      <c r="Q5742" s="3">
        <f ca="1">IF(Proc[[#This Row],[DateClosed]]="",ABS(NETWORKDAYS(Proc[[#This Row],[DateOpened]],TODAY()))-1,ABS(NETWORKDAYS(Proc[[#This Row],[DateOpened]],Proc[[#This Row],[DateClosed]]))-1)</f>
        <v>1</v>
      </c>
      <c r="R5742" s="178" t="s">
        <v>5708</v>
      </c>
      <c r="S5742" s="181"/>
    </row>
    <row r="5743" spans="1:19">
      <c r="A5743" s="180" t="s">
        <v>8070</v>
      </c>
      <c r="B5743" s="181" t="str">
        <f>IFERROR(VLOOKUP(Proc[[#This Row],[App]],Table2[],3,0),"open")</f>
        <v>open</v>
      </c>
      <c r="C5743" s="180" t="s">
        <v>370</v>
      </c>
      <c r="D5743" t="s">
        <v>8114</v>
      </c>
      <c r="E5743" t="s">
        <v>8138</v>
      </c>
      <c r="F5743" s="181"/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0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1" t="s">
        <v>6434</v>
      </c>
      <c r="M5743" s="178">
        <v>46056</v>
      </c>
      <c r="N5743" s="178"/>
      <c r="O5743" s="178"/>
      <c r="P5743" s="178" t="str">
        <f ca="1">IF(Proc[[#This Row],[DaysAgeing]]&gt;5,"yep","on track")</f>
        <v>on track</v>
      </c>
      <c r="Q5743" s="3">
        <f ca="1">IF(Proc[[#This Row],[DateClosed]]="",ABS(NETWORKDAYS(Proc[[#This Row],[DateOpened]],TODAY()))-1,ABS(NETWORKDAYS(Proc[[#This Row],[DateOpened]],Proc[[#This Row],[DateClosed]]))-1)</f>
        <v>1</v>
      </c>
      <c r="R5743" s="178" t="s">
        <v>5708</v>
      </c>
      <c r="S5743" s="181"/>
    </row>
    <row r="5744" spans="1:19">
      <c r="A5744" s="180" t="s">
        <v>8070</v>
      </c>
      <c r="B5744" s="181" t="str">
        <f>IFERROR(VLOOKUP(Proc[[#This Row],[App]],Table2[],3,0),"open")</f>
        <v>open</v>
      </c>
      <c r="C5744" s="180" t="s">
        <v>370</v>
      </c>
      <c r="D5744" t="s">
        <v>8115</v>
      </c>
      <c r="E5744" t="s">
        <v>8138</v>
      </c>
      <c r="F5744" s="181"/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0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1" t="s">
        <v>6434</v>
      </c>
      <c r="M5744" s="178">
        <v>46056</v>
      </c>
      <c r="N5744" s="178"/>
      <c r="O5744" s="178"/>
      <c r="P5744" s="178" t="str">
        <f ca="1">IF(Proc[[#This Row],[DaysAgeing]]&gt;5,"yep","on track")</f>
        <v>on track</v>
      </c>
      <c r="Q5744" s="3">
        <f ca="1">IF(Proc[[#This Row],[DateClosed]]="",ABS(NETWORKDAYS(Proc[[#This Row],[DateOpened]],TODAY()))-1,ABS(NETWORKDAYS(Proc[[#This Row],[DateOpened]],Proc[[#This Row],[DateClosed]]))-1)</f>
        <v>1</v>
      </c>
      <c r="R5744" s="178" t="s">
        <v>5708</v>
      </c>
      <c r="S5744" s="181"/>
    </row>
    <row r="5745" spans="1:19">
      <c r="A5745" s="180" t="s">
        <v>8070</v>
      </c>
      <c r="B5745" s="181" t="str">
        <f>IFERROR(VLOOKUP(Proc[[#This Row],[App]],Table2[],3,0),"open")</f>
        <v>open</v>
      </c>
      <c r="C5745" s="180" t="s">
        <v>370</v>
      </c>
      <c r="D5745" t="s">
        <v>8116</v>
      </c>
      <c r="E5745" t="s">
        <v>8138</v>
      </c>
      <c r="F5745" s="181"/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0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1" t="s">
        <v>6434</v>
      </c>
      <c r="M5745" s="178">
        <v>46056</v>
      </c>
      <c r="N5745" s="178"/>
      <c r="O5745" s="178"/>
      <c r="P5745" s="178" t="str">
        <f ca="1">IF(Proc[[#This Row],[DaysAgeing]]&gt;5,"yep","on track")</f>
        <v>on track</v>
      </c>
      <c r="Q5745" s="3">
        <f ca="1">IF(Proc[[#This Row],[DateClosed]]="",ABS(NETWORKDAYS(Proc[[#This Row],[DateOpened]],TODAY()))-1,ABS(NETWORKDAYS(Proc[[#This Row],[DateOpened]],Proc[[#This Row],[DateClosed]]))-1)</f>
        <v>1</v>
      </c>
      <c r="R5745" s="178" t="s">
        <v>5708</v>
      </c>
      <c r="S5745" s="181"/>
    </row>
    <row r="5746" spans="1:19">
      <c r="A5746" s="180" t="s">
        <v>8070</v>
      </c>
      <c r="B5746" s="181" t="str">
        <f>IFERROR(VLOOKUP(Proc[[#This Row],[App]],Table2[],3,0),"open")</f>
        <v>open</v>
      </c>
      <c r="C5746" s="180" t="s">
        <v>370</v>
      </c>
      <c r="D5746" t="s">
        <v>8117</v>
      </c>
      <c r="E5746" t="s">
        <v>8138</v>
      </c>
      <c r="F5746" s="181"/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1" t="s">
        <v>6434</v>
      </c>
      <c r="M5746" s="178">
        <v>46056</v>
      </c>
      <c r="N5746" s="178"/>
      <c r="O5746" s="178"/>
      <c r="P5746" s="178" t="str">
        <f ca="1">IF(Proc[[#This Row],[DaysAgeing]]&gt;5,"yep","on track")</f>
        <v>on track</v>
      </c>
      <c r="Q5746" s="3">
        <f ca="1">IF(Proc[[#This Row],[DateClosed]]="",ABS(NETWORKDAYS(Proc[[#This Row],[DateOpened]],TODAY()))-1,ABS(NETWORKDAYS(Proc[[#This Row],[DateOpened]],Proc[[#This Row],[DateClosed]]))-1)</f>
        <v>1</v>
      </c>
      <c r="R5746" s="178" t="s">
        <v>5708</v>
      </c>
      <c r="S5746" s="181"/>
    </row>
    <row r="5747" spans="1:19">
      <c r="A5747" s="180" t="s">
        <v>8070</v>
      </c>
      <c r="B5747" s="181" t="str">
        <f>IFERROR(VLOOKUP(Proc[[#This Row],[App]],Table2[],3,0),"open")</f>
        <v>open</v>
      </c>
      <c r="C5747" s="180" t="s">
        <v>370</v>
      </c>
      <c r="D5747" t="s">
        <v>8118</v>
      </c>
      <c r="E5747" t="s">
        <v>8138</v>
      </c>
      <c r="F5747" s="181"/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0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1" t="s">
        <v>6434</v>
      </c>
      <c r="M5747" s="178">
        <v>46056</v>
      </c>
      <c r="N5747" s="178"/>
      <c r="O5747" s="178"/>
      <c r="P5747" s="178" t="str">
        <f ca="1">IF(Proc[[#This Row],[DaysAgeing]]&gt;5,"yep","on track")</f>
        <v>on track</v>
      </c>
      <c r="Q5747" s="3">
        <f ca="1">IF(Proc[[#This Row],[DateClosed]]="",ABS(NETWORKDAYS(Proc[[#This Row],[DateOpened]],TODAY()))-1,ABS(NETWORKDAYS(Proc[[#This Row],[DateOpened]],Proc[[#This Row],[DateClosed]]))-1)</f>
        <v>1</v>
      </c>
      <c r="R5747" s="178" t="s">
        <v>5708</v>
      </c>
      <c r="S5747" s="181"/>
    </row>
    <row r="5748" spans="1:19">
      <c r="A5748" s="180" t="s">
        <v>8070</v>
      </c>
      <c r="B5748" s="181" t="str">
        <f>IFERROR(VLOOKUP(Proc[[#This Row],[App]],Table2[],3,0),"open")</f>
        <v>open</v>
      </c>
      <c r="C5748" s="180" t="s">
        <v>370</v>
      </c>
      <c r="D5748" t="s">
        <v>8119</v>
      </c>
      <c r="E5748" t="s">
        <v>8138</v>
      </c>
      <c r="F5748" s="181"/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0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1" t="s">
        <v>6434</v>
      </c>
      <c r="M5748" s="178">
        <v>46056</v>
      </c>
      <c r="N5748" s="178"/>
      <c r="O5748" s="178"/>
      <c r="P5748" s="178" t="str">
        <f ca="1">IF(Proc[[#This Row],[DaysAgeing]]&gt;5,"yep","on track")</f>
        <v>on track</v>
      </c>
      <c r="Q5748" s="3">
        <f ca="1">IF(Proc[[#This Row],[DateClosed]]="",ABS(NETWORKDAYS(Proc[[#This Row],[DateOpened]],TODAY()))-1,ABS(NETWORKDAYS(Proc[[#This Row],[DateOpened]],Proc[[#This Row],[DateClosed]]))-1)</f>
        <v>1</v>
      </c>
      <c r="R5748" s="178" t="s">
        <v>5708</v>
      </c>
      <c r="S5748" s="181"/>
    </row>
    <row r="5749" spans="1:19">
      <c r="A5749" s="180" t="s">
        <v>8070</v>
      </c>
      <c r="B5749" s="181" t="str">
        <f>IFERROR(VLOOKUP(Proc[[#This Row],[App]],Table2[],3,0),"open")</f>
        <v>open</v>
      </c>
      <c r="C5749" s="180" t="s">
        <v>370</v>
      </c>
      <c r="D5749" t="s">
        <v>8120</v>
      </c>
      <c r="E5749" t="s">
        <v>8138</v>
      </c>
      <c r="F5749" s="181"/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0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1" t="s">
        <v>6434</v>
      </c>
      <c r="M5749" s="178">
        <v>46056</v>
      </c>
      <c r="N5749" s="178"/>
      <c r="O5749" s="178"/>
      <c r="P5749" s="178" t="str">
        <f ca="1">IF(Proc[[#This Row],[DaysAgeing]]&gt;5,"yep","on track")</f>
        <v>on track</v>
      </c>
      <c r="Q5749" s="3">
        <f ca="1">IF(Proc[[#This Row],[DateClosed]]="",ABS(NETWORKDAYS(Proc[[#This Row],[DateOpened]],TODAY()))-1,ABS(NETWORKDAYS(Proc[[#This Row],[DateOpened]],Proc[[#This Row],[DateClosed]]))-1)</f>
        <v>1</v>
      </c>
      <c r="R5749" s="178" t="s">
        <v>5708</v>
      </c>
      <c r="S5749" s="181"/>
    </row>
    <row r="5750" spans="1:19">
      <c r="A5750" s="180" t="s">
        <v>8070</v>
      </c>
      <c r="B5750" s="181" t="str">
        <f>IFERROR(VLOOKUP(Proc[[#This Row],[App]],Table2[],3,0),"open")</f>
        <v>open</v>
      </c>
      <c r="C5750" s="180" t="s">
        <v>370</v>
      </c>
      <c r="D5750" t="s">
        <v>8121</v>
      </c>
      <c r="E5750" t="s">
        <v>8138</v>
      </c>
      <c r="F5750" s="181"/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0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1" t="s">
        <v>6434</v>
      </c>
      <c r="M5750" s="178">
        <v>46056</v>
      </c>
      <c r="N5750" s="178"/>
      <c r="O5750" s="178"/>
      <c r="P5750" s="178" t="str">
        <f ca="1">IF(Proc[[#This Row],[DaysAgeing]]&gt;5,"yep","on track")</f>
        <v>on track</v>
      </c>
      <c r="Q5750" s="3">
        <f ca="1">IF(Proc[[#This Row],[DateClosed]]="",ABS(NETWORKDAYS(Proc[[#This Row],[DateOpened]],TODAY()))-1,ABS(NETWORKDAYS(Proc[[#This Row],[DateOpened]],Proc[[#This Row],[DateClosed]]))-1)</f>
        <v>1</v>
      </c>
      <c r="R5750" s="178" t="s">
        <v>5708</v>
      </c>
      <c r="S5750" s="181"/>
    </row>
    <row r="5751" spans="1:19">
      <c r="A5751" s="180" t="s">
        <v>8070</v>
      </c>
      <c r="B5751" s="181" t="str">
        <f>IFERROR(VLOOKUP(Proc[[#This Row],[App]],Table2[],3,0),"open")</f>
        <v>open</v>
      </c>
      <c r="C5751" s="180" t="s">
        <v>370</v>
      </c>
      <c r="D5751" t="s">
        <v>8122</v>
      </c>
      <c r="E5751" t="s">
        <v>8138</v>
      </c>
      <c r="F5751" s="181"/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1" t="s">
        <v>6434</v>
      </c>
      <c r="M5751" s="178">
        <v>46056</v>
      </c>
      <c r="N5751" s="178"/>
      <c r="O5751" s="178"/>
      <c r="P5751" s="178" t="str">
        <f ca="1">IF(Proc[[#This Row],[DaysAgeing]]&gt;5,"yep","on track")</f>
        <v>on track</v>
      </c>
      <c r="Q5751" s="3">
        <f ca="1">IF(Proc[[#This Row],[DateClosed]]="",ABS(NETWORKDAYS(Proc[[#This Row],[DateOpened]],TODAY()))-1,ABS(NETWORKDAYS(Proc[[#This Row],[DateOpened]],Proc[[#This Row],[DateClosed]]))-1)</f>
        <v>1</v>
      </c>
      <c r="R5751" s="178" t="s">
        <v>5708</v>
      </c>
      <c r="S5751" s="181"/>
    </row>
    <row r="5752" spans="1:19">
      <c r="A5752" s="180" t="s">
        <v>8070</v>
      </c>
      <c r="B5752" s="181" t="str">
        <f>IFERROR(VLOOKUP(Proc[[#This Row],[App]],Table2[],3,0),"open")</f>
        <v>open</v>
      </c>
      <c r="C5752" s="180" t="s">
        <v>370</v>
      </c>
      <c r="D5752" t="s">
        <v>8123</v>
      </c>
      <c r="E5752" t="s">
        <v>8138</v>
      </c>
      <c r="F5752" s="181"/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0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1" t="s">
        <v>6434</v>
      </c>
      <c r="M5752" s="178">
        <v>46056</v>
      </c>
      <c r="N5752" s="178"/>
      <c r="O5752" s="178"/>
      <c r="P5752" s="178" t="str">
        <f ca="1">IF(Proc[[#This Row],[DaysAgeing]]&gt;5,"yep","on track")</f>
        <v>on track</v>
      </c>
      <c r="Q5752" s="3">
        <f ca="1">IF(Proc[[#This Row],[DateClosed]]="",ABS(NETWORKDAYS(Proc[[#This Row],[DateOpened]],TODAY()))-1,ABS(NETWORKDAYS(Proc[[#This Row],[DateOpened]],Proc[[#This Row],[DateClosed]]))-1)</f>
        <v>1</v>
      </c>
      <c r="R5752" s="178" t="s">
        <v>5708</v>
      </c>
      <c r="S5752" s="181"/>
    </row>
    <row r="5753" spans="1:19">
      <c r="A5753" s="180" t="s">
        <v>8070</v>
      </c>
      <c r="B5753" s="181" t="str">
        <f>IFERROR(VLOOKUP(Proc[[#This Row],[App]],Table2[],3,0),"open")</f>
        <v>open</v>
      </c>
      <c r="C5753" s="180" t="s">
        <v>370</v>
      </c>
      <c r="D5753" t="s">
        <v>8124</v>
      </c>
      <c r="E5753" t="s">
        <v>8138</v>
      </c>
      <c r="F5753" s="181"/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0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1" t="s">
        <v>6434</v>
      </c>
      <c r="M5753" s="178">
        <v>46056</v>
      </c>
      <c r="N5753" s="178"/>
      <c r="O5753" s="178"/>
      <c r="P5753" s="178" t="str">
        <f ca="1">IF(Proc[[#This Row],[DaysAgeing]]&gt;5,"yep","on track")</f>
        <v>on track</v>
      </c>
      <c r="Q5753" s="3">
        <f ca="1">IF(Proc[[#This Row],[DateClosed]]="",ABS(NETWORKDAYS(Proc[[#This Row],[DateOpened]],TODAY()))-1,ABS(NETWORKDAYS(Proc[[#This Row],[DateOpened]],Proc[[#This Row],[DateClosed]]))-1)</f>
        <v>1</v>
      </c>
      <c r="R5753" s="178" t="s">
        <v>5708</v>
      </c>
      <c r="S5753" s="181"/>
    </row>
    <row r="5754" spans="1:19">
      <c r="A5754" s="180" t="s">
        <v>8070</v>
      </c>
      <c r="B5754" s="181" t="str">
        <f>IFERROR(VLOOKUP(Proc[[#This Row],[App]],Table2[],3,0),"open")</f>
        <v>open</v>
      </c>
      <c r="C5754" s="180" t="s">
        <v>370</v>
      </c>
      <c r="D5754" t="s">
        <v>8125</v>
      </c>
      <c r="E5754" t="s">
        <v>8138</v>
      </c>
      <c r="F5754" s="181"/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0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1" t="s">
        <v>6434</v>
      </c>
      <c r="M5754" s="178">
        <v>46056</v>
      </c>
      <c r="N5754" s="178"/>
      <c r="O5754" s="178"/>
      <c r="P5754" s="178" t="str">
        <f ca="1">IF(Proc[[#This Row],[DaysAgeing]]&gt;5,"yep","on track")</f>
        <v>on track</v>
      </c>
      <c r="Q5754" s="3">
        <f ca="1">IF(Proc[[#This Row],[DateClosed]]="",ABS(NETWORKDAYS(Proc[[#This Row],[DateOpened]],TODAY()))-1,ABS(NETWORKDAYS(Proc[[#This Row],[DateOpened]],Proc[[#This Row],[DateClosed]]))-1)</f>
        <v>1</v>
      </c>
      <c r="R5754" s="178" t="s">
        <v>5708</v>
      </c>
      <c r="S5754" s="181"/>
    </row>
    <row r="5755" spans="1:19">
      <c r="A5755" s="180" t="s">
        <v>8070</v>
      </c>
      <c r="B5755" s="181" t="str">
        <f>IFERROR(VLOOKUP(Proc[[#This Row],[App]],Table2[],3,0),"open")</f>
        <v>open</v>
      </c>
      <c r="C5755" s="180" t="s">
        <v>370</v>
      </c>
      <c r="D5755" t="s">
        <v>8126</v>
      </c>
      <c r="E5755" t="s">
        <v>8138</v>
      </c>
      <c r="F5755" s="181"/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0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1" t="s">
        <v>6434</v>
      </c>
      <c r="M5755" s="178">
        <v>46056</v>
      </c>
      <c r="N5755" s="178"/>
      <c r="O5755" s="178"/>
      <c r="P5755" s="178" t="str">
        <f ca="1">IF(Proc[[#This Row],[DaysAgeing]]&gt;5,"yep","on track")</f>
        <v>on track</v>
      </c>
      <c r="Q5755" s="3">
        <f ca="1">IF(Proc[[#This Row],[DateClosed]]="",ABS(NETWORKDAYS(Proc[[#This Row],[DateOpened]],TODAY()))-1,ABS(NETWORKDAYS(Proc[[#This Row],[DateOpened]],Proc[[#This Row],[DateClosed]]))-1)</f>
        <v>1</v>
      </c>
      <c r="R5755" s="178" t="s">
        <v>5708</v>
      </c>
      <c r="S5755" s="181"/>
    </row>
    <row r="5756" spans="1:19">
      <c r="A5756" s="180" t="s">
        <v>8070</v>
      </c>
      <c r="B5756" s="181" t="str">
        <f>IFERROR(VLOOKUP(Proc[[#This Row],[App]],Table2[],3,0),"open")</f>
        <v>open</v>
      </c>
      <c r="C5756" s="180" t="s">
        <v>370</v>
      </c>
      <c r="D5756" t="s">
        <v>8127</v>
      </c>
      <c r="E5756" t="s">
        <v>8138</v>
      </c>
      <c r="F5756" s="181"/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0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1" t="s">
        <v>6434</v>
      </c>
      <c r="M5756" s="178">
        <v>46056</v>
      </c>
      <c r="N5756" s="178"/>
      <c r="O5756" s="178"/>
      <c r="P5756" s="178" t="str">
        <f ca="1">IF(Proc[[#This Row],[DaysAgeing]]&gt;5,"yep","on track")</f>
        <v>on track</v>
      </c>
      <c r="Q5756" s="3">
        <f ca="1">IF(Proc[[#This Row],[DateClosed]]="",ABS(NETWORKDAYS(Proc[[#This Row],[DateOpened]],TODAY()))-1,ABS(NETWORKDAYS(Proc[[#This Row],[DateOpened]],Proc[[#This Row],[DateClosed]]))-1)</f>
        <v>1</v>
      </c>
      <c r="R5756" s="178" t="s">
        <v>5708</v>
      </c>
      <c r="S5756" s="181"/>
    </row>
    <row r="5757" spans="1:19">
      <c r="A5757" s="180" t="s">
        <v>8070</v>
      </c>
      <c r="B5757" s="181" t="str">
        <f>IFERROR(VLOOKUP(Proc[[#This Row],[App]],Table2[],3,0),"open")</f>
        <v>open</v>
      </c>
      <c r="C5757" s="180" t="s">
        <v>370</v>
      </c>
      <c r="D5757" t="s">
        <v>8128</v>
      </c>
      <c r="E5757" t="s">
        <v>8138</v>
      </c>
      <c r="F5757" s="181"/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0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1" t="s">
        <v>6434</v>
      </c>
      <c r="M5757" s="178">
        <v>46056</v>
      </c>
      <c r="N5757" s="178"/>
      <c r="O5757" s="178"/>
      <c r="P5757" s="178" t="str">
        <f ca="1">IF(Proc[[#This Row],[DaysAgeing]]&gt;5,"yep","on track")</f>
        <v>on track</v>
      </c>
      <c r="Q5757" s="3">
        <f ca="1">IF(Proc[[#This Row],[DateClosed]]="",ABS(NETWORKDAYS(Proc[[#This Row],[DateOpened]],TODAY()))-1,ABS(NETWORKDAYS(Proc[[#This Row],[DateOpened]],Proc[[#This Row],[DateClosed]]))-1)</f>
        <v>1</v>
      </c>
      <c r="R5757" s="178" t="s">
        <v>5708</v>
      </c>
      <c r="S5757" s="181"/>
    </row>
    <row r="5758" spans="1:19">
      <c r="A5758" s="180" t="s">
        <v>8070</v>
      </c>
      <c r="B5758" s="181" t="str">
        <f>IFERROR(VLOOKUP(Proc[[#This Row],[App]],Table2[],3,0),"open")</f>
        <v>open</v>
      </c>
      <c r="C5758" s="180" t="s">
        <v>370</v>
      </c>
      <c r="D5758" t="s">
        <v>8129</v>
      </c>
      <c r="E5758" t="s">
        <v>8138</v>
      </c>
      <c r="F5758" s="181"/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0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1" t="s">
        <v>6434</v>
      </c>
      <c r="M5758" s="178">
        <v>46056</v>
      </c>
      <c r="N5758" s="178"/>
      <c r="O5758" s="178"/>
      <c r="P5758" s="178" t="str">
        <f ca="1">IF(Proc[[#This Row],[DaysAgeing]]&gt;5,"yep","on track")</f>
        <v>on track</v>
      </c>
      <c r="Q5758" s="3">
        <f ca="1">IF(Proc[[#This Row],[DateClosed]]="",ABS(NETWORKDAYS(Proc[[#This Row],[DateOpened]],TODAY()))-1,ABS(NETWORKDAYS(Proc[[#This Row],[DateOpened]],Proc[[#This Row],[DateClosed]]))-1)</f>
        <v>1</v>
      </c>
      <c r="R5758" s="178" t="s">
        <v>5708</v>
      </c>
      <c r="S5758" s="181"/>
    </row>
    <row r="5759" spans="1:19">
      <c r="A5759" s="180" t="s">
        <v>8070</v>
      </c>
      <c r="B5759" s="181" t="str">
        <f>IFERROR(VLOOKUP(Proc[[#This Row],[App]],Table2[],3,0),"open")</f>
        <v>open</v>
      </c>
      <c r="C5759" s="180" t="s">
        <v>370</v>
      </c>
      <c r="D5759" t="s">
        <v>8130</v>
      </c>
      <c r="E5759" t="s">
        <v>8138</v>
      </c>
      <c r="F5759" s="181"/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0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1" t="s">
        <v>6434</v>
      </c>
      <c r="M5759" s="178">
        <v>46056</v>
      </c>
      <c r="N5759" s="178"/>
      <c r="O5759" s="178"/>
      <c r="P5759" s="178" t="str">
        <f ca="1">IF(Proc[[#This Row],[DaysAgeing]]&gt;5,"yep","on track")</f>
        <v>on track</v>
      </c>
      <c r="Q5759" s="3">
        <f ca="1">IF(Proc[[#This Row],[DateClosed]]="",ABS(NETWORKDAYS(Proc[[#This Row],[DateOpened]],TODAY()))-1,ABS(NETWORKDAYS(Proc[[#This Row],[DateOpened]],Proc[[#This Row],[DateClosed]]))-1)</f>
        <v>1</v>
      </c>
      <c r="R5759" s="178" t="s">
        <v>5708</v>
      </c>
      <c r="S5759" s="181"/>
    </row>
    <row r="5760" spans="1:19">
      <c r="A5760" s="180" t="s">
        <v>8070</v>
      </c>
      <c r="B5760" s="181" t="str">
        <f>IFERROR(VLOOKUP(Proc[[#This Row],[App]],Table2[],3,0),"open")</f>
        <v>open</v>
      </c>
      <c r="C5760" s="180" t="s">
        <v>370</v>
      </c>
      <c r="D5760" t="s">
        <v>8131</v>
      </c>
      <c r="E5760" t="s">
        <v>8138</v>
      </c>
      <c r="F5760" s="181"/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0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1" t="s">
        <v>6434</v>
      </c>
      <c r="M5760" s="178">
        <v>46056</v>
      </c>
      <c r="N5760" s="178"/>
      <c r="O5760" s="178"/>
      <c r="P5760" s="178" t="str">
        <f ca="1">IF(Proc[[#This Row],[DaysAgeing]]&gt;5,"yep","on track")</f>
        <v>on track</v>
      </c>
      <c r="Q5760" s="3">
        <f ca="1">IF(Proc[[#This Row],[DateClosed]]="",ABS(NETWORKDAYS(Proc[[#This Row],[DateOpened]],TODAY()))-1,ABS(NETWORKDAYS(Proc[[#This Row],[DateOpened]],Proc[[#This Row],[DateClosed]]))-1)</f>
        <v>1</v>
      </c>
      <c r="R5760" s="178" t="s">
        <v>5708</v>
      </c>
      <c r="S5760" s="181"/>
    </row>
    <row r="5761" spans="1:19">
      <c r="A5761" s="180" t="s">
        <v>8070</v>
      </c>
      <c r="B5761" s="181" t="str">
        <f>IFERROR(VLOOKUP(Proc[[#This Row],[App]],Table2[],3,0),"open")</f>
        <v>open</v>
      </c>
      <c r="C5761" s="180" t="s">
        <v>370</v>
      </c>
      <c r="D5761" t="s">
        <v>8132</v>
      </c>
      <c r="E5761" t="s">
        <v>8138</v>
      </c>
      <c r="F5761" s="181"/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0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1" t="s">
        <v>6434</v>
      </c>
      <c r="M5761" s="178">
        <v>46056</v>
      </c>
      <c r="N5761" s="178"/>
      <c r="O5761" s="178"/>
      <c r="P5761" s="178" t="str">
        <f ca="1">IF(Proc[[#This Row],[DaysAgeing]]&gt;5,"yep","on track")</f>
        <v>on track</v>
      </c>
      <c r="Q5761" s="3">
        <f ca="1">IF(Proc[[#This Row],[DateClosed]]="",ABS(NETWORKDAYS(Proc[[#This Row],[DateOpened]],TODAY()))-1,ABS(NETWORKDAYS(Proc[[#This Row],[DateOpened]],Proc[[#This Row],[DateClosed]]))-1)</f>
        <v>1</v>
      </c>
      <c r="R5761" s="178" t="s">
        <v>5708</v>
      </c>
      <c r="S5761" s="181"/>
    </row>
    <row r="5762" spans="1:19">
      <c r="A5762" s="180" t="s">
        <v>8070</v>
      </c>
      <c r="B5762" s="181" t="str">
        <f>IFERROR(VLOOKUP(Proc[[#This Row],[App]],Table2[],3,0),"open")</f>
        <v>open</v>
      </c>
      <c r="C5762" s="180" t="s">
        <v>370</v>
      </c>
      <c r="D5762" t="s">
        <v>8133</v>
      </c>
      <c r="E5762" t="s">
        <v>8138</v>
      </c>
      <c r="F5762" s="181"/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0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1" t="s">
        <v>6434</v>
      </c>
      <c r="M5762" s="178">
        <v>46056</v>
      </c>
      <c r="N5762" s="178"/>
      <c r="O5762" s="178"/>
      <c r="P5762" s="178" t="str">
        <f ca="1">IF(Proc[[#This Row],[DaysAgeing]]&gt;5,"yep","on track")</f>
        <v>on track</v>
      </c>
      <c r="Q5762" s="3">
        <f ca="1">IF(Proc[[#This Row],[DateClosed]]="",ABS(NETWORKDAYS(Proc[[#This Row],[DateOpened]],TODAY()))-1,ABS(NETWORKDAYS(Proc[[#This Row],[DateOpened]],Proc[[#This Row],[DateClosed]]))-1)</f>
        <v>1</v>
      </c>
      <c r="R5762" s="178" t="s">
        <v>5708</v>
      </c>
      <c r="S5762" s="181"/>
    </row>
    <row r="5763" spans="1:19">
      <c r="A5763" s="180" t="s">
        <v>8070</v>
      </c>
      <c r="B5763" s="181" t="str">
        <f>IFERROR(VLOOKUP(Proc[[#This Row],[App]],Table2[],3,0),"open")</f>
        <v>open</v>
      </c>
      <c r="C5763" s="180" t="s">
        <v>370</v>
      </c>
      <c r="D5763" t="s">
        <v>8134</v>
      </c>
      <c r="E5763" t="s">
        <v>8138</v>
      </c>
      <c r="F5763" s="181"/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0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1" t="s">
        <v>6434</v>
      </c>
      <c r="M5763" s="178">
        <v>46056</v>
      </c>
      <c r="N5763" s="178"/>
      <c r="O5763" s="178"/>
      <c r="P5763" s="178" t="str">
        <f ca="1">IF(Proc[[#This Row],[DaysAgeing]]&gt;5,"yep","on track")</f>
        <v>on track</v>
      </c>
      <c r="Q5763" s="3">
        <f ca="1">IF(Proc[[#This Row],[DateClosed]]="",ABS(NETWORKDAYS(Proc[[#This Row],[DateOpened]],TODAY()))-1,ABS(NETWORKDAYS(Proc[[#This Row],[DateOpened]],Proc[[#This Row],[DateClosed]]))-1)</f>
        <v>1</v>
      </c>
      <c r="R5763" s="178" t="s">
        <v>5708</v>
      </c>
      <c r="S5763" s="181"/>
    </row>
  </sheetData>
  <phoneticPr fontId="0" type="noConversion"/>
  <conditionalFormatting sqref="D642">
    <cfRule type="duplicateValues" dxfId="5" priority="3"/>
  </conditionalFormatting>
  <conditionalFormatting sqref="D1017:D10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G2:G5763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9B878-53D7-457A-9502-556A16FD4B77}">
  <dimension ref="A1:B34"/>
  <sheetViews>
    <sheetView workbookViewId="0">
      <selection activeCell="B1" sqref="A1:B34"/>
    </sheetView>
  </sheetViews>
  <sheetFormatPr defaultRowHeight="15"/>
  <cols>
    <col min="1" max="1" width="74.42578125" bestFit="1" customWidth="1"/>
    <col min="2" max="2" width="24.7109375" bestFit="1" customWidth="1"/>
  </cols>
  <sheetData>
    <row r="1" spans="1:2">
      <c r="A1" t="s">
        <v>7839</v>
      </c>
      <c r="B1" t="s">
        <v>7891</v>
      </c>
    </row>
    <row r="2" spans="1:2">
      <c r="A2" t="s">
        <v>7884</v>
      </c>
      <c r="B2" t="s">
        <v>7612</v>
      </c>
    </row>
    <row r="3" spans="1:2">
      <c r="A3" t="s">
        <v>7885</v>
      </c>
      <c r="B3" t="s">
        <v>7612</v>
      </c>
    </row>
    <row r="4" spans="1:2">
      <c r="A4" t="s">
        <v>7886</v>
      </c>
      <c r="B4" t="s">
        <v>7612</v>
      </c>
    </row>
    <row r="5" spans="1:2">
      <c r="A5" t="s">
        <v>7887</v>
      </c>
      <c r="B5" t="s">
        <v>7612</v>
      </c>
    </row>
    <row r="6" spans="1:2">
      <c r="A6" t="s">
        <v>7888</v>
      </c>
      <c r="B6" t="s">
        <v>7612</v>
      </c>
    </row>
    <row r="7" spans="1:2">
      <c r="A7" t="s">
        <v>7889</v>
      </c>
      <c r="B7" t="s">
        <v>7612</v>
      </c>
    </row>
    <row r="8" spans="1:2">
      <c r="A8" t="s">
        <v>7972</v>
      </c>
      <c r="B8" t="s">
        <v>7996</v>
      </c>
    </row>
    <row r="9" spans="1:2">
      <c r="A9" t="s">
        <v>7973</v>
      </c>
      <c r="B9" t="s">
        <v>7997</v>
      </c>
    </row>
    <row r="10" spans="1:2">
      <c r="A10" t="s">
        <v>7974</v>
      </c>
      <c r="B10" t="s">
        <v>7998</v>
      </c>
    </row>
    <row r="11" spans="1:2">
      <c r="A11" t="s">
        <v>7975</v>
      </c>
      <c r="B11" t="s">
        <v>7999</v>
      </c>
    </row>
    <row r="12" spans="1:2">
      <c r="A12" t="s">
        <v>7976</v>
      </c>
      <c r="B12" t="s">
        <v>7999</v>
      </c>
    </row>
    <row r="13" spans="1:2">
      <c r="A13" t="s">
        <v>7977</v>
      </c>
      <c r="B13" t="s">
        <v>7999</v>
      </c>
    </row>
    <row r="14" spans="1:2">
      <c r="A14" t="s">
        <v>7978</v>
      </c>
      <c r="B14" t="s">
        <v>8000</v>
      </c>
    </row>
    <row r="15" spans="1:2">
      <c r="A15" t="s">
        <v>7979</v>
      </c>
      <c r="B15" t="s">
        <v>8001</v>
      </c>
    </row>
    <row r="16" spans="1:2">
      <c r="A16" t="s">
        <v>4295</v>
      </c>
      <c r="B16" t="s">
        <v>8002</v>
      </c>
    </row>
    <row r="17" spans="1:2">
      <c r="A17" t="s">
        <v>7980</v>
      </c>
      <c r="B17" t="s">
        <v>8003</v>
      </c>
    </row>
    <row r="18" spans="1:2">
      <c r="A18" t="s">
        <v>7252</v>
      </c>
      <c r="B18" t="s">
        <v>7988</v>
      </c>
    </row>
    <row r="19" spans="1:2">
      <c r="A19" t="s">
        <v>7253</v>
      </c>
      <c r="B19" t="s">
        <v>7988</v>
      </c>
    </row>
    <row r="20" spans="1:2">
      <c r="A20" t="s">
        <v>7254</v>
      </c>
      <c r="B20" t="s">
        <v>7988</v>
      </c>
    </row>
    <row r="21" spans="1:2">
      <c r="A21" t="s">
        <v>7255</v>
      </c>
      <c r="B21" t="s">
        <v>7988</v>
      </c>
    </row>
    <row r="22" spans="1:2">
      <c r="A22" t="s">
        <v>7256</v>
      </c>
      <c r="B22" t="s">
        <v>7988</v>
      </c>
    </row>
    <row r="23" spans="1:2">
      <c r="A23" t="s">
        <v>7273</v>
      </c>
      <c r="B23" t="s">
        <v>7989</v>
      </c>
    </row>
    <row r="24" spans="1:2">
      <c r="A24" t="s">
        <v>7274</v>
      </c>
      <c r="B24" t="s">
        <v>7989</v>
      </c>
    </row>
    <row r="25" spans="1:2">
      <c r="A25" t="s">
        <v>7275</v>
      </c>
      <c r="B25" t="s">
        <v>7989</v>
      </c>
    </row>
    <row r="26" spans="1:2">
      <c r="A26" t="s">
        <v>7276</v>
      </c>
      <c r="B26" t="s">
        <v>7989</v>
      </c>
    </row>
    <row r="27" spans="1:2">
      <c r="A27" t="s">
        <v>7277</v>
      </c>
      <c r="B27" t="s">
        <v>7989</v>
      </c>
    </row>
    <row r="28" spans="1:2">
      <c r="A28" t="s">
        <v>7294</v>
      </c>
      <c r="B28" t="s">
        <v>7990</v>
      </c>
    </row>
    <row r="29" spans="1:2">
      <c r="A29" t="s">
        <v>7292</v>
      </c>
      <c r="B29" t="s">
        <v>7990</v>
      </c>
    </row>
    <row r="30" spans="1:2">
      <c r="A30" t="s">
        <v>7291</v>
      </c>
      <c r="B30" t="s">
        <v>7990</v>
      </c>
    </row>
    <row r="31" spans="1:2">
      <c r="A31" t="s">
        <v>7290</v>
      </c>
      <c r="B31" t="s">
        <v>7990</v>
      </c>
    </row>
    <row r="32" spans="1:2">
      <c r="A32" t="s">
        <v>7293</v>
      </c>
      <c r="B32" t="s">
        <v>7990</v>
      </c>
    </row>
    <row r="33" spans="1:2">
      <c r="A33" t="s">
        <v>4413</v>
      </c>
      <c r="B33" t="s">
        <v>7991</v>
      </c>
    </row>
    <row r="34" spans="1:2">
      <c r="A34" t="s">
        <v>7993</v>
      </c>
      <c r="B34" t="s">
        <v>8004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22" workbookViewId="0">
      <selection activeCell="A47" sqref="A47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2026-02-03T21:35:42Z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