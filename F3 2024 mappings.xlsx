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2A7D23F9-E4A1-41DA-93D4-D5CFB8C068C4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9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25" i="1" l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/>
  <c r="B2" i="1" l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<sst xmlns="http://schemas.openxmlformats.org/spreadsheetml/2006/main" count="10033" uniqueCount="2748">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</sst>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35.925360416666" createdVersion="7" refreshedVersion="8" minRefreshableVersion="3" recordCount="924" xr:uid="{11839AE3-6158-4318-87AD-2C711D0BF451}">
  <cacheSource type="worksheet">
    <worksheetSource name="Proc"/>
  </cacheSource>
  <cacheFields count="19">
    <cacheField name="App" numFmtId="0">
      <sharedItems containsBlank="1" count="1305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19T13:23:27"/>
    </cacheField>
    <cacheField name="DateMapped" numFmtId="14">
      <sharedItems containsNonDate="0" containsDate="1" containsString="0" containsBlank="1" minDate="2023-09-01T00:00:00" maxDate="2025-03-18T00:00:00"/>
    </cacheField>
    <cacheField name="DateClosed" numFmtId="14">
      <sharedItems containsNonDate="0" containsDate="1" containsString="0" containsBlank="1" minDate="2023-09-06T00:00:00" maxDate="2025-03-1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63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3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8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4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1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1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1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1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1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1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1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1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1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1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1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1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1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1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1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1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1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1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1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1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1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1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1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1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1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1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1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1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1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1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1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1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1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1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1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1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1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1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1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1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1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0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0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0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0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9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9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9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9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9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28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28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6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6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5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2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2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2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2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2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2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2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2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2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2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2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1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1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1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1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1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2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6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6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6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5"/>
    <s v="CLFF_1000$$$DE10698316"/>
    <s v="G000001280"/>
    <s v="G000001222"/>
    <s v="LFF (MDG-F)"/>
    <s v="DE10698316"/>
    <m/>
    <b v="0"/>
    <x v="0"/>
    <x v="1"/>
    <d v="2025-03-03T20:31:53"/>
    <m/>
    <m/>
    <x v="1"/>
    <n v="12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1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1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1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1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7"/>
    <s v="Luigia Bocola"/>
    <m/>
  </r>
  <r>
    <x v="109"/>
    <x v="1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7"/>
    <s v="Luigia Bocola"/>
    <m/>
  </r>
  <r>
    <x v="109"/>
    <x v="1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7"/>
    <s v="Luigia Bocola"/>
    <m/>
  </r>
  <r>
    <x v="109"/>
    <x v="1"/>
    <x v="5"/>
    <s v="CLFF_1000$$$CH65R00054"/>
    <s v="H000000907"/>
    <s v="H000000697"/>
    <s v="LFF (MDG-F)"/>
    <s v="CH65R00054"/>
    <m/>
    <b v="0"/>
    <x v="1"/>
    <x v="1"/>
    <d v="2025-03-10T18:14:29"/>
    <m/>
    <m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0"/>
    <n v="1"/>
    <s v="Rachel Liu"/>
    <m/>
  </r>
  <r>
    <x v="116"/>
    <x v="1"/>
    <x v="5"/>
    <s v="CLFF_1000$$$NO50GIN000"/>
    <s v="G000000145"/>
    <m/>
    <s v="LFF (MDG-F)"/>
    <s v="NO50GIN000"/>
    <m/>
    <b v="0"/>
    <x v="0"/>
    <x v="1"/>
    <d v="2025-03-05T18:14:29"/>
    <m/>
    <m/>
    <x v="1"/>
    <n v="10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0"/>
    <n v="2"/>
    <s v="Jojeff Tagnong"/>
    <m/>
  </r>
  <r>
    <x v="118"/>
    <x v="1"/>
    <x v="5"/>
    <s v="CLFF_7210$$$2148TASA01 Production 1-Equipment"/>
    <s v="L000013816"/>
    <m/>
    <s v="LFF (MDG-F)"/>
    <s v="2148TASA01"/>
    <m/>
    <b v="0"/>
    <x v="2"/>
    <x v="1"/>
    <d v="2025-03-18T18:14:29"/>
    <m/>
    <m/>
    <x v="0"/>
    <n v="1"/>
    <s v="Jayson Martinez"/>
    <m/>
  </r>
  <r>
    <x v="118"/>
    <x v="1"/>
    <x v="5"/>
    <s v="CLFF_7210$$$2148TASA99 Production 1-Direct Labor"/>
    <s v="L000013816"/>
    <m/>
    <s v="LFF (MDG-F)"/>
    <s v="2148TASA99"/>
    <m/>
    <b v="0"/>
    <x v="2"/>
    <x v="1"/>
    <d v="2025-03-18T18:14:29"/>
    <m/>
    <m/>
    <x v="0"/>
    <n v="1"/>
    <s v="Jayson Martinez"/>
    <m/>
  </r>
  <r>
    <x v="118"/>
    <x v="1"/>
    <x v="5"/>
    <s v="CLFF_7210$$$2148TASB00 Production 2-Main"/>
    <s v="L000013816"/>
    <m/>
    <s v="LFF (MDG-F)"/>
    <s v="2148TASB00"/>
    <m/>
    <b v="0"/>
    <x v="2"/>
    <x v="1"/>
    <d v="2025-03-18T18:14:29"/>
    <m/>
    <m/>
    <x v="0"/>
    <n v="1"/>
    <s v="Jayson Martinez"/>
    <m/>
  </r>
  <r>
    <x v="118"/>
    <x v="1"/>
    <x v="5"/>
    <s v="CLFF_7210$$$2148TASB01 Production 2-Equipment"/>
    <s v="L000013816"/>
    <m/>
    <s v="LFF (MDG-F)"/>
    <s v="2148TASB01"/>
    <m/>
    <b v="0"/>
    <x v="2"/>
    <x v="1"/>
    <d v="2025-03-18T18:14:29"/>
    <m/>
    <m/>
    <x v="0"/>
    <n v="1"/>
    <s v="Jayson Martinez"/>
    <m/>
  </r>
  <r>
    <x v="118"/>
    <x v="1"/>
    <x v="5"/>
    <s v="CLFF_7210$$$2148TASB99 Production -Direct Labor"/>
    <s v="L000013816"/>
    <m/>
    <s v="LFF (MDG-F)"/>
    <s v="2148TASB99"/>
    <m/>
    <b v="0"/>
    <x v="2"/>
    <x v="1"/>
    <d v="2025-03-18T18:14:29"/>
    <m/>
    <m/>
    <x v="0"/>
    <n v="1"/>
    <s v="Jayson Martinez"/>
    <m/>
  </r>
  <r>
    <x v="118"/>
    <x v="1"/>
    <x v="5"/>
    <s v="CLFF_7210$$$2148TBSZ20 Quality Assurance"/>
    <s v="L000013816"/>
    <m/>
    <s v="LFF (MDG-F)"/>
    <s v="2148TBSZ20"/>
    <m/>
    <b v="0"/>
    <x v="2"/>
    <x v="1"/>
    <d v="2025-03-18T18:14:29"/>
    <m/>
    <m/>
    <x v="0"/>
    <n v="1"/>
    <s v="Jayson Martinez"/>
    <m/>
  </r>
  <r>
    <x v="118"/>
    <x v="1"/>
    <x v="5"/>
    <s v="CLFF_7210$$$2148TBSZ21 Quality Control"/>
    <s v="L000013816"/>
    <m/>
    <s v="LFF (MDG-F)"/>
    <s v="2148TBSZ21"/>
    <m/>
    <b v="0"/>
    <x v="2"/>
    <x v="1"/>
    <d v="2025-03-18T18:14:29"/>
    <m/>
    <m/>
    <x v="0"/>
    <n v="1"/>
    <s v="Jayson Martinez"/>
    <m/>
  </r>
  <r>
    <x v="118"/>
    <x v="1"/>
    <x v="5"/>
    <s v="CLFF_7210$$$2148TFSZ64 Local Supply Planning &amp; Purchasing"/>
    <s v="L000013816"/>
    <m/>
    <s v="LFF (MDG-F)"/>
    <s v="2148TFSZ64"/>
    <m/>
    <b v="0"/>
    <x v="2"/>
    <x v="1"/>
    <d v="2025-03-18T18:14:29"/>
    <m/>
    <m/>
    <x v="0"/>
    <n v="1"/>
    <s v="Jayson Martinez"/>
    <m/>
  </r>
  <r>
    <x v="118"/>
    <x v="1"/>
    <x v="5"/>
    <s v="CLFF_7210$$$2148TKSZ70 Overhead Surcharge collector - Cell Marq"/>
    <s v="L000013816"/>
    <m/>
    <s v="LFF (MDG-F)"/>
    <s v="2148TKSZ70"/>
    <m/>
    <b v="0"/>
    <x v="2"/>
    <x v="1"/>
    <d v="2025-03-18T18:14:29"/>
    <m/>
    <m/>
    <x v="0"/>
    <n v="1"/>
    <s v="Jayson Martinez"/>
    <m/>
  </r>
  <r>
    <x v="118"/>
    <x v="1"/>
    <x v="5"/>
    <s v="CLFF_7210$$$2148TQSZ91 Receiving &amp; Materials Management"/>
    <s v="L000013816"/>
    <m/>
    <s v="LFF (MDG-F)"/>
    <s v="2148TQSZ91"/>
    <m/>
    <b v="0"/>
    <x v="2"/>
    <x v="1"/>
    <d v="2025-03-18T18:14:29"/>
    <m/>
    <m/>
    <x v="0"/>
    <n v="1"/>
    <s v="Jayson Martinez"/>
    <m/>
  </r>
  <r>
    <x v="118"/>
    <x v="1"/>
    <x v="5"/>
    <s v="CLFF_7210$$$2148TQSZ92 Warehousing &amp; Distribution - Cell Marque"/>
    <s v="L000013816"/>
    <m/>
    <s v="LFF (MDG-F)"/>
    <s v="2148TQSZ92"/>
    <m/>
    <b v="0"/>
    <x v="2"/>
    <x v="1"/>
    <d v="2025-03-18T18:14:29"/>
    <m/>
    <m/>
    <x v="0"/>
    <n v="1"/>
    <s v="Jayson Martinez"/>
    <m/>
  </r>
  <r>
    <x v="119"/>
    <x v="1"/>
    <x v="4"/>
    <s v="PQUATRO_T000474DE0412000 "/>
    <s v="L000006429"/>
    <m/>
    <s v="Non-LFF"/>
    <s v=""/>
    <m/>
    <b v="0"/>
    <x v="2"/>
    <x v="1"/>
    <d v="2025-03-18T18:14:29"/>
    <m/>
    <m/>
    <x v="0"/>
    <n v="1"/>
    <s v="Joan Rose Pena"/>
    <m/>
  </r>
  <r>
    <x v="119"/>
    <x v="1"/>
    <x v="4"/>
    <s v="PNEXT_D300116212501000000 "/>
    <s v="L000013318"/>
    <m/>
    <s v="Non-LFF"/>
    <s v=""/>
    <m/>
    <b v="0"/>
    <x v="2"/>
    <x v="1"/>
    <d v="2025-03-18T18:14:29"/>
    <m/>
    <m/>
    <x v="0"/>
    <n v="1"/>
    <s v="Joan Rose Pena"/>
    <m/>
  </r>
  <r>
    <x v="120"/>
    <x v="1"/>
    <x v="5"/>
    <s v="CLFF_1000$$$DE10698316"/>
    <s v="G000001280"/>
    <m/>
    <s v="LFF (MDG-F)"/>
    <s v="DE10698316"/>
    <m/>
    <b v="0"/>
    <x v="0"/>
    <x v="1"/>
    <d v="2025-03-18T18:14:29"/>
    <m/>
    <m/>
    <x v="0"/>
    <n v="1"/>
    <s v="Jojeff Tagnong"/>
    <m/>
  </r>
  <r>
    <x v="121"/>
    <x v="1"/>
    <x v="5"/>
    <s v="CFLTFLE_2152IMIPLSCI01"/>
    <s v="P000000540"/>
    <m/>
    <s v="Non-LFF"/>
    <s v=""/>
    <m/>
    <b v="0"/>
    <x v="3"/>
    <x v="1"/>
    <d v="2025-03-18T18:14:29"/>
    <m/>
    <m/>
    <x v="0"/>
    <n v="1"/>
    <s v="Eivy Denine Cruz"/>
    <m/>
  </r>
  <r>
    <x v="122"/>
    <x v="1"/>
    <x v="5"/>
    <s v="CFLTFLE_1044PMTC SS Trade Compliance"/>
    <s v="P000000609"/>
    <s v="DFLTPGCOH Default - Unmapped Objects"/>
    <s v="Non-LFF"/>
    <s v=""/>
    <m/>
    <b v="0"/>
    <x v="3"/>
    <x v="1"/>
    <d v="2025-03-19T08:35:30"/>
    <m/>
    <m/>
    <x v="0"/>
    <n v="0"/>
    <s v="Eivy Denine Cruz"/>
    <m/>
  </r>
  <r>
    <x v="123"/>
    <x v="1"/>
    <x v="5"/>
    <s v="CNOW_7210$$$0000010272 EL Digital Data &amp; Cyber ITOT 2098"/>
    <s v="P000000758"/>
    <s v="DFLTPGCOH Default - Unmapped Objects"/>
    <s v="Non-LFF"/>
    <s v=""/>
    <m/>
    <b v="0"/>
    <x v="3"/>
    <x v="1"/>
    <d v="2025-03-19T13:23:27"/>
    <m/>
    <m/>
    <x v="0"/>
    <n v="0"/>
    <s v="Eivy Denine Cruz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9" firstHeaderRow="1" firstDataRow="1" firstDataCol="1" rowPageCount="1" colPageCount="1"/>
  <pivotFields count="19">
    <pivotField axis="axisRow" showAll="0" sortType="ascending">
      <items count="1306">
        <item m="1" x="690"/>
        <item x="0"/>
        <item m="1" x="760"/>
        <item m="1" x="1181"/>
        <item m="1" x="343"/>
        <item m="1" x="1198"/>
        <item m="1" x="720"/>
        <item m="1" x="810"/>
        <item m="1" x="1231"/>
        <item m="1" x="1025"/>
        <item m="1" x="713"/>
        <item m="1" x="1297"/>
        <item m="1" x="1043"/>
        <item m="1" x="1287"/>
        <item m="1" x="661"/>
        <item m="1" x="562"/>
        <item m="1" x="266"/>
        <item m="1" x="527"/>
        <item m="1" x="1251"/>
        <item m="1" x="319"/>
        <item m="1" x="627"/>
        <item m="1" x="995"/>
        <item m="1" x="710"/>
        <item m="1" x="803"/>
        <item m="1" x="1099"/>
        <item m="1" x="1284"/>
        <item m="1" x="745"/>
        <item m="1" x="767"/>
        <item m="1" x="532"/>
        <item m="1" x="933"/>
        <item m="1" x="692"/>
        <item m="1" x="1238"/>
        <item m="1" x="895"/>
        <item m="1" x="328"/>
        <item m="1" x="436"/>
        <item m="1" x="1223"/>
        <item m="1" x="987"/>
        <item m="1" x="241"/>
        <item m="1" x="1073"/>
        <item m="1" x="739"/>
        <item m="1" x="1034"/>
        <item m="1" x="620"/>
        <item m="1" x="972"/>
        <item m="1" x="231"/>
        <item m="1" x="261"/>
        <item m="1" x="1300"/>
        <item m="1" x="979"/>
        <item m="1" x="1047"/>
        <item m="1" x="1154"/>
        <item m="1" x="923"/>
        <item m="1" x="1021"/>
        <item m="1" x="860"/>
        <item m="1" x="315"/>
        <item m="1" x="506"/>
        <item m="1" x="1282"/>
        <item m="1" x="850"/>
        <item m="1" x="990"/>
        <item m="1" x="518"/>
        <item m="1" x="479"/>
        <item m="1" x="771"/>
        <item m="1" x="663"/>
        <item m="1" x="696"/>
        <item m="1" x="255"/>
        <item m="1" x="394"/>
        <item m="1" x="1056"/>
        <item m="1" x="1273"/>
        <item m="1" x="459"/>
        <item m="1" x="864"/>
        <item m="1" x="874"/>
        <item m="1" x="1051"/>
        <item m="1" x="1161"/>
        <item m="1" x="1039"/>
        <item m="1" x="334"/>
        <item m="1" x="1182"/>
        <item m="1" x="912"/>
        <item m="1" x="899"/>
        <item m="1" x="434"/>
        <item m="1" x="787"/>
        <item m="1" x="1134"/>
        <item m="1" x="252"/>
        <item m="1" x="831"/>
        <item m="1" x="1184"/>
        <item m="1" x="1022"/>
        <item m="1" x="757"/>
        <item m="1" x="799"/>
        <item m="1" x="680"/>
        <item m="1" x="915"/>
        <item m="1" x="727"/>
        <item m="1" x="959"/>
        <item m="1" x="443"/>
        <item m="1" x="1272"/>
        <item m="1" x="797"/>
        <item m="1" x="1083"/>
        <item m="1" x="160"/>
        <item m="1" x="1288"/>
        <item m="1" x="824"/>
        <item m="1" x="1113"/>
        <item m="1" x="1026"/>
        <item m="1" x="804"/>
        <item m="1" x="314"/>
        <item m="1" x="321"/>
        <item m="1" x="361"/>
        <item m="1" x="543"/>
        <item m="1" x="967"/>
        <item m="1" x="728"/>
        <item m="1" x="844"/>
        <item m="1" x="907"/>
        <item m="1" x="1054"/>
        <item m="1" x="1137"/>
        <item m="1" x="699"/>
        <item m="1" x="420"/>
        <item m="1" x="263"/>
        <item m="1" x="406"/>
        <item m="1" x="1281"/>
        <item m="1" x="438"/>
        <item m="1" x="1119"/>
        <item m="1" x="1048"/>
        <item m="1" x="666"/>
        <item m="1" x="738"/>
        <item m="1" x="604"/>
        <item m="1" x="861"/>
        <item m="1" x="1236"/>
        <item m="1" x="412"/>
        <item m="1" x="360"/>
        <item m="1" x="295"/>
        <item m="1" x="961"/>
        <item m="1" x="1221"/>
        <item m="1" x="1149"/>
        <item m="1" x="806"/>
        <item m="1" x="330"/>
        <item m="1" x="1055"/>
        <item m="1" x="507"/>
        <item m="1" x="761"/>
        <item m="1" x="936"/>
        <item m="1" x="1044"/>
        <item m="1" x="164"/>
        <item m="1" x="993"/>
        <item m="1" x="956"/>
        <item m="1" x="397"/>
        <item m="1" x="845"/>
        <item m="1" x="733"/>
        <item m="1" x="686"/>
        <item m="1" x="419"/>
        <item m="1" x="355"/>
        <item m="1" x="595"/>
        <item m="1" x="782"/>
        <item m="1" x="189"/>
        <item m="1" x="528"/>
        <item m="1" x="387"/>
        <item m="1" x="129"/>
        <item m="1" x="639"/>
        <item m="1" x="840"/>
        <item m="1" x="722"/>
        <item m="1" x="768"/>
        <item m="1" x="1087"/>
        <item m="1" x="669"/>
        <item m="1" x="1195"/>
        <item m="1" x="919"/>
        <item m="1" x="858"/>
        <item m="1" x="372"/>
        <item m="1" x="1005"/>
        <item m="1" x="1283"/>
        <item m="1" x="971"/>
        <item m="1" x="955"/>
        <item m="1" x="242"/>
        <item m="1" x="290"/>
        <item m="1" x="825"/>
        <item m="1" x="331"/>
        <item m="1" x="1268"/>
        <item m="1" x="934"/>
        <item m="1" x="859"/>
        <item m="1" x="811"/>
        <item m="1" x="612"/>
        <item m="1" x="240"/>
        <item m="1" x="340"/>
        <item m="1" x="446"/>
        <item m="1" x="1179"/>
        <item m="1" x="1211"/>
        <item m="1" x="910"/>
        <item m="1" x="637"/>
        <item m="1" x="725"/>
        <item m="1" x="235"/>
        <item m="1" x="275"/>
        <item m="1" x="614"/>
        <item m="1" x="839"/>
        <item m="1" x="752"/>
        <item m="1" x="410"/>
        <item m="1" x="643"/>
        <item m="1" x="357"/>
        <item m="1" x="552"/>
        <item m="1" x="474"/>
        <item m="1" x="309"/>
        <item m="1" x="445"/>
        <item m="1" x="815"/>
        <item m="1" x="225"/>
        <item m="1" x="464"/>
        <item m="1" x="256"/>
        <item m="1" x="949"/>
        <item m="1" x="1138"/>
        <item m="1" x="748"/>
        <item m="1" x="392"/>
        <item m="1" x="1042"/>
        <item m="1" x="887"/>
        <item m="1" x="404"/>
        <item m="1" x="405"/>
        <item m="1" x="590"/>
        <item m="1" x="280"/>
        <item m="1" x="469"/>
        <item m="1" x="264"/>
        <item m="1" x="450"/>
        <item m="1" x="1018"/>
        <item m="1" x="529"/>
        <item m="1" x="896"/>
        <item m="1" x="946"/>
        <item m="1" x="1080"/>
        <item m="1" x="1084"/>
        <item m="1" x="801"/>
        <item m="1" x="642"/>
        <item m="1" x="681"/>
        <item m="1" x="1248"/>
        <item m="1" x="541"/>
        <item m="1" x="353"/>
        <item m="1" x="731"/>
        <item m="1" x="188"/>
        <item m="1" x="1252"/>
        <item m="1" x="715"/>
        <item m="1" x="149"/>
        <item m="1" x="1170"/>
        <item m="1" x="1213"/>
        <item m="1" x="1050"/>
        <item m="1" x="427"/>
        <item m="1" x="166"/>
        <item m="1" x="1100"/>
        <item m="1" x="491"/>
        <item m="1" x="127"/>
        <item m="1" x="1271"/>
        <item m="1" x="515"/>
        <item m="1" x="670"/>
        <item m="1" x="1115"/>
        <item m="1" x="202"/>
        <item m="1" x="1027"/>
        <item m="1" x="835"/>
        <item m="1" x="700"/>
        <item m="1" x="570"/>
        <item m="1" x="317"/>
        <item m="1" x="818"/>
        <item m="1" x="520"/>
        <item m="1" x="1058"/>
        <item m="1" x="380"/>
        <item m="1" x="1128"/>
        <item m="1" x="1135"/>
        <item m="1" x="819"/>
        <item m="1" x="1009"/>
        <item m="1" x="426"/>
        <item m="1" x="723"/>
        <item m="1" x="1012"/>
        <item m="1" x="596"/>
        <item m="1" x="886"/>
        <item m="1" x="525"/>
        <item m="1" x="310"/>
        <item m="1" x="514"/>
        <item m="1" x="1280"/>
        <item m="1" x="1222"/>
        <item m="1" x="367"/>
        <item m="1" x="1168"/>
        <item m="1" x="174"/>
        <item m="1" x="1190"/>
        <item m="1" x="209"/>
        <item m="1" x="511"/>
        <item m="1" x="609"/>
        <item m="1" x="556"/>
        <item m="1" x="1163"/>
        <item m="1" x="1066"/>
        <item m="1" x="307"/>
        <item m="1" x="877"/>
        <item m="1" x="1085"/>
        <item m="1" x="1219"/>
        <item m="1" x="1126"/>
        <item m="1" x="212"/>
        <item m="1" x="1292"/>
        <item m="1" x="363"/>
        <item m="1" x="644"/>
        <item m="1" x="1088"/>
        <item m="1" x="211"/>
        <item m="1" x="1147"/>
        <item m="1" x="376"/>
        <item m="1" x="1020"/>
        <item m="1" x="884"/>
        <item m="1" x="862"/>
        <item m="1" x="441"/>
        <item m="1" x="403"/>
        <item m="1" x="1215"/>
        <item m="1" x="156"/>
        <item m="1" x="338"/>
        <item m="1" x="997"/>
        <item m="1" x="1108"/>
        <item m="1" x="1035"/>
        <item m="1" x="1239"/>
        <item m="1" x="743"/>
        <item m="1" x="370"/>
        <item m="1" x="490"/>
        <item m="1" x="809"/>
        <item m="1" x="551"/>
        <item m="1" x="879"/>
        <item m="1" x="492"/>
        <item m="1" x="294"/>
        <item m="1" x="947"/>
        <item m="1" x="349"/>
        <item m="1" x="229"/>
        <item m="1" x="1081"/>
        <item m="1" x="1228"/>
        <item m="1" x="929"/>
        <item m="1" x="194"/>
        <item m="1" x="1120"/>
        <item m="1" x="918"/>
        <item m="1" x="1028"/>
        <item m="1" x="1167"/>
        <item m="1" x="395"/>
        <item m="1" x="587"/>
        <item m="1" x="425"/>
        <item m="1" x="693"/>
        <item m="1" x="617"/>
        <item m="1" x="647"/>
        <item m="1" x="1183"/>
        <item m="1" x="629"/>
        <item m="1" x="832"/>
        <item m="1" x="364"/>
        <item m="1" x="563"/>
        <item m="1" x="537"/>
        <item m="1" x="880"/>
        <item m="1" x="783"/>
        <item m="1" x="1011"/>
        <item m="1" x="533"/>
        <item m="1" x="1169"/>
        <item m="1" x="371"/>
        <item m="1" x="297"/>
        <item m="1" x="553"/>
        <item m="1" x="1094"/>
        <item m="1" x="204"/>
        <item m="1" x="205"/>
        <item m="1" x="501"/>
        <item m="1" x="1174"/>
        <item m="1" x="568"/>
        <item m="1" x="213"/>
        <item m="1" x="373"/>
        <item m="1" x="615"/>
        <item m="1" x="926"/>
        <item m="1" x="898"/>
        <item m="1" x="569"/>
        <item m="1" x="150"/>
        <item m="1" x="288"/>
        <item m="1" x="500"/>
        <item m="1" x="388"/>
        <item m="1" x="145"/>
        <item m="1" x="1098"/>
        <item m="1" x="1227"/>
        <item m="1" x="697"/>
        <item m="1" x="1127"/>
        <item m="1" x="1187"/>
        <item m="1" x="210"/>
        <item m="1" x="1225"/>
        <item m="1" x="963"/>
        <item m="1" x="386"/>
        <item m="1" x="572"/>
        <item m="1" x="476"/>
        <item m="1" x="838"/>
        <item m="1" x="409"/>
        <item m="1" x="625"/>
        <item m="1" x="920"/>
        <item m="1" x="1045"/>
        <item m="1" x="548"/>
        <item m="1" x="676"/>
        <item m="1" x="488"/>
        <item m="1" x="414"/>
        <item m="1" x="925"/>
        <item m="1" x="1040"/>
        <item m="1" x="1202"/>
        <item m="1" x="244"/>
        <item m="1" x="448"/>
        <item m="1" x="888"/>
        <item m="1" x="289"/>
        <item m="1" x="576"/>
        <item m="1" x="957"/>
        <item m="1" x="222"/>
        <item m="1" x="432"/>
        <item m="1" x="542"/>
        <item m="1" x="1148"/>
        <item m="1" x="381"/>
        <item m="1" x="651"/>
        <item m="1" x="1204"/>
        <item m="1" x="332"/>
        <item m="1" x="521"/>
        <item m="1" x="709"/>
        <item m="1" x="1046"/>
        <item m="1" x="344"/>
        <item m="1" x="600"/>
        <item m="1" x="442"/>
        <item m="1" x="938"/>
        <item m="1" x="1124"/>
        <item m="1" x="250"/>
        <item m="1" x="470"/>
        <item m="1" x="1206"/>
        <item m="1" x="1171"/>
        <item m="1" x="271"/>
        <item m="1" x="588"/>
        <item m="1" x="1112"/>
        <item m="1" x="1243"/>
        <item m="1" x="1114"/>
        <item m="1" x="1089"/>
        <item m="1" x="220"/>
        <item m="1" x="396"/>
        <item m="1" x="478"/>
        <item m="1" x="467"/>
        <item m="1" x="694"/>
        <item m="1" x="182"/>
        <item m="1" x="881"/>
        <item m="1" x="952"/>
        <item m="1" x="134"/>
        <item m="1" x="1212"/>
        <item m="1" x="1074"/>
        <item m="1" x="1203"/>
        <item m="1" x="1233"/>
        <item m="1" x="1269"/>
        <item m="1" x="1207"/>
        <item m="1" x="571"/>
        <item m="1" x="931"/>
        <item m="1" x="538"/>
        <item m="1" x="944"/>
        <item m="1" x="909"/>
        <item m="1" x="347"/>
        <item m="1" x="385"/>
        <item m="1" x="523"/>
        <item m="1" x="988"/>
        <item m="1" x="508"/>
        <item m="1" x="254"/>
        <item m="1" x="1253"/>
        <item m="1" x="1003"/>
        <item m="1" x="836"/>
        <item m="1" x="868"/>
        <item m="1" x="917"/>
        <item m="1" x="342"/>
        <item m="1" x="684"/>
        <item m="1" x="1029"/>
        <item m="1" x="180"/>
        <item m="1" x="423"/>
        <item m="1" x="323"/>
        <item m="1" x="320"/>
        <item m="1" x="324"/>
        <item m="1" x="125"/>
        <item m="1" x="346"/>
        <item m="1" x="1143"/>
        <item m="1" x="147"/>
        <item m="1" x="793"/>
        <item m="1" x="1230"/>
        <item m="1" x="1041"/>
        <item m="1" x="301"/>
        <item m="1" x="1301"/>
        <item m="1" x="230"/>
        <item m="1" x="597"/>
        <item m="1" x="820"/>
        <item m="1" x="276"/>
        <item m="1" x="729"/>
        <item m="1" x="889"/>
        <item m="1" x="1157"/>
        <item m="1" x="1059"/>
        <item m="1" x="138"/>
        <item m="1" x="821"/>
        <item m="1" x="221"/>
        <item m="1" x="457"/>
        <item m="1" x="429"/>
        <item m="1" x="191"/>
        <item m="1" x="784"/>
        <item m="1" x="791"/>
        <item m="1" x="891"/>
        <item m="1" x="640"/>
        <item m="1" x="1140"/>
        <item m="1" x="549"/>
        <item m="1" x="1259"/>
        <item m="1" x="894"/>
        <item m="1" x="785"/>
        <item m="1" x="449"/>
        <item m="1" x="857"/>
        <item m="1" x="1155"/>
        <item m="1" x="1220"/>
        <item m="1" x="1199"/>
        <item m="1" x="1129"/>
        <item m="1" x="878"/>
        <item m="1" x="991"/>
        <item m="1" x="504"/>
        <item m="1" x="953"/>
        <item m="1" x="778"/>
        <item m="1" x="737"/>
        <item m="1" x="735"/>
        <item m="1" x="736"/>
        <item m="1" x="433"/>
        <item m="1" x="477"/>
        <item m="1" x="1090"/>
        <item m="1" x="655"/>
        <item m="1" x="497"/>
        <item m="1" x="539"/>
        <item m="1" x="585"/>
        <item m="1" x="837"/>
        <item m="1" x="1175"/>
        <item m="1" x="1264"/>
        <item m="1" x="382"/>
        <item m="1" x="333"/>
        <item m="1" x="170"/>
        <item m="1" x="192"/>
        <item m="1" x="489"/>
        <item m="1" x="277"/>
        <item m="1" x="605"/>
        <item m="1" x="1141"/>
        <item m="1" x="482"/>
        <item m="1" x="274"/>
        <item m="1" x="1033"/>
        <item m="1" x="151"/>
        <item m="1" x="1159"/>
        <item m="1" x="1234"/>
        <item m="1" x="1298"/>
        <item m="1" x="1173"/>
        <item m="1" x="416"/>
        <item m="1" x="193"/>
        <item m="1" x="657"/>
        <item m="1" x="741"/>
        <item m="1" x="937"/>
        <item m="1" x="905"/>
        <item m="1" x="941"/>
        <item m="1" x="718"/>
        <item m="1" x="756"/>
        <item m="1" x="1197"/>
        <item m="1" x="960"/>
        <item m="1" x="930"/>
        <item m="1" x="869"/>
        <item m="1" x="942"/>
        <item m="1" x="143"/>
        <item m="1" x="148"/>
        <item m="1" x="751"/>
        <item m="1" x="1136"/>
        <item m="1" x="706"/>
        <item m="1" x="1276"/>
        <item m="1" x="675"/>
        <item m="1" x="851"/>
        <item m="1" x="922"/>
        <item m="1" x="536"/>
        <item m="1" x="368"/>
        <item m="1" x="744"/>
        <item m="1" x="430"/>
        <item m="1" x="1285"/>
        <item m="1" x="1200"/>
        <item m="1" x="1013"/>
        <item m="1" x="270"/>
        <item m="1" x="197"/>
        <item m="1" x="770"/>
        <item m="1" x="1014"/>
        <item m="1" x="1303"/>
        <item m="1" x="649"/>
        <item m="1" x="1250"/>
        <item m="1" x="184"/>
        <item m="1" x="298"/>
        <item m="1" x="610"/>
        <item m="1" x="701"/>
        <item m="1" x="1130"/>
        <item m="1" x="454"/>
        <item m="1" x="1133"/>
        <item m="1" x="550"/>
        <item m="1" x="1122"/>
        <item m="1" x="1286"/>
        <item m="1" x="214"/>
        <item m="1" x="1270"/>
        <item m="1" x="161"/>
        <item m="1" x="1023"/>
        <item m="1" x="641"/>
        <item m="1" x="472"/>
        <item m="1" x="435"/>
        <item m="1" x="579"/>
        <item m="1" x="178"/>
        <item m="1" x="1263"/>
        <item m="1" x="262"/>
        <item m="1" x="283"/>
        <item m="1" x="1156"/>
        <item m="1" x="1235"/>
        <item m="1" x="749"/>
        <item m="1" x="890"/>
        <item m="1" x="591"/>
        <item m="1" x="704"/>
        <item m="1" x="853"/>
        <item m="1" x="970"/>
        <item m="1" x="557"/>
        <item m="1" x="833"/>
        <item m="1" x="652"/>
        <item m="1" x="1289"/>
        <item m="1" x="142"/>
        <item m="1" x="581"/>
        <item m="1" x="522"/>
        <item m="1" x="483"/>
        <item m="1" x="1277"/>
        <item m="1" x="1095"/>
        <item m="1" x="1226"/>
        <item m="1" x="239"/>
        <item m="1" x="1237"/>
        <item m="1" x="1224"/>
        <item m="1" x="1101"/>
        <item m="1" x="336"/>
        <item m="1" x="705"/>
        <item m="1" x="798"/>
        <item m="1" x="544"/>
        <item m="1" x="1142"/>
        <item m="1" x="928"/>
        <item m="1" x="948"/>
        <item m="1" x="842"/>
        <item m="1" x="185"/>
        <item m="1" x="1015"/>
        <item m="1" x="1177"/>
        <item m="1" x="582"/>
        <item m="1" x="1296"/>
        <item m="1" x="790"/>
        <item m="1" x="377"/>
        <item m="1" x="510"/>
        <item m="1" x="546"/>
        <item m="1" x="1205"/>
        <item m="1" x="1189"/>
        <item m="1" x="249"/>
        <item m="1" x="251"/>
        <item m="1" x="165"/>
        <item m="1" x="1125"/>
        <item m="1" x="167"/>
        <item m="1" x="584"/>
        <item m="1" x="484"/>
        <item m="1" x="940"/>
        <item m="1" x="883"/>
        <item m="1" x="1232"/>
        <item m="1" x="1164"/>
        <item m="1" x="656"/>
        <item m="1" x="870"/>
        <item m="1" x="1105"/>
        <item m="1" x="218"/>
        <item m="1" x="650"/>
        <item m="1" x="580"/>
        <item m="1" x="1274"/>
        <item m="1" x="1241"/>
        <item m="1" x="672"/>
        <item m="1" x="278"/>
        <item m="1" x="573"/>
        <item m="1" x="746"/>
        <item m="1" x="200"/>
        <item m="1" x="1036"/>
        <item m="1" x="630"/>
        <item m="1" x="440"/>
        <item m="1" x="534"/>
        <item m="1" x="980"/>
        <item m="1" x="1279"/>
        <item m="1" x="358"/>
        <item m="1" x="1131"/>
        <item m="1" x="352"/>
        <item m="1" x="916"/>
        <item m="1" x="688"/>
        <item m="1" x="619"/>
        <item m="1" x="341"/>
        <item m="1" x="408"/>
        <item m="1" x="196"/>
        <item m="1" x="996"/>
        <item m="1" x="509"/>
        <item m="1" x="233"/>
        <item m="1" x="847"/>
        <item m="1" x="1162"/>
        <item m="1" x="702"/>
        <item m="1" x="660"/>
        <item m="1" x="131"/>
        <item m="1" x="1267"/>
        <item m="1" x="517"/>
        <item m="1" x="577"/>
        <item m="1" x="984"/>
        <item m="1" x="1261"/>
        <item m="1" x="1186"/>
        <item m="1" x="1037"/>
        <item m="1" x="1152"/>
        <item m="1" x="313"/>
        <item m="1" x="512"/>
        <item m="1" x="345"/>
        <item m="1" x="137"/>
        <item m="1" x="750"/>
        <item m="1" x="199"/>
        <item m="1" x="421"/>
        <item m="1" x="365"/>
        <item m="1" x="311"/>
        <item m="1" x="1266"/>
        <item m="1" x="362"/>
        <item m="1" x="964"/>
        <item m="1" x="1176"/>
        <item m="1" x="302"/>
        <item m="1" x="206"/>
        <item m="1" x="999"/>
        <item m="1" x="975"/>
        <item m="1" x="1016"/>
        <item m="1" x="935"/>
        <item m="1" x="279"/>
        <item m="1" x="635"/>
        <item m="1" x="903"/>
        <item m="1" x="1153"/>
        <item m="1" x="747"/>
        <item m="1" x="865"/>
        <item m="1" x="1209"/>
        <item m="1" x="621"/>
        <item m="1" x="465"/>
        <item m="1" x="698"/>
        <item m="1" x="645"/>
        <item m="1" x="575"/>
        <item m="1" x="1092"/>
        <item m="1" x="779"/>
        <item m="1" x="875"/>
        <item m="1" x="126"/>
        <item m="1" x="671"/>
        <item m="1" x="273"/>
        <item m="1" x="540"/>
        <item m="1" x="678"/>
        <item m="1" x="208"/>
        <item m="1" x="325"/>
        <item m="1" x="780"/>
        <item m="1" x="977"/>
        <item m="1" x="1247"/>
        <item m="1" x="1290"/>
        <item m="1" x="900"/>
        <item m="1" x="248"/>
        <item m="1" x="176"/>
        <item m="1" x="762"/>
        <item m="1" x="384"/>
        <item m="1" x="658"/>
        <item m="1" x="286"/>
        <item m="1" x="389"/>
        <item m="1" x="816"/>
        <item m="1" x="1172"/>
        <item m="1" x="1103"/>
        <item m="1" x="519"/>
        <item m="1" x="554"/>
        <item m="1" x="830"/>
        <item m="1" x="1260"/>
        <item m="1" x="986"/>
        <item m="1" x="152"/>
        <item m="1" x="1214"/>
        <item m="1" x="260"/>
        <item m="1" x="906"/>
        <item m="1" x="951"/>
        <item m="1" x="954"/>
        <item m="1" x="1294"/>
        <item m="1" x="187"/>
        <item m="1" x="965"/>
        <item m="1" x="1062"/>
        <item m="1" x="834"/>
        <item m="1" x="1004"/>
        <item m="1" x="246"/>
        <item m="1" x="638"/>
        <item m="1" x="485"/>
        <item m="1" x="1097"/>
        <item m="1" x="1192"/>
        <item m="1" x="721"/>
        <item m="1" x="1160"/>
        <item m="1" x="1208"/>
        <item m="1" x="561"/>
        <item m="1" x="1064"/>
        <item m="1" x="927"/>
        <item m="1" x="1210"/>
        <item m="1" x="1254"/>
        <item m="1" x="992"/>
        <item m="1" x="602"/>
        <item m="1" x="407"/>
        <item m="1" x="1242"/>
        <item m="1" x="789"/>
        <item m="1" x="763"/>
        <item m="1" x="772"/>
        <item m="1" x="1293"/>
        <item m="1" x="1017"/>
        <item m="1" x="712"/>
        <item m="1" x="981"/>
        <item m="1" x="958"/>
        <item m="1" x="574"/>
        <item m="1" x="475"/>
        <item m="1" x="974"/>
        <item m="1" x="369"/>
        <item m="1" x="326"/>
        <item m="1" x="268"/>
        <item m="1" x="1255"/>
        <item m="1" x="871"/>
        <item m="1" x="606"/>
        <item m="1" x="687"/>
        <item m="1" x="168"/>
        <item m="1" x="1244"/>
        <item m="1" x="795"/>
        <item m="1" x="943"/>
        <item m="1" x="391"/>
        <item m="1" x="1075"/>
        <item m="1" x="578"/>
        <item m="1" x="471"/>
        <item m="1" x="1299"/>
        <item m="1" x="601"/>
        <item m="1" x="1240"/>
        <item m="1" x="826"/>
        <item m="1" x="502"/>
        <item m="1" x="293"/>
        <item m="1" x="236"/>
        <item m="1" x="530"/>
        <item m="1" x="227"/>
        <item m="1" x="198"/>
        <item m="1" x="215"/>
        <item m="1" x="494"/>
        <item m="1" x="339"/>
        <item m="1" x="646"/>
        <item m="1" x="703"/>
        <item m="1" x="802"/>
        <item m="1" x="673"/>
        <item m="1" x="1006"/>
        <item m="1" x="1070"/>
        <item m="1" x="282"/>
        <item m="1" x="292"/>
        <item m="1" x="481"/>
        <item m="1" x="623"/>
        <item m="1" x="413"/>
        <item m="1" x="966"/>
        <item m="1" x="716"/>
        <item m="1" x="633"/>
        <item m="1" x="766"/>
        <item m="1" x="1072"/>
        <item m="1" x="1010"/>
        <item m="1" x="1096"/>
        <item m="1" x="852"/>
        <item m="1" x="272"/>
        <item m="1" x="1278"/>
        <item m="1" x="691"/>
        <item m="1" x="306"/>
        <item m="1" x="130"/>
        <item m="1" x="1275"/>
        <item m="1" x="759"/>
        <item m="1" x="726"/>
        <item m="1" x="498"/>
        <item m="1" x="378"/>
        <item m="1" x="462"/>
        <item m="1" x="616"/>
        <item m="1" x="1191"/>
        <item m="1" x="1110"/>
        <item m="1" x="486"/>
        <item m="1" x="559"/>
        <item m="1" x="566"/>
        <item m="1" x="1104"/>
        <item m="1" x="707"/>
        <item m="1" x="179"/>
        <item m="1" x="740"/>
        <item m="1" x="1019"/>
        <item m="1" x="1145"/>
        <item m="1" x="1038"/>
        <item m="1" x="846"/>
        <item m="1" x="1144"/>
        <item m="1" x="158"/>
        <item m="1" x="1061"/>
        <item m="1" x="140"/>
        <item m="1" x="480"/>
        <item m="1" x="144"/>
        <item m="1" x="303"/>
        <item m="1" x="393"/>
        <item m="1" x="399"/>
        <item m="1" x="817"/>
        <item m="1" x="1071"/>
        <item m="1" x="598"/>
        <item m="1" x="169"/>
        <item m="1" x="375"/>
        <item m="1" x="163"/>
        <item m="1" x="1158"/>
        <item m="1" x="383"/>
        <item m="1" x="719"/>
        <item m="1" x="1178"/>
        <item m="1" x="505"/>
        <item m="1" x="447"/>
        <item m="1" x="843"/>
        <item m="1" x="400"/>
        <item m="1" x="708"/>
        <item m="1" x="1002"/>
        <item m="1" x="141"/>
        <item m="1" x="654"/>
        <item m="1" x="773"/>
        <item m="1" x="265"/>
        <item m="1" x="607"/>
        <item m="1" x="742"/>
        <item m="1" x="493"/>
        <item m="1" x="531"/>
        <item m="1" x="258"/>
        <item m="1" x="664"/>
        <item m="1" x="128"/>
        <item m="1" x="800"/>
        <item m="1" x="1193"/>
        <item m="1" x="914"/>
        <item m="1" x="908"/>
        <item m="1" x="807"/>
        <item m="1" x="133"/>
        <item m="1" x="939"/>
        <item m="1" x="982"/>
        <item m="1" x="788"/>
        <item m="1" x="132"/>
        <item m="1" x="1139"/>
        <item m="1" x="1106"/>
        <item m="1" x="136"/>
        <item m="1" x="415"/>
        <item m="1" x="805"/>
        <item m="1" x="1060"/>
        <item m="1" x="257"/>
        <item m="1" x="153"/>
        <item m="1" x="312"/>
        <item m="1" x="203"/>
        <item m="1" x="611"/>
        <item m="1" x="424"/>
        <item m="1" x="422"/>
        <item m="1" x="593"/>
        <item m="1" x="695"/>
        <item m="1" x="599"/>
        <item m="1" x="796"/>
        <item m="1" x="648"/>
        <item m="1" x="513"/>
        <item m="1" x="628"/>
        <item m="1" x="1121"/>
        <item m="1" x="1216"/>
        <item m="1" x="473"/>
        <item m="1" x="1196"/>
        <item m="1" x="238"/>
        <item m="1" x="1185"/>
        <item m="1" x="882"/>
        <item m="1" x="1053"/>
        <item m="1" x="1132"/>
        <item m="1" x="812"/>
        <item m="1" x="1024"/>
        <item m="1" x="316"/>
        <item m="1" x="299"/>
        <item m="1" x="921"/>
        <item m="1" x="893"/>
        <item m="1" x="455"/>
        <item m="1" x="1291"/>
        <item m="1" x="863"/>
        <item m="1" x="603"/>
        <item m="1" x="677"/>
        <item m="1" x="636"/>
        <item m="1" x="1146"/>
        <item m="1" x="1150"/>
        <item m="1" x="146"/>
        <item m="1" x="1030"/>
        <item m="1" x="1076"/>
        <item m="1" x="195"/>
        <item m="1" x="567"/>
        <item m="1" x="558"/>
        <item m="1" x="1065"/>
        <item m="1" x="764"/>
        <item m="1" x="968"/>
        <item m="1" x="634"/>
        <item m="1" x="985"/>
        <item m="1" x="173"/>
        <item m="1" x="296"/>
        <item m="1" x="1265"/>
        <item m="1" x="885"/>
        <item m="1" x="1257"/>
        <item m="1" x="177"/>
        <item m="1" x="437"/>
        <item m="1" x="253"/>
        <item m="1" x="186"/>
        <item m="1" x="201"/>
        <item m="1" x="753"/>
        <item m="1" x="786"/>
        <item m="1" x="458"/>
        <item m="1" x="876"/>
        <item m="1" x="1194"/>
        <item m="1" x="545"/>
        <item m="1" x="624"/>
        <item m="1" x="774"/>
        <item m="1" x="1262"/>
        <item m="1" x="439"/>
        <item m="1" x="451"/>
        <item m="1" x="461"/>
        <item m="1" x="1082"/>
        <item m="1" x="1218"/>
        <item m="1" x="135"/>
        <item m="1" x="962"/>
        <item m="1" x="1258"/>
        <item m="1" x="359"/>
        <item m="1" x="674"/>
        <item m="1" x="1295"/>
        <item m="1" x="1201"/>
        <item m="1" x="348"/>
        <item m="1" x="460"/>
        <item m="1" x="547"/>
        <item m="1" x="872"/>
        <item m="1" x="1069"/>
        <item m="1" x="304"/>
        <item m="1" x="775"/>
        <item m="1" x="300"/>
        <item m="1" x="269"/>
        <item m="1" x="217"/>
        <item m="1" x="1188"/>
        <item m="1" x="781"/>
        <item m="1" x="1229"/>
        <item m="1" x="622"/>
        <item m="1" x="1246"/>
        <item m="1" x="998"/>
        <item m="1" x="287"/>
        <item m="1" x="1102"/>
        <item m="1" x="1116"/>
        <item m="1" x="776"/>
        <item m="1" x="1151"/>
        <item m="1" x="989"/>
        <item m="1" x="854"/>
        <item m="1" x="171"/>
        <item m="1" x="1000"/>
        <item m="1" x="732"/>
        <item m="1" x="665"/>
        <item m="1" x="1008"/>
        <item m="1" x="592"/>
        <item m="1" x="226"/>
        <item m="1" x="398"/>
        <item m="1" x="175"/>
        <item m="1" x="524"/>
        <item m="1" x="902"/>
        <item m="1" x="487"/>
        <item m="1" x="350"/>
        <item m="1" x="565"/>
        <item m="1" x="243"/>
        <item m="1" x="495"/>
        <item m="1" x="366"/>
        <item m="1" x="717"/>
        <item m="1" x="1304"/>
        <item m="1" x="758"/>
        <item m="1" x="354"/>
        <item m="1" x="631"/>
        <item m="1" x="337"/>
        <item m="1" x="390"/>
        <item m="1" x="682"/>
        <item m="1" x="950"/>
        <item m="1" x="667"/>
        <item m="1" x="1117"/>
        <item m="1" x="679"/>
        <item m="1" x="913"/>
        <item m="1" x="228"/>
        <item m="1" x="711"/>
        <item m="1" x="351"/>
        <item m="1" x="281"/>
        <item m="1" x="1007"/>
        <item m="1" x="322"/>
        <item m="1" x="1031"/>
        <item m="1" x="223"/>
        <item m="1" x="848"/>
        <item m="1" x="855"/>
        <item m="1" x="259"/>
        <item m="1" x="777"/>
        <item m="1" x="155"/>
        <item m="1" x="978"/>
        <item m="1" x="683"/>
        <item m="1" x="904"/>
        <item m="1" x="873"/>
        <item m="1" x="1093"/>
        <item m="1" x="866"/>
        <item m="1" x="444"/>
        <item m="1" x="945"/>
        <item m="1" x="1079"/>
        <item m="1" x="769"/>
        <item m="1" x="901"/>
        <item m="1" x="234"/>
        <item m="1" x="1067"/>
        <item m="1" x="724"/>
        <item m="1" x="589"/>
        <item m="1" x="973"/>
        <item m="1" x="499"/>
        <item m="1" x="822"/>
        <item m="1" x="356"/>
        <item m="1" x="452"/>
        <item m="1" x="849"/>
        <item m="1" x="618"/>
        <item m="1" x="162"/>
        <item m="1" x="496"/>
        <item m="1" x="976"/>
        <item m="1" x="1078"/>
        <item m="1" x="181"/>
        <item m="1" x="466"/>
        <item m="1" x="401"/>
        <item m="1" x="734"/>
        <item m="1" x="827"/>
        <item m="1" x="267"/>
        <item m="1" x="1249"/>
        <item m="1" x="232"/>
        <item m="1" x="305"/>
        <item m="1" x="1086"/>
        <item m="1" x="594"/>
        <item m="1" x="608"/>
        <item m="1" x="662"/>
        <item m="1" x="237"/>
        <item m="1" x="516"/>
        <item m="1" x="911"/>
        <item m="1" x="823"/>
        <item m="1" x="613"/>
        <item m="1" x="560"/>
        <item m="1" x="190"/>
        <item m="1" x="428"/>
        <item m="1" x="892"/>
        <item m="1" x="526"/>
        <item m="1" x="689"/>
        <item m="1" x="626"/>
        <item m="1" x="808"/>
        <item m="1" x="172"/>
        <item m="1" x="653"/>
        <item m="1" x="327"/>
        <item m="1" x="730"/>
        <item m="1" x="856"/>
        <item m="1" x="932"/>
        <item m="1" x="867"/>
        <item m="1" x="828"/>
        <item m="1" x="754"/>
        <item m="1" x="1165"/>
        <item m="1" x="1057"/>
        <item m="1" x="308"/>
        <item m="1" x="1049"/>
        <item m="1" x="503"/>
        <item m="1" x="813"/>
        <item m="1" x="219"/>
        <item m="1" x="792"/>
        <item m="1" x="659"/>
        <item m="1" x="1091"/>
        <item m="1" x="245"/>
        <item m="1" x="1302"/>
        <item m="1" x="284"/>
        <item m="1" x="224"/>
        <item m="1" x="794"/>
        <item m="1" x="994"/>
        <item m="1" x="897"/>
        <item m="1" x="183"/>
        <item m="1" x="335"/>
        <item m="1" x="1123"/>
        <item m="1" x="1063"/>
        <item m="1" x="318"/>
        <item m="1" x="291"/>
        <item m="1" x="586"/>
        <item m="1" x="207"/>
        <item m="1" x="814"/>
        <item m="1" x="247"/>
        <item m="1" x="417"/>
        <item m="1" x="714"/>
        <item m="1" x="1245"/>
        <item m="1" x="285"/>
        <item m="1" x="555"/>
        <item m="1" x="402"/>
        <item m="1" x="564"/>
        <item m="1" x="1118"/>
        <item m="1" x="1001"/>
        <item m="1" x="463"/>
        <item m="1" x="216"/>
        <item m="1" x="1166"/>
        <item m="1" x="329"/>
        <item m="1" x="1111"/>
        <item m="1" x="668"/>
        <item m="1" x="1052"/>
        <item m="1" x="411"/>
        <item m="1" x="583"/>
        <item m="1" x="1068"/>
        <item m="1" x="1256"/>
        <item m="1" x="1032"/>
        <item m="1" x="431"/>
        <item m="1" x="374"/>
        <item m="1" x="1077"/>
        <item m="1" x="841"/>
        <item m="1" x="685"/>
        <item m="1" x="1109"/>
        <item m="1" x="157"/>
        <item m="1" x="154"/>
        <item m="1" x="829"/>
        <item m="1" x="969"/>
        <item m="1" x="924"/>
        <item m="1" x="1107"/>
        <item m="1" x="632"/>
        <item m="1" x="379"/>
        <item m="1" x="453"/>
        <item m="1" x="983"/>
        <item m="1" x="535"/>
        <item m="1" x="765"/>
        <item m="1" x="1180"/>
        <item m="1" x="418"/>
        <item m="1" x="755"/>
        <item m="1" x="139"/>
        <item m="1" x="468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m="1" x="456"/>
        <item m="1" x="1217"/>
        <item m="1" x="159"/>
        <item m="1" x="12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5">
    <i>
      <x/>
    </i>
    <i r="1">
      <x v="1295"/>
    </i>
    <i r="2">
      <x v="8"/>
    </i>
    <i r="1">
      <x v="1296"/>
    </i>
    <i r="2">
      <x v="10"/>
    </i>
    <i r="1">
      <x v="1297"/>
    </i>
    <i r="2">
      <x v="8"/>
    </i>
    <i r="1">
      <x v="1298"/>
    </i>
    <i r="2">
      <x v="8"/>
    </i>
    <i r="1">
      <x v="1299"/>
    </i>
    <i r="2">
      <x v="8"/>
    </i>
    <i r="1">
      <x v="1300"/>
    </i>
    <i r="2">
      <x v="8"/>
    </i>
    <i>
      <x v="1"/>
    </i>
    <i r="1">
      <x v="1277"/>
    </i>
    <i r="2">
      <x v="8"/>
    </i>
    <i r="1">
      <x v="1281"/>
    </i>
    <i r="2">
      <x v="3"/>
    </i>
    <i r="2">
      <x v="8"/>
    </i>
    <i r="1">
      <x v="1284"/>
    </i>
    <i r="2">
      <x v="8"/>
    </i>
    <i r="1">
      <x v="1286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38" totalsRowShown="0" totalsRowDxfId="23">
  <autoFilter ref="A1:C1038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25" totalsRowShown="0">
  <autoFilter ref="A1:S925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9" totalsRowShown="0">
  <autoFilter ref="A1:B11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3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9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17</v>
      </c>
      <c r="C5"/>
      <c r="D5"/>
      <c r="E5"/>
    </row>
    <row r="6" spans="1:6">
      <c r="A6" s="67" t="s">
        <v>2733</v>
      </c>
      <c r="B6" s="73">
        <v>11</v>
      </c>
      <c r="C6"/>
      <c r="D6"/>
      <c r="E6"/>
    </row>
    <row r="7" spans="1:6">
      <c r="A7" s="68" t="s">
        <v>370</v>
      </c>
      <c r="B7" s="73">
        <v>11</v>
      </c>
      <c r="C7"/>
      <c r="D7"/>
      <c r="E7"/>
    </row>
    <row r="8" spans="1:6">
      <c r="A8" s="67" t="s">
        <v>2734</v>
      </c>
      <c r="B8" s="73">
        <v>2</v>
      </c>
      <c r="C8" s="56"/>
      <c r="D8"/>
      <c r="E8"/>
    </row>
    <row r="9" spans="1:6">
      <c r="A9" s="68" t="s">
        <v>377</v>
      </c>
      <c r="B9" s="73">
        <v>2</v>
      </c>
      <c r="C9"/>
      <c r="D9"/>
    </row>
    <row r="10" spans="1:6">
      <c r="A10" s="67" t="s">
        <v>2738</v>
      </c>
      <c r="B10" s="73">
        <v>1</v>
      </c>
      <c r="C10" s="53"/>
      <c r="D10"/>
    </row>
    <row r="11" spans="1:6">
      <c r="A11" s="68" t="s">
        <v>370</v>
      </c>
      <c r="B11" s="73">
        <v>1</v>
      </c>
      <c r="C11"/>
      <c r="D11"/>
    </row>
    <row r="12" spans="1:6">
      <c r="A12" s="67" t="s">
        <v>2739</v>
      </c>
      <c r="B12" s="73">
        <v>1</v>
      </c>
      <c r="C12"/>
      <c r="D12"/>
    </row>
    <row r="13" spans="1:6">
      <c r="A13" s="68" t="s">
        <v>370</v>
      </c>
      <c r="B13" s="73">
        <v>1</v>
      </c>
      <c r="C13"/>
      <c r="D13"/>
    </row>
    <row r="14" spans="1:6">
      <c r="A14" s="67" t="s">
        <v>2743</v>
      </c>
      <c r="B14" s="73">
        <v>1</v>
      </c>
      <c r="C14" s="53"/>
      <c r="D14"/>
    </row>
    <row r="15" spans="1:6">
      <c r="A15" s="68" t="s">
        <v>370</v>
      </c>
      <c r="B15" s="73">
        <v>1</v>
      </c>
      <c r="C15"/>
      <c r="D15"/>
    </row>
    <row r="16" spans="1:6">
      <c r="A16" s="67" t="s">
        <v>2745</v>
      </c>
      <c r="B16" s="73">
        <v>1</v>
      </c>
      <c r="C16"/>
      <c r="D16"/>
    </row>
    <row r="17" spans="1:4">
      <c r="A17" s="68" t="s">
        <v>370</v>
      </c>
      <c r="B17" s="73">
        <v>1</v>
      </c>
      <c r="C17"/>
      <c r="D17"/>
    </row>
    <row r="18" spans="1:4">
      <c r="A18" s="17" t="s">
        <v>2669</v>
      </c>
      <c r="B18" s="73">
        <v>25</v>
      </c>
      <c r="C18"/>
      <c r="D18"/>
    </row>
    <row r="19" spans="1:4">
      <c r="A19" s="67" t="s">
        <v>2559</v>
      </c>
      <c r="B19" s="73">
        <v>1</v>
      </c>
      <c r="C19" s="47"/>
      <c r="D19"/>
    </row>
    <row r="20" spans="1:4">
      <c r="A20" s="68" t="s">
        <v>370</v>
      </c>
      <c r="B20" s="73">
        <v>1</v>
      </c>
    </row>
    <row r="21" spans="1:4" ht="17.25" customHeight="1">
      <c r="A21" s="67" t="s">
        <v>2587</v>
      </c>
      <c r="B21" s="73">
        <v>19</v>
      </c>
    </row>
    <row r="22" spans="1:4">
      <c r="A22" s="68" t="s">
        <v>369</v>
      </c>
      <c r="B22" s="73">
        <v>18</v>
      </c>
    </row>
    <row r="23" spans="1:4">
      <c r="A23" s="68" t="s">
        <v>370</v>
      </c>
      <c r="B23" s="73">
        <v>1</v>
      </c>
    </row>
    <row r="24" spans="1:4">
      <c r="A24" s="67" t="s">
        <v>2715</v>
      </c>
      <c r="B24" s="73">
        <v>1</v>
      </c>
    </row>
    <row r="25" spans="1:4">
      <c r="A25" s="68" t="s">
        <v>370</v>
      </c>
      <c r="B25" s="73">
        <v>1</v>
      </c>
    </row>
    <row r="26" spans="1:4">
      <c r="A26" s="67" t="s">
        <v>2663</v>
      </c>
      <c r="B26" s="73">
        <v>4</v>
      </c>
    </row>
    <row r="27" spans="1:4">
      <c r="A27" s="68" t="s">
        <v>369</v>
      </c>
      <c r="B27" s="73">
        <v>3</v>
      </c>
    </row>
    <row r="28" spans="1:4">
      <c r="A28" s="68" t="s">
        <v>370</v>
      </c>
      <c r="B28" s="73">
        <v>1</v>
      </c>
    </row>
    <row r="29" spans="1:4">
      <c r="A29" s="17" t="s">
        <v>381</v>
      </c>
      <c r="B29" s="73">
        <v>42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38"/>
  <sheetViews>
    <sheetView topLeftCell="A1003" workbookViewId="0">
      <selection activeCell="C1038" sqref="C1038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2642</v>
      </c>
      <c r="B1024">
        <v>18</v>
      </c>
      <c r="C1024" s="72" t="s">
        <v>4</v>
      </c>
    </row>
    <row r="1025" spans="1:3">
      <c r="A1025" t="s">
        <v>2599</v>
      </c>
      <c r="B1025">
        <v>6</v>
      </c>
      <c r="C1025" s="72" t="s">
        <v>4</v>
      </c>
    </row>
    <row r="1026" spans="1:3">
      <c r="A1026" t="s">
        <v>2604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2643</v>
      </c>
      <c r="B1028">
        <v>2</v>
      </c>
      <c r="C1028" s="72" t="s">
        <v>4</v>
      </c>
    </row>
    <row r="1029" spans="1:3">
      <c r="A1029" t="s">
        <v>2648</v>
      </c>
      <c r="B1029">
        <v>2</v>
      </c>
      <c r="C1029" s="72" t="s">
        <v>4</v>
      </c>
    </row>
    <row r="1030" spans="1:3">
      <c r="A1030" t="s">
        <v>2655</v>
      </c>
      <c r="B1030">
        <v>1</v>
      </c>
      <c r="C1030" s="72" t="s">
        <v>4</v>
      </c>
    </row>
    <row r="1031" spans="1:3">
      <c r="A1031" t="s">
        <v>2654</v>
      </c>
      <c r="B1031">
        <v>1</v>
      </c>
      <c r="C1031" s="72" t="s">
        <v>4</v>
      </c>
    </row>
    <row r="1032" spans="1:3">
      <c r="A1032" t="s">
        <v>2687</v>
      </c>
      <c r="B1032">
        <v>4</v>
      </c>
      <c r="C1032" s="72" t="s">
        <v>4</v>
      </c>
    </row>
    <row r="1033" spans="1:3">
      <c r="A1033" t="s">
        <v>2673</v>
      </c>
      <c r="B1033">
        <v>1</v>
      </c>
      <c r="C1033" s="72" t="s">
        <v>4</v>
      </c>
    </row>
    <row r="1034" spans="1:3">
      <c r="A1034" t="s">
        <v>2670</v>
      </c>
      <c r="B1034">
        <v>1</v>
      </c>
      <c r="C1034" s="72" t="s">
        <v>4</v>
      </c>
    </row>
    <row r="1035" spans="1:3">
      <c r="A1035" t="s">
        <v>2693</v>
      </c>
      <c r="B1035">
        <v>9</v>
      </c>
      <c r="C1035" s="72" t="s">
        <v>4</v>
      </c>
    </row>
    <row r="1036" spans="1:3">
      <c r="A1036" t="s">
        <v>2709</v>
      </c>
      <c r="B1036">
        <v>1</v>
      </c>
      <c r="C1036" s="72" t="s">
        <v>4</v>
      </c>
    </row>
    <row r="1037" spans="1:3">
      <c r="A1037" s="76" t="s">
        <v>2720</v>
      </c>
      <c r="B1037" s="76">
        <v>1</v>
      </c>
      <c r="C1037" s="76" t="s">
        <v>4</v>
      </c>
    </row>
    <row r="1038" spans="1:3">
      <c r="A1038" t="s">
        <v>2713</v>
      </c>
      <c r="B1038">
        <v>1</v>
      </c>
      <c r="C1038" s="76" t="s">
        <v>4</v>
      </c>
    </row>
  </sheetData>
  <conditionalFormatting sqref="A2:A545 A548:A568 A570:A1036 A1038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25"/>
  <sheetViews>
    <sheetView zoomScale="85" zoomScaleNormal="8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2689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2689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63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2690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38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38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38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38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38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38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38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38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38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38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38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34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31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31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31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31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31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31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31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31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31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31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31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31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31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31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31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31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31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31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31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31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31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31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31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31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31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31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31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31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31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31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31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31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31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31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31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31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31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31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31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31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31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30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30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30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30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30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30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30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30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30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30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30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30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30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30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30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30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30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30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30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30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30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30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30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30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30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30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30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30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30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30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30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30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30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30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30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30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30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30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30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30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30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30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30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30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30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30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30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30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30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30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30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30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30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30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30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30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30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30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30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29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29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29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29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29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28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28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26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26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25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22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22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22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22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22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22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22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22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22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22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22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22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22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22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22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22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22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22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22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22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22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2691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2691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16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16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16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>
      <c r="A831" t="s">
        <v>2559</v>
      </c>
      <c r="B831" s="73" t="str">
        <f>IFERROR(VLOOKUP(Proc[[#This Row],[App]],Table2[],3,0),"open")</f>
        <v>open</v>
      </c>
      <c r="C831" s="72" t="s">
        <v>370</v>
      </c>
      <c r="D831" t="s">
        <v>2558</v>
      </c>
      <c r="E831" t="s">
        <v>2560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12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2587</v>
      </c>
      <c r="B834" s="73" t="str">
        <f>IFERROR(VLOOKUP(Proc[[#This Row],[App]],Table2[],3,0),"open")</f>
        <v>open</v>
      </c>
      <c r="C834" t="s">
        <v>369</v>
      </c>
      <c r="D834" t="s">
        <v>2568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11</v>
      </c>
      <c r="R834" s="74" t="s">
        <v>1531</v>
      </c>
      <c r="S834" s="73"/>
    </row>
    <row r="835" spans="1:19" hidden="1">
      <c r="A835" t="s">
        <v>2587</v>
      </c>
      <c r="B835" s="73" t="str">
        <f>IFERROR(VLOOKUP(Proc[[#This Row],[App]],Table2[],3,0),"open")</f>
        <v>open</v>
      </c>
      <c r="C835" s="72" t="s">
        <v>369</v>
      </c>
      <c r="D835" t="s">
        <v>2569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11</v>
      </c>
      <c r="R835" s="74" t="s">
        <v>1531</v>
      </c>
      <c r="S835" s="73"/>
    </row>
    <row r="836" spans="1:19" hidden="1">
      <c r="A836" t="s">
        <v>2587</v>
      </c>
      <c r="B836" s="73" t="str">
        <f>IFERROR(VLOOKUP(Proc[[#This Row],[App]],Table2[],3,0),"open")</f>
        <v>open</v>
      </c>
      <c r="C836" s="72" t="s">
        <v>369</v>
      </c>
      <c r="D836" t="s">
        <v>2570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11</v>
      </c>
      <c r="R836" s="74" t="s">
        <v>1531</v>
      </c>
      <c r="S836" s="73"/>
    </row>
    <row r="837" spans="1:19" hidden="1">
      <c r="A837" t="s">
        <v>2587</v>
      </c>
      <c r="B837" s="73" t="str">
        <f>IFERROR(VLOOKUP(Proc[[#This Row],[App]],Table2[],3,0),"open")</f>
        <v>open</v>
      </c>
      <c r="C837" s="72" t="s">
        <v>369</v>
      </c>
      <c r="D837" t="s">
        <v>2571</v>
      </c>
      <c r="E837" t="s">
        <v>1530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11</v>
      </c>
      <c r="R837" s="74" t="s">
        <v>1531</v>
      </c>
      <c r="S837" s="73"/>
    </row>
    <row r="838" spans="1:19" hidden="1">
      <c r="A838" t="s">
        <v>2587</v>
      </c>
      <c r="B838" s="73" t="str">
        <f>IFERROR(VLOOKUP(Proc[[#This Row],[App]],Table2[],3,0),"open")</f>
        <v>open</v>
      </c>
      <c r="C838" s="72" t="s">
        <v>369</v>
      </c>
      <c r="D838" t="s">
        <v>2572</v>
      </c>
      <c r="E838" t="s">
        <v>2588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11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11</v>
      </c>
      <c r="R839" s="74" t="s">
        <v>1531</v>
      </c>
      <c r="S839" s="73"/>
    </row>
    <row r="840" spans="1:19" hidden="1">
      <c r="A840" t="s">
        <v>2587</v>
      </c>
      <c r="B840" s="73" t="str">
        <f>IFERROR(VLOOKUP(Proc[[#This Row],[App]],Table2[],3,0),"open")</f>
        <v>open</v>
      </c>
      <c r="C840" s="72" t="s">
        <v>369</v>
      </c>
      <c r="D840" t="s">
        <v>2574</v>
      </c>
      <c r="E840" t="s">
        <v>2589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11</v>
      </c>
      <c r="R840" s="74" t="s">
        <v>1531</v>
      </c>
      <c r="S840" s="73"/>
    </row>
    <row r="841" spans="1:19" hidden="1">
      <c r="A841" t="s">
        <v>2587</v>
      </c>
      <c r="B841" s="73" t="str">
        <f>IFERROR(VLOOKUP(Proc[[#This Row],[App]],Table2[],3,0),"open")</f>
        <v>open</v>
      </c>
      <c r="C841" s="72" t="s">
        <v>369</v>
      </c>
      <c r="D841" t="s">
        <v>2575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11</v>
      </c>
      <c r="R841" s="74" t="s">
        <v>1531</v>
      </c>
      <c r="S841" s="73"/>
    </row>
    <row r="842" spans="1:19" hidden="1">
      <c r="A842" t="s">
        <v>2587</v>
      </c>
      <c r="B842" s="73" t="str">
        <f>IFERROR(VLOOKUP(Proc[[#This Row],[App]],Table2[],3,0),"open")</f>
        <v>open</v>
      </c>
      <c r="C842" s="72" t="s">
        <v>369</v>
      </c>
      <c r="D842" t="s">
        <v>2576</v>
      </c>
      <c r="E842" t="s">
        <v>1530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11</v>
      </c>
      <c r="R842" s="74" t="s">
        <v>1531</v>
      </c>
      <c r="S842" s="73"/>
    </row>
    <row r="843" spans="1:19" hidden="1">
      <c r="A843" t="s">
        <v>2587</v>
      </c>
      <c r="B843" s="73" t="str">
        <f>IFERROR(VLOOKUP(Proc[[#This Row],[App]],Table2[],3,0),"open")</f>
        <v>open</v>
      </c>
      <c r="C843" s="72" t="s">
        <v>369</v>
      </c>
      <c r="D843" t="s">
        <v>2577</v>
      </c>
      <c r="E843" t="s">
        <v>1530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11</v>
      </c>
      <c r="R843" s="74" t="s">
        <v>1531</v>
      </c>
      <c r="S843" s="73"/>
    </row>
    <row r="844" spans="1:19" hidden="1">
      <c r="A844" t="s">
        <v>2587</v>
      </c>
      <c r="B844" s="73" t="str">
        <f>IFERROR(VLOOKUP(Proc[[#This Row],[App]],Table2[],3,0),"open")</f>
        <v>open</v>
      </c>
      <c r="C844" s="72" t="s">
        <v>369</v>
      </c>
      <c r="D844" t="s">
        <v>2578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11</v>
      </c>
      <c r="R844" s="74" t="s">
        <v>1531</v>
      </c>
      <c r="S844" s="73"/>
    </row>
    <row r="845" spans="1:19" hidden="1">
      <c r="A845" t="s">
        <v>2587</v>
      </c>
      <c r="B845" s="73" t="str">
        <f>IFERROR(VLOOKUP(Proc[[#This Row],[App]],Table2[],3,0),"open")</f>
        <v>open</v>
      </c>
      <c r="C845" s="72" t="s">
        <v>369</v>
      </c>
      <c r="D845" t="s">
        <v>2579</v>
      </c>
      <c r="E845" t="s">
        <v>1286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11</v>
      </c>
      <c r="R845" s="74" t="s">
        <v>1531</v>
      </c>
      <c r="S845" s="73"/>
    </row>
    <row r="846" spans="1:19" hidden="1">
      <c r="A846" t="s">
        <v>2587</v>
      </c>
      <c r="B846" s="73" t="str">
        <f>IFERROR(VLOOKUP(Proc[[#This Row],[App]],Table2[],3,0),"open")</f>
        <v>open</v>
      </c>
      <c r="C846" s="72" t="s">
        <v>369</v>
      </c>
      <c r="D846" t="s">
        <v>2580</v>
      </c>
      <c r="E846" t="s">
        <v>1286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11</v>
      </c>
      <c r="R846" s="74" t="s">
        <v>1531</v>
      </c>
      <c r="S846" s="73"/>
    </row>
    <row r="847" spans="1:19" hidden="1">
      <c r="A847" t="s">
        <v>2587</v>
      </c>
      <c r="B847" s="73" t="str">
        <f>IFERROR(VLOOKUP(Proc[[#This Row],[App]],Table2[],3,0),"open")</f>
        <v>open</v>
      </c>
      <c r="C847" s="72" t="s">
        <v>369</v>
      </c>
      <c r="D847" t="s">
        <v>2581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11</v>
      </c>
      <c r="R847" s="74" t="s">
        <v>1531</v>
      </c>
      <c r="S847" s="73"/>
    </row>
    <row r="848" spans="1:19" hidden="1">
      <c r="A848" t="s">
        <v>2587</v>
      </c>
      <c r="B848" s="73" t="str">
        <f>IFERROR(VLOOKUP(Proc[[#This Row],[App]],Table2[],3,0),"open")</f>
        <v>open</v>
      </c>
      <c r="C848" s="72" t="s">
        <v>369</v>
      </c>
      <c r="D848" t="s">
        <v>2582</v>
      </c>
      <c r="E848" t="s">
        <v>1530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11</v>
      </c>
      <c r="R848" s="74" t="s">
        <v>1531</v>
      </c>
      <c r="S848" s="73"/>
    </row>
    <row r="849" spans="1:19" hidden="1">
      <c r="A849" t="s">
        <v>2587</v>
      </c>
      <c r="B849" s="73" t="str">
        <f>IFERROR(VLOOKUP(Proc[[#This Row],[App]],Table2[],3,0),"open")</f>
        <v>open</v>
      </c>
      <c r="C849" s="72" t="s">
        <v>369</v>
      </c>
      <c r="D849" t="s">
        <v>2583</v>
      </c>
      <c r="E849" t="s">
        <v>1530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11</v>
      </c>
      <c r="R849" s="74" t="s">
        <v>1531</v>
      </c>
      <c r="S849" s="73"/>
    </row>
    <row r="850" spans="1:19" hidden="1">
      <c r="A850" t="s">
        <v>2587</v>
      </c>
      <c r="B850" s="73" t="str">
        <f>IFERROR(VLOOKUP(Proc[[#This Row],[App]],Table2[],3,0),"open")</f>
        <v>open</v>
      </c>
      <c r="C850" s="72" t="s">
        <v>369</v>
      </c>
      <c r="D850" t="s">
        <v>2584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11</v>
      </c>
      <c r="R850" s="74" t="s">
        <v>1531</v>
      </c>
      <c r="S850" s="73"/>
    </row>
    <row r="851" spans="1:19" hidden="1">
      <c r="A851" t="s">
        <v>2587</v>
      </c>
      <c r="B851" s="73" t="str">
        <f>IFERROR(VLOOKUP(Proc[[#This Row],[App]],Table2[],3,0),"open")</f>
        <v>open</v>
      </c>
      <c r="C851" s="72" t="s">
        <v>369</v>
      </c>
      <c r="D851" t="s">
        <v>2585</v>
      </c>
      <c r="E851" t="s">
        <v>2590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11</v>
      </c>
      <c r="R851" s="74" t="s">
        <v>1531</v>
      </c>
      <c r="S851" s="73"/>
    </row>
    <row r="852" spans="1:19" hidden="1">
      <c r="A852" t="s">
        <v>2587</v>
      </c>
      <c r="B852" s="73" t="str">
        <f>IFERROR(VLOOKUP(Proc[[#This Row],[App]],Table2[],3,0),"open")</f>
        <v>open</v>
      </c>
      <c r="C852" s="72" t="s">
        <v>369</v>
      </c>
      <c r="D852" t="s">
        <v>2586</v>
      </c>
      <c r="E852" t="s">
        <v>1530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11</v>
      </c>
      <c r="R852" s="74" t="s">
        <v>1531</v>
      </c>
      <c r="S852" s="73"/>
    </row>
    <row r="853" spans="1:19" hidden="1">
      <c r="A853" t="s">
        <v>2599</v>
      </c>
      <c r="B853" s="73" t="str">
        <f>IFERROR(VLOOKUP(Proc[[#This Row],[App]],Table2[],3,0),"open")</f>
        <v>ok</v>
      </c>
      <c r="C853" s="72" t="s">
        <v>377</v>
      </c>
      <c r="D853" t="s">
        <v>2592</v>
      </c>
      <c r="E853" t="s">
        <v>2593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2599</v>
      </c>
      <c r="B854" s="73" t="str">
        <f>IFERROR(VLOOKUP(Proc[[#This Row],[App]],Table2[],3,0),"open")</f>
        <v>ok</v>
      </c>
      <c r="C854" s="72" t="s">
        <v>377</v>
      </c>
      <c r="D854" t="s">
        <v>2594</v>
      </c>
      <c r="E854" t="s">
        <v>2593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2599</v>
      </c>
      <c r="B855" s="73" t="str">
        <f>IFERROR(VLOOKUP(Proc[[#This Row],[App]],Table2[],3,0),"open")</f>
        <v>ok</v>
      </c>
      <c r="C855" s="72" t="s">
        <v>377</v>
      </c>
      <c r="D855" t="s">
        <v>2595</v>
      </c>
      <c r="E855" t="s">
        <v>2593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2599</v>
      </c>
      <c r="B856" s="73" t="str">
        <f>IFERROR(VLOOKUP(Proc[[#This Row],[App]],Table2[],3,0),"open")</f>
        <v>ok</v>
      </c>
      <c r="C856" s="72" t="s">
        <v>369</v>
      </c>
      <c r="D856" t="s">
        <v>2596</v>
      </c>
      <c r="E856" t="s">
        <v>2593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2599</v>
      </c>
      <c r="B857" s="73" t="str">
        <f>IFERROR(VLOOKUP(Proc[[#This Row],[App]],Table2[],3,0),"open")</f>
        <v>ok</v>
      </c>
      <c r="C857" s="72" t="s">
        <v>369</v>
      </c>
      <c r="D857" t="s">
        <v>2597</v>
      </c>
      <c r="E857" t="s">
        <v>2593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2599</v>
      </c>
      <c r="B858" s="73" t="str">
        <f>IFERROR(VLOOKUP(Proc[[#This Row],[App]],Table2[],3,0),"open")</f>
        <v>ok</v>
      </c>
      <c r="C858" s="72" t="s">
        <v>369</v>
      </c>
      <c r="D858" t="s">
        <v>2598</v>
      </c>
      <c r="E858" t="s">
        <v>2593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2604</v>
      </c>
      <c r="B859" s="73" t="str">
        <f>IFERROR(VLOOKUP(Proc[[#This Row],[App]],Table2[],3,0),"open")</f>
        <v>ok</v>
      </c>
      <c r="C859" s="72" t="s">
        <v>369</v>
      </c>
      <c r="D859" t="s">
        <v>2600</v>
      </c>
      <c r="E859" t="s">
        <v>658</v>
      </c>
      <c r="F859" s="73" t="s">
        <v>2603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2604</v>
      </c>
      <c r="B860" s="73" t="str">
        <f>IFERROR(VLOOKUP(Proc[[#This Row],[App]],Table2[],3,0),"open")</f>
        <v>ok</v>
      </c>
      <c r="C860" s="72" t="s">
        <v>377</v>
      </c>
      <c r="D860" t="s">
        <v>2601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2604</v>
      </c>
      <c r="B861" s="73" t="str">
        <f>IFERROR(VLOOKUP(Proc[[#This Row],[App]],Table2[],3,0),"open")</f>
        <v>ok</v>
      </c>
      <c r="C861" s="72" t="s">
        <v>377</v>
      </c>
      <c r="D861" t="s">
        <v>2602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2642</v>
      </c>
      <c r="B862" s="73" t="str">
        <f>IFERROR(VLOOKUP(Proc[[#This Row],[App]],Table2[],3,0),"open")</f>
        <v>ok</v>
      </c>
      <c r="C862" t="s">
        <v>369</v>
      </c>
      <c r="D862" t="s">
        <v>2605</v>
      </c>
      <c r="E862" t="s">
        <v>2623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2642</v>
      </c>
      <c r="B863" s="73" t="str">
        <f>IFERROR(VLOOKUP(Proc[[#This Row],[App]],Table2[],3,0),"open")</f>
        <v>ok</v>
      </c>
      <c r="C863" s="72" t="s">
        <v>369</v>
      </c>
      <c r="D863" t="s">
        <v>2606</v>
      </c>
      <c r="E863" t="s">
        <v>2624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2642</v>
      </c>
      <c r="B864" s="73" t="str">
        <f>IFERROR(VLOOKUP(Proc[[#This Row],[App]],Table2[],3,0),"open")</f>
        <v>ok</v>
      </c>
      <c r="C864" s="72" t="s">
        <v>369</v>
      </c>
      <c r="D864" t="s">
        <v>2607</v>
      </c>
      <c r="E864" t="s">
        <v>2625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2642</v>
      </c>
      <c r="B865" s="73" t="str">
        <f>IFERROR(VLOOKUP(Proc[[#This Row],[App]],Table2[],3,0),"open")</f>
        <v>ok</v>
      </c>
      <c r="C865" s="72" t="s">
        <v>369</v>
      </c>
      <c r="D865" t="s">
        <v>2608</v>
      </c>
      <c r="E865" t="s">
        <v>2625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2642</v>
      </c>
      <c r="B866" s="73" t="str">
        <f>IFERROR(VLOOKUP(Proc[[#This Row],[App]],Table2[],3,0),"open")</f>
        <v>ok</v>
      </c>
      <c r="C866" s="72" t="s">
        <v>369</v>
      </c>
      <c r="D866" t="s">
        <v>2609</v>
      </c>
      <c r="E866" t="s">
        <v>2626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2642</v>
      </c>
      <c r="B867" s="73" t="str">
        <f>IFERROR(VLOOKUP(Proc[[#This Row],[App]],Table2[],3,0),"open")</f>
        <v>ok</v>
      </c>
      <c r="C867" s="72" t="s">
        <v>369</v>
      </c>
      <c r="D867" t="s">
        <v>2610</v>
      </c>
      <c r="E867" t="s">
        <v>2627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2642</v>
      </c>
      <c r="B868" s="73" t="str">
        <f>IFERROR(VLOOKUP(Proc[[#This Row],[App]],Table2[],3,0),"open")</f>
        <v>ok</v>
      </c>
      <c r="C868" s="72" t="s">
        <v>369</v>
      </c>
      <c r="D868" t="s">
        <v>2611</v>
      </c>
      <c r="E868" t="s">
        <v>2628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2642</v>
      </c>
      <c r="B869" s="73" t="str">
        <f>IFERROR(VLOOKUP(Proc[[#This Row],[App]],Table2[],3,0),"open")</f>
        <v>ok</v>
      </c>
      <c r="C869" s="72" t="s">
        <v>369</v>
      </c>
      <c r="D869" t="s">
        <v>2612</v>
      </c>
      <c r="E869" t="s">
        <v>2629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2642</v>
      </c>
      <c r="B870" s="73" t="str">
        <f>IFERROR(VLOOKUP(Proc[[#This Row],[App]],Table2[],3,0),"open")</f>
        <v>ok</v>
      </c>
      <c r="C870" s="72" t="s">
        <v>369</v>
      </c>
      <c r="D870" t="s">
        <v>2613</v>
      </c>
      <c r="E870" t="s">
        <v>2629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2642</v>
      </c>
      <c r="B871" s="73" t="str">
        <f>IFERROR(VLOOKUP(Proc[[#This Row],[App]],Table2[],3,0),"open")</f>
        <v>ok</v>
      </c>
      <c r="C871" s="72" t="s">
        <v>369</v>
      </c>
      <c r="D871" t="s">
        <v>2614</v>
      </c>
      <c r="E871" t="s">
        <v>2629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2642</v>
      </c>
      <c r="B872" s="73" t="str">
        <f>IFERROR(VLOOKUP(Proc[[#This Row],[App]],Table2[],3,0),"open")</f>
        <v>ok</v>
      </c>
      <c r="C872" s="72" t="s">
        <v>369</v>
      </c>
      <c r="D872" t="s">
        <v>2615</v>
      </c>
      <c r="E872" t="s">
        <v>2630</v>
      </c>
      <c r="F872" s="73" t="s">
        <v>2634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2642</v>
      </c>
      <c r="B873" s="73" t="str">
        <f>IFERROR(VLOOKUP(Proc[[#This Row],[App]],Table2[],3,0),"open")</f>
        <v>ok</v>
      </c>
      <c r="C873" s="72" t="s">
        <v>369</v>
      </c>
      <c r="D873" t="s">
        <v>2616</v>
      </c>
      <c r="E873" t="s">
        <v>2631</v>
      </c>
      <c r="F873" s="73" t="s">
        <v>2635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2642</v>
      </c>
      <c r="B874" s="73" t="str">
        <f>IFERROR(VLOOKUP(Proc[[#This Row],[App]],Table2[],3,0),"open")</f>
        <v>ok</v>
      </c>
      <c r="C874" s="72" t="s">
        <v>369</v>
      </c>
      <c r="D874" t="s">
        <v>2617</v>
      </c>
      <c r="E874" t="s">
        <v>2631</v>
      </c>
      <c r="F874" s="73" t="s">
        <v>2636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2642</v>
      </c>
      <c r="B875" s="73" t="str">
        <f>IFERROR(VLOOKUP(Proc[[#This Row],[App]],Table2[],3,0),"open")</f>
        <v>ok</v>
      </c>
      <c r="C875" s="72" t="s">
        <v>369</v>
      </c>
      <c r="D875" t="s">
        <v>2618</v>
      </c>
      <c r="E875" t="s">
        <v>2631</v>
      </c>
      <c r="F875" s="73" t="s">
        <v>2637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2642</v>
      </c>
      <c r="B876" s="73" t="str">
        <f>IFERROR(VLOOKUP(Proc[[#This Row],[App]],Table2[],3,0),"open")</f>
        <v>ok</v>
      </c>
      <c r="C876" s="72" t="s">
        <v>369</v>
      </c>
      <c r="D876" t="s">
        <v>2619</v>
      </c>
      <c r="E876" t="s">
        <v>2632</v>
      </c>
      <c r="F876" s="73" t="s">
        <v>2638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2642</v>
      </c>
      <c r="B877" s="73" t="str">
        <f>IFERROR(VLOOKUP(Proc[[#This Row],[App]],Table2[],3,0),"open")</f>
        <v>ok</v>
      </c>
      <c r="C877" s="72" t="s">
        <v>369</v>
      </c>
      <c r="D877" t="s">
        <v>2620</v>
      </c>
      <c r="E877" t="s">
        <v>2632</v>
      </c>
      <c r="F877" s="73" t="s">
        <v>2639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2642</v>
      </c>
      <c r="B878" s="73" t="str">
        <f>IFERROR(VLOOKUP(Proc[[#This Row],[App]],Table2[],3,0),"open")</f>
        <v>ok</v>
      </c>
      <c r="C878" s="72" t="s">
        <v>369</v>
      </c>
      <c r="D878" t="s">
        <v>2621</v>
      </c>
      <c r="E878" t="s">
        <v>2633</v>
      </c>
      <c r="F878" s="73" t="s">
        <v>2640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2642</v>
      </c>
      <c r="B879" s="73" t="str">
        <f>IFERROR(VLOOKUP(Proc[[#This Row],[App]],Table2[],3,0),"open")</f>
        <v>ok</v>
      </c>
      <c r="C879" s="72" t="s">
        <v>369</v>
      </c>
      <c r="D879" t="s">
        <v>2622</v>
      </c>
      <c r="E879" t="s">
        <v>2633</v>
      </c>
      <c r="F879" s="73" t="s">
        <v>2641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2643</v>
      </c>
      <c r="B880" s="73" t="str">
        <f>IFERROR(VLOOKUP(Proc[[#This Row],[App]],Table2[],3,0),"open")</f>
        <v>ok</v>
      </c>
      <c r="C880" t="s">
        <v>369</v>
      </c>
      <c r="D880" t="s">
        <v>2644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2643</v>
      </c>
      <c r="B881" s="73" t="str">
        <f>IFERROR(VLOOKUP(Proc[[#This Row],[App]],Table2[],3,0),"open")</f>
        <v>ok</v>
      </c>
      <c r="C881" s="72" t="s">
        <v>369</v>
      </c>
      <c r="D881" t="s">
        <v>2645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2648</v>
      </c>
      <c r="B882" s="73" t="str">
        <f>IFERROR(VLOOKUP(Proc[[#This Row],[App]],Table2[],3,0),"open")</f>
        <v>ok</v>
      </c>
      <c r="C882" t="s">
        <v>398</v>
      </c>
      <c r="D882" t="s">
        <v>2646</v>
      </c>
      <c r="E882" t="s">
        <v>2633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2648</v>
      </c>
      <c r="B883" s="73" t="str">
        <f>IFERROR(VLOOKUP(Proc[[#This Row],[App]],Table2[],3,0),"open")</f>
        <v>ok</v>
      </c>
      <c r="C883" s="72" t="s">
        <v>369</v>
      </c>
      <c r="D883" t="s">
        <v>2647</v>
      </c>
      <c r="E883" t="s">
        <v>2649</v>
      </c>
      <c r="F883" s="73" t="s">
        <v>2650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2654</v>
      </c>
      <c r="B884" s="73" t="str">
        <f>IFERROR(VLOOKUP(Proc[[#This Row],[App]],Table2[],3,0),"open")</f>
        <v>ok</v>
      </c>
      <c r="C884" s="72" t="s">
        <v>369</v>
      </c>
      <c r="D884" t="s">
        <v>2651</v>
      </c>
      <c r="E884" t="s">
        <v>2653</v>
      </c>
      <c r="F884" s="72" t="s">
        <v>2652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2655</v>
      </c>
      <c r="B885" s="73" t="str">
        <f>IFERROR(VLOOKUP(Proc[[#This Row],[App]],Table2[],3,0),"open")</f>
        <v>ok</v>
      </c>
      <c r="C885" s="72" t="s">
        <v>369</v>
      </c>
      <c r="D885" t="s">
        <v>2656</v>
      </c>
      <c r="E885" t="s">
        <v>2658</v>
      </c>
      <c r="F885" s="73" t="s">
        <v>2657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2668</v>
      </c>
      <c r="S885" s="73"/>
    </row>
    <row r="886" spans="1:19" hidden="1">
      <c r="A886" t="s">
        <v>2663</v>
      </c>
      <c r="B886" s="73" t="str">
        <f>IFERROR(VLOOKUP(Proc[[#This Row],[App]],Table2[],3,0),"open")</f>
        <v>open</v>
      </c>
      <c r="C886" s="72" t="s">
        <v>369</v>
      </c>
      <c r="D886" t="s">
        <v>2659</v>
      </c>
      <c r="E886" t="s">
        <v>2664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7</v>
      </c>
      <c r="R886" s="74" t="s">
        <v>2668</v>
      </c>
      <c r="S886" s="73"/>
    </row>
    <row r="887" spans="1:19" hidden="1">
      <c r="A887" s="72" t="s">
        <v>2663</v>
      </c>
      <c r="B887" s="73" t="str">
        <f>IFERROR(VLOOKUP(Proc[[#This Row],[App]],Table2[],3,0),"open")</f>
        <v>open</v>
      </c>
      <c r="C887" s="72" t="s">
        <v>369</v>
      </c>
      <c r="D887" t="s">
        <v>2660</v>
      </c>
      <c r="E887" t="s">
        <v>2665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7</v>
      </c>
      <c r="R887" s="74" t="s">
        <v>2668</v>
      </c>
      <c r="S887" s="73"/>
    </row>
    <row r="888" spans="1:19" hidden="1">
      <c r="A888" s="72" t="s">
        <v>2663</v>
      </c>
      <c r="B888" s="73" t="str">
        <f>IFERROR(VLOOKUP(Proc[[#This Row],[App]],Table2[],3,0),"open")</f>
        <v>open</v>
      </c>
      <c r="C888" s="72" t="s">
        <v>369</v>
      </c>
      <c r="D888" t="s">
        <v>2661</v>
      </c>
      <c r="E888" t="s">
        <v>2666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7</v>
      </c>
      <c r="R888" s="74" t="s">
        <v>2668</v>
      </c>
      <c r="S888" s="73"/>
    </row>
    <row r="889" spans="1:19">
      <c r="A889" s="72" t="s">
        <v>2663</v>
      </c>
      <c r="B889" s="73" t="str">
        <f>IFERROR(VLOOKUP(Proc[[#This Row],[App]],Table2[],3,0),"open")</f>
        <v>open</v>
      </c>
      <c r="C889" s="72" t="s">
        <v>370</v>
      </c>
      <c r="D889" t="s">
        <v>2662</v>
      </c>
      <c r="E889" t="s">
        <v>2692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2668</v>
      </c>
      <c r="S889" s="73"/>
    </row>
    <row r="890" spans="1:19" hidden="1">
      <c r="A890" t="s">
        <v>2670</v>
      </c>
      <c r="B890" s="73" t="str">
        <f>IFERROR(VLOOKUP(Proc[[#This Row],[App]],Table2[],3,0),"open")</f>
        <v>ok</v>
      </c>
      <c r="C890" t="s">
        <v>369</v>
      </c>
      <c r="D890" t="s">
        <v>2671</v>
      </c>
      <c r="E890" t="s">
        <v>2688</v>
      </c>
      <c r="F890" s="73" t="s">
        <v>2672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2673</v>
      </c>
      <c r="B891" s="73" t="str">
        <f>IFERROR(VLOOKUP(Proc[[#This Row],[App]],Table2[],3,0),"open")</f>
        <v>ok</v>
      </c>
      <c r="C891" s="72" t="s">
        <v>369</v>
      </c>
      <c r="D891" t="s">
        <v>2674</v>
      </c>
      <c r="E891" t="s">
        <v>414</v>
      </c>
      <c r="F891" s="73" t="s">
        <v>2675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2687</v>
      </c>
      <c r="B892" s="73" t="str">
        <f>IFERROR(VLOOKUP(Proc[[#This Row],[App]],Table2[],3,0),"open")</f>
        <v>ok</v>
      </c>
      <c r="C892" s="72" t="s">
        <v>369</v>
      </c>
      <c r="D892" t="s">
        <v>2676</v>
      </c>
      <c r="E892" t="s">
        <v>2680</v>
      </c>
      <c r="F892" s="73" t="s">
        <v>2684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2687</v>
      </c>
      <c r="B893" s="73" t="str">
        <f>IFERROR(VLOOKUP(Proc[[#This Row],[App]],Table2[],3,0),"open")</f>
        <v>ok</v>
      </c>
      <c r="C893" s="72" t="s">
        <v>369</v>
      </c>
      <c r="D893" t="s">
        <v>2677</v>
      </c>
      <c r="E893" t="s">
        <v>2681</v>
      </c>
      <c r="F893" s="73" t="s">
        <v>2685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2687</v>
      </c>
      <c r="B894" s="73" t="str">
        <f>IFERROR(VLOOKUP(Proc[[#This Row],[App]],Table2[],3,0),"open")</f>
        <v>ok</v>
      </c>
      <c r="C894" s="72" t="s">
        <v>369</v>
      </c>
      <c r="D894" t="s">
        <v>2678</v>
      </c>
      <c r="E894" t="s">
        <v>2682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2687</v>
      </c>
      <c r="B895" s="73" t="str">
        <f>IFERROR(VLOOKUP(Proc[[#This Row],[App]],Table2[],3,0),"open")</f>
        <v>ok</v>
      </c>
      <c r="C895" s="72" t="s">
        <v>369</v>
      </c>
      <c r="D895" t="s">
        <v>2679</v>
      </c>
      <c r="E895" t="s">
        <v>2683</v>
      </c>
      <c r="F895" s="73" t="s">
        <v>2686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2693</v>
      </c>
      <c r="B896" s="73" t="str">
        <f>IFERROR(VLOOKUP(Proc[[#This Row],[App]],Table2[],3,0),"open")</f>
        <v>ok</v>
      </c>
      <c r="C896" s="72" t="s">
        <v>369</v>
      </c>
      <c r="D896" t="s">
        <v>2694</v>
      </c>
      <c r="E896" t="s">
        <v>2703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N896" s="69">
        <v>45733</v>
      </c>
      <c r="O896" s="69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1113</v>
      </c>
      <c r="S896" s="73"/>
    </row>
    <row r="897" spans="1:19" hidden="1">
      <c r="A897" s="72" t="s">
        <v>2693</v>
      </c>
      <c r="B897" s="73" t="str">
        <f>IFERROR(VLOOKUP(Proc[[#This Row],[App]],Table2[],3,0),"open")</f>
        <v>ok</v>
      </c>
      <c r="C897" s="72" t="s">
        <v>369</v>
      </c>
      <c r="D897" t="s">
        <v>2695</v>
      </c>
      <c r="E897" t="s">
        <v>2703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N897" s="69">
        <v>45733</v>
      </c>
      <c r="O897" s="69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1113</v>
      </c>
      <c r="S897" s="73"/>
    </row>
    <row r="898" spans="1:19" hidden="1">
      <c r="A898" s="72" t="s">
        <v>2693</v>
      </c>
      <c r="B898" s="73" t="str">
        <f>IFERROR(VLOOKUP(Proc[[#This Row],[App]],Table2[],3,0),"open")</f>
        <v>ok</v>
      </c>
      <c r="C898" s="72" t="s">
        <v>369</v>
      </c>
      <c r="D898" t="s">
        <v>2696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N898" s="69">
        <v>45733</v>
      </c>
      <c r="O898" s="69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1113</v>
      </c>
      <c r="S898" s="73"/>
    </row>
    <row r="899" spans="1:19" hidden="1">
      <c r="A899" s="72" t="s">
        <v>2693</v>
      </c>
      <c r="B899" s="73" t="str">
        <f>IFERROR(VLOOKUP(Proc[[#This Row],[App]],Table2[],3,0),"open")</f>
        <v>ok</v>
      </c>
      <c r="C899" s="72" t="s">
        <v>369</v>
      </c>
      <c r="D899" t="s">
        <v>2697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N899" s="69">
        <v>45733</v>
      </c>
      <c r="O899" s="69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1113</v>
      </c>
      <c r="S899" s="73"/>
    </row>
    <row r="900" spans="1:19" hidden="1">
      <c r="A900" s="72" t="s">
        <v>2693</v>
      </c>
      <c r="B900" s="73" t="str">
        <f>IFERROR(VLOOKUP(Proc[[#This Row],[App]],Table2[],3,0),"open")</f>
        <v>ok</v>
      </c>
      <c r="C900" s="72" t="s">
        <v>369</v>
      </c>
      <c r="D900" t="s">
        <v>2698</v>
      </c>
      <c r="E900" t="s">
        <v>2704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N900" s="69">
        <v>45733</v>
      </c>
      <c r="O900" s="69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1113</v>
      </c>
      <c r="S900" s="73"/>
    </row>
    <row r="901" spans="1:19" hidden="1">
      <c r="A901" s="72" t="s">
        <v>2693</v>
      </c>
      <c r="B901" s="73" t="str">
        <f>IFERROR(VLOOKUP(Proc[[#This Row],[App]],Table2[],3,0),"open")</f>
        <v>ok</v>
      </c>
      <c r="C901" s="72" t="s">
        <v>369</v>
      </c>
      <c r="D901" t="s">
        <v>2699</v>
      </c>
      <c r="E901" t="s">
        <v>2705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N901" s="69">
        <v>45733</v>
      </c>
      <c r="O901" s="69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1113</v>
      </c>
      <c r="S901" s="73"/>
    </row>
    <row r="902" spans="1:19" hidden="1">
      <c r="A902" s="72" t="s">
        <v>2693</v>
      </c>
      <c r="B902" s="73" t="str">
        <f>IFERROR(VLOOKUP(Proc[[#This Row],[App]],Table2[],3,0),"open")</f>
        <v>ok</v>
      </c>
      <c r="C902" s="72" t="s">
        <v>369</v>
      </c>
      <c r="D902" t="s">
        <v>2700</v>
      </c>
      <c r="E902" t="s">
        <v>2703</v>
      </c>
      <c r="F902" s="73" t="s">
        <v>2706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N902" s="69">
        <v>45733</v>
      </c>
      <c r="O902" s="69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1113</v>
      </c>
      <c r="S902" s="73"/>
    </row>
    <row r="903" spans="1:19" hidden="1">
      <c r="A903" s="72" t="s">
        <v>2693</v>
      </c>
      <c r="B903" s="73" t="str">
        <f>IFERROR(VLOOKUP(Proc[[#This Row],[App]],Table2[],3,0),"open")</f>
        <v>ok</v>
      </c>
      <c r="C903" s="72" t="s">
        <v>369</v>
      </c>
      <c r="D903" t="s">
        <v>2701</v>
      </c>
      <c r="E903" t="s">
        <v>2703</v>
      </c>
      <c r="F903" s="73" t="s">
        <v>2706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N903" s="69">
        <v>45733</v>
      </c>
      <c r="O903" s="69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1113</v>
      </c>
      <c r="S903" s="73"/>
    </row>
    <row r="904" spans="1:19" hidden="1">
      <c r="A904" s="72" t="s">
        <v>2693</v>
      </c>
      <c r="B904" s="73" t="str">
        <f>IFERROR(VLOOKUP(Proc[[#This Row],[App]],Table2[],3,0),"open")</f>
        <v>ok</v>
      </c>
      <c r="C904" s="72" t="s">
        <v>369</v>
      </c>
      <c r="D904" t="s">
        <v>2702</v>
      </c>
      <c r="E904" t="s">
        <v>2703</v>
      </c>
      <c r="F904" s="73" t="s">
        <v>2706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N904" s="69">
        <v>45733</v>
      </c>
      <c r="O904" s="69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1113</v>
      </c>
      <c r="S904" s="73"/>
    </row>
    <row r="905" spans="1:19" hidden="1">
      <c r="A905" t="s">
        <v>2709</v>
      </c>
      <c r="B905" s="73" t="str">
        <f>IFERROR(VLOOKUP(Proc[[#This Row],[App]],Table2[],3,0),"open")</f>
        <v>ok</v>
      </c>
      <c r="C905" s="72" t="s">
        <v>369</v>
      </c>
      <c r="D905" t="s">
        <v>2707</v>
      </c>
      <c r="E905" t="s">
        <v>2708</v>
      </c>
      <c r="F905" s="73" t="s">
        <v>2593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N905" s="69">
        <v>45733</v>
      </c>
      <c r="O905" s="69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2710</v>
      </c>
      <c r="S905" s="73"/>
    </row>
    <row r="906" spans="1:19" hidden="1">
      <c r="A906" t="s">
        <v>2713</v>
      </c>
      <c r="B906" s="73" t="str">
        <f>IFERROR(VLOOKUP(Proc[[#This Row],[App]],Table2[],3,0),"open")</f>
        <v>ok</v>
      </c>
      <c r="C906" s="72" t="s">
        <v>369</v>
      </c>
      <c r="D906" t="s">
        <v>2711</v>
      </c>
      <c r="E906" t="s">
        <v>2712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69">
        <v>45734.231157407405</v>
      </c>
      <c r="P906" s="74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4" t="s">
        <v>2714</v>
      </c>
      <c r="S906" s="73"/>
    </row>
    <row r="907" spans="1:19">
      <c r="A907" t="s">
        <v>2715</v>
      </c>
      <c r="B907" s="73" t="str">
        <f>IFERROR(VLOOKUP(Proc[[#This Row],[App]],Table2[],3,0),"open")</f>
        <v>open</v>
      </c>
      <c r="C907" t="s">
        <v>370</v>
      </c>
      <c r="D907" t="s">
        <v>2716</v>
      </c>
      <c r="E907" t="s">
        <v>2717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4">
        <v>45721.760057870371</v>
      </c>
      <c r="N907" s="75"/>
      <c r="O907" s="75"/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</v>
      </c>
      <c r="R907" s="74" t="s">
        <v>2718</v>
      </c>
      <c r="S907" s="73"/>
    </row>
    <row r="908" spans="1:19" hidden="1">
      <c r="A908" t="s">
        <v>2720</v>
      </c>
      <c r="B908" s="73" t="str">
        <f>IFERROR(VLOOKUP(Proc[[#This Row],[App]],Table2[],3,0),"open")</f>
        <v>ok</v>
      </c>
      <c r="C908" t="s">
        <v>369</v>
      </c>
      <c r="D908" s="77" t="s">
        <v>2719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4">
        <v>45733.760057870371</v>
      </c>
      <c r="N908" s="75"/>
      <c r="O908" s="75"/>
      <c r="P908" s="74" t="str">
        <f ca="1">IF(Proc[[#This Row],[DaysAgeing]]&gt;5,"yep","on track")</f>
        <v>on track</v>
      </c>
      <c r="Q908" s="3">
        <f ca="1">IF(Proc[[#This Row],[DateClosed]]="",ABS(NETWORKDAYS(Proc[[#This Row],[DateOpened]],TODAY()))-1,ABS(NETWORKDAYS(Proc[[#This Row],[DateOpened]],Proc[[#This Row],[DateClosed]]))-1)</f>
        <v>2</v>
      </c>
      <c r="R908" s="74" t="s">
        <v>538</v>
      </c>
      <c r="S908" s="73"/>
    </row>
    <row r="909" spans="1:19">
      <c r="A909" t="s">
        <v>2733</v>
      </c>
      <c r="B909" s="73" t="str">
        <f>IFERROR(VLOOKUP(Proc[[#This Row],[App]],Table2[],3,0),"open")</f>
        <v>open</v>
      </c>
      <c r="C909" s="76" t="s">
        <v>370</v>
      </c>
      <c r="D909" t="s">
        <v>2721</v>
      </c>
      <c r="E909" t="s">
        <v>2732</v>
      </c>
      <c r="F909" s="73"/>
      <c r="G909" t="s">
        <v>406</v>
      </c>
      <c r="H909" s="73" t="str">
        <f>IF(Proc[[#This Row],[type]]="LFF (MDG-F)",MID(Proc[[#This Row],[Obj]],13,10),"")</f>
        <v>2148TASA01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4">
        <v>45734.760057870371</v>
      </c>
      <c r="N909" s="75"/>
      <c r="O909" s="75"/>
      <c r="P909" s="74" t="str">
        <f ca="1">IF(Proc[[#This Row],[DaysAgeing]]&gt;5,"yep","on track")</f>
        <v>on track</v>
      </c>
      <c r="Q909" s="3">
        <f ca="1">IF(Proc[[#This Row],[DateClosed]]="",ABS(NETWORKDAYS(Proc[[#This Row],[DateOpened]],TODAY()))-1,ABS(NETWORKDAYS(Proc[[#This Row],[DateOpened]],Proc[[#This Row],[DateClosed]]))-1)</f>
        <v>1</v>
      </c>
      <c r="R909" s="74" t="s">
        <v>858</v>
      </c>
      <c r="S909" s="73"/>
    </row>
    <row r="910" spans="1:19">
      <c r="A910" s="76" t="s">
        <v>2733</v>
      </c>
      <c r="B910" s="73" t="str">
        <f>IFERROR(VLOOKUP(Proc[[#This Row],[App]],Table2[],3,0),"open")</f>
        <v>open</v>
      </c>
      <c r="C910" s="76" t="s">
        <v>370</v>
      </c>
      <c r="D910" t="s">
        <v>2722</v>
      </c>
      <c r="E910" t="s">
        <v>2732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4">
        <v>45734.760057870371</v>
      </c>
      <c r="N910" s="75"/>
      <c r="O910" s="75"/>
      <c r="P910" s="74" t="str">
        <f ca="1">IF(Proc[[#This Row],[DaysAgeing]]&gt;5,"yep","on track")</f>
        <v>on track</v>
      </c>
      <c r="Q910" s="3">
        <f ca="1">IF(Proc[[#This Row],[DateClosed]]="",ABS(NETWORKDAYS(Proc[[#This Row],[DateOpened]],TODAY()))-1,ABS(NETWORKDAYS(Proc[[#This Row],[DateOpened]],Proc[[#This Row],[DateClosed]]))-1)</f>
        <v>1</v>
      </c>
      <c r="R910" s="74" t="s">
        <v>858</v>
      </c>
      <c r="S910" s="73"/>
    </row>
    <row r="911" spans="1:19">
      <c r="A911" s="76" t="s">
        <v>2733</v>
      </c>
      <c r="B911" s="73" t="str">
        <f>IFERROR(VLOOKUP(Proc[[#This Row],[App]],Table2[],3,0),"open")</f>
        <v>open</v>
      </c>
      <c r="C911" s="76" t="s">
        <v>370</v>
      </c>
      <c r="D911" t="s">
        <v>2723</v>
      </c>
      <c r="E911" t="s">
        <v>2732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4">
        <v>45734.760057870371</v>
      </c>
      <c r="N911" s="75"/>
      <c r="O911" s="75"/>
      <c r="P911" s="74" t="str">
        <f ca="1">IF(Proc[[#This Row],[DaysAgeing]]&gt;5,"yep","on track")</f>
        <v>on track</v>
      </c>
      <c r="Q911" s="3">
        <f ca="1">IF(Proc[[#This Row],[DateClosed]]="",ABS(NETWORKDAYS(Proc[[#This Row],[DateOpened]],TODAY()))-1,ABS(NETWORKDAYS(Proc[[#This Row],[DateOpened]],Proc[[#This Row],[DateClosed]]))-1)</f>
        <v>1</v>
      </c>
      <c r="R911" s="74" t="s">
        <v>858</v>
      </c>
      <c r="S911" s="73"/>
    </row>
    <row r="912" spans="1:19">
      <c r="A912" s="76" t="s">
        <v>2733</v>
      </c>
      <c r="B912" s="73" t="str">
        <f>IFERROR(VLOOKUP(Proc[[#This Row],[App]],Table2[],3,0),"open")</f>
        <v>open</v>
      </c>
      <c r="C912" s="76" t="s">
        <v>370</v>
      </c>
      <c r="D912" t="s">
        <v>2724</v>
      </c>
      <c r="E912" t="s">
        <v>2732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4">
        <v>45734.760057870371</v>
      </c>
      <c r="N912" s="75"/>
      <c r="O912" s="75"/>
      <c r="P912" s="74" t="str">
        <f ca="1">IF(Proc[[#This Row],[DaysAgeing]]&gt;5,"yep","on track")</f>
        <v>on track</v>
      </c>
      <c r="Q912" s="3">
        <f ca="1">IF(Proc[[#This Row],[DateClosed]]="",ABS(NETWORKDAYS(Proc[[#This Row],[DateOpened]],TODAY()))-1,ABS(NETWORKDAYS(Proc[[#This Row],[DateOpened]],Proc[[#This Row],[DateClosed]]))-1)</f>
        <v>1</v>
      </c>
      <c r="R912" s="74" t="s">
        <v>858</v>
      </c>
      <c r="S912" s="73"/>
    </row>
    <row r="913" spans="1:19">
      <c r="A913" s="76" t="s">
        <v>2733</v>
      </c>
      <c r="B913" s="73" t="str">
        <f>IFERROR(VLOOKUP(Proc[[#This Row],[App]],Table2[],3,0),"open")</f>
        <v>open</v>
      </c>
      <c r="C913" s="76" t="s">
        <v>370</v>
      </c>
      <c r="D913" t="s">
        <v>2725</v>
      </c>
      <c r="E913" t="s">
        <v>2732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4">
        <v>45734.760057870371</v>
      </c>
      <c r="N913" s="75"/>
      <c r="O913" s="75"/>
      <c r="P913" s="74" t="str">
        <f ca="1">IF(Proc[[#This Row],[DaysAgeing]]&gt;5,"yep","on track")</f>
        <v>on track</v>
      </c>
      <c r="Q913" s="3">
        <f ca="1">IF(Proc[[#This Row],[DateClosed]]="",ABS(NETWORKDAYS(Proc[[#This Row],[DateOpened]],TODAY()))-1,ABS(NETWORKDAYS(Proc[[#This Row],[DateOpened]],Proc[[#This Row],[DateClosed]]))-1)</f>
        <v>1</v>
      </c>
      <c r="R913" s="74" t="s">
        <v>858</v>
      </c>
      <c r="S913" s="73"/>
    </row>
    <row r="914" spans="1:19">
      <c r="A914" s="76" t="s">
        <v>2733</v>
      </c>
      <c r="B914" s="73" t="str">
        <f>IFERROR(VLOOKUP(Proc[[#This Row],[App]],Table2[],3,0),"open")</f>
        <v>open</v>
      </c>
      <c r="C914" s="76" t="s">
        <v>370</v>
      </c>
      <c r="D914" t="s">
        <v>2726</v>
      </c>
      <c r="E914" t="s">
        <v>2732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4">
        <v>45734.760057870371</v>
      </c>
      <c r="N914" s="75"/>
      <c r="O914" s="75"/>
      <c r="P914" s="74" t="str">
        <f ca="1">IF(Proc[[#This Row],[DaysAgeing]]&gt;5,"yep","on track")</f>
        <v>on track</v>
      </c>
      <c r="Q914" s="3">
        <f ca="1">IF(Proc[[#This Row],[DateClosed]]="",ABS(NETWORKDAYS(Proc[[#This Row],[DateOpened]],TODAY()))-1,ABS(NETWORKDAYS(Proc[[#This Row],[DateOpened]],Proc[[#This Row],[DateClosed]]))-1)</f>
        <v>1</v>
      </c>
      <c r="R914" s="74" t="s">
        <v>858</v>
      </c>
      <c r="S914" s="73"/>
    </row>
    <row r="915" spans="1:19">
      <c r="A915" s="76" t="s">
        <v>2733</v>
      </c>
      <c r="B915" s="73" t="str">
        <f>IFERROR(VLOOKUP(Proc[[#This Row],[App]],Table2[],3,0),"open")</f>
        <v>open</v>
      </c>
      <c r="C915" s="76" t="s">
        <v>370</v>
      </c>
      <c r="D915" t="s">
        <v>2727</v>
      </c>
      <c r="E915" t="s">
        <v>2732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4">
        <v>45734.760057870371</v>
      </c>
      <c r="N915" s="75"/>
      <c r="O915" s="75"/>
      <c r="P915" s="74" t="str">
        <f ca="1">IF(Proc[[#This Row],[DaysAgeing]]&gt;5,"yep","on track")</f>
        <v>on track</v>
      </c>
      <c r="Q915" s="3">
        <f ca="1">IF(Proc[[#This Row],[DateClosed]]="",ABS(NETWORKDAYS(Proc[[#This Row],[DateOpened]],TODAY()))-1,ABS(NETWORKDAYS(Proc[[#This Row],[DateOpened]],Proc[[#This Row],[DateClosed]]))-1)</f>
        <v>1</v>
      </c>
      <c r="R915" s="74" t="s">
        <v>858</v>
      </c>
      <c r="S915" s="73"/>
    </row>
    <row r="916" spans="1:19">
      <c r="A916" s="76" t="s">
        <v>2733</v>
      </c>
      <c r="B916" s="73" t="str">
        <f>IFERROR(VLOOKUP(Proc[[#This Row],[App]],Table2[],3,0),"open")</f>
        <v>open</v>
      </c>
      <c r="C916" s="76" t="s">
        <v>370</v>
      </c>
      <c r="D916" t="s">
        <v>2728</v>
      </c>
      <c r="E916" t="s">
        <v>2732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4">
        <v>45734.760057870371</v>
      </c>
      <c r="N916" s="75"/>
      <c r="O916" s="75"/>
      <c r="P916" s="74" t="str">
        <f ca="1">IF(Proc[[#This Row],[DaysAgeing]]&gt;5,"yep","on track")</f>
        <v>on track</v>
      </c>
      <c r="Q916" s="3">
        <f ca="1">IF(Proc[[#This Row],[DateClosed]]="",ABS(NETWORKDAYS(Proc[[#This Row],[DateOpened]],TODAY()))-1,ABS(NETWORKDAYS(Proc[[#This Row],[DateOpened]],Proc[[#This Row],[DateClosed]]))-1)</f>
        <v>1</v>
      </c>
      <c r="R916" s="74" t="s">
        <v>858</v>
      </c>
      <c r="S916" s="73"/>
    </row>
    <row r="917" spans="1:19">
      <c r="A917" s="76" t="s">
        <v>2733</v>
      </c>
      <c r="B917" s="73" t="str">
        <f>IFERROR(VLOOKUP(Proc[[#This Row],[App]],Table2[],3,0),"open")</f>
        <v>open</v>
      </c>
      <c r="C917" s="76" t="s">
        <v>370</v>
      </c>
      <c r="D917" t="s">
        <v>2729</v>
      </c>
      <c r="E917" t="s">
        <v>2732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4">
        <v>45734.760057870371</v>
      </c>
      <c r="N917" s="75"/>
      <c r="O917" s="75"/>
      <c r="P917" s="74" t="str">
        <f ca="1">IF(Proc[[#This Row],[DaysAgeing]]&gt;5,"yep","on track")</f>
        <v>on track</v>
      </c>
      <c r="Q917" s="3">
        <f ca="1">IF(Proc[[#This Row],[DateClosed]]="",ABS(NETWORKDAYS(Proc[[#This Row],[DateOpened]],TODAY()))-1,ABS(NETWORKDAYS(Proc[[#This Row],[DateOpened]],Proc[[#This Row],[DateClosed]]))-1)</f>
        <v>1</v>
      </c>
      <c r="R917" s="74" t="s">
        <v>858</v>
      </c>
      <c r="S917" s="73"/>
    </row>
    <row r="918" spans="1:19">
      <c r="A918" s="76" t="s">
        <v>2733</v>
      </c>
      <c r="B918" s="73" t="str">
        <f>IFERROR(VLOOKUP(Proc[[#This Row],[App]],Table2[],3,0),"open")</f>
        <v>open</v>
      </c>
      <c r="C918" s="76" t="s">
        <v>370</v>
      </c>
      <c r="D918" t="s">
        <v>2730</v>
      </c>
      <c r="E918" t="s">
        <v>2732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4">
        <v>45734.760057870371</v>
      </c>
      <c r="N918" s="75"/>
      <c r="O918" s="75"/>
      <c r="P918" s="74" t="str">
        <f ca="1">IF(Proc[[#This Row],[DaysAgeing]]&gt;5,"yep","on track")</f>
        <v>on track</v>
      </c>
      <c r="Q918" s="3">
        <f ca="1">IF(Proc[[#This Row],[DateClosed]]="",ABS(NETWORKDAYS(Proc[[#This Row],[DateOpened]],TODAY()))-1,ABS(NETWORKDAYS(Proc[[#This Row],[DateOpened]],Proc[[#This Row],[DateClosed]]))-1)</f>
        <v>1</v>
      </c>
      <c r="R918" s="74" t="s">
        <v>858</v>
      </c>
      <c r="S918" s="73"/>
    </row>
    <row r="919" spans="1:19">
      <c r="A919" s="76" t="s">
        <v>2733</v>
      </c>
      <c r="B919" s="73" t="str">
        <f>IFERROR(VLOOKUP(Proc[[#This Row],[App]],Table2[],3,0),"open")</f>
        <v>open</v>
      </c>
      <c r="C919" s="76" t="s">
        <v>370</v>
      </c>
      <c r="D919" t="s">
        <v>2731</v>
      </c>
      <c r="E919" t="s">
        <v>2732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4">
        <v>45734.760057870371</v>
      </c>
      <c r="N919" s="75"/>
      <c r="O919" s="75"/>
      <c r="P919" s="74" t="str">
        <f ca="1">IF(Proc[[#This Row],[DaysAgeing]]&gt;5,"yep","on track")</f>
        <v>on track</v>
      </c>
      <c r="Q919" s="3">
        <f ca="1">IF(Proc[[#This Row],[DateClosed]]="",ABS(NETWORKDAYS(Proc[[#This Row],[DateOpened]],TODAY()))-1,ABS(NETWORKDAYS(Proc[[#This Row],[DateOpened]],Proc[[#This Row],[DateClosed]]))-1)</f>
        <v>1</v>
      </c>
      <c r="R919" s="74" t="s">
        <v>858</v>
      </c>
      <c r="S919" s="73"/>
    </row>
    <row r="920" spans="1:19">
      <c r="A920" t="s">
        <v>2734</v>
      </c>
      <c r="B920" s="73" t="str">
        <f>IFERROR(VLOOKUP(Proc[[#This Row],[App]],Table2[],3,0),"open")</f>
        <v>open</v>
      </c>
      <c r="C920" t="s">
        <v>377</v>
      </c>
      <c r="D920" t="s">
        <v>2735</v>
      </c>
      <c r="E920" t="s">
        <v>2737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4">
        <v>45734.760057870371</v>
      </c>
      <c r="N920" s="75"/>
      <c r="O920" s="75"/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1</v>
      </c>
      <c r="R920" s="74" t="s">
        <v>1004</v>
      </c>
      <c r="S920" s="73"/>
    </row>
    <row r="921" spans="1:19">
      <c r="A921" s="76" t="s">
        <v>2734</v>
      </c>
      <c r="B921" s="73" t="str">
        <f>IFERROR(VLOOKUP(Proc[[#This Row],[App]],Table2[],3,0),"open")</f>
        <v>open</v>
      </c>
      <c r="C921" s="76" t="s">
        <v>377</v>
      </c>
      <c r="D921" t="s">
        <v>2736</v>
      </c>
      <c r="E921" t="s">
        <v>1009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4">
        <v>45734.760057870371</v>
      </c>
      <c r="N921" s="75"/>
      <c r="O921" s="75"/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1</v>
      </c>
      <c r="R921" s="74" t="s">
        <v>1004</v>
      </c>
      <c r="S921" s="73"/>
    </row>
    <row r="922" spans="1:19">
      <c r="A922" t="s">
        <v>2738</v>
      </c>
      <c r="B922" s="73" t="str">
        <f>IFERROR(VLOOKUP(Proc[[#This Row],[App]],Table2[],3,0),"open")</f>
        <v>open</v>
      </c>
      <c r="C922" s="76" t="s">
        <v>370</v>
      </c>
      <c r="D922" t="s">
        <v>2558</v>
      </c>
      <c r="E922" s="76" t="s">
        <v>2560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4">
        <v>45734.760057870371</v>
      </c>
      <c r="N922" s="75"/>
      <c r="O922" s="75"/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1</v>
      </c>
      <c r="R922" s="74" t="s">
        <v>538</v>
      </c>
      <c r="S922" s="73"/>
    </row>
    <row r="923" spans="1:19">
      <c r="A923" t="s">
        <v>2739</v>
      </c>
      <c r="B923" s="73" t="str">
        <f>IFERROR(VLOOKUP(Proc[[#This Row],[App]],Table2[],3,0),"open")</f>
        <v>open</v>
      </c>
      <c r="C923" s="76" t="s">
        <v>370</v>
      </c>
      <c r="D923" t="s">
        <v>2740</v>
      </c>
      <c r="E923" t="s">
        <v>2741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4">
        <v>45734.760057870371</v>
      </c>
      <c r="N923" s="75"/>
      <c r="O923" s="75"/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1</v>
      </c>
      <c r="R923" s="74" t="s">
        <v>1113</v>
      </c>
      <c r="S923" s="73"/>
    </row>
    <row r="924" spans="1:19">
      <c r="A924" t="s">
        <v>2743</v>
      </c>
      <c r="B924" s="73" t="str">
        <f>IFERROR(VLOOKUP(Proc[[#This Row],[App]],Table2[],3,0),"open")</f>
        <v>open</v>
      </c>
      <c r="C924" s="76" t="s">
        <v>370</v>
      </c>
      <c r="D924" t="s">
        <v>2742</v>
      </c>
      <c r="E924" s="76" t="s">
        <v>2744</v>
      </c>
      <c r="F924" s="73" t="s">
        <v>1099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/>
      <c r="O924" s="75"/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0</v>
      </c>
      <c r="R924" s="75" t="s">
        <v>1113</v>
      </c>
      <c r="S924" s="73"/>
    </row>
    <row r="925" spans="1:19">
      <c r="A925" t="s">
        <v>2745</v>
      </c>
      <c r="B925" s="73" t="str">
        <f>IFERROR(VLOOKUP(Proc[[#This Row],[App]],Table2[],3,0),"open")</f>
        <v>open</v>
      </c>
      <c r="C925" s="76" t="s">
        <v>370</v>
      </c>
      <c r="D925" t="s">
        <v>2746</v>
      </c>
      <c r="E925" t="s">
        <v>2747</v>
      </c>
      <c r="F925" s="73" t="s">
        <v>1099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/>
      <c r="O925" s="75"/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0</v>
      </c>
      <c r="R925" s="75" t="s">
        <v>1113</v>
      </c>
      <c r="S925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2558</v>
      </c>
      <c r="B1" t="s">
        <v>2561</v>
      </c>
    </row>
    <row r="2" spans="1:2">
      <c r="A2" t="s">
        <v>2568</v>
      </c>
      <c r="B2" t="s">
        <v>690</v>
      </c>
    </row>
    <row r="3" spans="1:2">
      <c r="A3" t="s">
        <v>2569</v>
      </c>
      <c r="B3" t="s">
        <v>429</v>
      </c>
    </row>
    <row r="4" spans="1:2">
      <c r="A4" t="s">
        <v>2570</v>
      </c>
      <c r="B4" t="s">
        <v>690</v>
      </c>
    </row>
    <row r="5" spans="1:2">
      <c r="A5" t="s">
        <v>2571</v>
      </c>
      <c r="B5" t="s">
        <v>1530</v>
      </c>
    </row>
    <row r="6" spans="1:2">
      <c r="A6" t="s">
        <v>2572</v>
      </c>
      <c r="B6" t="s">
        <v>2588</v>
      </c>
    </row>
    <row r="7" spans="1:2">
      <c r="A7" t="s">
        <v>2573</v>
      </c>
      <c r="B7" t="s">
        <v>2591</v>
      </c>
    </row>
    <row r="8" spans="1:2">
      <c r="A8" t="s">
        <v>2574</v>
      </c>
      <c r="B8" t="s">
        <v>2589</v>
      </c>
    </row>
    <row r="9" spans="1:2">
      <c r="A9" t="s">
        <v>2575</v>
      </c>
      <c r="B9" t="s">
        <v>429</v>
      </c>
    </row>
    <row r="10" spans="1:2">
      <c r="A10" t="s">
        <v>2576</v>
      </c>
      <c r="B10" t="s">
        <v>1530</v>
      </c>
    </row>
    <row r="11" spans="1:2">
      <c r="A11" t="s">
        <v>2577</v>
      </c>
      <c r="B11" t="s">
        <v>1530</v>
      </c>
    </row>
    <row r="12" spans="1:2">
      <c r="A12" t="s">
        <v>2578</v>
      </c>
      <c r="B12" t="s">
        <v>431</v>
      </c>
    </row>
    <row r="13" spans="1:2">
      <c r="A13" t="s">
        <v>2579</v>
      </c>
      <c r="B13" t="s">
        <v>1286</v>
      </c>
    </row>
    <row r="14" spans="1:2">
      <c r="A14" t="s">
        <v>2580</v>
      </c>
      <c r="B14" t="s">
        <v>1286</v>
      </c>
    </row>
    <row r="15" spans="1:2">
      <c r="A15" t="s">
        <v>2581</v>
      </c>
      <c r="B15" t="s">
        <v>431</v>
      </c>
    </row>
    <row r="16" spans="1:2">
      <c r="A16" t="s">
        <v>2582</v>
      </c>
      <c r="B16" t="s">
        <v>1530</v>
      </c>
    </row>
    <row r="17" spans="1:2">
      <c r="A17" t="s">
        <v>2583</v>
      </c>
      <c r="B17" t="s">
        <v>1530</v>
      </c>
    </row>
    <row r="18" spans="1:2">
      <c r="A18" t="s">
        <v>2584</v>
      </c>
      <c r="B18" t="s">
        <v>426</v>
      </c>
    </row>
    <row r="19" spans="1:2">
      <c r="A19" t="s">
        <v>2585</v>
      </c>
      <c r="B19" t="s">
        <v>2590</v>
      </c>
    </row>
    <row r="20" spans="1:2">
      <c r="A20" t="s">
        <v>2586</v>
      </c>
      <c r="B20" t="s">
        <v>1530</v>
      </c>
    </row>
    <row r="21" spans="1:2">
      <c r="A21" t="s">
        <v>2659</v>
      </c>
      <c r="B21" t="s">
        <v>2664</v>
      </c>
    </row>
    <row r="22" spans="1:2">
      <c r="A22" t="s">
        <v>2660</v>
      </c>
      <c r="B22" t="s">
        <v>2665</v>
      </c>
    </row>
    <row r="23" spans="1:2">
      <c r="A23" t="s">
        <v>2661</v>
      </c>
      <c r="B23" t="s">
        <v>2666</v>
      </c>
    </row>
    <row r="24" spans="1:2">
      <c r="A24" t="s">
        <v>2662</v>
      </c>
      <c r="B24" t="s">
        <v>2667</v>
      </c>
    </row>
    <row r="25" spans="1:2">
      <c r="A25" t="s">
        <v>2711</v>
      </c>
      <c r="B25" t="s">
        <v>2712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9"/>
  <sheetViews>
    <sheetView topLeftCell="A87" workbookViewId="0">
      <selection activeCell="A119" sqref="A119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2668</v>
      </c>
      <c r="B116" s="72" t="s">
        <v>596</v>
      </c>
    </row>
    <row r="117" spans="1:2">
      <c r="A117" t="s">
        <v>2710</v>
      </c>
      <c r="B117" t="s">
        <v>596</v>
      </c>
    </row>
    <row r="118" spans="1:2">
      <c r="A118" t="s">
        <v>2714</v>
      </c>
      <c r="B118" t="s">
        <v>595</v>
      </c>
    </row>
    <row r="119" spans="1:2">
      <c r="A119" s="74" t="s">
        <v>2718</v>
      </c>
      <c r="B119" s="72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2025-03-19T14:12:33Z</dcterms:modified>
  <cp:category/>
  <cp:contentStatus/>
</cp:coreProperties>
</file>